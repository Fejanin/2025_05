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SI\Desktop\"/>
    </mc:Choice>
  </mc:AlternateContent>
  <xr:revisionPtr revIDLastSave="0" documentId="13_ncr:1_{588625A7-3993-440F-A10D-3DA0D5363AF0}" xr6:coauthVersionLast="45" xr6:coauthVersionMax="45" xr10:uidLastSave="{00000000-0000-0000-0000-000000000000}"/>
  <bookViews>
    <workbookView xWindow="11070" yWindow="45" windowWidth="17730" windowHeight="14595" tabRatio="500" xr2:uid="{00000000-000D-0000-FFFF-FFFF00000000}"/>
  </bookViews>
  <sheets>
    <sheet name="Лист1" sheetId="1" r:id="rId1"/>
  </sheets>
  <definedNames>
    <definedName name="_xlnm._FilterDatabase" localSheetId="0" hidden="1">Лист1!$A$2:$M$1306</definedName>
    <definedName name="_xlnm.Print_Area" localSheetId="0">Лист1!$A$1:$H$1329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65" i="1" l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s="1"/>
  <c r="A1605" i="1"/>
  <c r="A1609" i="1" l="1"/>
  <c r="A1611" i="1" l="1"/>
  <c r="A1614" i="1" l="1"/>
  <c r="A1622" i="1" s="1"/>
  <c r="A1627" i="1" l="1"/>
  <c r="A1631" i="1" s="1"/>
  <c r="A1633" i="1" s="1"/>
  <c r="A1640" i="1" s="1"/>
  <c r="A1644" i="1" s="1"/>
  <c r="A1648" i="1" s="1"/>
</calcChain>
</file>

<file path=xl/sharedStrings.xml><?xml version="1.0" encoding="utf-8"?>
<sst xmlns="http://schemas.openxmlformats.org/spreadsheetml/2006/main" count="7050" uniqueCount="630">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</sst>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55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left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58" xfId="0" applyFont="1" applyFill="1" applyBorder="1" applyAlignment="1">
      <alignment horizontal="center" vertical="center" wrapText="1"/>
    </xf>
    <xf numFmtId="0" fontId="1" fillId="9" borderId="26" xfId="0" applyFont="1" applyFill="1" applyBorder="1" applyAlignment="1">
      <alignment horizontal="center" vertical="center" wrapText="1"/>
    </xf>
    <xf numFmtId="0" fontId="1" fillId="9" borderId="26" xfId="0" applyFont="1" applyFill="1" applyBorder="1" applyAlignment="1">
      <alignment vertical="center" wrapText="1"/>
    </xf>
    <xf numFmtId="164" fontId="1" fillId="9" borderId="26" xfId="0" applyNumberFormat="1" applyFont="1" applyFill="1" applyBorder="1" applyAlignment="1">
      <alignment horizontal="center" vertical="center" wrapText="1"/>
    </xf>
    <xf numFmtId="49" fontId="1" fillId="9" borderId="26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11" xfId="0" applyFont="1" applyFill="1" applyBorder="1" applyAlignment="1">
      <alignment horizontal="center" vertical="center" wrapText="1"/>
    </xf>
    <xf numFmtId="0" fontId="1" fillId="9" borderId="36" xfId="0" applyFont="1" applyFill="1" applyBorder="1" applyAlignment="1">
      <alignment horizontal="center" vertical="center" wrapText="1"/>
    </xf>
    <xf numFmtId="0" fontId="1" fillId="9" borderId="51" xfId="0" applyFont="1" applyFill="1" applyBorder="1" applyAlignment="1">
      <alignment horizontal="center" vertical="center" wrapText="1"/>
    </xf>
    <xf numFmtId="0" fontId="1" fillId="9" borderId="51" xfId="0" applyFont="1" applyFill="1" applyBorder="1" applyAlignment="1">
      <alignment vertical="center" wrapText="1"/>
    </xf>
    <xf numFmtId="164" fontId="1" fillId="9" borderId="51" xfId="0" applyNumberFormat="1" applyFont="1" applyFill="1" applyBorder="1" applyAlignment="1">
      <alignment horizontal="center" vertical="center" wrapText="1"/>
    </xf>
    <xf numFmtId="49" fontId="1" fillId="9" borderId="51" xfId="0" applyNumberFormat="1" applyFont="1" applyFill="1" applyBorder="1" applyAlignment="1">
      <alignment horizontal="left" vertical="center" wrapText="1"/>
    </xf>
    <xf numFmtId="49" fontId="1" fillId="9" borderId="51" xfId="0" applyNumberFormat="1" applyFont="1" applyFill="1" applyBorder="1" applyAlignment="1">
      <alignment horizontal="center" vertical="center" wrapText="1"/>
    </xf>
    <xf numFmtId="0" fontId="1" fillId="9" borderId="43" xfId="0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left" vertical="center" wrapText="1"/>
    </xf>
    <xf numFmtId="0" fontId="1" fillId="6" borderId="11" xfId="0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left" vertical="center" wrapText="1"/>
    </xf>
    <xf numFmtId="0" fontId="1" fillId="6" borderId="43" xfId="0" applyFont="1" applyFill="1" applyBorder="1" applyAlignment="1">
      <alignment horizontal="center" vertical="center" wrapText="1"/>
    </xf>
    <xf numFmtId="165" fontId="1" fillId="6" borderId="26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5" fontId="1" fillId="6" borderId="51" xfId="0" applyNumberFormat="1" applyFont="1" applyFill="1" applyBorder="1" applyAlignment="1">
      <alignment horizontal="center" vertical="center" wrapText="1"/>
    </xf>
    <xf numFmtId="165" fontId="1" fillId="9" borderId="26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9" borderId="20" xfId="0" applyFont="1" applyFill="1" applyBorder="1" applyAlignment="1">
      <alignment horizontal="center" vertical="center" wrapText="1"/>
    </xf>
    <xf numFmtId="0" fontId="1" fillId="9" borderId="35" xfId="0" applyFont="1" applyFill="1" applyBorder="1" applyAlignment="1">
      <alignment horizontal="center" vertical="center" wrapText="1"/>
    </xf>
    <xf numFmtId="0" fontId="1" fillId="9" borderId="5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6" xfId="0" applyNumberFormat="1" applyFont="1" applyFill="1" applyBorder="1" applyAlignment="1">
      <alignment horizontal="left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9" borderId="5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10" borderId="51" xfId="0" applyNumberFormat="1" applyFont="1" applyFill="1" applyBorder="1" applyAlignment="1">
      <alignment horizontal="left" vertical="center" wrapText="1"/>
    </xf>
    <xf numFmtId="0" fontId="1" fillId="10" borderId="26" xfId="0" applyFont="1" applyFill="1" applyBorder="1" applyAlignment="1">
      <alignment horizontal="center" vertical="center" wrapText="1"/>
    </xf>
    <xf numFmtId="0" fontId="1" fillId="10" borderId="26" xfId="0" applyFont="1" applyFill="1" applyBorder="1" applyAlignment="1">
      <alignment vertical="center" wrapText="1"/>
    </xf>
    <xf numFmtId="164" fontId="1" fillId="10" borderId="26" xfId="0" applyNumberFormat="1" applyFont="1" applyFill="1" applyBorder="1" applyAlignment="1">
      <alignment horizontal="center" vertical="center" wrapText="1"/>
    </xf>
    <xf numFmtId="49" fontId="1" fillId="10" borderId="26" xfId="0" applyNumberFormat="1" applyFont="1" applyFill="1" applyBorder="1" applyAlignment="1">
      <alignment horizontal="center" vertical="center" wrapText="1"/>
    </xf>
    <xf numFmtId="49" fontId="1" fillId="10" borderId="26" xfId="0" applyNumberFormat="1" applyFont="1" applyFill="1" applyBorder="1" applyAlignment="1">
      <alignment horizontal="left" vertical="center" wrapText="1"/>
    </xf>
    <xf numFmtId="0" fontId="1" fillId="6" borderId="6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26" xfId="0" applyNumberFormat="1" applyFont="1" applyFill="1" applyBorder="1" applyAlignment="1">
      <alignment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left" vertical="center" wrapText="1"/>
    </xf>
    <xf numFmtId="0" fontId="1" fillId="6" borderId="39" xfId="0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1" fillId="9" borderId="38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1" fillId="6" borderId="0" xfId="0" applyNumberFormat="1" applyFont="1" applyFill="1" applyBorder="1" applyAlignment="1">
      <alignment horizontal="center" vertical="center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166" fontId="1" fillId="9" borderId="38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11" borderId="20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11" xfId="0" applyFont="1" applyFill="1" applyBorder="1" applyAlignment="1">
      <alignment horizontal="center" vertical="center" wrapText="1"/>
    </xf>
    <xf numFmtId="0" fontId="1" fillId="11" borderId="26" xfId="0" applyFont="1" applyFill="1" applyBorder="1" applyAlignment="1">
      <alignment vertical="center" wrapText="1"/>
    </xf>
    <xf numFmtId="164" fontId="1" fillId="11" borderId="26" xfId="0" applyNumberFormat="1" applyFont="1" applyFill="1" applyBorder="1" applyAlignment="1">
      <alignment horizontal="center" vertical="center" wrapText="1"/>
    </xf>
    <xf numFmtId="0" fontId="1" fillId="11" borderId="26" xfId="0" applyFont="1" applyFill="1" applyBorder="1" applyAlignment="1">
      <alignment horizontal="center" vertical="center" wrapText="1"/>
    </xf>
    <xf numFmtId="49" fontId="1" fillId="11" borderId="26" xfId="0" applyNumberFormat="1" applyFont="1" applyFill="1" applyBorder="1" applyAlignment="1">
      <alignment horizontal="left" vertical="center" wrapText="1"/>
    </xf>
    <xf numFmtId="49" fontId="1" fillId="11" borderId="26" xfId="0" applyNumberFormat="1" applyFont="1" applyFill="1" applyBorder="1" applyAlignment="1">
      <alignment horizontal="center" vertical="center" wrapText="1"/>
    </xf>
    <xf numFmtId="0" fontId="1" fillId="11" borderId="36" xfId="0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49" fontId="1" fillId="6" borderId="56" xfId="0" applyNumberFormat="1" applyFont="1" applyFill="1" applyBorder="1" applyAlignment="1">
      <alignment horizontal="center" vertical="center"/>
    </xf>
    <xf numFmtId="49" fontId="1" fillId="6" borderId="33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1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58" xfId="0" applyNumberFormat="1" applyFont="1" applyFill="1" applyBorder="1" applyAlignment="1">
      <alignment horizontal="center" vertical="center"/>
    </xf>
    <xf numFmtId="49" fontId="1" fillId="6" borderId="18" xfId="0" applyNumberFormat="1" applyFont="1" applyFill="1" applyBorder="1" applyAlignment="1">
      <alignment horizontal="center" vertical="center"/>
    </xf>
    <xf numFmtId="49" fontId="1" fillId="11" borderId="62" xfId="0" applyNumberFormat="1" applyFont="1" applyFill="1" applyBorder="1" applyAlignment="1">
      <alignment horizontal="center" vertical="center"/>
    </xf>
    <xf numFmtId="49" fontId="1" fillId="11" borderId="58" xfId="0" applyNumberFormat="1" applyFont="1" applyFill="1" applyBorder="1" applyAlignment="1">
      <alignment horizontal="center" vertical="center"/>
    </xf>
    <xf numFmtId="49" fontId="1" fillId="6" borderId="64" xfId="0" applyNumberFormat="1" applyFont="1" applyFill="1" applyBorder="1" applyAlignment="1">
      <alignment horizontal="center" vertical="center" wrapText="1"/>
    </xf>
    <xf numFmtId="49" fontId="1" fillId="6" borderId="58" xfId="0" applyNumberFormat="1" applyFont="1" applyFill="1" applyBorder="1" applyAlignment="1">
      <alignment horizontal="center" vertical="center" wrapText="1"/>
    </xf>
    <xf numFmtId="49" fontId="1" fillId="6" borderId="19" xfId="0" applyNumberFormat="1" applyFont="1" applyFill="1" applyBorder="1" applyAlignment="1">
      <alignment horizontal="center" vertical="center" wrapText="1"/>
    </xf>
    <xf numFmtId="49" fontId="1" fillId="9" borderId="61" xfId="0" applyNumberFormat="1" applyFont="1" applyFill="1" applyBorder="1" applyAlignment="1">
      <alignment horizontal="center" vertical="center"/>
    </xf>
    <xf numFmtId="49" fontId="1" fillId="9" borderId="33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30" xfId="0" applyNumberFormat="1" applyFont="1" applyFill="1" applyBorder="1" applyAlignment="1">
      <alignment horizontal="center" vertical="center"/>
    </xf>
    <xf numFmtId="49" fontId="1" fillId="6" borderId="28" xfId="0" applyNumberFormat="1" applyFont="1" applyFill="1" applyBorder="1" applyAlignment="1">
      <alignment horizontal="center" vertical="center"/>
    </xf>
    <xf numFmtId="0" fontId="1" fillId="6" borderId="56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1" xfId="0" applyFont="1" applyFill="1" applyBorder="1" applyAlignment="1">
      <alignment horizontal="center" vertical="center" wrapText="1"/>
    </xf>
    <xf numFmtId="0" fontId="1" fillId="10" borderId="31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60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9" borderId="59" xfId="0" applyFont="1" applyFill="1" applyBorder="1" applyAlignment="1">
      <alignment horizontal="center" vertical="center" wrapText="1"/>
    </xf>
    <xf numFmtId="0" fontId="1" fillId="9" borderId="0" xfId="0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63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Border="1" applyAlignment="1">
      <alignment horizontal="center" vertical="center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2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1" xfId="0" applyNumberFormat="1" applyFont="1" applyFill="1" applyBorder="1" applyAlignment="1">
      <alignment horizontal="center" vertical="center" wrapText="1"/>
    </xf>
    <xf numFmtId="0" fontId="1" fillId="9" borderId="20" xfId="0" applyFont="1" applyFill="1" applyBorder="1" applyAlignment="1">
      <alignment horizontal="center" vertical="center" wrapText="1"/>
    </xf>
    <xf numFmtId="0" fontId="1" fillId="9" borderId="35" xfId="0" applyFont="1" applyFill="1" applyBorder="1" applyAlignment="1">
      <alignment horizontal="center" vertical="center" wrapText="1"/>
    </xf>
    <xf numFmtId="0" fontId="1" fillId="9" borderId="55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6" xfId="0" applyNumberFormat="1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4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653"/>
  <sheetViews>
    <sheetView tabSelected="1" zoomScaleNormal="100" zoomScaleSheetLayoutView="115" workbookViewId="0">
      <pane ySplit="2" topLeftCell="A1635" activePane="bottomLeft" state="frozen"/>
      <selection pane="bottomLeft" activeCell="D1648" sqref="D1648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527" t="s">
        <v>54</v>
      </c>
      <c r="B1" s="528"/>
      <c r="C1" s="528"/>
      <c r="D1" s="528"/>
      <c r="E1" s="528"/>
      <c r="F1" s="528"/>
      <c r="G1" s="528"/>
      <c r="H1" s="529"/>
      <c r="I1" s="10"/>
      <c r="M1" s="515" t="s">
        <v>288</v>
      </c>
      <c r="N1" s="515"/>
      <c r="O1" s="515" t="s">
        <v>289</v>
      </c>
      <c r="P1" s="515"/>
      <c r="Q1" s="515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517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517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517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517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517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517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517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517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517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517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517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517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517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517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517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517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518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518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518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518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517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524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517"/>
      <c r="B28" s="61" t="s">
        <v>31</v>
      </c>
      <c r="C28" s="29" t="s">
        <v>18</v>
      </c>
      <c r="D28" s="30">
        <v>1.8979999999999999</v>
      </c>
      <c r="E28" s="31" t="s">
        <v>13</v>
      </c>
      <c r="F28" s="524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517"/>
      <c r="B29" s="62" t="s">
        <v>31</v>
      </c>
      <c r="C29" s="35" t="s">
        <v>19</v>
      </c>
      <c r="D29" s="36">
        <v>1.9</v>
      </c>
      <c r="E29" s="37" t="s">
        <v>13</v>
      </c>
      <c r="F29" s="524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517"/>
      <c r="B30" s="28" t="s">
        <v>31</v>
      </c>
      <c r="C30" s="63" t="s">
        <v>17</v>
      </c>
      <c r="D30" s="64">
        <v>5.7220000000000004</v>
      </c>
      <c r="E30" s="28" t="s">
        <v>34</v>
      </c>
      <c r="F30" s="525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517"/>
      <c r="B31" s="28" t="s">
        <v>31</v>
      </c>
      <c r="C31" s="63" t="s">
        <v>18</v>
      </c>
      <c r="D31" s="64">
        <v>2.504</v>
      </c>
      <c r="E31" s="28" t="s">
        <v>34</v>
      </c>
      <c r="F31" s="525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517"/>
      <c r="B32" s="34" t="s">
        <v>31</v>
      </c>
      <c r="C32" s="65" t="s">
        <v>19</v>
      </c>
      <c r="D32" s="66">
        <v>0.76900000000000002</v>
      </c>
      <c r="E32" s="34" t="s">
        <v>34</v>
      </c>
      <c r="F32" s="525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518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523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518"/>
      <c r="B34" s="48" t="s">
        <v>37</v>
      </c>
      <c r="C34" s="49" t="s">
        <v>18</v>
      </c>
      <c r="D34" s="50">
        <v>5.7149999999999999</v>
      </c>
      <c r="E34" s="51" t="s">
        <v>13</v>
      </c>
      <c r="F34" s="523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518"/>
      <c r="B35" s="54" t="s">
        <v>37</v>
      </c>
      <c r="C35" s="55" t="s">
        <v>19</v>
      </c>
      <c r="D35" s="56">
        <v>5.9349999999999996</v>
      </c>
      <c r="E35" s="57" t="s">
        <v>13</v>
      </c>
      <c r="F35" s="523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517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524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517"/>
      <c r="B37" s="34" t="s">
        <v>37</v>
      </c>
      <c r="C37" s="35" t="s">
        <v>20</v>
      </c>
      <c r="D37" s="36">
        <v>1.401</v>
      </c>
      <c r="E37" s="37" t="s">
        <v>13</v>
      </c>
      <c r="F37" s="524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516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523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516"/>
      <c r="B39" s="68" t="s">
        <v>42</v>
      </c>
      <c r="C39" s="49" t="s">
        <v>18</v>
      </c>
      <c r="D39" s="50">
        <v>2.9340000000000002</v>
      </c>
      <c r="E39" s="51" t="s">
        <v>34</v>
      </c>
      <c r="F39" s="523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516"/>
      <c r="B40" s="69" t="s">
        <v>42</v>
      </c>
      <c r="C40" s="55" t="s">
        <v>19</v>
      </c>
      <c r="D40" s="56">
        <v>2.952</v>
      </c>
      <c r="E40" s="57" t="s">
        <v>34</v>
      </c>
      <c r="F40" s="523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516"/>
      <c r="B41" s="67" t="s">
        <v>42</v>
      </c>
      <c r="C41" s="43" t="s">
        <v>17</v>
      </c>
      <c r="D41" s="44">
        <v>1.62</v>
      </c>
      <c r="E41" s="45" t="s">
        <v>45</v>
      </c>
      <c r="F41" s="523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516"/>
      <c r="B42" s="68" t="s">
        <v>42</v>
      </c>
      <c r="C42" s="49" t="s">
        <v>18</v>
      </c>
      <c r="D42" s="50">
        <v>1.26</v>
      </c>
      <c r="E42" s="51" t="s">
        <v>45</v>
      </c>
      <c r="F42" s="523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516"/>
      <c r="B43" s="69" t="s">
        <v>42</v>
      </c>
      <c r="C43" s="55" t="s">
        <v>19</v>
      </c>
      <c r="D43" s="56">
        <v>0.36</v>
      </c>
      <c r="E43" s="57" t="s">
        <v>45</v>
      </c>
      <c r="F43" s="523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517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517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517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517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517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517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517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517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526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526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526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526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501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98" t="s">
        <v>58</v>
      </c>
      <c r="G57" s="94" t="s">
        <v>57</v>
      </c>
      <c r="H57" s="521" t="s">
        <v>60</v>
      </c>
      <c r="I57" s="163" t="str">
        <f t="shared" si="0"/>
        <v>04,24</v>
      </c>
      <c r="J57" s="26"/>
      <c r="K57" s="27"/>
      <c r="L57" s="27"/>
      <c r="M57" s="512" t="s">
        <v>59</v>
      </c>
    </row>
    <row r="58" spans="1:13" ht="39" hidden="1" customHeight="1" thickBot="1" x14ac:dyDescent="0.3">
      <c r="A58" s="503"/>
      <c r="B58" s="96" t="s">
        <v>55</v>
      </c>
      <c r="C58" s="97" t="s">
        <v>18</v>
      </c>
      <c r="D58" s="98">
        <v>3.0110000000000001</v>
      </c>
      <c r="E58" s="99" t="s">
        <v>13</v>
      </c>
      <c r="F58" s="510"/>
      <c r="G58" s="99" t="s">
        <v>57</v>
      </c>
      <c r="H58" s="522"/>
      <c r="I58" s="164" t="str">
        <f t="shared" si="0"/>
        <v>04,24</v>
      </c>
      <c r="J58" s="26"/>
      <c r="K58" s="27"/>
      <c r="L58" s="27"/>
      <c r="M58" s="512"/>
    </row>
    <row r="59" spans="1:13" ht="19.5" hidden="1" thickBot="1" x14ac:dyDescent="0.3">
      <c r="A59" s="491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492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504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491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492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492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492"/>
      <c r="B66" s="129" t="s">
        <v>61</v>
      </c>
      <c r="C66" s="105" t="s">
        <v>17</v>
      </c>
      <c r="D66" s="106">
        <v>1.71</v>
      </c>
      <c r="E66" s="107" t="s">
        <v>45</v>
      </c>
      <c r="F66" s="493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492"/>
      <c r="B67" s="130" t="s">
        <v>61</v>
      </c>
      <c r="C67" s="112" t="s">
        <v>18</v>
      </c>
      <c r="D67" s="113">
        <v>1.4039999999999999</v>
      </c>
      <c r="E67" s="114" t="s">
        <v>45</v>
      </c>
      <c r="F67" s="494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504"/>
      <c r="B68" s="131" t="s">
        <v>61</v>
      </c>
      <c r="C68" s="118" t="s">
        <v>19</v>
      </c>
      <c r="D68" s="119">
        <v>0.216</v>
      </c>
      <c r="E68" s="120" t="s">
        <v>45</v>
      </c>
      <c r="F68" s="511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501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503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491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504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501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98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502"/>
      <c r="B74" s="144" t="s">
        <v>66</v>
      </c>
      <c r="C74" s="145" t="s">
        <v>19</v>
      </c>
      <c r="D74" s="146">
        <v>4.3879999999999999</v>
      </c>
      <c r="E74" s="147" t="s">
        <v>13</v>
      </c>
      <c r="F74" s="488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513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513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513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502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502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503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491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492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492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504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501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498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502"/>
      <c r="B86" s="165" t="s">
        <v>70</v>
      </c>
      <c r="C86" s="145" t="s">
        <v>18</v>
      </c>
      <c r="D86" s="146">
        <v>3.9990000000000001</v>
      </c>
      <c r="E86" s="147" t="s">
        <v>13</v>
      </c>
      <c r="F86" s="488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502"/>
      <c r="B87" s="141" t="s">
        <v>70</v>
      </c>
      <c r="C87" s="92" t="s">
        <v>17</v>
      </c>
      <c r="D87" s="93">
        <v>4.55</v>
      </c>
      <c r="E87" s="94" t="s">
        <v>34</v>
      </c>
      <c r="F87" s="498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502"/>
      <c r="B88" s="143" t="s">
        <v>70</v>
      </c>
      <c r="C88" s="137" t="s">
        <v>18</v>
      </c>
      <c r="D88" s="138">
        <v>3.0179999999999998</v>
      </c>
      <c r="E88" s="139" t="s">
        <v>34</v>
      </c>
      <c r="F88" s="488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503"/>
      <c r="B89" s="142" t="s">
        <v>70</v>
      </c>
      <c r="C89" s="97" t="s">
        <v>19</v>
      </c>
      <c r="D89" s="98">
        <v>1.163</v>
      </c>
      <c r="E89" s="99" t="s">
        <v>34</v>
      </c>
      <c r="F89" s="510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491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492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492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504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501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498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502"/>
      <c r="B95" s="165" t="s">
        <v>75</v>
      </c>
      <c r="C95" s="145" t="s">
        <v>19</v>
      </c>
      <c r="D95" s="146">
        <v>4.9960000000000004</v>
      </c>
      <c r="E95" s="147" t="s">
        <v>13</v>
      </c>
      <c r="F95" s="488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502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502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502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513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514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491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492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492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504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501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498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502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488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502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498" t="s">
        <v>84</v>
      </c>
      <c r="G107" s="94" t="s">
        <v>83</v>
      </c>
      <c r="H107" s="519" t="s">
        <v>85</v>
      </c>
      <c r="I107" s="181" t="str">
        <f t="shared" si="0"/>
        <v>05,24</v>
      </c>
    </row>
    <row r="108" spans="1:9" ht="19.5" hidden="1" thickBot="1" x14ac:dyDescent="0.3">
      <c r="A108" s="502"/>
      <c r="B108" s="143" t="s">
        <v>80</v>
      </c>
      <c r="C108" s="137" t="s">
        <v>18</v>
      </c>
      <c r="D108" s="138">
        <v>0.69</v>
      </c>
      <c r="E108" s="139" t="s">
        <v>34</v>
      </c>
      <c r="F108" s="488"/>
      <c r="G108" s="139" t="s">
        <v>83</v>
      </c>
      <c r="H108" s="480"/>
      <c r="I108" s="182" t="str">
        <f t="shared" si="0"/>
        <v>05,24</v>
      </c>
    </row>
    <row r="109" spans="1:9" ht="19.5" hidden="1" thickBot="1" x14ac:dyDescent="0.3">
      <c r="A109" s="502"/>
      <c r="B109" s="165" t="s">
        <v>80</v>
      </c>
      <c r="C109" s="145" t="s">
        <v>19</v>
      </c>
      <c r="D109" s="146">
        <v>0.106</v>
      </c>
      <c r="E109" s="147" t="s">
        <v>34</v>
      </c>
      <c r="F109" s="488"/>
      <c r="G109" s="147" t="s">
        <v>83</v>
      </c>
      <c r="H109" s="480"/>
      <c r="I109" s="182" t="str">
        <f t="shared" si="0"/>
        <v>05,24</v>
      </c>
    </row>
    <row r="110" spans="1:9" ht="19.5" hidden="1" thickBot="1" x14ac:dyDescent="0.3">
      <c r="A110" s="502"/>
      <c r="B110" s="141" t="s">
        <v>80</v>
      </c>
      <c r="C110" s="92" t="s">
        <v>19</v>
      </c>
      <c r="D110" s="93">
        <v>0.27</v>
      </c>
      <c r="E110" s="94" t="s">
        <v>45</v>
      </c>
      <c r="F110" s="488"/>
      <c r="G110" s="94" t="s">
        <v>83</v>
      </c>
      <c r="H110" s="480"/>
      <c r="I110" s="182" t="str">
        <f t="shared" si="0"/>
        <v>05,24</v>
      </c>
    </row>
    <row r="111" spans="1:9" ht="19.5" hidden="1" thickBot="1" x14ac:dyDescent="0.3">
      <c r="A111" s="502"/>
      <c r="B111" s="143" t="s">
        <v>80</v>
      </c>
      <c r="C111" s="137" t="s">
        <v>17</v>
      </c>
      <c r="D111" s="138">
        <v>0.09</v>
      </c>
      <c r="E111" s="139" t="s">
        <v>45</v>
      </c>
      <c r="F111" s="488"/>
      <c r="G111" s="139" t="s">
        <v>83</v>
      </c>
      <c r="H111" s="480"/>
      <c r="I111" s="182" t="str">
        <f t="shared" si="0"/>
        <v>05,24</v>
      </c>
    </row>
    <row r="112" spans="1:9" ht="19.5" hidden="1" thickBot="1" x14ac:dyDescent="0.3">
      <c r="A112" s="503"/>
      <c r="B112" s="142" t="s">
        <v>80</v>
      </c>
      <c r="C112" s="97" t="s">
        <v>18</v>
      </c>
      <c r="D112" s="98">
        <v>0.18</v>
      </c>
      <c r="E112" s="99" t="s">
        <v>45</v>
      </c>
      <c r="F112" s="510"/>
      <c r="G112" s="99" t="s">
        <v>83</v>
      </c>
      <c r="H112" s="520"/>
      <c r="I112" s="183" t="str">
        <f t="shared" si="0"/>
        <v>05,24</v>
      </c>
    </row>
    <row r="113" spans="1:9" ht="19.5" hidden="1" thickBot="1" x14ac:dyDescent="0.3">
      <c r="A113" s="491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492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492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504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501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498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502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510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502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502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503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491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492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504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501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503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491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493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492"/>
      <c r="B128" s="111" t="s">
        <v>90</v>
      </c>
      <c r="C128" s="112" t="s">
        <v>18</v>
      </c>
      <c r="D128" s="113">
        <v>1.016</v>
      </c>
      <c r="E128" s="114" t="s">
        <v>34</v>
      </c>
      <c r="F128" s="494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504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511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501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502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502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503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491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493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492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494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492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511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492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492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504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501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502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503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491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493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492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494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492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494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492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511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492"/>
      <c r="B147" s="111" t="s">
        <v>99</v>
      </c>
      <c r="C147" s="112" t="s">
        <v>18</v>
      </c>
      <c r="D147" s="113">
        <v>0.4</v>
      </c>
      <c r="E147" s="114" t="s">
        <v>34</v>
      </c>
      <c r="F147" s="493" t="s">
        <v>102</v>
      </c>
      <c r="G147" s="114" t="s">
        <v>101</v>
      </c>
      <c r="H147" s="530" t="s">
        <v>103</v>
      </c>
      <c r="I147" s="188" t="str">
        <f t="shared" si="0"/>
        <v>06,24</v>
      </c>
    </row>
    <row r="148" spans="1:9" ht="19.5" hidden="1" thickBot="1" x14ac:dyDescent="0.3">
      <c r="A148" s="492"/>
      <c r="B148" s="111" t="s">
        <v>99</v>
      </c>
      <c r="C148" s="112" t="s">
        <v>19</v>
      </c>
      <c r="D148" s="113">
        <v>1</v>
      </c>
      <c r="E148" s="114" t="s">
        <v>34</v>
      </c>
      <c r="F148" s="494"/>
      <c r="G148" s="114" t="s">
        <v>101</v>
      </c>
      <c r="H148" s="531"/>
      <c r="I148" s="189" t="str">
        <f t="shared" si="0"/>
        <v>06,24</v>
      </c>
    </row>
    <row r="149" spans="1:9" ht="19.5" hidden="1" thickBot="1" x14ac:dyDescent="0.3">
      <c r="A149" s="504"/>
      <c r="B149" s="117" t="s">
        <v>99</v>
      </c>
      <c r="C149" s="118" t="s">
        <v>17</v>
      </c>
      <c r="D149" s="119">
        <v>1.6</v>
      </c>
      <c r="E149" s="120" t="s">
        <v>34</v>
      </c>
      <c r="F149" s="511"/>
      <c r="G149" s="120" t="s">
        <v>101</v>
      </c>
      <c r="H149" s="532"/>
      <c r="I149" s="184" t="str">
        <f t="shared" si="0"/>
        <v>06,24</v>
      </c>
    </row>
    <row r="150" spans="1:9" ht="19.5" hidden="1" thickBot="1" x14ac:dyDescent="0.3">
      <c r="A150" s="501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502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502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503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491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493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492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494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492"/>
      <c r="B156" s="131" t="s">
        <v>104</v>
      </c>
      <c r="C156" s="118" t="s">
        <v>19</v>
      </c>
      <c r="D156" s="119">
        <v>1.2</v>
      </c>
      <c r="E156" s="120" t="s">
        <v>13</v>
      </c>
      <c r="F156" s="511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492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493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492"/>
      <c r="B158" s="130" t="s">
        <v>104</v>
      </c>
      <c r="C158" s="112" t="s">
        <v>18</v>
      </c>
      <c r="D158" s="113">
        <v>0.66</v>
      </c>
      <c r="E158" s="114" t="s">
        <v>34</v>
      </c>
      <c r="F158" s="494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492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511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492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493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492"/>
      <c r="B161" s="130" t="s">
        <v>104</v>
      </c>
      <c r="C161" s="112" t="s">
        <v>18</v>
      </c>
      <c r="D161" s="113">
        <v>1.63</v>
      </c>
      <c r="E161" s="114" t="s">
        <v>45</v>
      </c>
      <c r="F161" s="494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504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511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501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502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502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503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491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493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492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511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492"/>
      <c r="B169" s="129" t="s">
        <v>110</v>
      </c>
      <c r="C169" s="105" t="s">
        <v>17</v>
      </c>
      <c r="D169" s="106">
        <v>2.4</v>
      </c>
      <c r="E169" s="107" t="s">
        <v>34</v>
      </c>
      <c r="F169" s="493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492"/>
      <c r="B170" s="130" t="s">
        <v>110</v>
      </c>
      <c r="C170" s="112" t="s">
        <v>18</v>
      </c>
      <c r="D170" s="113">
        <v>1.8</v>
      </c>
      <c r="E170" s="114" t="s">
        <v>34</v>
      </c>
      <c r="F170" s="494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504"/>
      <c r="B171" s="131" t="s">
        <v>110</v>
      </c>
      <c r="C171" s="118" t="s">
        <v>19</v>
      </c>
      <c r="D171" s="119">
        <v>0.8</v>
      </c>
      <c r="E171" s="120" t="s">
        <v>34</v>
      </c>
      <c r="F171" s="511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501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502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502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502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503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491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492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504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501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98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502"/>
      <c r="B181" s="178" t="s">
        <v>119</v>
      </c>
      <c r="C181" s="137" t="s">
        <v>19</v>
      </c>
      <c r="D181" s="138">
        <v>0.5</v>
      </c>
      <c r="E181" s="139" t="s">
        <v>34</v>
      </c>
      <c r="F181" s="488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503"/>
      <c r="B182" s="96" t="s">
        <v>119</v>
      </c>
      <c r="C182" s="97" t="s">
        <v>17</v>
      </c>
      <c r="D182" s="98">
        <v>4</v>
      </c>
      <c r="E182" s="99" t="s">
        <v>34</v>
      </c>
      <c r="F182" s="510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491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492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492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504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501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498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502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488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502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510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502"/>
      <c r="B190" s="141" t="s">
        <v>121</v>
      </c>
      <c r="C190" s="92" t="s">
        <v>17</v>
      </c>
      <c r="D190" s="93">
        <v>1.4</v>
      </c>
      <c r="E190" s="94" t="s">
        <v>34</v>
      </c>
      <c r="F190" s="498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502"/>
      <c r="B191" s="143" t="s">
        <v>121</v>
      </c>
      <c r="C191" s="137" t="s">
        <v>18</v>
      </c>
      <c r="D191" s="138">
        <v>1.3</v>
      </c>
      <c r="E191" s="139" t="s">
        <v>34</v>
      </c>
      <c r="F191" s="488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502"/>
      <c r="B192" s="143" t="s">
        <v>121</v>
      </c>
      <c r="C192" s="137" t="s">
        <v>19</v>
      </c>
      <c r="D192" s="138">
        <v>0.3</v>
      </c>
      <c r="E192" s="139" t="s">
        <v>34</v>
      </c>
      <c r="F192" s="488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502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488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502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488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503"/>
      <c r="B195" s="142" t="s">
        <v>121</v>
      </c>
      <c r="C195" s="97" t="s">
        <v>19</v>
      </c>
      <c r="D195" s="98">
        <v>0.216</v>
      </c>
      <c r="E195" s="99" t="s">
        <v>45</v>
      </c>
      <c r="F195" s="510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491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492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492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504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501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502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503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491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493" t="s">
        <v>129</v>
      </c>
      <c r="G203" s="107" t="s">
        <v>132</v>
      </c>
      <c r="H203" s="530" t="s">
        <v>131</v>
      </c>
      <c r="I203" s="530" t="str">
        <f t="shared" si="0"/>
        <v>07,24</v>
      </c>
    </row>
    <row r="204" spans="1:9" ht="19.5" hidden="1" thickBot="1" x14ac:dyDescent="0.3">
      <c r="A204" s="492"/>
      <c r="B204" s="130" t="s">
        <v>126</v>
      </c>
      <c r="C204" s="112" t="s">
        <v>18</v>
      </c>
      <c r="D204" s="113">
        <v>2.5</v>
      </c>
      <c r="E204" s="114" t="s">
        <v>34</v>
      </c>
      <c r="F204" s="494"/>
      <c r="G204" s="114" t="s">
        <v>132</v>
      </c>
      <c r="H204" s="531"/>
      <c r="I204" s="531" t="str">
        <f t="shared" si="0"/>
        <v>07,24</v>
      </c>
    </row>
    <row r="205" spans="1:9" ht="19.5" hidden="1" thickBot="1" x14ac:dyDescent="0.3">
      <c r="A205" s="492"/>
      <c r="B205" s="131" t="s">
        <v>126</v>
      </c>
      <c r="C205" s="118" t="s">
        <v>19</v>
      </c>
      <c r="D205" s="119">
        <v>2.5</v>
      </c>
      <c r="E205" s="120" t="s">
        <v>34</v>
      </c>
      <c r="F205" s="511"/>
      <c r="G205" s="120" t="s">
        <v>132</v>
      </c>
      <c r="H205" s="531"/>
      <c r="I205" s="531" t="str">
        <f t="shared" si="0"/>
        <v>07,24</v>
      </c>
    </row>
    <row r="206" spans="1:9" ht="19.5" hidden="1" thickBot="1" x14ac:dyDescent="0.3">
      <c r="A206" s="492"/>
      <c r="B206" s="129" t="s">
        <v>126</v>
      </c>
      <c r="C206" s="105" t="s">
        <v>17</v>
      </c>
      <c r="D206" s="106">
        <v>2.16</v>
      </c>
      <c r="E206" s="107" t="s">
        <v>45</v>
      </c>
      <c r="F206" s="493" t="s">
        <v>130</v>
      </c>
      <c r="G206" s="107" t="s">
        <v>132</v>
      </c>
      <c r="H206" s="531"/>
      <c r="I206" s="531" t="str">
        <f t="shared" si="0"/>
        <v>07,24</v>
      </c>
    </row>
    <row r="207" spans="1:9" ht="19.5" hidden="1" thickBot="1" x14ac:dyDescent="0.3">
      <c r="A207" s="504"/>
      <c r="B207" s="131" t="s">
        <v>126</v>
      </c>
      <c r="C207" s="118" t="s">
        <v>18</v>
      </c>
      <c r="D207" s="119">
        <v>1.35</v>
      </c>
      <c r="E207" s="120" t="s">
        <v>45</v>
      </c>
      <c r="F207" s="511"/>
      <c r="G207" s="120" t="s">
        <v>132</v>
      </c>
      <c r="H207" s="532"/>
      <c r="I207" s="532" t="str">
        <f t="shared" si="0"/>
        <v>07,24</v>
      </c>
    </row>
    <row r="208" spans="1:9" ht="19.5" hidden="1" thickBot="1" x14ac:dyDescent="0.3">
      <c r="A208" s="501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502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503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491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493" t="s">
        <v>135</v>
      </c>
      <c r="G211" s="107" t="s">
        <v>137</v>
      </c>
      <c r="H211" s="530" t="s">
        <v>63</v>
      </c>
      <c r="I211" s="530" t="str">
        <f t="shared" si="0"/>
        <v>07,24</v>
      </c>
    </row>
    <row r="212" spans="1:9" ht="19.5" hidden="1" thickBot="1" x14ac:dyDescent="0.3">
      <c r="A212" s="492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511"/>
      <c r="G212" s="120" t="s">
        <v>137</v>
      </c>
      <c r="H212" s="531"/>
      <c r="I212" s="531" t="str">
        <f t="shared" si="0"/>
        <v>07,24</v>
      </c>
    </row>
    <row r="213" spans="1:9" ht="30.75" hidden="1" customHeight="1" x14ac:dyDescent="0.25">
      <c r="A213" s="492"/>
      <c r="B213" s="129" t="s">
        <v>133</v>
      </c>
      <c r="C213" s="105" t="s">
        <v>18</v>
      </c>
      <c r="D213" s="106">
        <v>0.5</v>
      </c>
      <c r="E213" s="107" t="s">
        <v>34</v>
      </c>
      <c r="F213" s="493" t="s">
        <v>136</v>
      </c>
      <c r="G213" s="107" t="s">
        <v>137</v>
      </c>
      <c r="H213" s="531"/>
      <c r="I213" s="531" t="str">
        <f t="shared" si="0"/>
        <v>07,24</v>
      </c>
    </row>
    <row r="214" spans="1:9" ht="30.75" hidden="1" customHeight="1" thickBot="1" x14ac:dyDescent="0.3">
      <c r="A214" s="492"/>
      <c r="B214" s="190" t="s">
        <v>133</v>
      </c>
      <c r="C214" s="168" t="s">
        <v>17</v>
      </c>
      <c r="D214" s="169">
        <v>2</v>
      </c>
      <c r="E214" s="170" t="s">
        <v>34</v>
      </c>
      <c r="F214" s="494"/>
      <c r="G214" s="170" t="s">
        <v>137</v>
      </c>
      <c r="H214" s="531"/>
      <c r="I214" s="531" t="str">
        <f t="shared" si="0"/>
        <v>07,24</v>
      </c>
    </row>
    <row r="215" spans="1:9" ht="19.5" hidden="1" thickBot="1" x14ac:dyDescent="0.3">
      <c r="A215" s="501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502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503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491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504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501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498" t="s">
        <v>141</v>
      </c>
      <c r="G220" s="94" t="s">
        <v>140</v>
      </c>
      <c r="H220" s="521" t="s">
        <v>143</v>
      </c>
      <c r="I220" s="521" t="str">
        <f t="shared" si="4"/>
        <v>08,24</v>
      </c>
    </row>
    <row r="221" spans="1:9" ht="19.5" hidden="1" thickBot="1" x14ac:dyDescent="0.3">
      <c r="A221" s="502"/>
      <c r="B221" s="143" t="s">
        <v>138</v>
      </c>
      <c r="C221" s="137" t="s">
        <v>19</v>
      </c>
      <c r="D221" s="138">
        <v>0.1</v>
      </c>
      <c r="E221" s="139" t="s">
        <v>34</v>
      </c>
      <c r="F221" s="488"/>
      <c r="G221" s="139" t="s">
        <v>140</v>
      </c>
      <c r="H221" s="533"/>
      <c r="I221" s="533" t="str">
        <f t="shared" si="4"/>
        <v>08,24</v>
      </c>
    </row>
    <row r="222" spans="1:9" ht="19.5" hidden="1" thickBot="1" x14ac:dyDescent="0.3">
      <c r="A222" s="502"/>
      <c r="B222" s="142" t="s">
        <v>138</v>
      </c>
      <c r="C222" s="97" t="s">
        <v>17</v>
      </c>
      <c r="D222" s="98">
        <v>3.3</v>
      </c>
      <c r="E222" s="99" t="s">
        <v>34</v>
      </c>
      <c r="F222" s="510"/>
      <c r="G222" s="99" t="s">
        <v>140</v>
      </c>
      <c r="H222" s="533"/>
      <c r="I222" s="533" t="str">
        <f t="shared" si="4"/>
        <v>08,24</v>
      </c>
    </row>
    <row r="223" spans="1:9" ht="19.5" hidden="1" thickBot="1" x14ac:dyDescent="0.3">
      <c r="A223" s="502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488" t="s">
        <v>142</v>
      </c>
      <c r="G223" s="139" t="s">
        <v>140</v>
      </c>
      <c r="H223" s="533"/>
      <c r="I223" s="533" t="str">
        <f t="shared" si="4"/>
        <v>08,24</v>
      </c>
    </row>
    <row r="224" spans="1:9" ht="19.5" hidden="1" thickBot="1" x14ac:dyDescent="0.3">
      <c r="A224" s="502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488"/>
      <c r="G224" s="139" t="s">
        <v>140</v>
      </c>
      <c r="H224" s="533"/>
      <c r="I224" s="533" t="str">
        <f t="shared" si="4"/>
        <v>08,24</v>
      </c>
    </row>
    <row r="225" spans="1:9" ht="19.5" hidden="1" thickBot="1" x14ac:dyDescent="0.3">
      <c r="A225" s="503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510"/>
      <c r="G225" s="99" t="s">
        <v>140</v>
      </c>
      <c r="H225" s="522"/>
      <c r="I225" s="522" t="str">
        <f t="shared" si="4"/>
        <v>08,24</v>
      </c>
    </row>
    <row r="226" spans="1:9" ht="19.5" hidden="1" thickBot="1" x14ac:dyDescent="0.3">
      <c r="A226" s="491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492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492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504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501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498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502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488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502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510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502"/>
      <c r="B233" s="141" t="s">
        <v>144</v>
      </c>
      <c r="C233" s="92" t="s">
        <v>17</v>
      </c>
      <c r="D233" s="93">
        <v>1.7</v>
      </c>
      <c r="E233" s="94" t="s">
        <v>34</v>
      </c>
      <c r="F233" s="498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502"/>
      <c r="B234" s="143" t="s">
        <v>144</v>
      </c>
      <c r="C234" s="137" t="s">
        <v>18</v>
      </c>
      <c r="D234" s="138">
        <v>0.4</v>
      </c>
      <c r="E234" s="139" t="s">
        <v>34</v>
      </c>
      <c r="F234" s="488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502"/>
      <c r="B235" s="143" t="s">
        <v>144</v>
      </c>
      <c r="C235" s="137" t="s">
        <v>19</v>
      </c>
      <c r="D235" s="138">
        <v>0.8</v>
      </c>
      <c r="E235" s="139" t="s">
        <v>34</v>
      </c>
      <c r="F235" s="488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502"/>
      <c r="B236" s="143" t="s">
        <v>144</v>
      </c>
      <c r="C236" s="137" t="s">
        <v>17</v>
      </c>
      <c r="D236" s="138">
        <v>1.17</v>
      </c>
      <c r="E236" s="139" t="s">
        <v>45</v>
      </c>
      <c r="F236" s="488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503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510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491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492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504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501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498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502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488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502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510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502"/>
      <c r="B244" s="141" t="s">
        <v>148</v>
      </c>
      <c r="C244" s="92" t="s">
        <v>18</v>
      </c>
      <c r="D244" s="93">
        <v>1.6</v>
      </c>
      <c r="E244" s="94" t="s">
        <v>34</v>
      </c>
      <c r="F244" s="498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502"/>
      <c r="B245" s="143" t="s">
        <v>148</v>
      </c>
      <c r="C245" s="137" t="s">
        <v>19</v>
      </c>
      <c r="D245" s="138">
        <v>0.7</v>
      </c>
      <c r="E245" s="139" t="s">
        <v>34</v>
      </c>
      <c r="F245" s="488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503"/>
      <c r="B246" s="142" t="s">
        <v>148</v>
      </c>
      <c r="C246" s="97" t="s">
        <v>17</v>
      </c>
      <c r="D246" s="98">
        <v>4.3</v>
      </c>
      <c r="E246" s="99" t="s">
        <v>34</v>
      </c>
      <c r="F246" s="510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491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492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504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501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98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502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488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503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510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491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493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492"/>
      <c r="B254" s="130" t="s">
        <v>154</v>
      </c>
      <c r="C254" s="112" t="s">
        <v>19</v>
      </c>
      <c r="D254" s="113">
        <v>1.9</v>
      </c>
      <c r="E254" s="114" t="s">
        <v>34</v>
      </c>
      <c r="F254" s="494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492"/>
      <c r="B255" s="131" t="s">
        <v>154</v>
      </c>
      <c r="C255" s="118" t="s">
        <v>17</v>
      </c>
      <c r="D255" s="119">
        <v>6.8</v>
      </c>
      <c r="E255" s="120" t="s">
        <v>34</v>
      </c>
      <c r="F255" s="511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492"/>
      <c r="B256" s="111" t="s">
        <v>154</v>
      </c>
      <c r="C256" s="112" t="s">
        <v>18</v>
      </c>
      <c r="D256" s="113">
        <v>0.9</v>
      </c>
      <c r="E256" s="114" t="s">
        <v>45</v>
      </c>
      <c r="F256" s="493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504"/>
      <c r="B257" s="117" t="s">
        <v>154</v>
      </c>
      <c r="C257" s="118" t="s">
        <v>17</v>
      </c>
      <c r="D257" s="119">
        <v>0.99</v>
      </c>
      <c r="E257" s="120" t="s">
        <v>45</v>
      </c>
      <c r="F257" s="511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501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502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503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492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493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492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494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492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511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492"/>
      <c r="B264" s="129" t="s">
        <v>161</v>
      </c>
      <c r="C264" s="105" t="s">
        <v>18</v>
      </c>
      <c r="D264" s="106">
        <v>0.9</v>
      </c>
      <c r="E264" s="107" t="s">
        <v>34</v>
      </c>
      <c r="F264" s="493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492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494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492"/>
      <c r="B266" s="131" t="s">
        <v>161</v>
      </c>
      <c r="C266" s="118" t="s">
        <v>17</v>
      </c>
      <c r="D266" s="119">
        <v>2.5</v>
      </c>
      <c r="E266" s="120" t="s">
        <v>34</v>
      </c>
      <c r="F266" s="511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492"/>
      <c r="B267" s="111" t="s">
        <v>161</v>
      </c>
      <c r="C267" s="112" t="s">
        <v>18</v>
      </c>
      <c r="D267" s="113">
        <v>0.81</v>
      </c>
      <c r="E267" s="114" t="s">
        <v>45</v>
      </c>
      <c r="F267" s="493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492"/>
      <c r="B268" s="111" t="s">
        <v>161</v>
      </c>
      <c r="C268" s="112" t="s">
        <v>19</v>
      </c>
      <c r="D268" s="113">
        <v>0.09</v>
      </c>
      <c r="E268" s="114" t="s">
        <v>45</v>
      </c>
      <c r="F268" s="494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504"/>
      <c r="B269" s="117" t="s">
        <v>161</v>
      </c>
      <c r="C269" s="118" t="s">
        <v>17</v>
      </c>
      <c r="D269" s="119">
        <v>0.9</v>
      </c>
      <c r="E269" s="120" t="s">
        <v>45</v>
      </c>
      <c r="F269" s="511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501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502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503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491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493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492"/>
      <c r="B274" s="130" t="s">
        <v>166</v>
      </c>
      <c r="C274" s="112" t="s">
        <v>19</v>
      </c>
      <c r="D274" s="113">
        <v>1.996</v>
      </c>
      <c r="E274" s="114" t="s">
        <v>13</v>
      </c>
      <c r="F274" s="494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492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511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492"/>
      <c r="B276" s="129" t="s">
        <v>166</v>
      </c>
      <c r="C276" s="105" t="s">
        <v>18</v>
      </c>
      <c r="D276" s="106">
        <v>2</v>
      </c>
      <c r="E276" s="107" t="s">
        <v>34</v>
      </c>
      <c r="F276" s="493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492"/>
      <c r="B277" s="130" t="s">
        <v>166</v>
      </c>
      <c r="C277" s="112" t="s">
        <v>19</v>
      </c>
      <c r="D277" s="113">
        <v>1.3</v>
      </c>
      <c r="E277" s="114" t="s">
        <v>34</v>
      </c>
      <c r="F277" s="494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492"/>
      <c r="B278" s="131" t="s">
        <v>166</v>
      </c>
      <c r="C278" s="118" t="s">
        <v>17</v>
      </c>
      <c r="D278" s="119">
        <v>5.3</v>
      </c>
      <c r="E278" s="120" t="s">
        <v>34</v>
      </c>
      <c r="F278" s="511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492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493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492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494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492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494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501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503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491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492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504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501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498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502"/>
      <c r="B288" s="143" t="s">
        <v>171</v>
      </c>
      <c r="C288" s="137" t="s">
        <v>19</v>
      </c>
      <c r="D288" s="138">
        <v>1.9</v>
      </c>
      <c r="E288" s="139" t="s">
        <v>34</v>
      </c>
      <c r="F288" s="488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502"/>
      <c r="B289" s="142" t="s">
        <v>171</v>
      </c>
      <c r="C289" s="97" t="s">
        <v>17</v>
      </c>
      <c r="D289" s="98">
        <v>6.4</v>
      </c>
      <c r="E289" s="99" t="s">
        <v>34</v>
      </c>
      <c r="F289" s="510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502"/>
      <c r="B290" s="178" t="s">
        <v>171</v>
      </c>
      <c r="C290" s="137" t="s">
        <v>18</v>
      </c>
      <c r="D290" s="138">
        <v>0.27</v>
      </c>
      <c r="E290" s="139" t="s">
        <v>45</v>
      </c>
      <c r="F290" s="488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503"/>
      <c r="B291" s="96" t="s">
        <v>171</v>
      </c>
      <c r="C291" s="97" t="s">
        <v>17</v>
      </c>
      <c r="D291" s="98">
        <v>0.99</v>
      </c>
      <c r="E291" s="99" t="s">
        <v>45</v>
      </c>
      <c r="F291" s="510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491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492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504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501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498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502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488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502"/>
      <c r="B297" s="142" t="s">
        <v>175</v>
      </c>
      <c r="C297" s="97" t="s">
        <v>17</v>
      </c>
      <c r="D297" s="98">
        <v>1.603</v>
      </c>
      <c r="E297" s="99" t="s">
        <v>13</v>
      </c>
      <c r="F297" s="510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502"/>
      <c r="B298" s="141" t="s">
        <v>175</v>
      </c>
      <c r="C298" s="92" t="s">
        <v>18</v>
      </c>
      <c r="D298" s="93">
        <v>1.9</v>
      </c>
      <c r="E298" s="94" t="s">
        <v>34</v>
      </c>
      <c r="F298" s="498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502"/>
      <c r="B299" s="143" t="s">
        <v>175</v>
      </c>
      <c r="C299" s="137" t="s">
        <v>19</v>
      </c>
      <c r="D299" s="138">
        <v>1.2</v>
      </c>
      <c r="E299" s="139" t="s">
        <v>34</v>
      </c>
      <c r="F299" s="488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502"/>
      <c r="B300" s="142" t="s">
        <v>175</v>
      </c>
      <c r="C300" s="97" t="s">
        <v>17</v>
      </c>
      <c r="D300" s="98">
        <v>5.2</v>
      </c>
      <c r="E300" s="99" t="s">
        <v>34</v>
      </c>
      <c r="F300" s="510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502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488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502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488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491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504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501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98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503"/>
      <c r="B306" s="96" t="s">
        <v>180</v>
      </c>
      <c r="C306" s="97" t="s">
        <v>19</v>
      </c>
      <c r="D306" s="98">
        <v>11.138</v>
      </c>
      <c r="E306" s="99" t="s">
        <v>13</v>
      </c>
      <c r="F306" s="510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491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493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492"/>
      <c r="B308" s="111" t="s">
        <v>180</v>
      </c>
      <c r="C308" s="112" t="s">
        <v>19</v>
      </c>
      <c r="D308" s="113">
        <v>1.4</v>
      </c>
      <c r="E308" s="114" t="s">
        <v>34</v>
      </c>
      <c r="F308" s="494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504"/>
      <c r="B309" s="117" t="s">
        <v>180</v>
      </c>
      <c r="C309" s="118" t="s">
        <v>17</v>
      </c>
      <c r="D309" s="119">
        <v>5.7</v>
      </c>
      <c r="E309" s="120" t="s">
        <v>34</v>
      </c>
      <c r="F309" s="511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501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98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502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488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503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510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491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493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492"/>
      <c r="B314" s="130" t="s">
        <v>184</v>
      </c>
      <c r="C314" s="112" t="s">
        <v>19</v>
      </c>
      <c r="D314" s="113">
        <v>2.681</v>
      </c>
      <c r="E314" s="114" t="s">
        <v>13</v>
      </c>
      <c r="F314" s="494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492"/>
      <c r="B315" s="131" t="s">
        <v>184</v>
      </c>
      <c r="C315" s="118" t="s">
        <v>17</v>
      </c>
      <c r="D315" s="119">
        <v>3.52</v>
      </c>
      <c r="E315" s="120" t="s">
        <v>13</v>
      </c>
      <c r="F315" s="511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492"/>
      <c r="B316" s="111" t="s">
        <v>184</v>
      </c>
      <c r="C316" s="112" t="s">
        <v>18</v>
      </c>
      <c r="D316" s="113">
        <v>0.5</v>
      </c>
      <c r="E316" s="114" t="s">
        <v>34</v>
      </c>
      <c r="F316" s="494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492"/>
      <c r="B317" s="111" t="s">
        <v>184</v>
      </c>
      <c r="C317" s="112" t="s">
        <v>19</v>
      </c>
      <c r="D317" s="113">
        <v>2.6</v>
      </c>
      <c r="E317" s="114" t="s">
        <v>34</v>
      </c>
      <c r="F317" s="494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492"/>
      <c r="B318" s="111" t="s">
        <v>184</v>
      </c>
      <c r="C318" s="112" t="s">
        <v>17</v>
      </c>
      <c r="D318" s="113">
        <v>2.8</v>
      </c>
      <c r="E318" s="114" t="s">
        <v>34</v>
      </c>
      <c r="F318" s="494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504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511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501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98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502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488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502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488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491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493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492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494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504"/>
      <c r="B325" s="117" t="s">
        <v>194</v>
      </c>
      <c r="C325" s="118" t="s">
        <v>17</v>
      </c>
      <c r="D325" s="119">
        <v>5.899</v>
      </c>
      <c r="E325" s="120" t="s">
        <v>13</v>
      </c>
      <c r="F325" s="511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501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98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502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488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503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510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491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493" t="s">
        <v>72</v>
      </c>
      <c r="G329" s="107" t="s">
        <v>198</v>
      </c>
      <c r="H329" s="530" t="s">
        <v>63</v>
      </c>
      <c r="I329" s="188" t="str">
        <f t="shared" si="4"/>
        <v>10,24</v>
      </c>
    </row>
    <row r="330" spans="1:9" ht="19.5" hidden="1" thickBot="1" x14ac:dyDescent="0.3">
      <c r="A330" s="492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494"/>
      <c r="G330" s="114" t="s">
        <v>198</v>
      </c>
      <c r="H330" s="531"/>
      <c r="I330" s="189" t="str">
        <f t="shared" si="4"/>
        <v>10,24</v>
      </c>
    </row>
    <row r="331" spans="1:9" ht="19.5" hidden="1" thickBot="1" x14ac:dyDescent="0.3">
      <c r="A331" s="492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494"/>
      <c r="G331" s="114" t="s">
        <v>198</v>
      </c>
      <c r="H331" s="531"/>
      <c r="I331" s="189" t="str">
        <f t="shared" si="4"/>
        <v>10,24</v>
      </c>
    </row>
    <row r="332" spans="1:9" ht="19.5" hidden="1" thickBot="1" x14ac:dyDescent="0.3">
      <c r="A332" s="492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535"/>
      <c r="G332" s="114" t="s">
        <v>198</v>
      </c>
      <c r="H332" s="531"/>
      <c r="I332" s="189" t="str">
        <f t="shared" si="4"/>
        <v>10,24</v>
      </c>
    </row>
    <row r="333" spans="1:9" ht="19.5" hidden="1" thickBot="1" x14ac:dyDescent="0.3">
      <c r="A333" s="492"/>
      <c r="B333" s="111" t="s">
        <v>194</v>
      </c>
      <c r="C333" s="112" t="s">
        <v>19</v>
      </c>
      <c r="D333" s="113">
        <v>0.1</v>
      </c>
      <c r="E333" s="114" t="s">
        <v>45</v>
      </c>
      <c r="F333" s="534" t="s">
        <v>178</v>
      </c>
      <c r="G333" s="114" t="s">
        <v>198</v>
      </c>
      <c r="H333" s="531"/>
      <c r="I333" s="189" t="str">
        <f t="shared" si="4"/>
        <v>10,24</v>
      </c>
    </row>
    <row r="334" spans="1:9" ht="19.5" hidden="1" thickBot="1" x14ac:dyDescent="0.3">
      <c r="A334" s="492"/>
      <c r="B334" s="167" t="s">
        <v>194</v>
      </c>
      <c r="C334" s="168" t="s">
        <v>17</v>
      </c>
      <c r="D334" s="169">
        <v>0.5</v>
      </c>
      <c r="E334" s="170" t="s">
        <v>45</v>
      </c>
      <c r="F334" s="494"/>
      <c r="G334" s="170" t="s">
        <v>198</v>
      </c>
      <c r="H334" s="531"/>
      <c r="I334" s="203" t="str">
        <f t="shared" si="4"/>
        <v>10,24</v>
      </c>
    </row>
    <row r="335" spans="1:9" ht="19.5" hidden="1" thickBot="1" x14ac:dyDescent="0.3">
      <c r="A335" s="501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98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502"/>
      <c r="B336" s="178" t="s">
        <v>199</v>
      </c>
      <c r="C336" s="137" t="s">
        <v>19</v>
      </c>
      <c r="D336" s="138">
        <v>7.31</v>
      </c>
      <c r="E336" s="139" t="s">
        <v>13</v>
      </c>
      <c r="F336" s="488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503"/>
      <c r="B337" s="96" t="s">
        <v>199</v>
      </c>
      <c r="C337" s="97" t="s">
        <v>17</v>
      </c>
      <c r="D337" s="98">
        <v>3.492</v>
      </c>
      <c r="E337" s="99" t="s">
        <v>13</v>
      </c>
      <c r="F337" s="510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491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492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504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501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98" t="s">
        <v>151</v>
      </c>
      <c r="G341" s="197" t="s">
        <v>205</v>
      </c>
      <c r="H341" s="536" t="s">
        <v>63</v>
      </c>
      <c r="I341" s="186" t="str">
        <f t="shared" si="4"/>
        <v>10,24</v>
      </c>
    </row>
    <row r="342" spans="1:9" ht="19.5" hidden="1" thickBot="1" x14ac:dyDescent="0.3">
      <c r="A342" s="502"/>
      <c r="B342" s="178" t="s">
        <v>199</v>
      </c>
      <c r="C342" s="137" t="s">
        <v>19</v>
      </c>
      <c r="D342" s="138">
        <v>1.3</v>
      </c>
      <c r="E342" s="139" t="s">
        <v>34</v>
      </c>
      <c r="F342" s="488"/>
      <c r="G342" s="198" t="s">
        <v>205</v>
      </c>
      <c r="H342" s="537"/>
      <c r="I342" s="187" t="str">
        <f t="shared" si="4"/>
        <v>10,24</v>
      </c>
    </row>
    <row r="343" spans="1:9" ht="19.5" hidden="1" thickBot="1" x14ac:dyDescent="0.3">
      <c r="A343" s="502"/>
      <c r="B343" s="96" t="s">
        <v>199</v>
      </c>
      <c r="C343" s="97" t="s">
        <v>17</v>
      </c>
      <c r="D343" s="98">
        <v>4.8</v>
      </c>
      <c r="E343" s="99" t="s">
        <v>34</v>
      </c>
      <c r="F343" s="510"/>
      <c r="G343" s="199" t="s">
        <v>205</v>
      </c>
      <c r="H343" s="537"/>
      <c r="I343" s="185" t="str">
        <f t="shared" si="4"/>
        <v>10,24</v>
      </c>
    </row>
    <row r="344" spans="1:9" ht="19.5" hidden="1" thickBot="1" x14ac:dyDescent="0.3">
      <c r="A344" s="502"/>
      <c r="B344" s="91" t="s">
        <v>199</v>
      </c>
      <c r="C344" s="92" t="s">
        <v>18</v>
      </c>
      <c r="D344" s="93">
        <v>0.18</v>
      </c>
      <c r="E344" s="94" t="s">
        <v>45</v>
      </c>
      <c r="F344" s="498" t="s">
        <v>202</v>
      </c>
      <c r="G344" s="197" t="s">
        <v>205</v>
      </c>
      <c r="H344" s="537"/>
      <c r="I344" s="186" t="str">
        <f t="shared" si="4"/>
        <v>10,24</v>
      </c>
    </row>
    <row r="345" spans="1:9" ht="19.5" hidden="1" thickBot="1" x14ac:dyDescent="0.3">
      <c r="A345" s="502"/>
      <c r="B345" s="178" t="s">
        <v>199</v>
      </c>
      <c r="C345" s="137" t="s">
        <v>19</v>
      </c>
      <c r="D345" s="138">
        <v>0.18</v>
      </c>
      <c r="E345" s="139" t="s">
        <v>45</v>
      </c>
      <c r="F345" s="488"/>
      <c r="G345" s="198" t="s">
        <v>205</v>
      </c>
      <c r="H345" s="537"/>
      <c r="I345" s="187" t="str">
        <f t="shared" si="4"/>
        <v>10,24</v>
      </c>
    </row>
    <row r="346" spans="1:9" ht="19.5" hidden="1" thickBot="1" x14ac:dyDescent="0.3">
      <c r="A346" s="503"/>
      <c r="B346" s="96" t="s">
        <v>199</v>
      </c>
      <c r="C346" s="97" t="s">
        <v>17</v>
      </c>
      <c r="D346" s="98">
        <v>0.27</v>
      </c>
      <c r="E346" s="99" t="s">
        <v>45</v>
      </c>
      <c r="F346" s="510"/>
      <c r="G346" s="199" t="s">
        <v>205</v>
      </c>
      <c r="H346" s="538"/>
      <c r="I346" s="185" t="str">
        <f t="shared" si="4"/>
        <v>10,24</v>
      </c>
    </row>
    <row r="347" spans="1:9" ht="19.5" hidden="1" thickBot="1" x14ac:dyDescent="0.3">
      <c r="A347" s="491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493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492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494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492"/>
      <c r="B349" s="111" t="s">
        <v>203</v>
      </c>
      <c r="C349" s="112" t="s">
        <v>116</v>
      </c>
      <c r="D349" s="113">
        <v>1.357</v>
      </c>
      <c r="E349" s="114" t="s">
        <v>13</v>
      </c>
      <c r="F349" s="494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504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511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501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521" t="s">
        <v>63</v>
      </c>
      <c r="I351" s="186" t="str">
        <f t="shared" si="4"/>
        <v>11,24</v>
      </c>
    </row>
    <row r="352" spans="1:9" ht="19.5" hidden="1" thickBot="1" x14ac:dyDescent="0.3">
      <c r="A352" s="502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533"/>
      <c r="I352" s="187" t="str">
        <f t="shared" si="4"/>
        <v>11,24</v>
      </c>
    </row>
    <row r="353" spans="1:9" ht="19.5" hidden="1" thickBot="1" x14ac:dyDescent="0.3">
      <c r="A353" s="502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533"/>
      <c r="I353" s="187" t="str">
        <f t="shared" si="4"/>
        <v>11,24</v>
      </c>
    </row>
    <row r="354" spans="1:9" ht="19.5" hidden="1" thickBot="1" x14ac:dyDescent="0.3">
      <c r="A354" s="502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533"/>
      <c r="I354" s="185" t="str">
        <f t="shared" si="4"/>
        <v>11,24</v>
      </c>
    </row>
    <row r="355" spans="1:9" ht="19.5" hidden="1" thickBot="1" x14ac:dyDescent="0.3">
      <c r="A355" s="502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533"/>
      <c r="I355" s="186" t="str">
        <f t="shared" si="4"/>
        <v>11,24</v>
      </c>
    </row>
    <row r="356" spans="1:9" ht="19.5" hidden="1" thickBot="1" x14ac:dyDescent="0.3">
      <c r="A356" s="502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533"/>
      <c r="I356" s="187" t="str">
        <f t="shared" si="4"/>
        <v>11,24</v>
      </c>
    </row>
    <row r="357" spans="1:9" ht="19.5" hidden="1" thickBot="1" x14ac:dyDescent="0.3">
      <c r="A357" s="503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522"/>
      <c r="I357" s="185" t="str">
        <f t="shared" si="4"/>
        <v>11,24</v>
      </c>
    </row>
    <row r="358" spans="1:9" ht="19.5" hidden="1" thickBot="1" x14ac:dyDescent="0.3">
      <c r="A358" s="491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493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492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494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492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494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504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511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501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498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502"/>
      <c r="B363" s="154" t="s">
        <v>207</v>
      </c>
      <c r="C363" s="200" t="s">
        <v>19</v>
      </c>
      <c r="D363" s="138">
        <v>1.796</v>
      </c>
      <c r="E363" s="139" t="s">
        <v>13</v>
      </c>
      <c r="F363" s="488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502"/>
      <c r="B364" s="156" t="s">
        <v>207</v>
      </c>
      <c r="C364" s="202" t="s">
        <v>17</v>
      </c>
      <c r="D364" s="98">
        <v>1.623</v>
      </c>
      <c r="E364" s="99" t="s">
        <v>13</v>
      </c>
      <c r="F364" s="510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502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498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502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488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502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488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502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488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502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488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502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488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503"/>
      <c r="B371" s="96" t="s">
        <v>207</v>
      </c>
      <c r="C371" s="97" t="s">
        <v>17</v>
      </c>
      <c r="D371" s="98">
        <v>2.214</v>
      </c>
      <c r="E371" s="99" t="s">
        <v>45</v>
      </c>
      <c r="F371" s="510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491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493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492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494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504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511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502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498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502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488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502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510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502"/>
      <c r="B378" s="178" t="s">
        <v>212</v>
      </c>
      <c r="C378" s="137" t="s">
        <v>18</v>
      </c>
      <c r="D378" s="138">
        <v>0.5</v>
      </c>
      <c r="E378" s="139" t="s">
        <v>34</v>
      </c>
      <c r="F378" s="498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502"/>
      <c r="B379" s="178" t="s">
        <v>212</v>
      </c>
      <c r="C379" s="137" t="s">
        <v>19</v>
      </c>
      <c r="D379" s="138">
        <v>0.2</v>
      </c>
      <c r="E379" s="139" t="s">
        <v>34</v>
      </c>
      <c r="F379" s="488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502"/>
      <c r="B380" s="178" t="s">
        <v>212</v>
      </c>
      <c r="C380" s="137" t="s">
        <v>116</v>
      </c>
      <c r="D380" s="138">
        <v>0.7</v>
      </c>
      <c r="E380" s="139" t="s">
        <v>34</v>
      </c>
      <c r="F380" s="488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502"/>
      <c r="B381" s="178" t="s">
        <v>212</v>
      </c>
      <c r="C381" s="137" t="s">
        <v>17</v>
      </c>
      <c r="D381" s="138">
        <v>2</v>
      </c>
      <c r="E381" s="139" t="s">
        <v>34</v>
      </c>
      <c r="F381" s="488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502"/>
      <c r="B382" s="178" t="s">
        <v>212</v>
      </c>
      <c r="C382" s="137" t="s">
        <v>18</v>
      </c>
      <c r="D382" s="138">
        <v>1.278</v>
      </c>
      <c r="E382" s="139" t="s">
        <v>45</v>
      </c>
      <c r="F382" s="488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502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488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502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488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491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493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492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494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492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494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504"/>
      <c r="B388" s="117" t="s">
        <v>217</v>
      </c>
      <c r="C388" s="118" t="s">
        <v>17</v>
      </c>
      <c r="D388" s="119">
        <v>3.1</v>
      </c>
      <c r="E388" s="120" t="s">
        <v>13</v>
      </c>
      <c r="F388" s="511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501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502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502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503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491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493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492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494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492"/>
      <c r="B395" s="117" t="s">
        <v>217</v>
      </c>
      <c r="C395" s="118" t="s">
        <v>17</v>
      </c>
      <c r="D395" s="119">
        <v>3.13</v>
      </c>
      <c r="E395" s="120" t="s">
        <v>13</v>
      </c>
      <c r="F395" s="511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492"/>
      <c r="B396" s="111" t="s">
        <v>217</v>
      </c>
      <c r="C396" s="112" t="s">
        <v>18</v>
      </c>
      <c r="D396" s="113">
        <v>0.7</v>
      </c>
      <c r="E396" s="114" t="s">
        <v>34</v>
      </c>
      <c r="F396" s="493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492"/>
      <c r="B397" s="111" t="s">
        <v>217</v>
      </c>
      <c r="C397" s="112" t="s">
        <v>19</v>
      </c>
      <c r="D397" s="113">
        <v>0.25</v>
      </c>
      <c r="E397" s="114" t="s">
        <v>34</v>
      </c>
      <c r="F397" s="494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492"/>
      <c r="B398" s="111" t="s">
        <v>217</v>
      </c>
      <c r="C398" s="112" t="s">
        <v>17</v>
      </c>
      <c r="D398" s="113">
        <v>1.5</v>
      </c>
      <c r="E398" s="114" t="s">
        <v>34</v>
      </c>
      <c r="F398" s="494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492"/>
      <c r="B399" s="204" t="s">
        <v>220</v>
      </c>
      <c r="C399" s="112" t="s">
        <v>116</v>
      </c>
      <c r="D399" s="113">
        <v>0.7</v>
      </c>
      <c r="E399" s="114" t="s">
        <v>34</v>
      </c>
      <c r="F399" s="494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492"/>
      <c r="B400" s="111" t="s">
        <v>217</v>
      </c>
      <c r="C400" s="112" t="s">
        <v>18</v>
      </c>
      <c r="D400" s="113">
        <v>0.216</v>
      </c>
      <c r="E400" s="114" t="s">
        <v>45</v>
      </c>
      <c r="F400" s="494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504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511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501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98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502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488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502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488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503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510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492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493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492"/>
      <c r="B407" s="130" t="s">
        <v>223</v>
      </c>
      <c r="C407" s="112" t="s">
        <v>19</v>
      </c>
      <c r="D407" s="113">
        <v>3.2</v>
      </c>
      <c r="E407" s="114" t="s">
        <v>13</v>
      </c>
      <c r="F407" s="494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492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511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492"/>
      <c r="B409" s="129" t="s">
        <v>223</v>
      </c>
      <c r="C409" s="105" t="s">
        <v>18</v>
      </c>
      <c r="D409" s="106">
        <v>2.34</v>
      </c>
      <c r="E409" s="107" t="s">
        <v>34</v>
      </c>
      <c r="F409" s="493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492"/>
      <c r="B410" s="130" t="s">
        <v>223</v>
      </c>
      <c r="C410" s="112" t="s">
        <v>19</v>
      </c>
      <c r="D410" s="113">
        <v>0.62</v>
      </c>
      <c r="E410" s="114" t="s">
        <v>34</v>
      </c>
      <c r="F410" s="494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492"/>
      <c r="B411" s="130" t="s">
        <v>223</v>
      </c>
      <c r="C411" s="112" t="s">
        <v>17</v>
      </c>
      <c r="D411" s="113">
        <v>1.46</v>
      </c>
      <c r="E411" s="114" t="s">
        <v>34</v>
      </c>
      <c r="F411" s="494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492"/>
      <c r="B412" s="130" t="s">
        <v>223</v>
      </c>
      <c r="C412" s="112" t="s">
        <v>186</v>
      </c>
      <c r="D412" s="113">
        <v>1.6</v>
      </c>
      <c r="E412" s="114" t="s">
        <v>34</v>
      </c>
      <c r="F412" s="494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492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494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492"/>
      <c r="B414" s="130" t="s">
        <v>223</v>
      </c>
      <c r="C414" s="112" t="s">
        <v>19</v>
      </c>
      <c r="D414" s="113">
        <v>0.09</v>
      </c>
      <c r="E414" s="114" t="s">
        <v>45</v>
      </c>
      <c r="F414" s="494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504"/>
      <c r="B415" s="131" t="s">
        <v>223</v>
      </c>
      <c r="C415" s="118" t="s">
        <v>17</v>
      </c>
      <c r="D415" s="119">
        <v>0.72</v>
      </c>
      <c r="E415" s="120" t="s">
        <v>45</v>
      </c>
      <c r="F415" s="511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501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98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502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488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503"/>
      <c r="B418" s="96" t="s">
        <v>228</v>
      </c>
      <c r="C418" s="97" t="s">
        <v>17</v>
      </c>
      <c r="D418" s="98">
        <v>6.47</v>
      </c>
      <c r="E418" s="99" t="s">
        <v>13</v>
      </c>
      <c r="F418" s="510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491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493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492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494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492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511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492"/>
      <c r="B422" s="111" t="s">
        <v>228</v>
      </c>
      <c r="C422" s="112" t="s">
        <v>18</v>
      </c>
      <c r="D422" s="113">
        <v>1.3</v>
      </c>
      <c r="E422" s="114" t="s">
        <v>34</v>
      </c>
      <c r="F422" s="493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492"/>
      <c r="B423" s="111" t="s">
        <v>228</v>
      </c>
      <c r="C423" s="112" t="s">
        <v>19</v>
      </c>
      <c r="D423" s="113">
        <v>0.4</v>
      </c>
      <c r="E423" s="114" t="s">
        <v>34</v>
      </c>
      <c r="F423" s="494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492"/>
      <c r="B424" s="111" t="s">
        <v>228</v>
      </c>
      <c r="C424" s="112" t="s">
        <v>116</v>
      </c>
      <c r="D424" s="113">
        <v>1</v>
      </c>
      <c r="E424" s="114" t="s">
        <v>34</v>
      </c>
      <c r="F424" s="494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492"/>
      <c r="B425" s="111" t="s">
        <v>228</v>
      </c>
      <c r="C425" s="112" t="s">
        <v>17</v>
      </c>
      <c r="D425" s="113">
        <v>3.1</v>
      </c>
      <c r="E425" s="114" t="s">
        <v>34</v>
      </c>
      <c r="F425" s="494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492"/>
      <c r="B426" s="111" t="s">
        <v>228</v>
      </c>
      <c r="C426" s="112" t="s">
        <v>18</v>
      </c>
      <c r="D426" s="113">
        <v>0.45</v>
      </c>
      <c r="E426" s="114" t="s">
        <v>45</v>
      </c>
      <c r="F426" s="494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492"/>
      <c r="B427" s="111" t="s">
        <v>228</v>
      </c>
      <c r="C427" s="112" t="s">
        <v>19</v>
      </c>
      <c r="D427" s="113">
        <v>0.05</v>
      </c>
      <c r="E427" s="114" t="s">
        <v>45</v>
      </c>
      <c r="F427" s="494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504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511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501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98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502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488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502"/>
      <c r="B431" s="178" t="s">
        <v>233</v>
      </c>
      <c r="C431" s="137" t="s">
        <v>116</v>
      </c>
      <c r="D431" s="138">
        <v>0.44</v>
      </c>
      <c r="E431" s="139" t="s">
        <v>13</v>
      </c>
      <c r="F431" s="488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503"/>
      <c r="B432" s="96" t="s">
        <v>233</v>
      </c>
      <c r="C432" s="97" t="s">
        <v>17</v>
      </c>
      <c r="D432" s="98">
        <v>4.43</v>
      </c>
      <c r="E432" s="99" t="s">
        <v>13</v>
      </c>
      <c r="F432" s="510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491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493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492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494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492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511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492"/>
      <c r="B436" s="111" t="s">
        <v>233</v>
      </c>
      <c r="C436" s="112" t="s">
        <v>18</v>
      </c>
      <c r="D436" s="113">
        <v>0.85</v>
      </c>
      <c r="E436" s="114" t="s">
        <v>34</v>
      </c>
      <c r="F436" s="494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492"/>
      <c r="B437" s="111" t="s">
        <v>233</v>
      </c>
      <c r="C437" s="112" t="s">
        <v>19</v>
      </c>
      <c r="D437" s="113">
        <v>0.1</v>
      </c>
      <c r="E437" s="114" t="s">
        <v>34</v>
      </c>
      <c r="F437" s="494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492"/>
      <c r="B438" s="111" t="s">
        <v>233</v>
      </c>
      <c r="C438" s="112" t="s">
        <v>17</v>
      </c>
      <c r="D438" s="113">
        <v>1.2</v>
      </c>
      <c r="E438" s="114" t="s">
        <v>34</v>
      </c>
      <c r="F438" s="494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492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494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492"/>
      <c r="B440" s="111" t="s">
        <v>233</v>
      </c>
      <c r="C440" s="112" t="s">
        <v>19</v>
      </c>
      <c r="D440" s="113">
        <v>0.126</v>
      </c>
      <c r="E440" s="114" t="s">
        <v>45</v>
      </c>
      <c r="F440" s="494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504"/>
      <c r="B441" s="117" t="s">
        <v>233</v>
      </c>
      <c r="C441" s="118" t="s">
        <v>17</v>
      </c>
      <c r="D441" s="119">
        <v>0.36</v>
      </c>
      <c r="E441" s="120" t="s">
        <v>45</v>
      </c>
      <c r="F441" s="511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501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502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503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491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493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492"/>
      <c r="B446" s="130" t="s">
        <v>238</v>
      </c>
      <c r="C446" s="112" t="s">
        <v>19</v>
      </c>
      <c r="D446" s="113">
        <v>1.47</v>
      </c>
      <c r="E446" s="114" t="s">
        <v>13</v>
      </c>
      <c r="F446" s="494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492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494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492"/>
      <c r="B448" s="131" t="s">
        <v>238</v>
      </c>
      <c r="C448" s="118" t="s">
        <v>17</v>
      </c>
      <c r="D448" s="119">
        <v>0.61</v>
      </c>
      <c r="E448" s="120" t="s">
        <v>13</v>
      </c>
      <c r="F448" s="511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492"/>
      <c r="B449" s="129" t="s">
        <v>238</v>
      </c>
      <c r="C449" s="105" t="s">
        <v>18</v>
      </c>
      <c r="D449" s="106">
        <v>1.65</v>
      </c>
      <c r="E449" s="107" t="s">
        <v>34</v>
      </c>
      <c r="F449" s="493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492"/>
      <c r="B450" s="130" t="s">
        <v>238</v>
      </c>
      <c r="C450" s="112" t="s">
        <v>19</v>
      </c>
      <c r="D450" s="113">
        <v>0.21</v>
      </c>
      <c r="E450" s="114" t="s">
        <v>34</v>
      </c>
      <c r="F450" s="494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492"/>
      <c r="B451" s="130" t="s">
        <v>238</v>
      </c>
      <c r="C451" s="112" t="s">
        <v>116</v>
      </c>
      <c r="D451" s="113">
        <v>0.3</v>
      </c>
      <c r="E451" s="114" t="s">
        <v>34</v>
      </c>
      <c r="F451" s="494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492"/>
      <c r="B452" s="130" t="s">
        <v>238</v>
      </c>
      <c r="C452" s="112" t="s">
        <v>17</v>
      </c>
      <c r="D452" s="113">
        <v>4.24</v>
      </c>
      <c r="E452" s="114" t="s">
        <v>34</v>
      </c>
      <c r="F452" s="494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492"/>
      <c r="B453" s="130" t="s">
        <v>238</v>
      </c>
      <c r="C453" s="112" t="s">
        <v>18</v>
      </c>
      <c r="D453" s="113">
        <v>0.63</v>
      </c>
      <c r="E453" s="114" t="s">
        <v>45</v>
      </c>
      <c r="F453" s="494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492"/>
      <c r="B454" s="130" t="s">
        <v>238</v>
      </c>
      <c r="C454" s="112" t="s">
        <v>19</v>
      </c>
      <c r="D454" s="113">
        <v>0.09</v>
      </c>
      <c r="E454" s="114" t="s">
        <v>45</v>
      </c>
      <c r="F454" s="494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504"/>
      <c r="B455" s="131" t="s">
        <v>238</v>
      </c>
      <c r="C455" s="118" t="s">
        <v>17</v>
      </c>
      <c r="D455" s="119">
        <v>1.224</v>
      </c>
      <c r="E455" s="120" t="s">
        <v>45</v>
      </c>
      <c r="F455" s="511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501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498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502"/>
      <c r="B457" s="143" t="s">
        <v>242</v>
      </c>
      <c r="C457" s="137" t="s">
        <v>19</v>
      </c>
      <c r="D457" s="138">
        <v>5.52</v>
      </c>
      <c r="E457" s="139" t="s">
        <v>13</v>
      </c>
      <c r="F457" s="488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502"/>
      <c r="B458" s="143" t="s">
        <v>242</v>
      </c>
      <c r="C458" s="137" t="s">
        <v>116</v>
      </c>
      <c r="D458" s="138">
        <v>1.05</v>
      </c>
      <c r="E458" s="139" t="s">
        <v>13</v>
      </c>
      <c r="F458" s="488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502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510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502"/>
      <c r="B460" s="206" t="s">
        <v>242</v>
      </c>
      <c r="C460" s="207" t="s">
        <v>18</v>
      </c>
      <c r="D460" s="208">
        <v>0.22</v>
      </c>
      <c r="E460" s="209" t="s">
        <v>34</v>
      </c>
      <c r="F460" s="539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502"/>
      <c r="B461" s="206" t="s">
        <v>242</v>
      </c>
      <c r="C461" s="207" t="s">
        <v>19</v>
      </c>
      <c r="D461" s="208">
        <v>0.34</v>
      </c>
      <c r="E461" s="209" t="s">
        <v>34</v>
      </c>
      <c r="F461" s="540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502"/>
      <c r="B462" s="206" t="s">
        <v>242</v>
      </c>
      <c r="C462" s="207" t="s">
        <v>17</v>
      </c>
      <c r="D462" s="208">
        <v>0.96</v>
      </c>
      <c r="E462" s="209" t="s">
        <v>34</v>
      </c>
      <c r="F462" s="540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502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540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502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540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503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541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491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493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492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494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504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511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502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502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502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503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491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493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492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494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492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494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504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511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482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98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483"/>
      <c r="B478" s="139" t="s">
        <v>250</v>
      </c>
      <c r="C478" s="137" t="s">
        <v>19</v>
      </c>
      <c r="D478" s="138">
        <v>0.69</v>
      </c>
      <c r="E478" s="139" t="s">
        <v>34</v>
      </c>
      <c r="F478" s="488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483"/>
      <c r="B479" s="139" t="s">
        <v>250</v>
      </c>
      <c r="C479" s="137" t="s">
        <v>17</v>
      </c>
      <c r="D479" s="138">
        <v>2.37</v>
      </c>
      <c r="E479" s="139" t="s">
        <v>34</v>
      </c>
      <c r="F479" s="488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483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488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483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488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83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488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491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493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492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494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504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511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501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502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502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503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491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493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492"/>
      <c r="B491" s="111" t="s">
        <v>253</v>
      </c>
      <c r="C491" s="112" t="s">
        <v>19</v>
      </c>
      <c r="D491" s="113">
        <v>0.8</v>
      </c>
      <c r="E491" s="114" t="s">
        <v>34</v>
      </c>
      <c r="F491" s="494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492"/>
      <c r="B492" s="111" t="s">
        <v>253</v>
      </c>
      <c r="C492" s="112" t="s">
        <v>17</v>
      </c>
      <c r="D492" s="113">
        <v>3.27</v>
      </c>
      <c r="E492" s="114" t="s">
        <v>34</v>
      </c>
      <c r="F492" s="494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492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494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492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494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492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494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501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98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502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488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503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510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491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492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492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504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501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98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502"/>
      <c r="B504" s="178" t="s">
        <v>258</v>
      </c>
      <c r="C504" s="137" t="s">
        <v>19</v>
      </c>
      <c r="D504" s="138">
        <v>0.59</v>
      </c>
      <c r="E504" s="139" t="s">
        <v>34</v>
      </c>
      <c r="F504" s="488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502"/>
      <c r="B505" s="178" t="s">
        <v>258</v>
      </c>
      <c r="C505" s="137" t="s">
        <v>116</v>
      </c>
      <c r="D505" s="138">
        <v>0.49</v>
      </c>
      <c r="E505" s="139" t="s">
        <v>34</v>
      </c>
      <c r="F505" s="488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502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488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502"/>
      <c r="B507" s="178" t="s">
        <v>258</v>
      </c>
      <c r="C507" s="137" t="s">
        <v>18</v>
      </c>
      <c r="D507" s="138">
        <v>1.35</v>
      </c>
      <c r="E507" s="139" t="s">
        <v>45</v>
      </c>
      <c r="F507" s="488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502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488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503"/>
      <c r="B509" s="96" t="s">
        <v>258</v>
      </c>
      <c r="C509" s="97" t="s">
        <v>17</v>
      </c>
      <c r="D509" s="98">
        <v>1.026</v>
      </c>
      <c r="E509" s="99" t="s">
        <v>45</v>
      </c>
      <c r="F509" s="510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491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493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492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494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492"/>
      <c r="B512" s="111" t="s">
        <v>263</v>
      </c>
      <c r="C512" s="112" t="s">
        <v>116</v>
      </c>
      <c r="D512" s="113">
        <v>1.667</v>
      </c>
      <c r="E512" s="114" t="s">
        <v>13</v>
      </c>
      <c r="F512" s="494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504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511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501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498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502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488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502"/>
      <c r="B516" s="142" t="s">
        <v>263</v>
      </c>
      <c r="C516" s="97" t="s">
        <v>17</v>
      </c>
      <c r="D516" s="98">
        <v>2.36</v>
      </c>
      <c r="E516" s="99" t="s">
        <v>13</v>
      </c>
      <c r="F516" s="510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502"/>
      <c r="B517" s="178" t="s">
        <v>263</v>
      </c>
      <c r="C517" s="137" t="s">
        <v>18</v>
      </c>
      <c r="D517" s="138">
        <v>0.94</v>
      </c>
      <c r="E517" s="139" t="s">
        <v>34</v>
      </c>
      <c r="F517" s="488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502"/>
      <c r="B518" s="178" t="s">
        <v>263</v>
      </c>
      <c r="C518" s="137" t="s">
        <v>19</v>
      </c>
      <c r="D518" s="138">
        <v>0.31</v>
      </c>
      <c r="E518" s="139" t="s">
        <v>34</v>
      </c>
      <c r="F518" s="488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502"/>
      <c r="B519" s="178" t="s">
        <v>263</v>
      </c>
      <c r="C519" s="137" t="s">
        <v>17</v>
      </c>
      <c r="D519" s="138">
        <v>2.9</v>
      </c>
      <c r="E519" s="139" t="s">
        <v>34</v>
      </c>
      <c r="F519" s="488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503"/>
      <c r="B520" s="96" t="s">
        <v>263</v>
      </c>
      <c r="C520" s="97" t="s">
        <v>17</v>
      </c>
      <c r="D520" s="98">
        <v>0.9</v>
      </c>
      <c r="E520" s="99" t="s">
        <v>45</v>
      </c>
      <c r="F520" s="510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491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493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492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494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492"/>
      <c r="B523" s="111" t="s">
        <v>267</v>
      </c>
      <c r="C523" s="112" t="s">
        <v>116</v>
      </c>
      <c r="D523" s="113">
        <v>1.121</v>
      </c>
      <c r="E523" s="114" t="s">
        <v>13</v>
      </c>
      <c r="F523" s="494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504"/>
      <c r="B524" s="117" t="s">
        <v>267</v>
      </c>
      <c r="C524" s="118" t="s">
        <v>17</v>
      </c>
      <c r="D524" s="119">
        <v>3.74</v>
      </c>
      <c r="E524" s="120" t="s">
        <v>13</v>
      </c>
      <c r="F524" s="511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501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498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502"/>
      <c r="B526" s="143" t="s">
        <v>267</v>
      </c>
      <c r="C526" s="137" t="s">
        <v>19</v>
      </c>
      <c r="D526" s="138">
        <v>2.323</v>
      </c>
      <c r="E526" s="139" t="s">
        <v>13</v>
      </c>
      <c r="F526" s="488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502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510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502"/>
      <c r="B528" s="178" t="s">
        <v>267</v>
      </c>
      <c r="C528" s="137" t="s">
        <v>18</v>
      </c>
      <c r="D528" s="138">
        <v>0.66</v>
      </c>
      <c r="E528" s="139" t="s">
        <v>34</v>
      </c>
      <c r="F528" s="488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502"/>
      <c r="B529" s="178" t="s">
        <v>267</v>
      </c>
      <c r="C529" s="137" t="s">
        <v>19</v>
      </c>
      <c r="D529" s="138">
        <v>0.76</v>
      </c>
      <c r="E529" s="139" t="s">
        <v>34</v>
      </c>
      <c r="F529" s="488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502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488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502"/>
      <c r="B531" s="178" t="s">
        <v>267</v>
      </c>
      <c r="C531" s="137" t="s">
        <v>18</v>
      </c>
      <c r="D531" s="138">
        <v>0.108</v>
      </c>
      <c r="E531" s="139" t="s">
        <v>45</v>
      </c>
      <c r="F531" s="488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503"/>
      <c r="B532" s="96" t="s">
        <v>267</v>
      </c>
      <c r="C532" s="97" t="s">
        <v>19</v>
      </c>
      <c r="D532" s="98">
        <v>0.18</v>
      </c>
      <c r="E532" s="99" t="s">
        <v>45</v>
      </c>
      <c r="F532" s="510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491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493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492"/>
      <c r="B534" s="111" t="s">
        <v>272</v>
      </c>
      <c r="C534" s="112" t="s">
        <v>19</v>
      </c>
      <c r="D534" s="113">
        <v>4.593</v>
      </c>
      <c r="E534" s="114" t="s">
        <v>13</v>
      </c>
      <c r="F534" s="494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492"/>
      <c r="B535" s="111" t="s">
        <v>272</v>
      </c>
      <c r="C535" s="112" t="s">
        <v>116</v>
      </c>
      <c r="D535" s="113">
        <v>1.167</v>
      </c>
      <c r="E535" s="114" t="s">
        <v>13</v>
      </c>
      <c r="F535" s="494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504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511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502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498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502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488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502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510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502"/>
      <c r="B540" s="178" t="s">
        <v>272</v>
      </c>
      <c r="C540" s="137" t="s">
        <v>18</v>
      </c>
      <c r="D540" s="138">
        <v>0.78</v>
      </c>
      <c r="E540" s="139" t="s">
        <v>34</v>
      </c>
      <c r="F540" s="488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502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488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502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488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502"/>
      <c r="B543" s="178" t="s">
        <v>272</v>
      </c>
      <c r="C543" s="137" t="s">
        <v>18</v>
      </c>
      <c r="D543" s="138">
        <v>0.45</v>
      </c>
      <c r="E543" s="139" t="s">
        <v>45</v>
      </c>
      <c r="F543" s="488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502"/>
      <c r="B544" s="144" t="s">
        <v>272</v>
      </c>
      <c r="C544" s="145" t="s">
        <v>17</v>
      </c>
      <c r="D544" s="146">
        <v>0.81</v>
      </c>
      <c r="E544" s="147" t="s">
        <v>45</v>
      </c>
      <c r="F544" s="488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491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542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504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543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501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502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503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491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493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492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494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492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494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492"/>
      <c r="B553" s="131" t="s">
        <v>276</v>
      </c>
      <c r="C553" s="118" t="s">
        <v>17</v>
      </c>
      <c r="D553" s="119">
        <v>2.71</v>
      </c>
      <c r="E553" s="120" t="s">
        <v>13</v>
      </c>
      <c r="F553" s="511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492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493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492"/>
      <c r="B555" s="111" t="s">
        <v>276</v>
      </c>
      <c r="C555" s="112" t="s">
        <v>19</v>
      </c>
      <c r="D555" s="113">
        <v>0.35</v>
      </c>
      <c r="E555" s="114" t="s">
        <v>34</v>
      </c>
      <c r="F555" s="494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492"/>
      <c r="B556" s="111" t="s">
        <v>276</v>
      </c>
      <c r="C556" s="112" t="s">
        <v>116</v>
      </c>
      <c r="D556" s="113">
        <v>0.13</v>
      </c>
      <c r="E556" s="114" t="s">
        <v>34</v>
      </c>
      <c r="F556" s="494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492"/>
      <c r="B557" s="111" t="s">
        <v>276</v>
      </c>
      <c r="C557" s="112" t="s">
        <v>17</v>
      </c>
      <c r="D557" s="113">
        <v>2.79</v>
      </c>
      <c r="E557" s="114" t="s">
        <v>34</v>
      </c>
      <c r="F557" s="494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492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494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492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494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492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494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504"/>
      <c r="B561" s="117" t="s">
        <v>276</v>
      </c>
      <c r="C561" s="118" t="s">
        <v>17</v>
      </c>
      <c r="D561" s="119">
        <v>0.216</v>
      </c>
      <c r="E561" s="120" t="s">
        <v>45</v>
      </c>
      <c r="F561" s="511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501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98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502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488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503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510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491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493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492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494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492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494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492"/>
      <c r="B568" s="131" t="s">
        <v>283</v>
      </c>
      <c r="C568" s="118" t="s">
        <v>17</v>
      </c>
      <c r="D568" s="119">
        <v>3.51</v>
      </c>
      <c r="E568" s="120" t="s">
        <v>13</v>
      </c>
      <c r="F568" s="511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492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493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492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494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492"/>
      <c r="B571" s="111" t="s">
        <v>283</v>
      </c>
      <c r="C571" s="112" t="s">
        <v>116</v>
      </c>
      <c r="D571" s="113">
        <v>0.12</v>
      </c>
      <c r="E571" s="114" t="s">
        <v>34</v>
      </c>
      <c r="F571" s="494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492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494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492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494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504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511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501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98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502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488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502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488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503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510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491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493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492"/>
      <c r="B580" s="111" t="s">
        <v>290</v>
      </c>
      <c r="C580" s="112" t="s">
        <v>116</v>
      </c>
      <c r="D580" s="113">
        <v>1.64</v>
      </c>
      <c r="E580" s="114" t="s">
        <v>13</v>
      </c>
      <c r="F580" s="494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492"/>
      <c r="B581" s="167" t="s">
        <v>290</v>
      </c>
      <c r="C581" s="168" t="s">
        <v>17</v>
      </c>
      <c r="D581" s="169">
        <v>2.42</v>
      </c>
      <c r="E581" s="170" t="s">
        <v>13</v>
      </c>
      <c r="F581" s="494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492"/>
      <c r="B582" s="129" t="s">
        <v>290</v>
      </c>
      <c r="C582" s="105" t="s">
        <v>18</v>
      </c>
      <c r="D582" s="106">
        <v>2.66</v>
      </c>
      <c r="E582" s="107" t="s">
        <v>34</v>
      </c>
      <c r="F582" s="493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492"/>
      <c r="B583" s="130" t="s">
        <v>290</v>
      </c>
      <c r="C583" s="112" t="s">
        <v>19</v>
      </c>
      <c r="D583" s="113">
        <v>0.37</v>
      </c>
      <c r="E583" s="114" t="s">
        <v>34</v>
      </c>
      <c r="F583" s="494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492"/>
      <c r="B584" s="130" t="s">
        <v>290</v>
      </c>
      <c r="C584" s="112" t="s">
        <v>116</v>
      </c>
      <c r="D584" s="113">
        <v>0.3</v>
      </c>
      <c r="E584" s="114" t="s">
        <v>34</v>
      </c>
      <c r="F584" s="494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492"/>
      <c r="B585" s="130" t="s">
        <v>290</v>
      </c>
      <c r="C585" s="112" t="s">
        <v>17</v>
      </c>
      <c r="D585" s="113">
        <v>3.16</v>
      </c>
      <c r="E585" s="114" t="s">
        <v>34</v>
      </c>
      <c r="F585" s="494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492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494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492"/>
      <c r="B587" s="130" t="s">
        <v>290</v>
      </c>
      <c r="C587" s="112" t="s">
        <v>19</v>
      </c>
      <c r="D587" s="113">
        <v>0.108</v>
      </c>
      <c r="E587" s="114" t="s">
        <v>45</v>
      </c>
      <c r="F587" s="494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492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494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504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511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501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98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502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488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503"/>
      <c r="B592" s="96" t="s">
        <v>295</v>
      </c>
      <c r="C592" s="97" t="s">
        <v>116</v>
      </c>
      <c r="D592" s="98">
        <v>2.29</v>
      </c>
      <c r="E592" s="99" t="s">
        <v>13</v>
      </c>
      <c r="F592" s="510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491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493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492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511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492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494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492"/>
      <c r="B596" s="111" t="s">
        <v>295</v>
      </c>
      <c r="C596" s="112" t="s">
        <v>19</v>
      </c>
      <c r="D596" s="113">
        <v>0.79</v>
      </c>
      <c r="E596" s="114" t="s">
        <v>34</v>
      </c>
      <c r="F596" s="494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492"/>
      <c r="B597" s="111" t="s">
        <v>295</v>
      </c>
      <c r="C597" s="112" t="s">
        <v>116</v>
      </c>
      <c r="D597" s="113">
        <v>0.2</v>
      </c>
      <c r="E597" s="114" t="s">
        <v>34</v>
      </c>
      <c r="F597" s="494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492"/>
      <c r="B598" s="111" t="s">
        <v>295</v>
      </c>
      <c r="C598" s="112" t="s">
        <v>17</v>
      </c>
      <c r="D598" s="113">
        <v>2.67</v>
      </c>
      <c r="E598" s="114" t="s">
        <v>34</v>
      </c>
      <c r="F598" s="494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492"/>
      <c r="B599" s="111" t="s">
        <v>295</v>
      </c>
      <c r="C599" s="112" t="s">
        <v>18</v>
      </c>
      <c r="D599" s="113">
        <v>0.216</v>
      </c>
      <c r="E599" s="114" t="s">
        <v>45</v>
      </c>
      <c r="F599" s="494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492"/>
      <c r="B600" s="111" t="s">
        <v>295</v>
      </c>
      <c r="C600" s="112" t="s">
        <v>19</v>
      </c>
      <c r="D600" s="113">
        <v>0.108</v>
      </c>
      <c r="E600" s="114" t="s">
        <v>45</v>
      </c>
      <c r="F600" s="494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492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494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504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511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501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98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502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488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502"/>
      <c r="B605" s="178" t="s">
        <v>302</v>
      </c>
      <c r="C605" s="137" t="s">
        <v>116</v>
      </c>
      <c r="D605" s="138">
        <v>1.355</v>
      </c>
      <c r="E605" s="139" t="s">
        <v>13</v>
      </c>
      <c r="F605" s="488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502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488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503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510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491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493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492"/>
      <c r="B609" s="111" t="s">
        <v>302</v>
      </c>
      <c r="C609" s="112" t="s">
        <v>19</v>
      </c>
      <c r="D609" s="113">
        <v>0.8</v>
      </c>
      <c r="E609" s="114" t="s">
        <v>34</v>
      </c>
      <c r="F609" s="494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492"/>
      <c r="B610" s="111" t="s">
        <v>302</v>
      </c>
      <c r="C610" s="112" t="s">
        <v>116</v>
      </c>
      <c r="D610" s="113">
        <v>0.46</v>
      </c>
      <c r="E610" s="114" t="s">
        <v>34</v>
      </c>
      <c r="F610" s="494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492"/>
      <c r="B611" s="167" t="s">
        <v>302</v>
      </c>
      <c r="C611" s="168" t="s">
        <v>17</v>
      </c>
      <c r="D611" s="169">
        <v>1.26</v>
      </c>
      <c r="E611" s="170" t="s">
        <v>34</v>
      </c>
      <c r="F611" s="494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501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98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502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488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502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488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503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510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491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493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492"/>
      <c r="B617" s="111" t="s">
        <v>307</v>
      </c>
      <c r="C617" s="112" t="s">
        <v>19</v>
      </c>
      <c r="D617" s="113">
        <v>3.02</v>
      </c>
      <c r="E617" s="114" t="s">
        <v>13</v>
      </c>
      <c r="F617" s="494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492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494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492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494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504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511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501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98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502"/>
      <c r="B622" s="178" t="s">
        <v>307</v>
      </c>
      <c r="C622" s="137" t="s">
        <v>19</v>
      </c>
      <c r="D622" s="138">
        <v>0.35</v>
      </c>
      <c r="E622" s="139" t="s">
        <v>34</v>
      </c>
      <c r="F622" s="488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502"/>
      <c r="B623" s="178" t="s">
        <v>307</v>
      </c>
      <c r="C623" s="137" t="s">
        <v>116</v>
      </c>
      <c r="D623" s="138">
        <v>0.17</v>
      </c>
      <c r="E623" s="139" t="s">
        <v>34</v>
      </c>
      <c r="F623" s="488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502"/>
      <c r="B624" s="178" t="s">
        <v>307</v>
      </c>
      <c r="C624" s="137" t="s">
        <v>17</v>
      </c>
      <c r="D624" s="138">
        <v>2.31</v>
      </c>
      <c r="E624" s="139" t="s">
        <v>34</v>
      </c>
      <c r="F624" s="488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502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488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502"/>
      <c r="B626" s="178" t="s">
        <v>307</v>
      </c>
      <c r="C626" s="137" t="s">
        <v>116</v>
      </c>
      <c r="D626" s="138">
        <v>0.09</v>
      </c>
      <c r="E626" s="139" t="s">
        <v>45</v>
      </c>
      <c r="F626" s="488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503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510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491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493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492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494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492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494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504"/>
      <c r="B631" s="117" t="s">
        <v>313</v>
      </c>
      <c r="C631" s="118" t="s">
        <v>17</v>
      </c>
      <c r="D631" s="119">
        <v>3.85</v>
      </c>
      <c r="E631" s="120" t="s">
        <v>13</v>
      </c>
      <c r="F631" s="511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501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498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502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488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502"/>
      <c r="B634" s="143" t="s">
        <v>313</v>
      </c>
      <c r="C634" s="137" t="s">
        <v>116</v>
      </c>
      <c r="D634" s="138">
        <v>0.4</v>
      </c>
      <c r="E634" s="139" t="s">
        <v>13</v>
      </c>
      <c r="F634" s="488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502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488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502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510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502"/>
      <c r="B637" s="178" t="s">
        <v>313</v>
      </c>
      <c r="C637" s="137" t="s">
        <v>18</v>
      </c>
      <c r="D637" s="138">
        <v>0.1</v>
      </c>
      <c r="E637" s="139" t="s">
        <v>34</v>
      </c>
      <c r="F637" s="488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502"/>
      <c r="B638" s="178" t="s">
        <v>313</v>
      </c>
      <c r="C638" s="137" t="s">
        <v>19</v>
      </c>
      <c r="D638" s="138">
        <v>0.45</v>
      </c>
      <c r="E638" s="139" t="s">
        <v>34</v>
      </c>
      <c r="F638" s="488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502"/>
      <c r="B639" s="178" t="s">
        <v>313</v>
      </c>
      <c r="C639" s="137" t="s">
        <v>116</v>
      </c>
      <c r="D639" s="138">
        <v>0.19</v>
      </c>
      <c r="E639" s="139" t="s">
        <v>34</v>
      </c>
      <c r="F639" s="488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502"/>
      <c r="B640" s="144" t="s">
        <v>313</v>
      </c>
      <c r="C640" s="145" t="s">
        <v>17</v>
      </c>
      <c r="D640" s="146">
        <v>0.37</v>
      </c>
      <c r="E640" s="147" t="s">
        <v>34</v>
      </c>
      <c r="F640" s="488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491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493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492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494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492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494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492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494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504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511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501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98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502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488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502"/>
      <c r="B648" s="178" t="s">
        <v>321</v>
      </c>
      <c r="C648" s="137" t="s">
        <v>17</v>
      </c>
      <c r="D648" s="138">
        <v>3.86</v>
      </c>
      <c r="E648" s="139" t="s">
        <v>13</v>
      </c>
      <c r="F648" s="488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503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510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491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493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492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494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492"/>
      <c r="B652" s="111" t="s">
        <v>321</v>
      </c>
      <c r="C652" s="112" t="s">
        <v>116</v>
      </c>
      <c r="D652" s="113">
        <v>0.06</v>
      </c>
      <c r="E652" s="114" t="s">
        <v>34</v>
      </c>
      <c r="F652" s="494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492"/>
      <c r="B653" s="111" t="s">
        <v>321</v>
      </c>
      <c r="C653" s="112" t="s">
        <v>17</v>
      </c>
      <c r="D653" s="113">
        <v>1.06</v>
      </c>
      <c r="E653" s="114" t="s">
        <v>34</v>
      </c>
      <c r="F653" s="494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492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494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492"/>
      <c r="B655" s="167" t="s">
        <v>321</v>
      </c>
      <c r="C655" s="168" t="s">
        <v>17</v>
      </c>
      <c r="D655" s="169">
        <v>0.81</v>
      </c>
      <c r="E655" s="170" t="s">
        <v>45</v>
      </c>
      <c r="F655" s="494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501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98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502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488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502"/>
      <c r="B658" s="178" t="s">
        <v>326</v>
      </c>
      <c r="C658" s="137" t="s">
        <v>116</v>
      </c>
      <c r="D658" s="138">
        <v>1.82</v>
      </c>
      <c r="E658" s="139" t="s">
        <v>13</v>
      </c>
      <c r="F658" s="488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503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510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491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493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492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494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492"/>
      <c r="B662" s="111" t="s">
        <v>326</v>
      </c>
      <c r="C662" s="112" t="s">
        <v>116</v>
      </c>
      <c r="D662" s="113">
        <v>1.655</v>
      </c>
      <c r="E662" s="114" t="s">
        <v>13</v>
      </c>
      <c r="F662" s="494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492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494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504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511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501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498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502"/>
      <c r="B666" s="142" t="s">
        <v>326</v>
      </c>
      <c r="C666" s="97" t="s">
        <v>17</v>
      </c>
      <c r="D666" s="98">
        <v>2.95</v>
      </c>
      <c r="E666" s="99" t="s">
        <v>13</v>
      </c>
      <c r="F666" s="510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502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488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502"/>
      <c r="B668" s="178" t="s">
        <v>326</v>
      </c>
      <c r="C668" s="137" t="s">
        <v>19</v>
      </c>
      <c r="D668" s="138">
        <v>0.43</v>
      </c>
      <c r="E668" s="139" t="s">
        <v>34</v>
      </c>
      <c r="F668" s="488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502"/>
      <c r="B669" s="178" t="s">
        <v>326</v>
      </c>
      <c r="C669" s="137" t="s">
        <v>17</v>
      </c>
      <c r="D669" s="138">
        <v>2.71</v>
      </c>
      <c r="E669" s="139" t="s">
        <v>34</v>
      </c>
      <c r="F669" s="488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502"/>
      <c r="B670" s="178" t="s">
        <v>326</v>
      </c>
      <c r="C670" s="137" t="s">
        <v>18</v>
      </c>
      <c r="D670" s="138">
        <v>0.63</v>
      </c>
      <c r="E670" s="139" t="s">
        <v>45</v>
      </c>
      <c r="F670" s="488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502"/>
      <c r="B671" s="178" t="s">
        <v>326</v>
      </c>
      <c r="C671" s="137" t="s">
        <v>19</v>
      </c>
      <c r="D671" s="138">
        <v>0.09</v>
      </c>
      <c r="E671" s="139" t="s">
        <v>45</v>
      </c>
      <c r="F671" s="488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503"/>
      <c r="B672" s="96" t="s">
        <v>326</v>
      </c>
      <c r="C672" s="97" t="s">
        <v>17</v>
      </c>
      <c r="D672" s="98">
        <v>0.72</v>
      </c>
      <c r="E672" s="99" t="s">
        <v>45</v>
      </c>
      <c r="F672" s="510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491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492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492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492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504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122" t="str">
        <f t="shared" si="10"/>
        <v>04,25</v>
      </c>
    </row>
    <row r="678" spans="1:9" ht="25.5" hidden="1" customHeight="1" x14ac:dyDescent="0.25">
      <c r="A678" s="501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498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502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488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502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510"/>
      <c r="G680" s="99" t="s">
        <v>336</v>
      </c>
      <c r="H680" s="132"/>
      <c r="I680" s="132" t="str">
        <f t="shared" si="10"/>
        <v>04,25</v>
      </c>
    </row>
    <row r="681" spans="1:9" ht="19.5" hidden="1" thickBot="1" x14ac:dyDescent="0.3">
      <c r="A681" s="502"/>
      <c r="B681" s="178" t="s">
        <v>333</v>
      </c>
      <c r="C681" s="137" t="s">
        <v>18</v>
      </c>
      <c r="D681" s="138">
        <v>0.47</v>
      </c>
      <c r="E681" s="139" t="s">
        <v>34</v>
      </c>
      <c r="F681" s="488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502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488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502"/>
      <c r="B683" s="178" t="s">
        <v>333</v>
      </c>
      <c r="C683" s="137" t="s">
        <v>17</v>
      </c>
      <c r="D683" s="138">
        <v>3.05</v>
      </c>
      <c r="E683" s="139" t="s">
        <v>34</v>
      </c>
      <c r="F683" s="488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502"/>
      <c r="B684" s="178" t="s">
        <v>333</v>
      </c>
      <c r="C684" s="137" t="s">
        <v>18</v>
      </c>
      <c r="D684" s="138">
        <v>0.09</v>
      </c>
      <c r="E684" s="139" t="s">
        <v>45</v>
      </c>
      <c r="F684" s="488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503"/>
      <c r="B685" s="96" t="s">
        <v>333</v>
      </c>
      <c r="C685" s="97" t="s">
        <v>17</v>
      </c>
      <c r="D685" s="98">
        <v>0.72</v>
      </c>
      <c r="E685" s="99" t="s">
        <v>45</v>
      </c>
      <c r="F685" s="510"/>
      <c r="G685" s="99" t="s">
        <v>336</v>
      </c>
      <c r="H685" s="132"/>
      <c r="I685" s="132" t="str">
        <f t="shared" si="10"/>
        <v>04,25</v>
      </c>
    </row>
    <row r="686" spans="1:9" ht="19.5" hidden="1" thickBot="1" x14ac:dyDescent="0.3">
      <c r="A686" s="491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493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492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494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492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494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504"/>
      <c r="B689" s="117" t="s">
        <v>336</v>
      </c>
      <c r="C689" s="118" t="s">
        <v>17</v>
      </c>
      <c r="D689" s="119">
        <v>1.996</v>
      </c>
      <c r="E689" s="120" t="s">
        <v>13</v>
      </c>
      <c r="F689" s="511"/>
      <c r="G689" s="120" t="s">
        <v>338</v>
      </c>
      <c r="H689" s="122"/>
      <c r="I689" s="122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491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493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492"/>
      <c r="B692" s="111" t="s">
        <v>341</v>
      </c>
      <c r="C692" s="112" t="s">
        <v>19</v>
      </c>
      <c r="D692" s="113">
        <v>3.726</v>
      </c>
      <c r="E692" s="114" t="s">
        <v>13</v>
      </c>
      <c r="F692" s="494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492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494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504"/>
      <c r="B694" s="117" t="s">
        <v>341</v>
      </c>
      <c r="C694" s="118" t="s">
        <v>17</v>
      </c>
      <c r="D694" s="119">
        <v>5.67</v>
      </c>
      <c r="E694" s="120" t="s">
        <v>13</v>
      </c>
      <c r="F694" s="511"/>
      <c r="G694" s="120" t="s">
        <v>343</v>
      </c>
      <c r="H694" s="122"/>
      <c r="I694" s="122" t="str">
        <f t="shared" si="10"/>
        <v>05,25</v>
      </c>
    </row>
    <row r="695" spans="1:9" ht="19.5" hidden="1" thickBot="1" x14ac:dyDescent="0.3">
      <c r="A695" s="501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98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502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488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502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488"/>
      <c r="G697" s="147" t="s">
        <v>345</v>
      </c>
      <c r="H697" s="148"/>
      <c r="I697" s="148" t="str">
        <f t="shared" si="10"/>
        <v>05,25</v>
      </c>
    </row>
    <row r="698" spans="1:9" ht="19.5" hidden="1" thickBot="1" x14ac:dyDescent="0.3">
      <c r="A698" s="491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493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492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494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492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494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504"/>
      <c r="B701" s="117" t="s">
        <v>347</v>
      </c>
      <c r="C701" s="118" t="s">
        <v>17</v>
      </c>
      <c r="D701" s="119">
        <v>3.81</v>
      </c>
      <c r="E701" s="120" t="s">
        <v>13</v>
      </c>
      <c r="F701" s="511"/>
      <c r="G701" s="120" t="s">
        <v>348</v>
      </c>
      <c r="H701" s="122"/>
      <c r="I701" s="122" t="str">
        <f t="shared" si="10"/>
        <v>05,25</v>
      </c>
    </row>
    <row r="702" spans="1:9" ht="19.5" hidden="1" thickBot="1" x14ac:dyDescent="0.3">
      <c r="A702" s="501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502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502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502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503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132" t="str">
        <f t="shared" si="10"/>
        <v>05,25</v>
      </c>
    </row>
    <row r="707" spans="1:9" ht="19.5" hidden="1" thickBot="1" x14ac:dyDescent="0.3">
      <c r="A707" s="491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493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492"/>
      <c r="B708" s="111" t="s">
        <v>347</v>
      </c>
      <c r="C708" s="112" t="s">
        <v>19</v>
      </c>
      <c r="D708" s="113">
        <v>0.06</v>
      </c>
      <c r="E708" s="114" t="s">
        <v>34</v>
      </c>
      <c r="F708" s="494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492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494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492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494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492"/>
      <c r="B711" s="111" t="s">
        <v>347</v>
      </c>
      <c r="C711" s="112" t="s">
        <v>18</v>
      </c>
      <c r="D711" s="113">
        <v>0.09</v>
      </c>
      <c r="E711" s="114" t="s">
        <v>45</v>
      </c>
      <c r="F711" s="494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492"/>
      <c r="B712" s="167" t="s">
        <v>347</v>
      </c>
      <c r="C712" s="168" t="s">
        <v>17</v>
      </c>
      <c r="D712" s="169">
        <v>0.108</v>
      </c>
      <c r="E712" s="170" t="s">
        <v>45</v>
      </c>
      <c r="F712" s="494"/>
      <c r="G712" s="170" t="s">
        <v>349</v>
      </c>
      <c r="H712" s="166"/>
      <c r="I712" s="166" t="str">
        <f t="shared" si="10"/>
        <v>05,25</v>
      </c>
    </row>
    <row r="713" spans="1:9" ht="19.5" hidden="1" thickBot="1" x14ac:dyDescent="0.3">
      <c r="A713" s="501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98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502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488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502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488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503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510"/>
      <c r="G716" s="99" t="s">
        <v>352</v>
      </c>
      <c r="H716" s="132"/>
      <c r="I716" s="132" t="str">
        <f t="shared" si="10"/>
        <v>05,25</v>
      </c>
    </row>
    <row r="717" spans="1:9" ht="19.5" hidden="1" thickBot="1" x14ac:dyDescent="0.3">
      <c r="A717" s="491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493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492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494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492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494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504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511"/>
      <c r="G720" s="120" t="s">
        <v>354</v>
      </c>
      <c r="H720" s="122"/>
      <c r="I720" s="122" t="str">
        <f t="shared" si="10"/>
        <v>05,25</v>
      </c>
    </row>
    <row r="721" spans="1:9" ht="19.5" hidden="1" thickBot="1" x14ac:dyDescent="0.3">
      <c r="A721" s="501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498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502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488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502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510"/>
      <c r="G723" s="99" t="s">
        <v>354</v>
      </c>
      <c r="H723" s="132"/>
      <c r="I723" s="132" t="str">
        <f t="shared" si="10"/>
        <v>05,25</v>
      </c>
    </row>
    <row r="724" spans="1:9" ht="19.5" hidden="1" thickBot="1" x14ac:dyDescent="0.3">
      <c r="A724" s="502"/>
      <c r="B724" s="141" t="s">
        <v>351</v>
      </c>
      <c r="C724" s="92" t="s">
        <v>18</v>
      </c>
      <c r="D724" s="93">
        <v>0.5</v>
      </c>
      <c r="E724" s="94" t="s">
        <v>34</v>
      </c>
      <c r="F724" s="498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502"/>
      <c r="B725" s="143" t="s">
        <v>351</v>
      </c>
      <c r="C725" s="137" t="s">
        <v>19</v>
      </c>
      <c r="D725" s="138">
        <v>0.11</v>
      </c>
      <c r="E725" s="139" t="s">
        <v>34</v>
      </c>
      <c r="F725" s="488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502"/>
      <c r="B726" s="143" t="s">
        <v>351</v>
      </c>
      <c r="C726" s="137" t="s">
        <v>17</v>
      </c>
      <c r="D726" s="138">
        <v>0.88</v>
      </c>
      <c r="E726" s="139" t="s">
        <v>34</v>
      </c>
      <c r="F726" s="488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502"/>
      <c r="B727" s="143" t="s">
        <v>351</v>
      </c>
      <c r="C727" s="137" t="s">
        <v>18</v>
      </c>
      <c r="D727" s="138">
        <v>0.216</v>
      </c>
      <c r="E727" s="139" t="s">
        <v>45</v>
      </c>
      <c r="F727" s="488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502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488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502"/>
      <c r="B729" s="165" t="s">
        <v>351</v>
      </c>
      <c r="C729" s="145" t="s">
        <v>17</v>
      </c>
      <c r="D729" s="146">
        <v>0.34200000000000003</v>
      </c>
      <c r="E729" s="147" t="s">
        <v>45</v>
      </c>
      <c r="F729" s="488"/>
      <c r="G729" s="147" t="s">
        <v>354</v>
      </c>
      <c r="H729" s="148"/>
      <c r="I729" s="148" t="str">
        <f t="shared" si="17"/>
        <v>05,25</v>
      </c>
    </row>
    <row r="730" spans="1:9" ht="19.5" hidden="1" thickBot="1" x14ac:dyDescent="0.3">
      <c r="A730" s="491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493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492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494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492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494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504"/>
      <c r="B733" s="117" t="s">
        <v>358</v>
      </c>
      <c r="C733" s="118" t="s">
        <v>319</v>
      </c>
      <c r="D733" s="119">
        <v>1.536</v>
      </c>
      <c r="E733" s="120" t="s">
        <v>13</v>
      </c>
      <c r="F733" s="511"/>
      <c r="G733" s="120" t="s">
        <v>359</v>
      </c>
      <c r="H733" s="122"/>
      <c r="I733" s="122" t="str">
        <f t="shared" si="17"/>
        <v>05,25</v>
      </c>
    </row>
    <row r="734" spans="1:9" ht="19.5" hidden="1" thickBot="1" x14ac:dyDescent="0.3">
      <c r="A734" s="501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98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502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488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502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488"/>
      <c r="G736" s="139" t="s">
        <v>360</v>
      </c>
      <c r="H736" s="140"/>
      <c r="I736" s="140" t="str">
        <f t="shared" si="17"/>
        <v>06,25</v>
      </c>
    </row>
    <row r="737" spans="1:9" ht="19.5" hidden="1" thickBot="1" x14ac:dyDescent="0.3">
      <c r="A737" s="503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510"/>
      <c r="G737" s="99" t="s">
        <v>360</v>
      </c>
      <c r="H737" s="132"/>
      <c r="I737" s="132" t="str">
        <f t="shared" si="17"/>
        <v>06,25</v>
      </c>
    </row>
    <row r="738" spans="1:9" ht="19.5" hidden="1" thickBot="1" x14ac:dyDescent="0.3">
      <c r="A738" s="491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493" t="s">
        <v>362</v>
      </c>
      <c r="G738" s="107" t="s">
        <v>360</v>
      </c>
      <c r="H738" s="109"/>
      <c r="I738" s="109" t="str">
        <f t="shared" si="17"/>
        <v>06,25</v>
      </c>
    </row>
    <row r="739" spans="1:9" ht="19.5" hidden="1" thickBot="1" x14ac:dyDescent="0.3">
      <c r="A739" s="492"/>
      <c r="B739" s="111" t="s">
        <v>358</v>
      </c>
      <c r="C739" s="112" t="s">
        <v>19</v>
      </c>
      <c r="D739" s="113">
        <v>0.15</v>
      </c>
      <c r="E739" s="114" t="s">
        <v>34</v>
      </c>
      <c r="F739" s="494"/>
      <c r="G739" s="114" t="s">
        <v>360</v>
      </c>
      <c r="H739" s="116"/>
      <c r="I739" s="116" t="str">
        <f t="shared" si="17"/>
        <v>06,25</v>
      </c>
    </row>
    <row r="740" spans="1:9" ht="19.5" hidden="1" thickBot="1" x14ac:dyDescent="0.3">
      <c r="A740" s="492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494"/>
      <c r="G740" s="114" t="s">
        <v>360</v>
      </c>
      <c r="H740" s="116"/>
      <c r="I740" s="116" t="str">
        <f t="shared" si="17"/>
        <v>06,25</v>
      </c>
    </row>
    <row r="741" spans="1:9" ht="19.5" hidden="1" thickBot="1" x14ac:dyDescent="0.3">
      <c r="A741" s="492"/>
      <c r="B741" s="111" t="s">
        <v>358</v>
      </c>
      <c r="C741" s="112" t="s">
        <v>18</v>
      </c>
      <c r="D741" s="113">
        <v>0.2</v>
      </c>
      <c r="E741" s="114" t="s">
        <v>45</v>
      </c>
      <c r="F741" s="494"/>
      <c r="G741" s="114" t="s">
        <v>360</v>
      </c>
      <c r="H741" s="116"/>
      <c r="I741" s="116" t="str">
        <f t="shared" si="17"/>
        <v>06,25</v>
      </c>
    </row>
    <row r="742" spans="1:9" ht="19.5" hidden="1" thickBot="1" x14ac:dyDescent="0.3">
      <c r="A742" s="504"/>
      <c r="B742" s="117" t="s">
        <v>358</v>
      </c>
      <c r="C742" s="118" t="s">
        <v>17</v>
      </c>
      <c r="D742" s="119">
        <v>0.5</v>
      </c>
      <c r="E742" s="120" t="s">
        <v>45</v>
      </c>
      <c r="F742" s="511"/>
      <c r="G742" s="120" t="s">
        <v>360</v>
      </c>
      <c r="H742" s="122"/>
      <c r="I742" s="122" t="str">
        <f t="shared" si="17"/>
        <v>06,25</v>
      </c>
    </row>
    <row r="743" spans="1:9" ht="19.5" hidden="1" thickBot="1" x14ac:dyDescent="0.3">
      <c r="A743" s="501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98" t="s">
        <v>275</v>
      </c>
      <c r="G743" s="94" t="s">
        <v>364</v>
      </c>
      <c r="H743" s="135"/>
      <c r="I743" s="135" t="str">
        <f t="shared" si="17"/>
        <v>06,25</v>
      </c>
    </row>
    <row r="744" spans="1:9" ht="19.5" hidden="1" thickBot="1" x14ac:dyDescent="0.3">
      <c r="A744" s="502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488"/>
      <c r="G744" s="139" t="s">
        <v>364</v>
      </c>
      <c r="H744" s="140"/>
      <c r="I744" s="140" t="str">
        <f t="shared" si="17"/>
        <v>06,25</v>
      </c>
    </row>
    <row r="745" spans="1:9" ht="19.5" hidden="1" thickBot="1" x14ac:dyDescent="0.3">
      <c r="A745" s="502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488"/>
      <c r="G745" s="139" t="s">
        <v>364</v>
      </c>
      <c r="H745" s="140"/>
      <c r="I745" s="140" t="str">
        <f t="shared" si="17"/>
        <v>06,25</v>
      </c>
    </row>
    <row r="746" spans="1:9" ht="19.5" hidden="1" thickBot="1" x14ac:dyDescent="0.3">
      <c r="A746" s="502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488"/>
      <c r="G746" s="147" t="s">
        <v>364</v>
      </c>
      <c r="H746" s="148"/>
      <c r="I746" s="148" t="str">
        <f t="shared" si="17"/>
        <v>06,25</v>
      </c>
    </row>
    <row r="747" spans="1:9" ht="19.5" hidden="1" thickBot="1" x14ac:dyDescent="0.3">
      <c r="A747" s="544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547" t="s">
        <v>372</v>
      </c>
      <c r="G747" s="107" t="s">
        <v>365</v>
      </c>
      <c r="H747" s="109"/>
      <c r="I747" s="109" t="str">
        <f t="shared" si="17"/>
        <v>06,25</v>
      </c>
    </row>
    <row r="748" spans="1:9" ht="19.5" hidden="1" thickBot="1" x14ac:dyDescent="0.3">
      <c r="A748" s="545"/>
      <c r="B748" s="224" t="s">
        <v>363</v>
      </c>
      <c r="C748" s="217" t="s">
        <v>19</v>
      </c>
      <c r="D748" s="218">
        <v>3.2269999999999999</v>
      </c>
      <c r="E748" s="216" t="s">
        <v>13</v>
      </c>
      <c r="F748" s="548"/>
      <c r="G748" s="216" t="s">
        <v>365</v>
      </c>
      <c r="H748" s="222"/>
      <c r="I748" s="222" t="str">
        <f t="shared" si="17"/>
        <v>06,25</v>
      </c>
    </row>
    <row r="749" spans="1:9" ht="19.5" hidden="1" thickBot="1" x14ac:dyDescent="0.3">
      <c r="A749" s="545"/>
      <c r="B749" s="224" t="s">
        <v>363</v>
      </c>
      <c r="C749" s="217" t="s">
        <v>17</v>
      </c>
      <c r="D749" s="218">
        <v>1.921</v>
      </c>
      <c r="E749" s="216" t="s">
        <v>13</v>
      </c>
      <c r="F749" s="548"/>
      <c r="G749" s="216" t="s">
        <v>365</v>
      </c>
      <c r="H749" s="222"/>
      <c r="I749" s="222" t="str">
        <f t="shared" si="17"/>
        <v>06,25</v>
      </c>
    </row>
    <row r="750" spans="1:9" ht="19.5" hidden="1" thickBot="1" x14ac:dyDescent="0.3">
      <c r="A750" s="545"/>
      <c r="B750" s="224" t="s">
        <v>363</v>
      </c>
      <c r="C750" s="217" t="s">
        <v>277</v>
      </c>
      <c r="D750" s="218">
        <v>5.6609999999999996</v>
      </c>
      <c r="E750" s="216" t="s">
        <v>13</v>
      </c>
      <c r="F750" s="548"/>
      <c r="G750" s="216" t="s">
        <v>365</v>
      </c>
      <c r="H750" s="222"/>
      <c r="I750" s="222" t="str">
        <f t="shared" si="17"/>
        <v>06,25</v>
      </c>
    </row>
    <row r="751" spans="1:9" ht="19.5" hidden="1" thickBot="1" x14ac:dyDescent="0.3">
      <c r="A751" s="546"/>
      <c r="B751" s="225" t="s">
        <v>366</v>
      </c>
      <c r="C751" s="219" t="s">
        <v>367</v>
      </c>
      <c r="D751" s="220">
        <v>3</v>
      </c>
      <c r="E751" s="221" t="s">
        <v>13</v>
      </c>
      <c r="F751" s="549"/>
      <c r="G751" s="221" t="s">
        <v>365</v>
      </c>
      <c r="H751" s="223"/>
      <c r="I751" s="223" t="str">
        <f t="shared" si="17"/>
        <v>06,25</v>
      </c>
    </row>
    <row r="752" spans="1:9" ht="19.5" hidden="1" thickBot="1" x14ac:dyDescent="0.3">
      <c r="A752" s="501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98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502"/>
      <c r="B753" s="178" t="s">
        <v>369</v>
      </c>
      <c r="C753" s="137" t="s">
        <v>19</v>
      </c>
      <c r="D753" s="138">
        <v>6.02</v>
      </c>
      <c r="E753" s="139" t="s">
        <v>13</v>
      </c>
      <c r="F753" s="488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502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488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503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510"/>
      <c r="G755" s="99" t="s">
        <v>370</v>
      </c>
      <c r="H755" s="132"/>
      <c r="I755" s="132" t="str">
        <f t="shared" si="17"/>
        <v>06,25</v>
      </c>
    </row>
    <row r="756" spans="1:9" ht="18.75" hidden="1" customHeight="1" x14ac:dyDescent="0.25">
      <c r="A756" s="491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493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492"/>
      <c r="B757" s="130" t="s">
        <v>369</v>
      </c>
      <c r="C757" s="112" t="s">
        <v>17</v>
      </c>
      <c r="D757" s="113">
        <v>0.97</v>
      </c>
      <c r="E757" s="114" t="s">
        <v>13</v>
      </c>
      <c r="F757" s="494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492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494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492"/>
      <c r="B759" s="227" t="s">
        <v>375</v>
      </c>
      <c r="C759" s="217" t="s">
        <v>319</v>
      </c>
      <c r="D759" s="218">
        <v>1.1339999999999999</v>
      </c>
      <c r="E759" s="114" t="s">
        <v>13</v>
      </c>
      <c r="F759" s="494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492"/>
      <c r="B760" s="228" t="s">
        <v>375</v>
      </c>
      <c r="C760" s="229" t="s">
        <v>367</v>
      </c>
      <c r="D760" s="230">
        <v>2.4929999999999999</v>
      </c>
      <c r="E760" s="170" t="s">
        <v>13</v>
      </c>
      <c r="F760" s="494"/>
      <c r="G760" s="170" t="s">
        <v>368</v>
      </c>
      <c r="H760" s="166"/>
      <c r="I760" s="166" t="str">
        <f t="shared" si="17"/>
        <v>06,25</v>
      </c>
    </row>
    <row r="761" spans="1:9" ht="18.75" hidden="1" customHeight="1" x14ac:dyDescent="0.25">
      <c r="A761" s="492"/>
      <c r="B761" s="129" t="s">
        <v>363</v>
      </c>
      <c r="C761" s="105" t="s">
        <v>18</v>
      </c>
      <c r="D761" s="106">
        <v>0.4</v>
      </c>
      <c r="E761" s="107" t="s">
        <v>34</v>
      </c>
      <c r="F761" s="493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492"/>
      <c r="B762" s="227" t="s">
        <v>363</v>
      </c>
      <c r="C762" s="217" t="s">
        <v>19</v>
      </c>
      <c r="D762" s="218">
        <v>0.37</v>
      </c>
      <c r="E762" s="216" t="s">
        <v>34</v>
      </c>
      <c r="F762" s="494"/>
      <c r="G762" s="216" t="s">
        <v>368</v>
      </c>
      <c r="H762" s="222" t="s">
        <v>374</v>
      </c>
      <c r="I762" s="222" t="str">
        <f t="shared" si="17"/>
        <v>06,25</v>
      </c>
    </row>
    <row r="763" spans="1:9" ht="19.5" hidden="1" thickBot="1" x14ac:dyDescent="0.3">
      <c r="A763" s="492"/>
      <c r="B763" s="227" t="s">
        <v>363</v>
      </c>
      <c r="C763" s="217" t="s">
        <v>116</v>
      </c>
      <c r="D763" s="218">
        <v>0.1</v>
      </c>
      <c r="E763" s="216" t="s">
        <v>34</v>
      </c>
      <c r="F763" s="494"/>
      <c r="G763" s="216" t="s">
        <v>368</v>
      </c>
      <c r="H763" s="222" t="s">
        <v>374</v>
      </c>
      <c r="I763" s="222" t="str">
        <f t="shared" si="17"/>
        <v>06,25</v>
      </c>
    </row>
    <row r="764" spans="1:9" ht="19.5" hidden="1" thickBot="1" x14ac:dyDescent="0.3">
      <c r="A764" s="492"/>
      <c r="B764" s="227" t="s">
        <v>363</v>
      </c>
      <c r="C764" s="217" t="s">
        <v>17</v>
      </c>
      <c r="D764" s="218">
        <v>0.64</v>
      </c>
      <c r="E764" s="216" t="s">
        <v>34</v>
      </c>
      <c r="F764" s="494"/>
      <c r="G764" s="216" t="s">
        <v>368</v>
      </c>
      <c r="H764" s="222" t="s">
        <v>374</v>
      </c>
      <c r="I764" s="222" t="str">
        <f t="shared" si="17"/>
        <v>06,25</v>
      </c>
    </row>
    <row r="765" spans="1:9" ht="19.5" hidden="1" thickBot="1" x14ac:dyDescent="0.3">
      <c r="A765" s="492"/>
      <c r="B765" s="227" t="s">
        <v>363</v>
      </c>
      <c r="C765" s="217" t="s">
        <v>18</v>
      </c>
      <c r="D765" s="231">
        <v>3.5999999999999997E-2</v>
      </c>
      <c r="E765" s="216" t="s">
        <v>45</v>
      </c>
      <c r="F765" s="494"/>
      <c r="G765" s="216" t="s">
        <v>368</v>
      </c>
      <c r="H765" s="222" t="s">
        <v>374</v>
      </c>
      <c r="I765" s="222" t="str">
        <f t="shared" si="17"/>
        <v>06,25</v>
      </c>
    </row>
    <row r="766" spans="1:9" ht="19.5" hidden="1" thickBot="1" x14ac:dyDescent="0.3">
      <c r="A766" s="492"/>
      <c r="B766" s="227" t="s">
        <v>363</v>
      </c>
      <c r="C766" s="217" t="s">
        <v>17</v>
      </c>
      <c r="D766" s="218">
        <v>0.378</v>
      </c>
      <c r="E766" s="216" t="s">
        <v>45</v>
      </c>
      <c r="F766" s="494"/>
      <c r="G766" s="216" t="s">
        <v>368</v>
      </c>
      <c r="H766" s="222" t="s">
        <v>374</v>
      </c>
      <c r="I766" s="222" t="str">
        <f t="shared" si="17"/>
        <v>06,25</v>
      </c>
    </row>
    <row r="767" spans="1:9" ht="19.5" hidden="1" thickBot="1" x14ac:dyDescent="0.3">
      <c r="A767" s="492"/>
      <c r="B767" s="227" t="s">
        <v>375</v>
      </c>
      <c r="C767" s="217" t="s">
        <v>18</v>
      </c>
      <c r="D767" s="218">
        <v>0.34</v>
      </c>
      <c r="E767" s="216" t="s">
        <v>34</v>
      </c>
      <c r="F767" s="494"/>
      <c r="G767" s="216" t="s">
        <v>368</v>
      </c>
      <c r="H767" s="222"/>
      <c r="I767" s="222" t="str">
        <f t="shared" si="17"/>
        <v>06,25</v>
      </c>
    </row>
    <row r="768" spans="1:9" ht="19.5" hidden="1" thickBot="1" x14ac:dyDescent="0.3">
      <c r="A768" s="492"/>
      <c r="B768" s="227" t="s">
        <v>375</v>
      </c>
      <c r="C768" s="217" t="s">
        <v>19</v>
      </c>
      <c r="D768" s="218">
        <v>0.16</v>
      </c>
      <c r="E768" s="216" t="s">
        <v>34</v>
      </c>
      <c r="F768" s="494"/>
      <c r="G768" s="216" t="s">
        <v>368</v>
      </c>
      <c r="H768" s="222"/>
      <c r="I768" s="222" t="str">
        <f t="shared" si="17"/>
        <v>06,25</v>
      </c>
    </row>
    <row r="769" spans="1:9" ht="19.5" hidden="1" thickBot="1" x14ac:dyDescent="0.3">
      <c r="A769" s="492"/>
      <c r="B769" s="227" t="s">
        <v>375</v>
      </c>
      <c r="C769" s="217" t="s">
        <v>116</v>
      </c>
      <c r="D769" s="231">
        <v>0.04</v>
      </c>
      <c r="E769" s="216" t="s">
        <v>34</v>
      </c>
      <c r="F769" s="494"/>
      <c r="G769" s="216" t="s">
        <v>368</v>
      </c>
      <c r="H769" s="222"/>
      <c r="I769" s="222" t="str">
        <f t="shared" si="17"/>
        <v>06,25</v>
      </c>
    </row>
    <row r="770" spans="1:9" ht="19.5" hidden="1" thickBot="1" x14ac:dyDescent="0.3">
      <c r="A770" s="492"/>
      <c r="B770" s="227" t="s">
        <v>375</v>
      </c>
      <c r="C770" s="217" t="s">
        <v>17</v>
      </c>
      <c r="D770" s="218">
        <v>1.22</v>
      </c>
      <c r="E770" s="216" t="s">
        <v>34</v>
      </c>
      <c r="F770" s="494"/>
      <c r="G770" s="216" t="s">
        <v>368</v>
      </c>
      <c r="H770" s="222"/>
      <c r="I770" s="222" t="str">
        <f t="shared" si="17"/>
        <v>06,25</v>
      </c>
    </row>
    <row r="771" spans="1:9" ht="19.5" hidden="1" thickBot="1" x14ac:dyDescent="0.3">
      <c r="A771" s="492"/>
      <c r="B771" s="227" t="s">
        <v>375</v>
      </c>
      <c r="C771" s="217" t="s">
        <v>18</v>
      </c>
      <c r="D771" s="218">
        <v>0.19800000000000001</v>
      </c>
      <c r="E771" s="216" t="s">
        <v>45</v>
      </c>
      <c r="F771" s="494"/>
      <c r="G771" s="216" t="s">
        <v>368</v>
      </c>
      <c r="H771" s="222"/>
      <c r="I771" s="222" t="str">
        <f t="shared" si="17"/>
        <v>06,25</v>
      </c>
    </row>
    <row r="772" spans="1:9" ht="19.5" hidden="1" thickBot="1" x14ac:dyDescent="0.3">
      <c r="A772" s="492"/>
      <c r="B772" s="227" t="s">
        <v>375</v>
      </c>
      <c r="C772" s="217" t="s">
        <v>19</v>
      </c>
      <c r="D772" s="231">
        <v>3.5999999999999997E-2</v>
      </c>
      <c r="E772" s="216" t="s">
        <v>45</v>
      </c>
      <c r="F772" s="494"/>
      <c r="G772" s="216" t="s">
        <v>368</v>
      </c>
      <c r="H772" s="222"/>
      <c r="I772" s="222" t="str">
        <f t="shared" si="17"/>
        <v>06,25</v>
      </c>
    </row>
    <row r="773" spans="1:9" ht="19.5" hidden="1" thickBot="1" x14ac:dyDescent="0.3">
      <c r="A773" s="492"/>
      <c r="B773" s="227" t="s">
        <v>375</v>
      </c>
      <c r="C773" s="217" t="s">
        <v>17</v>
      </c>
      <c r="D773" s="231">
        <v>3.5999999999999997E-2</v>
      </c>
      <c r="E773" s="216" t="s">
        <v>45</v>
      </c>
      <c r="F773" s="494"/>
      <c r="G773" s="216" t="s">
        <v>368</v>
      </c>
      <c r="H773" s="222"/>
      <c r="I773" s="222" t="str">
        <f t="shared" si="17"/>
        <v>06,25</v>
      </c>
    </row>
    <row r="774" spans="1:9" ht="19.5" hidden="1" thickBot="1" x14ac:dyDescent="0.3">
      <c r="A774" s="504"/>
      <c r="B774" s="190" t="s">
        <v>375</v>
      </c>
      <c r="C774" s="168" t="s">
        <v>367</v>
      </c>
      <c r="D774" s="169">
        <v>0.93</v>
      </c>
      <c r="E774" s="170" t="s">
        <v>34</v>
      </c>
      <c r="F774" s="494"/>
      <c r="G774" s="170" t="s">
        <v>368</v>
      </c>
      <c r="H774" s="166"/>
      <c r="I774" s="166" t="str">
        <f t="shared" si="17"/>
        <v>06,25</v>
      </c>
    </row>
    <row r="775" spans="1:9" ht="19.5" hidden="1" thickBot="1" x14ac:dyDescent="0.3">
      <c r="A775" s="501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98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502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488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502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488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503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510"/>
      <c r="G778" s="99" t="s">
        <v>378</v>
      </c>
      <c r="H778" s="132"/>
      <c r="I778" s="132" t="str">
        <f t="shared" si="17"/>
        <v>06,25</v>
      </c>
    </row>
    <row r="779" spans="1:9" ht="19.5" hidden="1" thickBot="1" x14ac:dyDescent="0.3">
      <c r="A779" s="491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492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504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122"/>
      <c r="I781" s="122" t="str">
        <f t="shared" si="17"/>
        <v>06,25</v>
      </c>
    </row>
    <row r="782" spans="1:9" ht="19.5" hidden="1" thickBot="1" x14ac:dyDescent="0.3">
      <c r="A782" s="501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98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502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488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502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488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502"/>
      <c r="B785" s="178" t="s">
        <v>377</v>
      </c>
      <c r="C785" s="137" t="s">
        <v>277</v>
      </c>
      <c r="D785" s="138">
        <v>4.93</v>
      </c>
      <c r="E785" s="139" t="s">
        <v>13</v>
      </c>
      <c r="F785" s="550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502"/>
      <c r="B786" s="178" t="s">
        <v>377</v>
      </c>
      <c r="C786" s="137" t="s">
        <v>18</v>
      </c>
      <c r="D786" s="138">
        <v>0.75</v>
      </c>
      <c r="E786" s="139" t="s">
        <v>34</v>
      </c>
      <c r="F786" s="487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502"/>
      <c r="B787" s="178" t="s">
        <v>377</v>
      </c>
      <c r="C787" s="137" t="s">
        <v>19</v>
      </c>
      <c r="D787" s="138">
        <v>0.1</v>
      </c>
      <c r="E787" s="139" t="s">
        <v>34</v>
      </c>
      <c r="F787" s="488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502"/>
      <c r="B788" s="178" t="s">
        <v>377</v>
      </c>
      <c r="C788" s="137" t="s">
        <v>17</v>
      </c>
      <c r="D788" s="138">
        <v>1.49</v>
      </c>
      <c r="E788" s="139" t="s">
        <v>34</v>
      </c>
      <c r="F788" s="488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503"/>
      <c r="B789" s="96" t="s">
        <v>377</v>
      </c>
      <c r="C789" s="97" t="s">
        <v>17</v>
      </c>
      <c r="D789" s="98">
        <v>0.2</v>
      </c>
      <c r="E789" s="99" t="s">
        <v>45</v>
      </c>
      <c r="F789" s="510"/>
      <c r="G789" s="99" t="s">
        <v>379</v>
      </c>
      <c r="H789" s="132"/>
      <c r="I789" s="132" t="str">
        <f t="shared" si="17"/>
        <v>06,25</v>
      </c>
    </row>
    <row r="790" spans="1:9" ht="75.75" hidden="1" thickBot="1" x14ac:dyDescent="0.3">
      <c r="A790" s="235">
        <f t="shared" si="19"/>
        <v>163</v>
      </c>
      <c r="B790" s="236" t="s">
        <v>382</v>
      </c>
      <c r="C790" s="237" t="s">
        <v>367</v>
      </c>
      <c r="D790" s="238">
        <v>4.9480000000000004</v>
      </c>
      <c r="E790" s="239" t="s">
        <v>13</v>
      </c>
      <c r="F790" s="234" t="s">
        <v>383</v>
      </c>
      <c r="G790" s="239" t="s">
        <v>379</v>
      </c>
      <c r="H790" s="233"/>
      <c r="I790" s="233" t="str">
        <f t="shared" si="17"/>
        <v>06,25</v>
      </c>
    </row>
    <row r="791" spans="1:9" ht="19.5" hidden="1" thickBot="1" x14ac:dyDescent="0.3">
      <c r="A791" s="501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98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502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488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502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488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502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488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503"/>
      <c r="B795" s="96" t="s">
        <v>384</v>
      </c>
      <c r="C795" s="97" t="s">
        <v>17</v>
      </c>
      <c r="D795" s="98">
        <v>3.38</v>
      </c>
      <c r="E795" s="99" t="s">
        <v>13</v>
      </c>
      <c r="F795" s="510"/>
      <c r="G795" s="99" t="s">
        <v>385</v>
      </c>
      <c r="H795" s="132"/>
      <c r="I795" s="132" t="str">
        <f t="shared" si="17"/>
        <v>06,25</v>
      </c>
    </row>
    <row r="796" spans="1:9" ht="19.5" hidden="1" thickBot="1" x14ac:dyDescent="0.3">
      <c r="A796" s="491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493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492"/>
      <c r="B797" s="111" t="s">
        <v>384</v>
      </c>
      <c r="C797" s="112" t="s">
        <v>19</v>
      </c>
      <c r="D797" s="113">
        <v>2.452</v>
      </c>
      <c r="E797" s="114" t="s">
        <v>13</v>
      </c>
      <c r="F797" s="494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492"/>
      <c r="B798" s="111" t="s">
        <v>384</v>
      </c>
      <c r="C798" s="112" t="s">
        <v>116</v>
      </c>
      <c r="D798" s="113">
        <v>2.859</v>
      </c>
      <c r="E798" s="114" t="s">
        <v>13</v>
      </c>
      <c r="F798" s="494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492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494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504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511"/>
      <c r="G800" s="120" t="s">
        <v>386</v>
      </c>
      <c r="H800" s="122"/>
      <c r="I800" s="122" t="str">
        <f t="shared" si="17"/>
        <v>06,25</v>
      </c>
    </row>
    <row r="801" spans="1:9" ht="19.5" hidden="1" thickBot="1" x14ac:dyDescent="0.3">
      <c r="A801" s="501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98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502"/>
      <c r="B802" s="178" t="s">
        <v>384</v>
      </c>
      <c r="C802" s="137" t="s">
        <v>19</v>
      </c>
      <c r="D802" s="138">
        <v>0.1</v>
      </c>
      <c r="E802" s="139" t="s">
        <v>34</v>
      </c>
      <c r="F802" s="488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502"/>
      <c r="B803" s="178" t="s">
        <v>384</v>
      </c>
      <c r="C803" s="137" t="s">
        <v>17</v>
      </c>
      <c r="D803" s="138">
        <v>1.72</v>
      </c>
      <c r="E803" s="139" t="s">
        <v>34</v>
      </c>
      <c r="F803" s="488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502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488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502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488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502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488"/>
      <c r="G806" s="147" t="s">
        <v>386</v>
      </c>
      <c r="H806" s="148"/>
      <c r="I806" s="148" t="str">
        <f t="shared" si="17"/>
        <v>06,25</v>
      </c>
    </row>
    <row r="807" spans="1:9" ht="19.5" hidden="1" thickBot="1" x14ac:dyDescent="0.3">
      <c r="A807" s="491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493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492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494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504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511"/>
      <c r="G809" s="120" t="s">
        <v>390</v>
      </c>
      <c r="H809" s="122"/>
      <c r="I809" s="122" t="str">
        <f t="shared" si="17"/>
        <v>07,25</v>
      </c>
    </row>
    <row r="810" spans="1:9" ht="19.5" hidden="1" thickBot="1" x14ac:dyDescent="0.3">
      <c r="A810" s="501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502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502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503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132"/>
      <c r="I813" s="132" t="str">
        <f t="shared" si="17"/>
        <v>07,25</v>
      </c>
    </row>
    <row r="814" spans="1:9" ht="19.5" hidden="1" thickBot="1" x14ac:dyDescent="0.3">
      <c r="A814" s="491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493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492"/>
      <c r="B815" s="130" t="s">
        <v>389</v>
      </c>
      <c r="C815" s="112" t="s">
        <v>19</v>
      </c>
      <c r="D815" s="113">
        <v>0.95</v>
      </c>
      <c r="E815" s="114" t="s">
        <v>13</v>
      </c>
      <c r="F815" s="494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492"/>
      <c r="B816" s="130" t="s">
        <v>389</v>
      </c>
      <c r="C816" s="112" t="s">
        <v>116</v>
      </c>
      <c r="D816" s="113">
        <v>0.43</v>
      </c>
      <c r="E816" s="114" t="s">
        <v>13</v>
      </c>
      <c r="F816" s="494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492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494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492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511"/>
      <c r="G818" s="120" t="s">
        <v>391</v>
      </c>
      <c r="H818" s="122"/>
      <c r="I818" s="122" t="str">
        <f t="shared" si="17"/>
        <v>07,25</v>
      </c>
    </row>
    <row r="819" spans="1:9" ht="19.5" hidden="1" thickBot="1" x14ac:dyDescent="0.3">
      <c r="A819" s="492"/>
      <c r="B819" s="111" t="s">
        <v>389</v>
      </c>
      <c r="C819" s="112" t="s">
        <v>18</v>
      </c>
      <c r="D819" s="113">
        <v>0.86</v>
      </c>
      <c r="E819" s="114" t="s">
        <v>34</v>
      </c>
      <c r="F819" s="494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492"/>
      <c r="B820" s="111" t="s">
        <v>389</v>
      </c>
      <c r="C820" s="112" t="s">
        <v>19</v>
      </c>
      <c r="D820" s="113">
        <v>0.72</v>
      </c>
      <c r="E820" s="114" t="s">
        <v>34</v>
      </c>
      <c r="F820" s="494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492"/>
      <c r="B821" s="111" t="s">
        <v>389</v>
      </c>
      <c r="C821" s="112" t="s">
        <v>116</v>
      </c>
      <c r="D821" s="113">
        <v>0.19</v>
      </c>
      <c r="E821" s="114" t="s">
        <v>34</v>
      </c>
      <c r="F821" s="494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492"/>
      <c r="B822" s="111" t="s">
        <v>389</v>
      </c>
      <c r="C822" s="112" t="s">
        <v>17</v>
      </c>
      <c r="D822" s="113">
        <v>1.23</v>
      </c>
      <c r="E822" s="114" t="s">
        <v>34</v>
      </c>
      <c r="F822" s="494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492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494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492"/>
      <c r="B824" s="111" t="s">
        <v>389</v>
      </c>
      <c r="C824" s="112" t="s">
        <v>19</v>
      </c>
      <c r="D824" s="113">
        <v>0.108</v>
      </c>
      <c r="E824" s="114" t="s">
        <v>45</v>
      </c>
      <c r="F824" s="494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504"/>
      <c r="B825" s="117" t="s">
        <v>389</v>
      </c>
      <c r="C825" s="118" t="s">
        <v>17</v>
      </c>
      <c r="D825" s="119">
        <v>0.54</v>
      </c>
      <c r="E825" s="120" t="s">
        <v>45</v>
      </c>
      <c r="F825" s="511"/>
      <c r="G825" s="120" t="s">
        <v>391</v>
      </c>
      <c r="H825" s="122"/>
      <c r="I825" s="122" t="str">
        <f t="shared" si="17"/>
        <v>07,25</v>
      </c>
    </row>
    <row r="826" spans="1:9" ht="19.5" hidden="1" thickBot="1" x14ac:dyDescent="0.3">
      <c r="A826" s="501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98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502"/>
      <c r="B827" s="178" t="s">
        <v>394</v>
      </c>
      <c r="C827" s="137" t="s">
        <v>319</v>
      </c>
      <c r="D827" s="138">
        <v>1.246</v>
      </c>
      <c r="E827" s="139" t="s">
        <v>13</v>
      </c>
      <c r="F827" s="488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502"/>
      <c r="B828" s="178" t="s">
        <v>394</v>
      </c>
      <c r="C828" s="137" t="s">
        <v>18</v>
      </c>
      <c r="D828" s="138">
        <v>2.65</v>
      </c>
      <c r="E828" s="139" t="s">
        <v>13</v>
      </c>
      <c r="F828" s="488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502"/>
      <c r="B829" s="178" t="s">
        <v>394</v>
      </c>
      <c r="C829" s="137" t="s">
        <v>19</v>
      </c>
      <c r="D829" s="138">
        <v>2.93</v>
      </c>
      <c r="E829" s="139" t="s">
        <v>13</v>
      </c>
      <c r="F829" s="488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503"/>
      <c r="B830" s="96" t="s">
        <v>394</v>
      </c>
      <c r="C830" s="97" t="s">
        <v>17</v>
      </c>
      <c r="D830" s="98">
        <v>6.37</v>
      </c>
      <c r="E830" s="99" t="s">
        <v>13</v>
      </c>
      <c r="F830" s="510"/>
      <c r="G830" s="99" t="s">
        <v>396</v>
      </c>
      <c r="H830" s="132"/>
      <c r="I830" s="132" t="str">
        <f t="shared" si="17"/>
        <v>07,25</v>
      </c>
    </row>
    <row r="831" spans="1:9" ht="19.5" hidden="1" thickBot="1" x14ac:dyDescent="0.3">
      <c r="A831" s="491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493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492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494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492"/>
      <c r="B833" s="130" t="s">
        <v>394</v>
      </c>
      <c r="C833" s="112" t="s">
        <v>116</v>
      </c>
      <c r="D833" s="113">
        <v>1.887</v>
      </c>
      <c r="E833" s="114" t="s">
        <v>13</v>
      </c>
      <c r="F833" s="494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492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494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492"/>
      <c r="B835" s="131" t="s">
        <v>394</v>
      </c>
      <c r="C835" s="118" t="s">
        <v>277</v>
      </c>
      <c r="D835" s="119">
        <v>3.25</v>
      </c>
      <c r="E835" s="120" t="s">
        <v>13</v>
      </c>
      <c r="F835" s="511"/>
      <c r="G835" s="120" t="s">
        <v>397</v>
      </c>
      <c r="H835" s="122"/>
      <c r="I835" s="122" t="str">
        <f t="shared" si="17"/>
        <v>07,25</v>
      </c>
    </row>
    <row r="836" spans="1:9" ht="19.5" hidden="1" thickBot="1" x14ac:dyDescent="0.3">
      <c r="A836" s="492"/>
      <c r="B836" s="111" t="s">
        <v>394</v>
      </c>
      <c r="C836" s="112" t="s">
        <v>18</v>
      </c>
      <c r="D836" s="113">
        <v>0.67</v>
      </c>
      <c r="E836" s="114" t="s">
        <v>34</v>
      </c>
      <c r="F836" s="494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492"/>
      <c r="B837" s="111" t="s">
        <v>394</v>
      </c>
      <c r="C837" s="112" t="s">
        <v>19</v>
      </c>
      <c r="D837" s="113">
        <v>0.11</v>
      </c>
      <c r="E837" s="114" t="s">
        <v>34</v>
      </c>
      <c r="F837" s="494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492"/>
      <c r="B838" s="111" t="s">
        <v>394</v>
      </c>
      <c r="C838" s="112" t="s">
        <v>116</v>
      </c>
      <c r="D838" s="113">
        <v>0.11</v>
      </c>
      <c r="E838" s="114" t="s">
        <v>34</v>
      </c>
      <c r="F838" s="494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492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494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492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494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504"/>
      <c r="B841" s="117" t="s">
        <v>394</v>
      </c>
      <c r="C841" s="118" t="s">
        <v>17</v>
      </c>
      <c r="D841" s="119">
        <v>0.54</v>
      </c>
      <c r="E841" s="120" t="s">
        <v>45</v>
      </c>
      <c r="F841" s="511"/>
      <c r="G841" s="120" t="s">
        <v>397</v>
      </c>
      <c r="H841" s="122"/>
      <c r="I841" s="122" t="str">
        <f t="shared" si="17"/>
        <v>07,25</v>
      </c>
    </row>
    <row r="842" spans="1:9" ht="19.5" hidden="1" thickBot="1" x14ac:dyDescent="0.3">
      <c r="A842" s="501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98" t="s">
        <v>402</v>
      </c>
      <c r="G842" s="94" t="s">
        <v>401</v>
      </c>
      <c r="H842" s="240" t="s">
        <v>400</v>
      </c>
      <c r="I842" s="194" t="str">
        <f t="shared" si="17"/>
        <v>07,25</v>
      </c>
    </row>
    <row r="843" spans="1:9" ht="19.5" hidden="1" thickBot="1" x14ac:dyDescent="0.3">
      <c r="A843" s="502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488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502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488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502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488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503"/>
      <c r="B846" s="96" t="s">
        <v>399</v>
      </c>
      <c r="C846" s="97" t="s">
        <v>17</v>
      </c>
      <c r="D846" s="98">
        <v>3.27</v>
      </c>
      <c r="E846" s="99" t="s">
        <v>13</v>
      </c>
      <c r="F846" s="510"/>
      <c r="G846" s="99" t="s">
        <v>401</v>
      </c>
      <c r="H846" s="132"/>
      <c r="I846" s="132" t="str">
        <f t="shared" si="17"/>
        <v>07,25</v>
      </c>
    </row>
    <row r="847" spans="1:9" ht="19.5" hidden="1" thickBot="1" x14ac:dyDescent="0.3">
      <c r="A847" s="491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493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492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494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492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494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492"/>
      <c r="B850" s="131" t="s">
        <v>399</v>
      </c>
      <c r="C850" s="118" t="s">
        <v>277</v>
      </c>
      <c r="D850" s="119">
        <v>5.976</v>
      </c>
      <c r="E850" s="120" t="s">
        <v>13</v>
      </c>
      <c r="F850" s="511"/>
      <c r="G850" s="120" t="s">
        <v>404</v>
      </c>
      <c r="H850" s="122"/>
      <c r="I850" s="122" t="str">
        <f t="shared" si="17"/>
        <v>07,25</v>
      </c>
    </row>
    <row r="851" spans="1:9" ht="19.5" hidden="1" thickBot="1" x14ac:dyDescent="0.3">
      <c r="A851" s="492"/>
      <c r="B851" s="111" t="s">
        <v>399</v>
      </c>
      <c r="C851" s="112" t="s">
        <v>18</v>
      </c>
      <c r="D851" s="113">
        <v>0.72</v>
      </c>
      <c r="E851" s="114" t="s">
        <v>34</v>
      </c>
      <c r="F851" s="494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492"/>
      <c r="B852" s="111" t="s">
        <v>399</v>
      </c>
      <c r="C852" s="112" t="s">
        <v>19</v>
      </c>
      <c r="D852" s="113">
        <v>0.43</v>
      </c>
      <c r="E852" s="114" t="s">
        <v>34</v>
      </c>
      <c r="F852" s="494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492"/>
      <c r="B853" s="111" t="s">
        <v>399</v>
      </c>
      <c r="C853" s="112" t="s">
        <v>17</v>
      </c>
      <c r="D853" s="113">
        <v>0.82</v>
      </c>
      <c r="E853" s="114" t="s">
        <v>34</v>
      </c>
      <c r="F853" s="494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492"/>
      <c r="B854" s="167" t="s">
        <v>399</v>
      </c>
      <c r="C854" s="168" t="s">
        <v>18</v>
      </c>
      <c r="D854" s="169">
        <v>0.18</v>
      </c>
      <c r="E854" s="170" t="s">
        <v>45</v>
      </c>
      <c r="F854" s="494"/>
      <c r="G854" s="170" t="s">
        <v>404</v>
      </c>
      <c r="H854" s="166"/>
      <c r="I854" s="166" t="str">
        <f t="shared" si="17"/>
        <v>07,25</v>
      </c>
    </row>
    <row r="855" spans="1:9" ht="19.5" hidden="1" thickBot="1" x14ac:dyDescent="0.3">
      <c r="A855" s="501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98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502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488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503"/>
      <c r="B857" s="96" t="s">
        <v>406</v>
      </c>
      <c r="C857" s="241" t="s">
        <v>367</v>
      </c>
      <c r="D857" s="98">
        <v>1.6890000000000001</v>
      </c>
      <c r="E857" s="99" t="s">
        <v>13</v>
      </c>
      <c r="F857" s="510"/>
      <c r="G857" s="99" t="s">
        <v>407</v>
      </c>
      <c r="H857" s="242" t="s">
        <v>400</v>
      </c>
      <c r="I857" s="196" t="str">
        <f t="shared" si="17"/>
        <v>07,25</v>
      </c>
    </row>
    <row r="858" spans="1:9" ht="19.5" hidden="1" thickBot="1" x14ac:dyDescent="0.3">
      <c r="A858" s="491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492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504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122"/>
      <c r="I860" s="122" t="str">
        <f t="shared" si="17"/>
        <v>07,25</v>
      </c>
    </row>
    <row r="861" spans="1:9" ht="19.5" hidden="1" thickBot="1" x14ac:dyDescent="0.3">
      <c r="A861" s="501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498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502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488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502"/>
      <c r="B863" s="143" t="s">
        <v>406</v>
      </c>
      <c r="C863" s="137" t="s">
        <v>116</v>
      </c>
      <c r="D863" s="138">
        <v>2.024</v>
      </c>
      <c r="E863" s="139" t="s">
        <v>13</v>
      </c>
      <c r="F863" s="488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502"/>
      <c r="B864" s="143" t="s">
        <v>406</v>
      </c>
      <c r="C864" s="137" t="s">
        <v>17</v>
      </c>
      <c r="D864" s="138">
        <v>1.302</v>
      </c>
      <c r="E864" s="139" t="s">
        <v>13</v>
      </c>
      <c r="F864" s="488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502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510"/>
      <c r="G865" s="99" t="s">
        <v>408</v>
      </c>
      <c r="H865" s="132"/>
      <c r="I865" s="132" t="str">
        <f t="shared" si="17"/>
        <v>07,25</v>
      </c>
    </row>
    <row r="866" spans="1:9" ht="19.5" hidden="1" thickBot="1" x14ac:dyDescent="0.3">
      <c r="A866" s="502"/>
      <c r="B866" s="178" t="s">
        <v>406</v>
      </c>
      <c r="C866" s="137" t="s">
        <v>18</v>
      </c>
      <c r="D866" s="138">
        <v>0.87</v>
      </c>
      <c r="E866" s="139" t="s">
        <v>34</v>
      </c>
      <c r="F866" s="498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502"/>
      <c r="B867" s="178" t="s">
        <v>406</v>
      </c>
      <c r="C867" s="137" t="s">
        <v>19</v>
      </c>
      <c r="D867" s="214">
        <v>0.25</v>
      </c>
      <c r="E867" s="139" t="s">
        <v>34</v>
      </c>
      <c r="F867" s="488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502"/>
      <c r="B868" s="178" t="s">
        <v>406</v>
      </c>
      <c r="C868" s="137" t="s">
        <v>116</v>
      </c>
      <c r="D868" s="214">
        <v>0.05</v>
      </c>
      <c r="E868" s="139" t="s">
        <v>34</v>
      </c>
      <c r="F868" s="488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502"/>
      <c r="B869" s="178" t="s">
        <v>406</v>
      </c>
      <c r="C869" s="137" t="s">
        <v>17</v>
      </c>
      <c r="D869" s="138">
        <v>0.5</v>
      </c>
      <c r="E869" s="139" t="s">
        <v>34</v>
      </c>
      <c r="F869" s="488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502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488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502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488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503"/>
      <c r="B872" s="96" t="s">
        <v>406</v>
      </c>
      <c r="C872" s="97" t="s">
        <v>17</v>
      </c>
      <c r="D872" s="98">
        <v>0.63</v>
      </c>
      <c r="E872" s="99" t="s">
        <v>45</v>
      </c>
      <c r="F872" s="510"/>
      <c r="G872" s="99" t="s">
        <v>408</v>
      </c>
      <c r="H872" s="132"/>
      <c r="I872" s="132" t="str">
        <f t="shared" si="17"/>
        <v>07,25</v>
      </c>
    </row>
    <row r="873" spans="1:9" ht="19.5" hidden="1" thickBot="1" x14ac:dyDescent="0.3">
      <c r="A873" s="491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493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492"/>
      <c r="B874" s="111" t="s">
        <v>410</v>
      </c>
      <c r="C874" s="112" t="s">
        <v>19</v>
      </c>
      <c r="D874" s="113">
        <v>3.169</v>
      </c>
      <c r="E874" s="114" t="s">
        <v>13</v>
      </c>
      <c r="F874" s="494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492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494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492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494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504"/>
      <c r="B877" s="117" t="s">
        <v>410</v>
      </c>
      <c r="C877" s="244" t="s">
        <v>367</v>
      </c>
      <c r="D877" s="119">
        <v>1.9610000000000001</v>
      </c>
      <c r="E877" s="120" t="s">
        <v>13</v>
      </c>
      <c r="F877" s="511"/>
      <c r="G877" s="120" t="s">
        <v>411</v>
      </c>
      <c r="H877" s="243" t="s">
        <v>416</v>
      </c>
      <c r="I877" s="193" t="str">
        <f t="shared" si="17"/>
        <v>08,25</v>
      </c>
    </row>
    <row r="878" spans="1:9" ht="25.5" hidden="1" customHeight="1" x14ac:dyDescent="0.25">
      <c r="A878" s="501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498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502"/>
      <c r="B879" s="143" t="s">
        <v>410</v>
      </c>
      <c r="C879" s="137" t="s">
        <v>17</v>
      </c>
      <c r="D879" s="138">
        <v>2.63</v>
      </c>
      <c r="E879" s="139" t="s">
        <v>13</v>
      </c>
      <c r="F879" s="488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502"/>
      <c r="B880" s="142" t="s">
        <v>410</v>
      </c>
      <c r="C880" s="97" t="s">
        <v>277</v>
      </c>
      <c r="D880" s="98">
        <v>8.016</v>
      </c>
      <c r="E880" s="99" t="s">
        <v>13</v>
      </c>
      <c r="F880" s="510"/>
      <c r="G880" s="99" t="s">
        <v>413</v>
      </c>
      <c r="H880" s="132"/>
      <c r="I880" s="132" t="str">
        <f t="shared" si="17"/>
        <v>08,25</v>
      </c>
    </row>
    <row r="881" spans="1:9" ht="19.5" hidden="1" thickBot="1" x14ac:dyDescent="0.3">
      <c r="A881" s="502"/>
      <c r="B881" s="178" t="s">
        <v>410</v>
      </c>
      <c r="C881" s="137" t="s">
        <v>18</v>
      </c>
      <c r="D881" s="138">
        <v>0.83</v>
      </c>
      <c r="E881" s="139" t="s">
        <v>34</v>
      </c>
      <c r="F881" s="488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502"/>
      <c r="B882" s="178" t="s">
        <v>410</v>
      </c>
      <c r="C882" s="137" t="s">
        <v>17</v>
      </c>
      <c r="D882" s="138">
        <v>1.6</v>
      </c>
      <c r="E882" s="139" t="s">
        <v>34</v>
      </c>
      <c r="F882" s="488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502"/>
      <c r="B883" s="178" t="s">
        <v>410</v>
      </c>
      <c r="C883" s="137" t="s">
        <v>18</v>
      </c>
      <c r="D883" s="138">
        <v>0.23</v>
      </c>
      <c r="E883" s="139" t="s">
        <v>45</v>
      </c>
      <c r="F883" s="488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503"/>
      <c r="B884" s="96" t="s">
        <v>410</v>
      </c>
      <c r="C884" s="97" t="s">
        <v>17</v>
      </c>
      <c r="D884" s="98">
        <v>0.3</v>
      </c>
      <c r="E884" s="99" t="s">
        <v>45</v>
      </c>
      <c r="F884" s="510"/>
      <c r="G884" s="99" t="s">
        <v>413</v>
      </c>
      <c r="H884" s="132"/>
      <c r="I884" s="132" t="str">
        <f t="shared" si="17"/>
        <v>08,25</v>
      </c>
    </row>
    <row r="885" spans="1:9" ht="19.5" hidden="1" thickBot="1" x14ac:dyDescent="0.3">
      <c r="A885" s="491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493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492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494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492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494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492"/>
      <c r="B888" s="111" t="s">
        <v>417</v>
      </c>
      <c r="C888" s="245" t="s">
        <v>367</v>
      </c>
      <c r="D888" s="113">
        <v>1.95</v>
      </c>
      <c r="E888" s="114" t="s">
        <v>13</v>
      </c>
      <c r="F888" s="494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504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511"/>
      <c r="G889" s="120" t="s">
        <v>418</v>
      </c>
      <c r="H889" s="122"/>
      <c r="I889" s="122" t="str">
        <f t="shared" si="17"/>
        <v>08,25</v>
      </c>
    </row>
    <row r="890" spans="1:9" ht="19.5" hidden="1" thickBot="1" x14ac:dyDescent="0.3">
      <c r="A890" s="502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498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502"/>
      <c r="B891" s="143" t="s">
        <v>417</v>
      </c>
      <c r="C891" s="137" t="s">
        <v>116</v>
      </c>
      <c r="D891" s="138">
        <v>1.012</v>
      </c>
      <c r="E891" s="139" t="s">
        <v>13</v>
      </c>
      <c r="F891" s="488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502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488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502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510"/>
      <c r="G893" s="99" t="s">
        <v>419</v>
      </c>
      <c r="H893" s="132"/>
      <c r="I893" s="132" t="str">
        <f t="shared" si="17"/>
        <v>08,25</v>
      </c>
    </row>
    <row r="894" spans="1:9" ht="19.5" hidden="1" thickBot="1" x14ac:dyDescent="0.3">
      <c r="A894" s="502"/>
      <c r="B894" s="178" t="s">
        <v>417</v>
      </c>
      <c r="C894" s="137" t="s">
        <v>18</v>
      </c>
      <c r="D894" s="138">
        <v>0.39</v>
      </c>
      <c r="E894" s="139" t="s">
        <v>34</v>
      </c>
      <c r="F894" s="488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502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488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502"/>
      <c r="B896" s="178" t="s">
        <v>417</v>
      </c>
      <c r="C896" s="137" t="s">
        <v>116</v>
      </c>
      <c r="D896" s="214">
        <v>0.04</v>
      </c>
      <c r="E896" s="139" t="s">
        <v>34</v>
      </c>
      <c r="F896" s="488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502"/>
      <c r="B897" s="178" t="s">
        <v>417</v>
      </c>
      <c r="C897" s="137" t="s">
        <v>17</v>
      </c>
      <c r="D897" s="138">
        <v>1.7</v>
      </c>
      <c r="E897" s="139" t="s">
        <v>34</v>
      </c>
      <c r="F897" s="488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502"/>
      <c r="B898" s="178" t="s">
        <v>417</v>
      </c>
      <c r="C898" s="137" t="s">
        <v>18</v>
      </c>
      <c r="D898" s="214">
        <v>0.03</v>
      </c>
      <c r="E898" s="139" t="s">
        <v>45</v>
      </c>
      <c r="F898" s="488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502"/>
      <c r="B899" s="178" t="s">
        <v>417</v>
      </c>
      <c r="C899" s="137" t="s">
        <v>19</v>
      </c>
      <c r="D899" s="214">
        <v>0.02</v>
      </c>
      <c r="E899" s="139" t="s">
        <v>45</v>
      </c>
      <c r="F899" s="488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502"/>
      <c r="B900" s="144" t="s">
        <v>417</v>
      </c>
      <c r="C900" s="145" t="s">
        <v>17</v>
      </c>
      <c r="D900" s="146">
        <v>0.52</v>
      </c>
      <c r="E900" s="147" t="s">
        <v>45</v>
      </c>
      <c r="F900" s="488"/>
      <c r="G900" s="147" t="s">
        <v>419</v>
      </c>
      <c r="H900" s="148"/>
      <c r="I900" s="148" t="str">
        <f t="shared" si="17"/>
        <v>08,25</v>
      </c>
    </row>
    <row r="901" spans="1:9" ht="19.5" hidden="1" thickBot="1" x14ac:dyDescent="0.3">
      <c r="A901" s="491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493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492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494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504"/>
      <c r="B903" s="117" t="s">
        <v>421</v>
      </c>
      <c r="C903" s="244" t="s">
        <v>367</v>
      </c>
      <c r="D903" s="119">
        <v>2.2549999999999999</v>
      </c>
      <c r="E903" s="120" t="s">
        <v>13</v>
      </c>
      <c r="F903" s="511"/>
      <c r="G903" s="120" t="s">
        <v>422</v>
      </c>
      <c r="H903" s="243" t="s">
        <v>416</v>
      </c>
      <c r="I903" s="193" t="str">
        <f t="shared" si="17"/>
        <v>08,25</v>
      </c>
    </row>
    <row r="904" spans="1:9" ht="19.5" hidden="1" thickBot="1" x14ac:dyDescent="0.3">
      <c r="A904" s="501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503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132"/>
      <c r="I905" s="132" t="str">
        <f t="shared" si="17"/>
        <v>08,25</v>
      </c>
    </row>
    <row r="906" spans="1:9" ht="26.25" hidden="1" customHeight="1" x14ac:dyDescent="0.25">
      <c r="A906" s="491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493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492"/>
      <c r="B907" s="130" t="s">
        <v>421</v>
      </c>
      <c r="C907" s="112" t="s">
        <v>116</v>
      </c>
      <c r="D907" s="113">
        <v>0.95</v>
      </c>
      <c r="E907" s="114" t="s">
        <v>13</v>
      </c>
      <c r="F907" s="494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492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511"/>
      <c r="G908" s="120" t="s">
        <v>424</v>
      </c>
      <c r="H908" s="122"/>
      <c r="I908" s="122" t="str">
        <f t="shared" si="17"/>
        <v>08,25</v>
      </c>
    </row>
    <row r="909" spans="1:9" ht="19.5" hidden="1" thickBot="1" x14ac:dyDescent="0.3">
      <c r="A909" s="492"/>
      <c r="B909" s="111" t="s">
        <v>421</v>
      </c>
      <c r="C909" s="112" t="s">
        <v>18</v>
      </c>
      <c r="D909" s="113">
        <v>1.73</v>
      </c>
      <c r="E909" s="114" t="s">
        <v>34</v>
      </c>
      <c r="F909" s="493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492"/>
      <c r="B910" s="111" t="s">
        <v>421</v>
      </c>
      <c r="C910" s="112" t="s">
        <v>19</v>
      </c>
      <c r="D910" s="113">
        <v>0.79</v>
      </c>
      <c r="E910" s="114" t="s">
        <v>34</v>
      </c>
      <c r="F910" s="494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492"/>
      <c r="B911" s="111" t="s">
        <v>421</v>
      </c>
      <c r="C911" s="112" t="s">
        <v>116</v>
      </c>
      <c r="D911" s="113">
        <v>0.1</v>
      </c>
      <c r="E911" s="114" t="s">
        <v>34</v>
      </c>
      <c r="F911" s="494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492"/>
      <c r="B912" s="111" t="s">
        <v>421</v>
      </c>
      <c r="C912" s="112" t="s">
        <v>17</v>
      </c>
      <c r="D912" s="113">
        <v>1.4</v>
      </c>
      <c r="E912" s="114" t="s">
        <v>34</v>
      </c>
      <c r="F912" s="494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492"/>
      <c r="B913" s="111" t="s">
        <v>421</v>
      </c>
      <c r="C913" s="112" t="s">
        <v>18</v>
      </c>
      <c r="D913" s="113">
        <v>0.36</v>
      </c>
      <c r="E913" s="114" t="s">
        <v>45</v>
      </c>
      <c r="F913" s="494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492"/>
      <c r="B914" s="111" t="s">
        <v>421</v>
      </c>
      <c r="C914" s="112" t="s">
        <v>19</v>
      </c>
      <c r="D914" s="113">
        <v>0.11</v>
      </c>
      <c r="E914" s="114" t="s">
        <v>45</v>
      </c>
      <c r="F914" s="494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492"/>
      <c r="B915" s="111" t="s">
        <v>421</v>
      </c>
      <c r="C915" s="112" t="s">
        <v>116</v>
      </c>
      <c r="D915" s="215">
        <v>0.01</v>
      </c>
      <c r="E915" s="114" t="s">
        <v>45</v>
      </c>
      <c r="F915" s="494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492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494"/>
      <c r="G916" s="170" t="s">
        <v>424</v>
      </c>
      <c r="H916" s="166"/>
      <c r="I916" s="166" t="str">
        <f t="shared" si="17"/>
        <v>08,25</v>
      </c>
    </row>
    <row r="917" spans="1:9" ht="19.5" hidden="1" thickBot="1" x14ac:dyDescent="0.3">
      <c r="A917" s="501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98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502"/>
      <c r="B918" s="178" t="s">
        <v>427</v>
      </c>
      <c r="C918" s="246" t="s">
        <v>367</v>
      </c>
      <c r="D918" s="138">
        <v>2.6110000000000002</v>
      </c>
      <c r="E918" s="139" t="s">
        <v>13</v>
      </c>
      <c r="F918" s="488"/>
      <c r="G918" s="139" t="s">
        <v>428</v>
      </c>
      <c r="H918" s="247" t="s">
        <v>416</v>
      </c>
      <c r="I918" s="195" t="str">
        <f t="shared" si="17"/>
        <v>08,25</v>
      </c>
    </row>
    <row r="919" spans="1:9" ht="19.5" hidden="1" thickBot="1" x14ac:dyDescent="0.3">
      <c r="A919" s="503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510"/>
      <c r="G919" s="99" t="s">
        <v>428</v>
      </c>
      <c r="H919" s="132"/>
      <c r="I919" s="132" t="str">
        <f t="shared" si="17"/>
        <v>08,25</v>
      </c>
    </row>
    <row r="920" spans="1:9" ht="19.5" hidden="1" thickBot="1" x14ac:dyDescent="0.3">
      <c r="A920" s="491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492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504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122"/>
      <c r="I922" s="122" t="str">
        <f t="shared" si="17"/>
        <v>08,25</v>
      </c>
    </row>
    <row r="923" spans="1:9" ht="26.25" hidden="1" customHeight="1" x14ac:dyDescent="0.25">
      <c r="A923" s="501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98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502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488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502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550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502"/>
      <c r="B926" s="178" t="s">
        <v>427</v>
      </c>
      <c r="C926" s="137" t="s">
        <v>18</v>
      </c>
      <c r="D926" s="138">
        <v>0.67</v>
      </c>
      <c r="E926" s="139" t="s">
        <v>34</v>
      </c>
      <c r="F926" s="487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502"/>
      <c r="B927" s="178" t="s">
        <v>427</v>
      </c>
      <c r="C927" s="137" t="s">
        <v>116</v>
      </c>
      <c r="D927" s="138">
        <v>0.11</v>
      </c>
      <c r="E927" s="139" t="s">
        <v>34</v>
      </c>
      <c r="F927" s="488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502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488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502"/>
      <c r="B929" s="178" t="s">
        <v>427</v>
      </c>
      <c r="C929" s="137" t="s">
        <v>18</v>
      </c>
      <c r="D929" s="138">
        <v>0.13</v>
      </c>
      <c r="E929" s="139" t="s">
        <v>45</v>
      </c>
      <c r="F929" s="488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502"/>
      <c r="B930" s="144" t="s">
        <v>427</v>
      </c>
      <c r="C930" s="145" t="s">
        <v>17</v>
      </c>
      <c r="D930" s="146">
        <v>0.33</v>
      </c>
      <c r="E930" s="147" t="s">
        <v>45</v>
      </c>
      <c r="F930" s="488"/>
      <c r="G930" s="147" t="s">
        <v>431</v>
      </c>
      <c r="H930" s="148"/>
      <c r="I930" s="148" t="str">
        <f t="shared" si="17"/>
        <v>08,25</v>
      </c>
    </row>
    <row r="931" spans="1:9" ht="19.5" hidden="1" thickBot="1" x14ac:dyDescent="0.3">
      <c r="A931" s="491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493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492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494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492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494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492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494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492"/>
      <c r="B935" s="111" t="s">
        <v>432</v>
      </c>
      <c r="C935" s="245" t="s">
        <v>367</v>
      </c>
      <c r="D935" s="113">
        <v>1.204</v>
      </c>
      <c r="E935" s="114" t="s">
        <v>13</v>
      </c>
      <c r="F935" s="494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504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511"/>
      <c r="G936" s="120" t="s">
        <v>433</v>
      </c>
      <c r="H936" s="122"/>
      <c r="I936" s="122" t="str">
        <f t="shared" si="17"/>
        <v>08,25</v>
      </c>
    </row>
    <row r="937" spans="1:9" ht="19.5" hidden="1" thickBot="1" x14ac:dyDescent="0.3">
      <c r="A937" s="501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98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502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488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502"/>
      <c r="B939" s="178" t="s">
        <v>432</v>
      </c>
      <c r="C939" s="137" t="s">
        <v>116</v>
      </c>
      <c r="D939" s="138">
        <v>2.331</v>
      </c>
      <c r="E939" s="139" t="s">
        <v>13</v>
      </c>
      <c r="F939" s="488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502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488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503"/>
      <c r="B941" s="96" t="s">
        <v>432</v>
      </c>
      <c r="C941" s="97" t="s">
        <v>277</v>
      </c>
      <c r="D941" s="98">
        <v>2.903</v>
      </c>
      <c r="E941" s="99" t="s">
        <v>13</v>
      </c>
      <c r="F941" s="510"/>
      <c r="G941" s="99" t="s">
        <v>434</v>
      </c>
      <c r="H941" s="132"/>
      <c r="I941" s="132" t="str">
        <f t="shared" si="17"/>
        <v>09,25</v>
      </c>
    </row>
    <row r="942" spans="1:9" ht="19.5" hidden="1" thickBot="1" x14ac:dyDescent="0.3">
      <c r="A942" s="491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493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492"/>
      <c r="B943" s="111" t="s">
        <v>432</v>
      </c>
      <c r="C943" s="112" t="s">
        <v>19</v>
      </c>
      <c r="D943" s="113">
        <v>0.2</v>
      </c>
      <c r="E943" s="114" t="s">
        <v>34</v>
      </c>
      <c r="F943" s="494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492"/>
      <c r="B944" s="111" t="s">
        <v>432</v>
      </c>
      <c r="C944" s="112" t="s">
        <v>116</v>
      </c>
      <c r="D944" s="113">
        <v>0.09</v>
      </c>
      <c r="E944" s="114" t="s">
        <v>34</v>
      </c>
      <c r="F944" s="494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492"/>
      <c r="B945" s="111" t="s">
        <v>432</v>
      </c>
      <c r="C945" s="112" t="s">
        <v>17</v>
      </c>
      <c r="D945" s="113">
        <v>1.5</v>
      </c>
      <c r="E945" s="114" t="s">
        <v>34</v>
      </c>
      <c r="F945" s="494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492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494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504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511"/>
      <c r="G947" s="120" t="s">
        <v>434</v>
      </c>
      <c r="H947" s="122"/>
      <c r="I947" s="122" t="str">
        <f t="shared" si="17"/>
        <v>09,25</v>
      </c>
    </row>
    <row r="948" spans="1:9" ht="19.5" hidden="1" thickBot="1" x14ac:dyDescent="0.3">
      <c r="A948" s="501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98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502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488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502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488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502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488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503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510"/>
      <c r="G952" s="99" t="s">
        <v>437</v>
      </c>
      <c r="H952" s="242" t="s">
        <v>416</v>
      </c>
      <c r="I952" s="196" t="str">
        <f t="shared" si="17"/>
        <v>09,25</v>
      </c>
    </row>
    <row r="953" spans="1:9" ht="19.5" hidden="1" thickBot="1" x14ac:dyDescent="0.3">
      <c r="A953" s="492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493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492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494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492"/>
      <c r="B955" s="130" t="s">
        <v>436</v>
      </c>
      <c r="C955" s="112" t="s">
        <v>17</v>
      </c>
      <c r="D955" s="113">
        <v>3.226</v>
      </c>
      <c r="E955" s="114" t="s">
        <v>13</v>
      </c>
      <c r="F955" s="494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492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511"/>
      <c r="G956" s="120" t="s">
        <v>438</v>
      </c>
      <c r="H956" s="122"/>
      <c r="I956" s="122" t="str">
        <f t="shared" si="17"/>
        <v>09,25</v>
      </c>
    </row>
    <row r="957" spans="1:9" ht="19.5" hidden="1" thickBot="1" x14ac:dyDescent="0.3">
      <c r="A957" s="492"/>
      <c r="B957" s="111" t="s">
        <v>436</v>
      </c>
      <c r="C957" s="112" t="s">
        <v>18</v>
      </c>
      <c r="D957" s="113">
        <v>0.59</v>
      </c>
      <c r="E957" s="114" t="s">
        <v>34</v>
      </c>
      <c r="F957" s="494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492"/>
      <c r="B958" s="111" t="s">
        <v>436</v>
      </c>
      <c r="C958" s="112" t="s">
        <v>19</v>
      </c>
      <c r="D958" s="113">
        <v>0.42</v>
      </c>
      <c r="E958" s="114" t="s">
        <v>34</v>
      </c>
      <c r="F958" s="494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492"/>
      <c r="B959" s="111" t="s">
        <v>436</v>
      </c>
      <c r="C959" s="112" t="s">
        <v>116</v>
      </c>
      <c r="D959" s="113">
        <v>0.16</v>
      </c>
      <c r="E959" s="114" t="s">
        <v>34</v>
      </c>
      <c r="F959" s="494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492"/>
      <c r="B960" s="111" t="s">
        <v>436</v>
      </c>
      <c r="C960" s="112" t="s">
        <v>17</v>
      </c>
      <c r="D960" s="113">
        <v>1.46</v>
      </c>
      <c r="E960" s="114" t="s">
        <v>34</v>
      </c>
      <c r="F960" s="494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492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494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492"/>
      <c r="B962" s="111" t="s">
        <v>436</v>
      </c>
      <c r="C962" s="112" t="s">
        <v>19</v>
      </c>
      <c r="D962" s="215">
        <v>0.06</v>
      </c>
      <c r="E962" s="114" t="s">
        <v>45</v>
      </c>
      <c r="F962" s="494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492"/>
      <c r="B963" s="111" t="s">
        <v>436</v>
      </c>
      <c r="C963" s="112" t="s">
        <v>116</v>
      </c>
      <c r="D963" s="215">
        <v>0.02</v>
      </c>
      <c r="E963" s="114" t="s">
        <v>45</v>
      </c>
      <c r="F963" s="494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504"/>
      <c r="B964" s="117" t="s">
        <v>436</v>
      </c>
      <c r="C964" s="118" t="s">
        <v>17</v>
      </c>
      <c r="D964" s="119">
        <v>0.34</v>
      </c>
      <c r="E964" s="120" t="s">
        <v>45</v>
      </c>
      <c r="F964" s="511"/>
      <c r="G964" s="120" t="s">
        <v>438</v>
      </c>
      <c r="H964" s="122"/>
      <c r="I964" s="122" t="str">
        <f t="shared" si="17"/>
        <v>09,25</v>
      </c>
    </row>
    <row r="965" spans="1:9" ht="19.5" hidden="1" thickBot="1" x14ac:dyDescent="0.3">
      <c r="A965" s="501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98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502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488"/>
      <c r="G966" s="139" t="s">
        <v>442</v>
      </c>
      <c r="H966" s="247" t="s">
        <v>416</v>
      </c>
      <c r="I966" s="195" t="str">
        <f t="shared" si="17"/>
        <v>09,25</v>
      </c>
    </row>
    <row r="967" spans="1:9" ht="19.5" hidden="1" thickBot="1" x14ac:dyDescent="0.3">
      <c r="A967" s="502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488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502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488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503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510"/>
      <c r="G969" s="99" t="s">
        <v>442</v>
      </c>
      <c r="H969" s="132"/>
      <c r="I969" s="132" t="str">
        <f t="shared" si="17"/>
        <v>09,25</v>
      </c>
    </row>
    <row r="970" spans="1:9" ht="19.5" hidden="1" thickBot="1" x14ac:dyDescent="0.3">
      <c r="A970" s="491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493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492"/>
      <c r="B971" s="130" t="s">
        <v>441</v>
      </c>
      <c r="C971" s="112" t="s">
        <v>116</v>
      </c>
      <c r="D971" s="113">
        <v>3.323</v>
      </c>
      <c r="E971" s="114" t="s">
        <v>13</v>
      </c>
      <c r="F971" s="494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492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494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492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511"/>
      <c r="G973" s="120" t="s">
        <v>443</v>
      </c>
      <c r="H973" s="122"/>
      <c r="I973" s="122" t="str">
        <f t="shared" si="17"/>
        <v>09,25</v>
      </c>
    </row>
    <row r="974" spans="1:9" ht="19.5" hidden="1" thickBot="1" x14ac:dyDescent="0.3">
      <c r="A974" s="492"/>
      <c r="B974" s="111" t="s">
        <v>441</v>
      </c>
      <c r="C974" s="112" t="s">
        <v>18</v>
      </c>
      <c r="D974" s="113">
        <v>1.04</v>
      </c>
      <c r="E974" s="114" t="s">
        <v>34</v>
      </c>
      <c r="F974" s="494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492"/>
      <c r="B975" s="111" t="s">
        <v>441</v>
      </c>
      <c r="C975" s="112" t="s">
        <v>19</v>
      </c>
      <c r="D975" s="113">
        <v>0.31</v>
      </c>
      <c r="E975" s="114" t="s">
        <v>34</v>
      </c>
      <c r="F975" s="494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492"/>
      <c r="B976" s="111" t="s">
        <v>441</v>
      </c>
      <c r="C976" s="112" t="s">
        <v>116</v>
      </c>
      <c r="D976" s="215">
        <v>0.05</v>
      </c>
      <c r="E976" s="114" t="s">
        <v>34</v>
      </c>
      <c r="F976" s="494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492"/>
      <c r="B977" s="111" t="s">
        <v>441</v>
      </c>
      <c r="C977" s="112" t="s">
        <v>17</v>
      </c>
      <c r="D977" s="113">
        <v>1.52</v>
      </c>
      <c r="E977" s="114" t="s">
        <v>34</v>
      </c>
      <c r="F977" s="494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492"/>
      <c r="B978" s="111" t="s">
        <v>441</v>
      </c>
      <c r="C978" s="112" t="s">
        <v>18</v>
      </c>
      <c r="D978" s="113">
        <v>0.09</v>
      </c>
      <c r="E978" s="114" t="s">
        <v>45</v>
      </c>
      <c r="F978" s="494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492"/>
      <c r="B979" s="111" t="s">
        <v>441</v>
      </c>
      <c r="C979" s="112" t="s">
        <v>19</v>
      </c>
      <c r="D979" s="215">
        <v>0.05</v>
      </c>
      <c r="E979" s="114" t="s">
        <v>45</v>
      </c>
      <c r="F979" s="494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492"/>
      <c r="B980" s="167" t="s">
        <v>441</v>
      </c>
      <c r="C980" s="168" t="s">
        <v>17</v>
      </c>
      <c r="D980" s="169">
        <v>0.66</v>
      </c>
      <c r="E980" s="170" t="s">
        <v>45</v>
      </c>
      <c r="F980" s="494"/>
      <c r="G980" s="170" t="s">
        <v>443</v>
      </c>
      <c r="H980" s="166"/>
      <c r="I980" s="166" t="str">
        <f t="shared" si="17"/>
        <v>09,25</v>
      </c>
    </row>
    <row r="981" spans="1:9" ht="19.5" hidden="1" thickBot="1" x14ac:dyDescent="0.3">
      <c r="A981" s="501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98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502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488"/>
      <c r="G982" s="139" t="s">
        <v>447</v>
      </c>
      <c r="H982" s="247" t="s">
        <v>416</v>
      </c>
      <c r="I982" s="195" t="str">
        <f t="shared" si="23"/>
        <v>09,25</v>
      </c>
    </row>
    <row r="983" spans="1:9" ht="19.5" hidden="1" thickBot="1" x14ac:dyDescent="0.3">
      <c r="A983" s="502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488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502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488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503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510"/>
      <c r="G985" s="99" t="s">
        <v>447</v>
      </c>
      <c r="H985" s="132"/>
      <c r="I985" s="132" t="str">
        <f t="shared" si="23"/>
        <v>09,25</v>
      </c>
    </row>
    <row r="986" spans="1:9" ht="19.5" hidden="1" thickBot="1" x14ac:dyDescent="0.3">
      <c r="A986" s="491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493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492"/>
      <c r="B987" s="111" t="s">
        <v>446</v>
      </c>
      <c r="C987" s="112" t="s">
        <v>19</v>
      </c>
      <c r="D987" s="113">
        <v>3.62</v>
      </c>
      <c r="E987" s="114" t="s">
        <v>13</v>
      </c>
      <c r="F987" s="494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492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494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492"/>
      <c r="B989" s="111" t="s">
        <v>446</v>
      </c>
      <c r="C989" s="112" t="s">
        <v>17</v>
      </c>
      <c r="D989" s="113">
        <v>2.38</v>
      </c>
      <c r="E989" s="114" t="s">
        <v>13</v>
      </c>
      <c r="F989" s="494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504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511"/>
      <c r="G990" s="120" t="s">
        <v>449</v>
      </c>
      <c r="H990" s="122"/>
      <c r="I990" s="122" t="str">
        <f t="shared" si="23"/>
        <v>09,25</v>
      </c>
    </row>
    <row r="991" spans="1:9" ht="19.5" hidden="1" thickBot="1" x14ac:dyDescent="0.3">
      <c r="A991" s="501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98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502"/>
      <c r="B992" s="178" t="s">
        <v>446</v>
      </c>
      <c r="C992" s="137" t="s">
        <v>19</v>
      </c>
      <c r="D992" s="138">
        <v>0.31</v>
      </c>
      <c r="E992" s="139" t="s">
        <v>34</v>
      </c>
      <c r="F992" s="488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502"/>
      <c r="B993" s="178" t="s">
        <v>446</v>
      </c>
      <c r="C993" s="137" t="s">
        <v>116</v>
      </c>
      <c r="D993" s="138">
        <v>0.15</v>
      </c>
      <c r="E993" s="139" t="s">
        <v>34</v>
      </c>
      <c r="F993" s="488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502"/>
      <c r="B994" s="178" t="s">
        <v>446</v>
      </c>
      <c r="C994" s="137" t="s">
        <v>17</v>
      </c>
      <c r="D994" s="138">
        <v>0.81</v>
      </c>
      <c r="E994" s="139" t="s">
        <v>34</v>
      </c>
      <c r="F994" s="488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502"/>
      <c r="B995" s="178" t="s">
        <v>446</v>
      </c>
      <c r="C995" s="137" t="s">
        <v>18</v>
      </c>
      <c r="D995" s="138">
        <v>0.3</v>
      </c>
      <c r="E995" s="139" t="s">
        <v>45</v>
      </c>
      <c r="F995" s="488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502"/>
      <c r="B996" s="178" t="s">
        <v>446</v>
      </c>
      <c r="C996" s="137" t="s">
        <v>19</v>
      </c>
      <c r="D996" s="214">
        <v>0.01</v>
      </c>
      <c r="E996" s="139" t="s">
        <v>45</v>
      </c>
      <c r="F996" s="488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502"/>
      <c r="B997" s="178" t="s">
        <v>446</v>
      </c>
      <c r="C997" s="137" t="s">
        <v>116</v>
      </c>
      <c r="D997" s="214">
        <v>0.01</v>
      </c>
      <c r="E997" s="139" t="s">
        <v>45</v>
      </c>
      <c r="F997" s="488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502"/>
      <c r="B998" s="144" t="s">
        <v>446</v>
      </c>
      <c r="C998" s="145" t="s">
        <v>17</v>
      </c>
      <c r="D998" s="146">
        <v>0.2</v>
      </c>
      <c r="E998" s="147" t="s">
        <v>45</v>
      </c>
      <c r="F998" s="488"/>
      <c r="G998" s="147" t="s">
        <v>449</v>
      </c>
      <c r="H998" s="148"/>
      <c r="I998" s="148" t="str">
        <f t="shared" si="23"/>
        <v>09,25</v>
      </c>
    </row>
    <row r="999" spans="1:9" ht="19.5" hidden="1" thickBot="1" x14ac:dyDescent="0.3">
      <c r="A999" s="491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493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492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494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492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494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492"/>
      <c r="B1002" s="111" t="s">
        <v>452</v>
      </c>
      <c r="C1002" s="112" t="s">
        <v>19</v>
      </c>
      <c r="D1002" s="113">
        <v>4</v>
      </c>
      <c r="E1002" s="114" t="s">
        <v>13</v>
      </c>
      <c r="F1002" s="494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504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511"/>
      <c r="G1003" s="120" t="s">
        <v>453</v>
      </c>
      <c r="H1003" s="122"/>
      <c r="I1003" s="122" t="str">
        <f t="shared" si="23"/>
        <v>09,25</v>
      </c>
    </row>
    <row r="1004" spans="1:9" ht="19.5" hidden="1" thickBot="1" x14ac:dyDescent="0.3">
      <c r="A1004" s="501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98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502"/>
      <c r="B1005" s="178" t="s">
        <v>452</v>
      </c>
      <c r="C1005" s="137" t="s">
        <v>19</v>
      </c>
      <c r="D1005" s="138">
        <v>3.65</v>
      </c>
      <c r="E1005" s="139" t="s">
        <v>13</v>
      </c>
      <c r="F1005" s="488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502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488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502"/>
      <c r="B1007" s="178" t="s">
        <v>452</v>
      </c>
      <c r="C1007" s="137" t="s">
        <v>17</v>
      </c>
      <c r="D1007" s="138">
        <v>4.34</v>
      </c>
      <c r="E1007" s="139" t="s">
        <v>13</v>
      </c>
      <c r="F1007" s="488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503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510"/>
      <c r="G1008" s="99" t="s">
        <v>454</v>
      </c>
      <c r="H1008" s="132"/>
      <c r="I1008" s="132" t="str">
        <f t="shared" si="23"/>
        <v>09,25</v>
      </c>
    </row>
    <row r="1009" spans="1:9" ht="19.5" hidden="1" thickBot="1" x14ac:dyDescent="0.3">
      <c r="A1009" s="491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493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492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494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492"/>
      <c r="B1011" s="111" t="s">
        <v>452</v>
      </c>
      <c r="C1011" s="112" t="s">
        <v>116</v>
      </c>
      <c r="D1011" s="113">
        <v>0.25</v>
      </c>
      <c r="E1011" s="114" t="s">
        <v>34</v>
      </c>
      <c r="F1011" s="494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492"/>
      <c r="B1012" s="111" t="s">
        <v>452</v>
      </c>
      <c r="C1012" s="112" t="s">
        <v>17</v>
      </c>
      <c r="D1012" s="113">
        <v>1.07</v>
      </c>
      <c r="E1012" s="114" t="s">
        <v>34</v>
      </c>
      <c r="F1012" s="494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492"/>
      <c r="B1013" s="111" t="s">
        <v>452</v>
      </c>
      <c r="C1013" s="112" t="s">
        <v>18</v>
      </c>
      <c r="D1013" s="113">
        <v>0.2</v>
      </c>
      <c r="E1013" s="114" t="s">
        <v>45</v>
      </c>
      <c r="F1013" s="494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492"/>
      <c r="B1014" s="111" t="s">
        <v>452</v>
      </c>
      <c r="C1014" s="112" t="s">
        <v>19</v>
      </c>
      <c r="D1014" s="215">
        <v>0.02</v>
      </c>
      <c r="E1014" s="114" t="s">
        <v>45</v>
      </c>
      <c r="F1014" s="494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492"/>
      <c r="B1015" s="167" t="s">
        <v>452</v>
      </c>
      <c r="C1015" s="168" t="s">
        <v>116</v>
      </c>
      <c r="D1015" s="249">
        <v>0.03</v>
      </c>
      <c r="E1015" s="170" t="s">
        <v>45</v>
      </c>
      <c r="F1015" s="494"/>
      <c r="G1015" s="170" t="s">
        <v>454</v>
      </c>
      <c r="H1015" s="166"/>
      <c r="I1015" s="166" t="str">
        <f t="shared" si="23"/>
        <v>09,25</v>
      </c>
    </row>
    <row r="1016" spans="1:9" ht="19.5" hidden="1" thickBot="1" x14ac:dyDescent="0.3">
      <c r="A1016" s="501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98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502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488"/>
      <c r="G1017" s="139" t="s">
        <v>457</v>
      </c>
      <c r="H1017" s="247" t="s">
        <v>416</v>
      </c>
      <c r="I1017" s="195" t="str">
        <f t="shared" si="23"/>
        <v>10,25</v>
      </c>
    </row>
    <row r="1018" spans="1:9" ht="19.5" hidden="1" thickBot="1" x14ac:dyDescent="0.3">
      <c r="A1018" s="502"/>
      <c r="B1018" s="178" t="s">
        <v>456</v>
      </c>
      <c r="C1018" s="137" t="s">
        <v>18</v>
      </c>
      <c r="D1018" s="138">
        <v>2.4</v>
      </c>
      <c r="E1018" s="139" t="s">
        <v>13</v>
      </c>
      <c r="F1018" s="488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502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488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503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510"/>
      <c r="G1020" s="99" t="s">
        <v>457</v>
      </c>
      <c r="H1020" s="132"/>
      <c r="I1020" s="132" t="str">
        <f t="shared" si="23"/>
        <v>10,25</v>
      </c>
    </row>
    <row r="1021" spans="1:9" ht="19.5" hidden="1" thickBot="1" x14ac:dyDescent="0.3">
      <c r="A1021" s="491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493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492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494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492"/>
      <c r="B1023" s="111" t="s">
        <v>456</v>
      </c>
      <c r="C1023" s="112" t="s">
        <v>116</v>
      </c>
      <c r="D1023" s="113">
        <v>4.25</v>
      </c>
      <c r="E1023" s="114" t="s">
        <v>13</v>
      </c>
      <c r="F1023" s="494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492"/>
      <c r="B1024" s="111" t="s">
        <v>456</v>
      </c>
      <c r="C1024" s="112" t="s">
        <v>17</v>
      </c>
      <c r="D1024" s="113">
        <v>3.649</v>
      </c>
      <c r="E1024" s="114" t="s">
        <v>13</v>
      </c>
      <c r="F1024" s="494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504"/>
      <c r="B1025" s="117" t="s">
        <v>456</v>
      </c>
      <c r="C1025" s="118" t="s">
        <v>277</v>
      </c>
      <c r="D1025" s="119">
        <v>2.476</v>
      </c>
      <c r="E1025" s="120" t="s">
        <v>13</v>
      </c>
      <c r="F1025" s="511"/>
      <c r="G1025" s="120" t="s">
        <v>458</v>
      </c>
      <c r="H1025" s="122"/>
      <c r="I1025" s="122" t="str">
        <f t="shared" si="23"/>
        <v>10,25</v>
      </c>
    </row>
    <row r="1026" spans="1:9" ht="19.5" hidden="1" thickBot="1" x14ac:dyDescent="0.3">
      <c r="A1026" s="501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98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502"/>
      <c r="B1027" s="178" t="s">
        <v>456</v>
      </c>
      <c r="C1027" s="137" t="s">
        <v>19</v>
      </c>
      <c r="D1027" s="138">
        <v>0.21</v>
      </c>
      <c r="E1027" s="139" t="s">
        <v>34</v>
      </c>
      <c r="F1027" s="488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502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488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502"/>
      <c r="B1029" s="178" t="s">
        <v>456</v>
      </c>
      <c r="C1029" s="137" t="s">
        <v>17</v>
      </c>
      <c r="D1029" s="138">
        <v>1.39</v>
      </c>
      <c r="E1029" s="139" t="s">
        <v>34</v>
      </c>
      <c r="F1029" s="488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502"/>
      <c r="B1030" s="178" t="s">
        <v>456</v>
      </c>
      <c r="C1030" s="137" t="s">
        <v>18</v>
      </c>
      <c r="D1030" s="138">
        <v>0.09</v>
      </c>
      <c r="E1030" s="139" t="s">
        <v>45</v>
      </c>
      <c r="F1030" s="488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502"/>
      <c r="B1031" s="178" t="s">
        <v>456</v>
      </c>
      <c r="C1031" s="137" t="s">
        <v>19</v>
      </c>
      <c r="D1031" s="214">
        <v>0.04</v>
      </c>
      <c r="E1031" s="139" t="s">
        <v>45</v>
      </c>
      <c r="F1031" s="488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502"/>
      <c r="B1032" s="144" t="s">
        <v>456</v>
      </c>
      <c r="C1032" s="145" t="s">
        <v>17</v>
      </c>
      <c r="D1032" s="146">
        <v>0.61</v>
      </c>
      <c r="E1032" s="147" t="s">
        <v>45</v>
      </c>
      <c r="F1032" s="488"/>
      <c r="G1032" s="147" t="s">
        <v>458</v>
      </c>
      <c r="H1032" s="148"/>
      <c r="I1032" s="148" t="str">
        <f t="shared" si="23"/>
        <v>10,25</v>
      </c>
    </row>
    <row r="1033" spans="1:9" ht="18.75" hidden="1" customHeight="1" x14ac:dyDescent="0.25">
      <c r="A1033" s="491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493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492"/>
      <c r="B1034" s="111" t="s">
        <v>460</v>
      </c>
      <c r="C1034" s="112" t="s">
        <v>367</v>
      </c>
      <c r="D1034" s="113">
        <v>2.774</v>
      </c>
      <c r="E1034" s="114" t="s">
        <v>13</v>
      </c>
      <c r="F1034" s="494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492"/>
      <c r="B1035" s="111" t="s">
        <v>460</v>
      </c>
      <c r="C1035" s="112" t="s">
        <v>18</v>
      </c>
      <c r="D1035" s="113">
        <v>3.35</v>
      </c>
      <c r="E1035" s="114" t="s">
        <v>13</v>
      </c>
      <c r="F1035" s="494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492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494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504"/>
      <c r="B1037" s="117" t="s">
        <v>460</v>
      </c>
      <c r="C1037" s="118" t="s">
        <v>17</v>
      </c>
      <c r="D1037" s="119">
        <v>3.653</v>
      </c>
      <c r="E1037" s="120" t="s">
        <v>13</v>
      </c>
      <c r="F1037" s="511"/>
      <c r="G1037" s="120" t="s">
        <v>464</v>
      </c>
      <c r="H1037" s="122"/>
      <c r="I1037" s="122" t="str">
        <f t="shared" si="23"/>
        <v>10,25</v>
      </c>
    </row>
    <row r="1038" spans="1:9" ht="18.75" hidden="1" customHeight="1" x14ac:dyDescent="0.25">
      <c r="A1038" s="501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98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502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488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502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488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502"/>
      <c r="B1041" s="178" t="s">
        <v>460</v>
      </c>
      <c r="C1041" s="137" t="s">
        <v>17</v>
      </c>
      <c r="D1041" s="138">
        <v>3.25</v>
      </c>
      <c r="E1041" s="139" t="s">
        <v>13</v>
      </c>
      <c r="F1041" s="488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503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510"/>
      <c r="G1042" s="99" t="s">
        <v>465</v>
      </c>
      <c r="H1042" s="132"/>
      <c r="I1042" s="132" t="str">
        <f t="shared" si="23"/>
        <v>10,25</v>
      </c>
    </row>
    <row r="1043" spans="1:9" ht="19.5" hidden="1" thickBot="1" x14ac:dyDescent="0.3">
      <c r="A1043" s="491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493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492"/>
      <c r="B1044" s="111" t="s">
        <v>460</v>
      </c>
      <c r="C1044" s="112" t="s">
        <v>19</v>
      </c>
      <c r="D1044" s="113">
        <v>0.24</v>
      </c>
      <c r="E1044" s="114" t="s">
        <v>34</v>
      </c>
      <c r="F1044" s="494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492"/>
      <c r="B1045" s="111" t="s">
        <v>460</v>
      </c>
      <c r="C1045" s="112" t="s">
        <v>116</v>
      </c>
      <c r="D1045" s="113">
        <v>0.33</v>
      </c>
      <c r="E1045" s="114" t="s">
        <v>34</v>
      </c>
      <c r="F1045" s="494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492"/>
      <c r="B1046" s="111" t="s">
        <v>460</v>
      </c>
      <c r="C1046" s="112" t="s">
        <v>17</v>
      </c>
      <c r="D1046" s="113">
        <v>1.38</v>
      </c>
      <c r="E1046" s="114" t="s">
        <v>34</v>
      </c>
      <c r="F1046" s="494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492"/>
      <c r="B1047" s="111" t="s">
        <v>460</v>
      </c>
      <c r="C1047" s="112" t="s">
        <v>18</v>
      </c>
      <c r="D1047" s="113">
        <v>0.17</v>
      </c>
      <c r="E1047" s="114" t="s">
        <v>45</v>
      </c>
      <c r="F1047" s="494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492"/>
      <c r="B1048" s="111" t="s">
        <v>460</v>
      </c>
      <c r="C1048" s="112" t="s">
        <v>19</v>
      </c>
      <c r="D1048" s="215">
        <v>0.05</v>
      </c>
      <c r="E1048" s="114" t="s">
        <v>45</v>
      </c>
      <c r="F1048" s="494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492"/>
      <c r="B1049" s="111" t="s">
        <v>460</v>
      </c>
      <c r="C1049" s="112" t="s">
        <v>116</v>
      </c>
      <c r="D1049" s="215">
        <v>0.03</v>
      </c>
      <c r="E1049" s="114" t="s">
        <v>45</v>
      </c>
      <c r="F1049" s="494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492"/>
      <c r="B1050" s="167" t="s">
        <v>460</v>
      </c>
      <c r="C1050" s="168" t="s">
        <v>17</v>
      </c>
      <c r="D1050" s="169">
        <v>0.39</v>
      </c>
      <c r="E1050" s="170" t="s">
        <v>45</v>
      </c>
      <c r="F1050" s="494"/>
      <c r="G1050" s="170" t="s">
        <v>465</v>
      </c>
      <c r="H1050" s="166"/>
      <c r="I1050" s="166" t="str">
        <f t="shared" si="25"/>
        <v>10,25</v>
      </c>
    </row>
    <row r="1051" spans="1:9" ht="19.5" hidden="1" thickBot="1" x14ac:dyDescent="0.3">
      <c r="A1051" s="501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502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247" t="s">
        <v>416</v>
      </c>
      <c r="I1052" s="195" t="str">
        <f t="shared" si="25"/>
        <v>10,25</v>
      </c>
    </row>
    <row r="1053" spans="1:9" ht="19.5" hidden="1" thickBot="1" x14ac:dyDescent="0.3">
      <c r="A1053" s="502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502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503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132"/>
      <c r="I1055" s="132" t="str">
        <f t="shared" si="25"/>
        <v>10,25</v>
      </c>
    </row>
    <row r="1056" spans="1:9" ht="19.5" hidden="1" thickBot="1" x14ac:dyDescent="0.3">
      <c r="A1056" s="491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493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492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494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492"/>
      <c r="B1058" s="111" t="s">
        <v>468</v>
      </c>
      <c r="C1058" s="112" t="s">
        <v>17</v>
      </c>
      <c r="D1058" s="113">
        <v>4.7</v>
      </c>
      <c r="E1058" s="114" t="s">
        <v>13</v>
      </c>
      <c r="F1058" s="494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504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511"/>
      <c r="G1059" s="120" t="s">
        <v>466</v>
      </c>
      <c r="H1059" s="122"/>
      <c r="I1059" s="122" t="str">
        <f t="shared" si="25"/>
        <v>10,25</v>
      </c>
    </row>
    <row r="1060" spans="1:9" ht="19.5" hidden="1" thickBot="1" x14ac:dyDescent="0.3">
      <c r="A1060" s="501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98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502"/>
      <c r="B1061" s="178" t="s">
        <v>468</v>
      </c>
      <c r="C1061" s="137" t="s">
        <v>19</v>
      </c>
      <c r="D1061" s="138">
        <v>0.63</v>
      </c>
      <c r="E1061" s="139" t="s">
        <v>34</v>
      </c>
      <c r="F1061" s="488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502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488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502"/>
      <c r="B1063" s="178" t="s">
        <v>468</v>
      </c>
      <c r="C1063" s="137" t="s">
        <v>17</v>
      </c>
      <c r="D1063" s="138">
        <v>1.51</v>
      </c>
      <c r="E1063" s="139" t="s">
        <v>34</v>
      </c>
      <c r="F1063" s="488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502"/>
      <c r="B1064" s="178" t="s">
        <v>468</v>
      </c>
      <c r="C1064" s="137" t="s">
        <v>18</v>
      </c>
      <c r="D1064" s="138">
        <v>0.11</v>
      </c>
      <c r="E1064" s="139" t="s">
        <v>45</v>
      </c>
      <c r="F1064" s="488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502"/>
      <c r="B1065" s="178" t="s">
        <v>468</v>
      </c>
      <c r="C1065" s="137" t="s">
        <v>19</v>
      </c>
      <c r="D1065" s="214">
        <v>0.02</v>
      </c>
      <c r="E1065" s="139" t="s">
        <v>45</v>
      </c>
      <c r="F1065" s="488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502"/>
      <c r="B1066" s="144" t="s">
        <v>468</v>
      </c>
      <c r="C1066" s="145" t="s">
        <v>17</v>
      </c>
      <c r="D1066" s="146">
        <v>0.27</v>
      </c>
      <c r="E1066" s="147" t="s">
        <v>45</v>
      </c>
      <c r="F1066" s="488"/>
      <c r="G1066" s="147" t="s">
        <v>466</v>
      </c>
      <c r="H1066" s="148"/>
      <c r="I1066" s="148" t="str">
        <f t="shared" si="25"/>
        <v>10,25</v>
      </c>
    </row>
    <row r="1067" spans="1:9" ht="19.5" hidden="1" thickBot="1" x14ac:dyDescent="0.3">
      <c r="A1067" s="491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493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492"/>
      <c r="B1068" s="111" t="s">
        <v>469</v>
      </c>
      <c r="C1068" s="112" t="s">
        <v>367</v>
      </c>
      <c r="D1068" s="113">
        <v>2.633</v>
      </c>
      <c r="E1068" s="114" t="s">
        <v>13</v>
      </c>
      <c r="F1068" s="494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492"/>
      <c r="B1069" s="111" t="s">
        <v>469</v>
      </c>
      <c r="C1069" s="112" t="s">
        <v>18</v>
      </c>
      <c r="D1069" s="113">
        <v>2.8</v>
      </c>
      <c r="E1069" s="114" t="s">
        <v>13</v>
      </c>
      <c r="F1069" s="494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492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494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504"/>
      <c r="B1071" s="117" t="s">
        <v>469</v>
      </c>
      <c r="C1071" s="118" t="s">
        <v>17</v>
      </c>
      <c r="D1071" s="119">
        <v>3.85</v>
      </c>
      <c r="E1071" s="120" t="s">
        <v>13</v>
      </c>
      <c r="F1071" s="511"/>
      <c r="G1071" s="120" t="s">
        <v>470</v>
      </c>
      <c r="H1071" s="122"/>
      <c r="I1071" s="122" t="str">
        <f t="shared" si="25"/>
        <v>10,25</v>
      </c>
    </row>
    <row r="1072" spans="1:9" ht="19.5" hidden="1" thickBot="1" x14ac:dyDescent="0.3">
      <c r="A1072" s="501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98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502"/>
      <c r="B1073" s="178" t="s">
        <v>469</v>
      </c>
      <c r="C1073" s="137" t="s">
        <v>19</v>
      </c>
      <c r="D1073" s="138">
        <v>3.17</v>
      </c>
      <c r="E1073" s="139" t="s">
        <v>13</v>
      </c>
      <c r="F1073" s="488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502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488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502"/>
      <c r="B1075" s="178" t="s">
        <v>469</v>
      </c>
      <c r="C1075" s="137" t="s">
        <v>17</v>
      </c>
      <c r="D1075" s="138">
        <v>3.17</v>
      </c>
      <c r="E1075" s="139" t="s">
        <v>13</v>
      </c>
      <c r="F1075" s="488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503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510"/>
      <c r="G1076" s="99" t="s">
        <v>472</v>
      </c>
      <c r="H1076" s="132"/>
      <c r="I1076" s="132" t="str">
        <f t="shared" si="25"/>
        <v>10,25</v>
      </c>
    </row>
    <row r="1077" spans="1:9" ht="19.5" hidden="1" thickBot="1" x14ac:dyDescent="0.3">
      <c r="A1077" s="491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493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492"/>
      <c r="B1078" s="111" t="s">
        <v>469</v>
      </c>
      <c r="C1078" s="112" t="s">
        <v>19</v>
      </c>
      <c r="D1078" s="113">
        <v>0.35</v>
      </c>
      <c r="E1078" s="114" t="s">
        <v>34</v>
      </c>
      <c r="F1078" s="494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492"/>
      <c r="B1079" s="111" t="s">
        <v>469</v>
      </c>
      <c r="C1079" s="112" t="s">
        <v>116</v>
      </c>
      <c r="D1079" s="113">
        <v>0.09</v>
      </c>
      <c r="E1079" s="114" t="s">
        <v>34</v>
      </c>
      <c r="F1079" s="494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492"/>
      <c r="B1080" s="111" t="s">
        <v>469</v>
      </c>
      <c r="C1080" s="112" t="s">
        <v>17</v>
      </c>
      <c r="D1080" s="113">
        <v>1.25</v>
      </c>
      <c r="E1080" s="114" t="s">
        <v>34</v>
      </c>
      <c r="F1080" s="494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492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494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504"/>
      <c r="B1082" s="117" t="s">
        <v>469</v>
      </c>
      <c r="C1082" s="118" t="s">
        <v>17</v>
      </c>
      <c r="D1082" s="119">
        <v>0.27</v>
      </c>
      <c r="E1082" s="120" t="s">
        <v>45</v>
      </c>
      <c r="F1082" s="511"/>
      <c r="G1082" s="120" t="s">
        <v>472</v>
      </c>
      <c r="H1082" s="122"/>
      <c r="I1082" s="122" t="str">
        <f t="shared" si="25"/>
        <v>10,25</v>
      </c>
    </row>
    <row r="1083" spans="1:9" ht="18.75" hidden="1" customHeight="1" x14ac:dyDescent="0.25">
      <c r="A1083" s="501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98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502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488"/>
      <c r="G1084" s="139" t="s">
        <v>478</v>
      </c>
      <c r="H1084" s="247" t="s">
        <v>416</v>
      </c>
      <c r="I1084" s="195" t="str">
        <f t="shared" si="25"/>
        <v>11,25</v>
      </c>
    </row>
    <row r="1085" spans="1:9" ht="19.5" hidden="1" thickBot="1" x14ac:dyDescent="0.3">
      <c r="A1085" s="502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488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502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488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503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510"/>
      <c r="G1087" s="99" t="s">
        <v>478</v>
      </c>
      <c r="H1087" s="132"/>
      <c r="I1087" s="132" t="str">
        <f t="shared" si="25"/>
        <v>11,25</v>
      </c>
    </row>
    <row r="1088" spans="1:9" ht="19.5" hidden="1" thickBot="1" x14ac:dyDescent="0.3">
      <c r="A1088" s="491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493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492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494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492"/>
      <c r="B1090" s="111" t="s">
        <v>475</v>
      </c>
      <c r="C1090" s="112" t="s">
        <v>116</v>
      </c>
      <c r="D1090" s="113">
        <v>3.722</v>
      </c>
      <c r="E1090" s="114" t="s">
        <v>13</v>
      </c>
      <c r="F1090" s="494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492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494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492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494"/>
      <c r="G1092" s="170" t="s">
        <v>476</v>
      </c>
      <c r="H1092" s="166"/>
      <c r="I1092" s="166" t="str">
        <f t="shared" si="25"/>
        <v>11,25</v>
      </c>
    </row>
    <row r="1093" spans="1:9" ht="18.75" hidden="1" customHeight="1" x14ac:dyDescent="0.25">
      <c r="A1093" s="501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98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502"/>
      <c r="B1094" s="250" t="s">
        <v>475</v>
      </c>
      <c r="C1094" s="150" t="s">
        <v>19</v>
      </c>
      <c r="D1094" s="151">
        <v>0.24</v>
      </c>
      <c r="E1094" s="149" t="s">
        <v>34</v>
      </c>
      <c r="F1094" s="488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502"/>
      <c r="B1095" s="250" t="s">
        <v>475</v>
      </c>
      <c r="C1095" s="150" t="s">
        <v>116</v>
      </c>
      <c r="D1095" s="151">
        <v>0.2</v>
      </c>
      <c r="E1095" s="149" t="s">
        <v>34</v>
      </c>
      <c r="F1095" s="488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502"/>
      <c r="B1096" s="250" t="s">
        <v>475</v>
      </c>
      <c r="C1096" s="150" t="s">
        <v>17</v>
      </c>
      <c r="D1096" s="151">
        <v>2.0499999999999998</v>
      </c>
      <c r="E1096" s="149" t="s">
        <v>34</v>
      </c>
      <c r="F1096" s="488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502"/>
      <c r="B1097" s="250" t="s">
        <v>475</v>
      </c>
      <c r="C1097" s="150" t="s">
        <v>18</v>
      </c>
      <c r="D1097" s="151">
        <v>0.12</v>
      </c>
      <c r="E1097" s="149" t="s">
        <v>45</v>
      </c>
      <c r="F1097" s="488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502"/>
      <c r="B1098" s="250" t="s">
        <v>475</v>
      </c>
      <c r="C1098" s="150" t="s">
        <v>17</v>
      </c>
      <c r="D1098" s="151">
        <v>0.45</v>
      </c>
      <c r="E1098" s="149" t="s">
        <v>45</v>
      </c>
      <c r="F1098" s="488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502"/>
      <c r="B1099" s="144" t="s">
        <v>475</v>
      </c>
      <c r="C1099" s="145" t="s">
        <v>116</v>
      </c>
      <c r="D1099" s="251">
        <v>0.01</v>
      </c>
      <c r="E1099" s="147" t="s">
        <v>45</v>
      </c>
      <c r="F1099" s="488"/>
      <c r="G1099" s="147" t="s">
        <v>476</v>
      </c>
      <c r="H1099" s="148"/>
      <c r="I1099" s="148" t="str">
        <f t="shared" si="25"/>
        <v>11,25</v>
      </c>
    </row>
    <row r="1100" spans="1:9" ht="19.5" hidden="1" thickBot="1" x14ac:dyDescent="0.3">
      <c r="A1100" s="491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493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492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494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492"/>
      <c r="B1102" s="111" t="s">
        <v>479</v>
      </c>
      <c r="C1102" s="112" t="s">
        <v>18</v>
      </c>
      <c r="D1102" s="113">
        <v>1.51</v>
      </c>
      <c r="E1102" s="114" t="s">
        <v>13</v>
      </c>
      <c r="F1102" s="494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492"/>
      <c r="B1103" s="111" t="s">
        <v>479</v>
      </c>
      <c r="C1103" s="112" t="s">
        <v>19</v>
      </c>
      <c r="D1103" s="113">
        <v>4.97</v>
      </c>
      <c r="E1103" s="114" t="s">
        <v>13</v>
      </c>
      <c r="F1103" s="494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492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494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504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511"/>
      <c r="G1105" s="120" t="s">
        <v>480</v>
      </c>
      <c r="H1105" s="122"/>
      <c r="I1105" s="122" t="str">
        <f t="shared" si="25"/>
        <v>11,25</v>
      </c>
    </row>
    <row r="1106" spans="1:9" ht="19.5" hidden="1" thickBot="1" x14ac:dyDescent="0.3">
      <c r="A1106" s="501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98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502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488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502"/>
      <c r="B1108" s="178" t="s">
        <v>479</v>
      </c>
      <c r="C1108" s="137" t="s">
        <v>116</v>
      </c>
      <c r="D1108" s="138">
        <v>2.25</v>
      </c>
      <c r="E1108" s="139" t="s">
        <v>13</v>
      </c>
      <c r="F1108" s="488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502"/>
      <c r="B1109" s="178" t="s">
        <v>479</v>
      </c>
      <c r="C1109" s="137" t="s">
        <v>17</v>
      </c>
      <c r="D1109" s="138">
        <v>3.76</v>
      </c>
      <c r="E1109" s="139" t="s">
        <v>13</v>
      </c>
      <c r="F1109" s="488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503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510"/>
      <c r="G1110" s="99" t="s">
        <v>481</v>
      </c>
      <c r="H1110" s="132"/>
      <c r="I1110" s="132" t="str">
        <f t="shared" si="26"/>
        <v>11,25</v>
      </c>
    </row>
    <row r="1111" spans="1:9" ht="19.5" hidden="1" thickBot="1" x14ac:dyDescent="0.3">
      <c r="A1111" s="491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493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492"/>
      <c r="B1112" s="111" t="s">
        <v>479</v>
      </c>
      <c r="C1112" s="112" t="s">
        <v>19</v>
      </c>
      <c r="D1112" s="113">
        <v>0.46</v>
      </c>
      <c r="E1112" s="114" t="s">
        <v>34</v>
      </c>
      <c r="F1112" s="494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492"/>
      <c r="B1113" s="111" t="s">
        <v>479</v>
      </c>
      <c r="C1113" s="112" t="s">
        <v>116</v>
      </c>
      <c r="D1113" s="113">
        <v>0.1</v>
      </c>
      <c r="E1113" s="114" t="s">
        <v>34</v>
      </c>
      <c r="F1113" s="494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492"/>
      <c r="B1114" s="111" t="s">
        <v>479</v>
      </c>
      <c r="C1114" s="112" t="s">
        <v>17</v>
      </c>
      <c r="D1114" s="113">
        <v>0.91</v>
      </c>
      <c r="E1114" s="114" t="s">
        <v>34</v>
      </c>
      <c r="F1114" s="494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492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494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492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494"/>
      <c r="G1116" s="170" t="s">
        <v>481</v>
      </c>
      <c r="H1116" s="166"/>
      <c r="I1116" s="166" t="str">
        <f t="shared" si="26"/>
        <v>11,25</v>
      </c>
    </row>
    <row r="1117" spans="1:9" ht="19.5" hidden="1" thickBot="1" x14ac:dyDescent="0.3">
      <c r="A1117" s="501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98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502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488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502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488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502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488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503"/>
      <c r="B1121" s="96" t="s">
        <v>483</v>
      </c>
      <c r="C1121" s="97" t="s">
        <v>17</v>
      </c>
      <c r="D1121" s="98">
        <v>2.8</v>
      </c>
      <c r="E1121" s="99" t="s">
        <v>13</v>
      </c>
      <c r="F1121" s="510"/>
      <c r="G1121" s="99" t="s">
        <v>484</v>
      </c>
      <c r="H1121" s="132"/>
      <c r="I1121" s="132" t="str">
        <f t="shared" si="26"/>
        <v>11,25</v>
      </c>
    </row>
    <row r="1122" spans="1:9" ht="19.5" hidden="1" thickBot="1" x14ac:dyDescent="0.3">
      <c r="A1122" s="491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493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492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494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492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494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492"/>
      <c r="B1125" s="111" t="s">
        <v>483</v>
      </c>
      <c r="C1125" s="112" t="s">
        <v>17</v>
      </c>
      <c r="D1125" s="113">
        <v>1.766</v>
      </c>
      <c r="E1125" s="114" t="s">
        <v>13</v>
      </c>
      <c r="F1125" s="494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504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511"/>
      <c r="G1126" s="120" t="s">
        <v>485</v>
      </c>
      <c r="H1126" s="122"/>
      <c r="I1126" s="122" t="str">
        <f t="shared" si="26"/>
        <v>11,25</v>
      </c>
    </row>
    <row r="1127" spans="1:9" ht="19.5" hidden="1" thickBot="1" x14ac:dyDescent="0.3">
      <c r="A1127" s="501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98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502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488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502"/>
      <c r="B1129" s="178" t="s">
        <v>483</v>
      </c>
      <c r="C1129" s="137" t="s">
        <v>116</v>
      </c>
      <c r="D1129" s="138">
        <v>0.17</v>
      </c>
      <c r="E1129" s="139" t="s">
        <v>34</v>
      </c>
      <c r="F1129" s="488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502"/>
      <c r="B1130" s="178" t="s">
        <v>483</v>
      </c>
      <c r="C1130" s="137" t="s">
        <v>17</v>
      </c>
      <c r="D1130" s="138">
        <v>0.73</v>
      </c>
      <c r="E1130" s="139" t="s">
        <v>34</v>
      </c>
      <c r="F1130" s="488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502"/>
      <c r="B1131" s="178" t="s">
        <v>483</v>
      </c>
      <c r="C1131" s="137" t="s">
        <v>18</v>
      </c>
      <c r="D1131" s="138">
        <v>0.18</v>
      </c>
      <c r="E1131" s="139" t="s">
        <v>45</v>
      </c>
      <c r="F1131" s="488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502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488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502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488"/>
      <c r="G1133" s="147" t="s">
        <v>485</v>
      </c>
      <c r="H1133" s="148"/>
      <c r="I1133" s="148" t="str">
        <f t="shared" si="26"/>
        <v>11,25</v>
      </c>
    </row>
    <row r="1134" spans="1:9" ht="19.5" hidden="1" thickBot="1" x14ac:dyDescent="0.3">
      <c r="A1134" s="491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492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492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492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492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504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122"/>
      <c r="I1139" s="122" t="str">
        <f t="shared" si="26"/>
        <v>11,25</v>
      </c>
    </row>
    <row r="1140" spans="1:9" ht="19.5" hidden="1" thickBot="1" x14ac:dyDescent="0.3">
      <c r="A1140" s="501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98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502"/>
      <c r="B1141" s="178" t="s">
        <v>488</v>
      </c>
      <c r="C1141" s="137" t="s">
        <v>19</v>
      </c>
      <c r="D1141" s="138">
        <v>4.242</v>
      </c>
      <c r="E1141" s="139" t="s">
        <v>13</v>
      </c>
      <c r="F1141" s="488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502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488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502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488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503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510"/>
      <c r="G1144" s="99" t="s">
        <v>490</v>
      </c>
      <c r="H1144" s="132"/>
      <c r="I1144" s="132" t="str">
        <f t="shared" si="26"/>
        <v>11,25</v>
      </c>
    </row>
    <row r="1145" spans="1:9" ht="19.5" hidden="1" thickBot="1" x14ac:dyDescent="0.3">
      <c r="A1145" s="491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493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492"/>
      <c r="B1146" s="111" t="s">
        <v>488</v>
      </c>
      <c r="C1146" s="112" t="s">
        <v>19</v>
      </c>
      <c r="D1146" s="113">
        <v>0.52</v>
      </c>
      <c r="E1146" s="114" t="s">
        <v>34</v>
      </c>
      <c r="F1146" s="494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492"/>
      <c r="B1147" s="111" t="s">
        <v>488</v>
      </c>
      <c r="C1147" s="112" t="s">
        <v>116</v>
      </c>
      <c r="D1147" s="113">
        <v>0.27</v>
      </c>
      <c r="E1147" s="114" t="s">
        <v>34</v>
      </c>
      <c r="F1147" s="494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492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494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492"/>
      <c r="B1149" s="111" t="s">
        <v>488</v>
      </c>
      <c r="C1149" s="112" t="s">
        <v>18</v>
      </c>
      <c r="D1149" s="113">
        <v>0.1</v>
      </c>
      <c r="E1149" s="114" t="s">
        <v>45</v>
      </c>
      <c r="F1149" s="494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492"/>
      <c r="B1150" s="111" t="s">
        <v>488</v>
      </c>
      <c r="C1150" s="112" t="s">
        <v>19</v>
      </c>
      <c r="D1150" s="215">
        <v>0.03</v>
      </c>
      <c r="E1150" s="114" t="s">
        <v>45</v>
      </c>
      <c r="F1150" s="494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492"/>
      <c r="B1151" s="111" t="s">
        <v>488</v>
      </c>
      <c r="C1151" s="112" t="s">
        <v>116</v>
      </c>
      <c r="D1151" s="215">
        <v>0.01</v>
      </c>
      <c r="E1151" s="114" t="s">
        <v>45</v>
      </c>
      <c r="F1151" s="494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492"/>
      <c r="B1152" s="167" t="s">
        <v>488</v>
      </c>
      <c r="C1152" s="168" t="s">
        <v>17</v>
      </c>
      <c r="D1152" s="169">
        <v>0.27</v>
      </c>
      <c r="E1152" s="170" t="s">
        <v>45</v>
      </c>
      <c r="F1152" s="494"/>
      <c r="G1152" s="170" t="s">
        <v>490</v>
      </c>
      <c r="H1152" s="166"/>
      <c r="I1152" s="166" t="str">
        <f t="shared" si="26"/>
        <v>11,25</v>
      </c>
    </row>
    <row r="1153" spans="1:9" ht="19.5" hidden="1" thickBot="1" x14ac:dyDescent="0.3">
      <c r="A1153" s="501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98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502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488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502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488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502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488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502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488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503"/>
      <c r="B1158" s="96" t="s">
        <v>494</v>
      </c>
      <c r="C1158" s="97" t="s">
        <v>17</v>
      </c>
      <c r="D1158" s="98">
        <v>3.24</v>
      </c>
      <c r="E1158" s="99" t="s">
        <v>13</v>
      </c>
      <c r="F1158" s="510"/>
      <c r="G1158" s="99" t="s">
        <v>495</v>
      </c>
      <c r="H1158" s="132"/>
      <c r="I1158" s="132" t="str">
        <f t="shared" si="26"/>
        <v>11,25</v>
      </c>
    </row>
    <row r="1159" spans="1:9" ht="19.5" hidden="1" thickBot="1" x14ac:dyDescent="0.3">
      <c r="A1159" s="491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493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492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494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492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494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492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494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504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511"/>
      <c r="G1163" s="120" t="s">
        <v>496</v>
      </c>
      <c r="H1163" s="122"/>
      <c r="I1163" s="122" t="str">
        <f t="shared" si="26"/>
        <v>12,25</v>
      </c>
    </row>
    <row r="1164" spans="1:9" ht="19.5" hidden="1" thickBot="1" x14ac:dyDescent="0.3">
      <c r="A1164" s="501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98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502"/>
      <c r="B1165" s="178" t="s">
        <v>494</v>
      </c>
      <c r="C1165" s="150" t="s">
        <v>19</v>
      </c>
      <c r="D1165" s="151">
        <v>0.5</v>
      </c>
      <c r="E1165" s="149" t="s">
        <v>34</v>
      </c>
      <c r="F1165" s="488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502"/>
      <c r="B1166" s="178" t="s">
        <v>494</v>
      </c>
      <c r="C1166" s="150" t="s">
        <v>116</v>
      </c>
      <c r="D1166" s="151">
        <v>0.2</v>
      </c>
      <c r="E1166" s="149" t="s">
        <v>34</v>
      </c>
      <c r="F1166" s="488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502"/>
      <c r="B1167" s="178" t="s">
        <v>494</v>
      </c>
      <c r="C1167" s="150" t="s">
        <v>17</v>
      </c>
      <c r="D1167" s="151">
        <v>0.69</v>
      </c>
      <c r="E1167" s="149" t="s">
        <v>34</v>
      </c>
      <c r="F1167" s="488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502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488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502"/>
      <c r="B1169" s="178" t="s">
        <v>494</v>
      </c>
      <c r="C1169" s="150" t="s">
        <v>19</v>
      </c>
      <c r="D1169" s="252">
        <v>0.04</v>
      </c>
      <c r="E1169" s="149" t="s">
        <v>45</v>
      </c>
      <c r="F1169" s="488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502"/>
      <c r="B1170" s="178" t="s">
        <v>494</v>
      </c>
      <c r="C1170" s="150" t="s">
        <v>116</v>
      </c>
      <c r="D1170" s="252">
        <v>0.01</v>
      </c>
      <c r="E1170" s="149" t="s">
        <v>45</v>
      </c>
      <c r="F1170" s="488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502"/>
      <c r="B1171" s="144" t="s">
        <v>494</v>
      </c>
      <c r="C1171" s="253" t="s">
        <v>17</v>
      </c>
      <c r="D1171" s="254">
        <v>0.23</v>
      </c>
      <c r="E1171" s="255" t="s">
        <v>45</v>
      </c>
      <c r="F1171" s="488"/>
      <c r="G1171" s="147" t="s">
        <v>496</v>
      </c>
      <c r="H1171" s="148"/>
      <c r="I1171" s="148" t="str">
        <f t="shared" si="26"/>
        <v>12,25</v>
      </c>
    </row>
    <row r="1172" spans="1:9" ht="19.5" hidden="1" thickBot="1" x14ac:dyDescent="0.3">
      <c r="A1172" s="491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493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492"/>
      <c r="B1173" s="111" t="s">
        <v>497</v>
      </c>
      <c r="C1173" s="112" t="s">
        <v>18</v>
      </c>
      <c r="D1173" s="113">
        <v>3.85</v>
      </c>
      <c r="E1173" s="114" t="s">
        <v>13</v>
      </c>
      <c r="F1173" s="494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492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494"/>
      <c r="G1174" s="114" t="s">
        <v>498</v>
      </c>
      <c r="H1174" s="116"/>
      <c r="I1174" s="116" t="str">
        <f t="shared" ref="I1174:I1237" si="29">RIGHT(G1174,5)</f>
        <v>12,25</v>
      </c>
    </row>
    <row r="1175" spans="1:9" ht="19.5" hidden="1" thickBot="1" x14ac:dyDescent="0.3">
      <c r="A1175" s="492"/>
      <c r="B1175" s="111" t="s">
        <v>497</v>
      </c>
      <c r="C1175" s="112" t="s">
        <v>116</v>
      </c>
      <c r="D1175" s="113">
        <v>1.889</v>
      </c>
      <c r="E1175" s="114" t="s">
        <v>13</v>
      </c>
      <c r="F1175" s="494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504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511"/>
      <c r="G1176" s="120" t="s">
        <v>498</v>
      </c>
      <c r="H1176" s="122"/>
      <c r="I1176" s="122" t="str">
        <f t="shared" si="29"/>
        <v>12,25</v>
      </c>
    </row>
    <row r="1177" spans="1:9" ht="19.5" hidden="1" thickBot="1" x14ac:dyDescent="0.3">
      <c r="A1177" s="501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98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502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488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502"/>
      <c r="B1179" s="178" t="s">
        <v>497</v>
      </c>
      <c r="C1179" s="137" t="s">
        <v>116</v>
      </c>
      <c r="D1179" s="138">
        <v>1.653</v>
      </c>
      <c r="E1179" s="139" t="s">
        <v>13</v>
      </c>
      <c r="F1179" s="488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502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488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503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510"/>
      <c r="G1181" s="99" t="s">
        <v>499</v>
      </c>
      <c r="H1181" s="132"/>
      <c r="I1181" s="132" t="str">
        <f t="shared" si="29"/>
        <v>12,25</v>
      </c>
    </row>
    <row r="1182" spans="1:9" ht="19.5" hidden="1" thickBot="1" x14ac:dyDescent="0.3">
      <c r="A1182" s="491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493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492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494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492"/>
      <c r="B1184" s="111" t="s">
        <v>497</v>
      </c>
      <c r="C1184" s="112" t="s">
        <v>116</v>
      </c>
      <c r="D1184" s="113">
        <v>0.16</v>
      </c>
      <c r="E1184" s="114" t="s">
        <v>34</v>
      </c>
      <c r="F1184" s="494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492"/>
      <c r="B1185" s="111" t="s">
        <v>497</v>
      </c>
      <c r="C1185" s="112" t="s">
        <v>17</v>
      </c>
      <c r="D1185" s="113">
        <v>0.52</v>
      </c>
      <c r="E1185" s="114" t="s">
        <v>34</v>
      </c>
      <c r="F1185" s="494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492"/>
      <c r="B1186" s="111" t="s">
        <v>497</v>
      </c>
      <c r="C1186" s="112" t="s">
        <v>18</v>
      </c>
      <c r="D1186" s="215">
        <v>0.04</v>
      </c>
      <c r="E1186" s="114" t="s">
        <v>45</v>
      </c>
      <c r="F1186" s="494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492"/>
      <c r="B1187" s="111" t="s">
        <v>497</v>
      </c>
      <c r="C1187" s="112" t="s">
        <v>19</v>
      </c>
      <c r="D1187" s="215">
        <v>0.01</v>
      </c>
      <c r="E1187" s="114" t="s">
        <v>45</v>
      </c>
      <c r="F1187" s="494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492"/>
      <c r="B1188" s="167" t="s">
        <v>497</v>
      </c>
      <c r="C1188" s="168" t="s">
        <v>17</v>
      </c>
      <c r="D1188" s="169">
        <v>0.27</v>
      </c>
      <c r="E1188" s="170" t="s">
        <v>45</v>
      </c>
      <c r="F1188" s="494"/>
      <c r="G1188" s="170" t="s">
        <v>499</v>
      </c>
      <c r="H1188" s="166"/>
      <c r="I1188" s="166" t="str">
        <f t="shared" si="29"/>
        <v>12,25</v>
      </c>
    </row>
    <row r="1189" spans="1:9" ht="19.5" hidden="1" thickBot="1" x14ac:dyDescent="0.3">
      <c r="A1189" s="501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98" t="s">
        <v>506</v>
      </c>
      <c r="G1189" s="94" t="s">
        <v>504</v>
      </c>
      <c r="H1189" s="135"/>
      <c r="I1189" s="135" t="str">
        <f t="shared" si="29"/>
        <v>12,25</v>
      </c>
    </row>
    <row r="1190" spans="1:9" ht="19.5" hidden="1" thickBot="1" x14ac:dyDescent="0.3">
      <c r="A1190" s="502"/>
      <c r="B1190" s="178" t="s">
        <v>503</v>
      </c>
      <c r="C1190" s="137" t="s">
        <v>367</v>
      </c>
      <c r="D1190" s="138">
        <v>1.982</v>
      </c>
      <c r="E1190" s="139" t="s">
        <v>13</v>
      </c>
      <c r="F1190" s="488"/>
      <c r="G1190" s="139" t="s">
        <v>504</v>
      </c>
      <c r="H1190" s="140" t="s">
        <v>416</v>
      </c>
      <c r="I1190" s="140" t="str">
        <f t="shared" si="29"/>
        <v>12,25</v>
      </c>
    </row>
    <row r="1191" spans="1:9" ht="19.5" hidden="1" thickBot="1" x14ac:dyDescent="0.3">
      <c r="A1191" s="502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488"/>
      <c r="G1191" s="139" t="s">
        <v>504</v>
      </c>
      <c r="H1191" s="140"/>
      <c r="I1191" s="140" t="str">
        <f t="shared" si="29"/>
        <v>12,25</v>
      </c>
    </row>
    <row r="1192" spans="1:9" ht="19.5" hidden="1" thickBot="1" x14ac:dyDescent="0.3">
      <c r="A1192" s="502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488"/>
      <c r="G1192" s="139" t="s">
        <v>504</v>
      </c>
      <c r="H1192" s="140"/>
      <c r="I1192" s="140" t="str">
        <f t="shared" si="29"/>
        <v>12,25</v>
      </c>
    </row>
    <row r="1193" spans="1:9" ht="19.5" hidden="1" thickBot="1" x14ac:dyDescent="0.3">
      <c r="A1193" s="502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488"/>
      <c r="G1193" s="139" t="s">
        <v>504</v>
      </c>
      <c r="H1193" s="140" t="s">
        <v>416</v>
      </c>
      <c r="I1193" s="140" t="str">
        <f t="shared" si="29"/>
        <v>12,25</v>
      </c>
    </row>
    <row r="1194" spans="1:9" ht="19.5" hidden="1" thickBot="1" x14ac:dyDescent="0.3">
      <c r="A1194" s="503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510"/>
      <c r="G1194" s="99" t="s">
        <v>504</v>
      </c>
      <c r="H1194" s="132"/>
      <c r="I1194" s="132" t="str">
        <f t="shared" si="29"/>
        <v>12,25</v>
      </c>
    </row>
    <row r="1195" spans="1:9" ht="19.5" hidden="1" thickBot="1" x14ac:dyDescent="0.3">
      <c r="A1195" s="491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493" t="s">
        <v>507</v>
      </c>
      <c r="G1195" s="107" t="s">
        <v>505</v>
      </c>
      <c r="H1195" s="109"/>
      <c r="I1195" s="109" t="str">
        <f t="shared" si="29"/>
        <v>12,25</v>
      </c>
    </row>
    <row r="1196" spans="1:9" ht="19.5" hidden="1" thickBot="1" x14ac:dyDescent="0.3">
      <c r="A1196" s="492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494"/>
      <c r="G1196" s="114" t="s">
        <v>505</v>
      </c>
      <c r="H1196" s="116"/>
      <c r="I1196" s="116" t="str">
        <f t="shared" si="29"/>
        <v>12,25</v>
      </c>
    </row>
    <row r="1197" spans="1:9" ht="19.5" hidden="1" thickBot="1" x14ac:dyDescent="0.3">
      <c r="A1197" s="492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494"/>
      <c r="G1197" s="114" t="s">
        <v>505</v>
      </c>
      <c r="H1197" s="116" t="s">
        <v>416</v>
      </c>
      <c r="I1197" s="116" t="str">
        <f t="shared" si="29"/>
        <v>12,25</v>
      </c>
    </row>
    <row r="1198" spans="1:9" ht="19.5" hidden="1" thickBot="1" x14ac:dyDescent="0.3">
      <c r="A1198" s="492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494"/>
      <c r="G1198" s="114" t="s">
        <v>505</v>
      </c>
      <c r="H1198" s="116"/>
      <c r="I1198" s="116" t="str">
        <f t="shared" si="29"/>
        <v>12,25</v>
      </c>
    </row>
    <row r="1199" spans="1:9" ht="19.5" hidden="1" thickBot="1" x14ac:dyDescent="0.3">
      <c r="A1199" s="504"/>
      <c r="B1199" s="117" t="s">
        <v>503</v>
      </c>
      <c r="C1199" s="118" t="s">
        <v>277</v>
      </c>
      <c r="D1199" s="119">
        <v>2.63</v>
      </c>
      <c r="E1199" s="120" t="s">
        <v>13</v>
      </c>
      <c r="F1199" s="511"/>
      <c r="G1199" s="120" t="s">
        <v>505</v>
      </c>
      <c r="H1199" s="122"/>
      <c r="I1199" s="122" t="str">
        <f t="shared" si="29"/>
        <v>12,25</v>
      </c>
    </row>
    <row r="1200" spans="1:9" ht="19.5" hidden="1" thickBot="1" x14ac:dyDescent="0.3">
      <c r="A1200" s="501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98" t="s">
        <v>509</v>
      </c>
      <c r="G1200" s="94" t="s">
        <v>505</v>
      </c>
      <c r="H1200" s="135"/>
      <c r="I1200" s="135" t="str">
        <f t="shared" si="29"/>
        <v>12,25</v>
      </c>
    </row>
    <row r="1201" spans="1:9" ht="19.5" hidden="1" thickBot="1" x14ac:dyDescent="0.3">
      <c r="A1201" s="502"/>
      <c r="B1201" s="178" t="s">
        <v>503</v>
      </c>
      <c r="C1201" s="137" t="s">
        <v>19</v>
      </c>
      <c r="D1201" s="138">
        <v>0.23</v>
      </c>
      <c r="E1201" s="139" t="s">
        <v>34</v>
      </c>
      <c r="F1201" s="488"/>
      <c r="G1201" s="139" t="s">
        <v>505</v>
      </c>
      <c r="H1201" s="140"/>
      <c r="I1201" s="140" t="str">
        <f t="shared" si="29"/>
        <v>12,25</v>
      </c>
    </row>
    <row r="1202" spans="1:9" ht="19.5" hidden="1" thickBot="1" x14ac:dyDescent="0.3">
      <c r="A1202" s="502"/>
      <c r="B1202" s="178" t="s">
        <v>503</v>
      </c>
      <c r="C1202" s="137" t="s">
        <v>17</v>
      </c>
      <c r="D1202" s="138">
        <v>2</v>
      </c>
      <c r="E1202" s="139" t="s">
        <v>34</v>
      </c>
      <c r="F1202" s="488"/>
      <c r="G1202" s="139" t="s">
        <v>505</v>
      </c>
      <c r="H1202" s="140"/>
      <c r="I1202" s="140" t="str">
        <f t="shared" si="29"/>
        <v>12,25</v>
      </c>
    </row>
    <row r="1203" spans="1:9" ht="19.5" hidden="1" thickBot="1" x14ac:dyDescent="0.3">
      <c r="A1203" s="502"/>
      <c r="B1203" s="178" t="s">
        <v>503</v>
      </c>
      <c r="C1203" s="137" t="s">
        <v>18</v>
      </c>
      <c r="D1203" s="138">
        <v>0.12</v>
      </c>
      <c r="E1203" s="139" t="s">
        <v>45</v>
      </c>
      <c r="F1203" s="488"/>
      <c r="G1203" s="139" t="s">
        <v>505</v>
      </c>
      <c r="H1203" s="140"/>
      <c r="I1203" s="140" t="str">
        <f t="shared" si="29"/>
        <v>12,25</v>
      </c>
    </row>
    <row r="1204" spans="1:9" ht="19.5" hidden="1" thickBot="1" x14ac:dyDescent="0.3">
      <c r="A1204" s="502"/>
      <c r="B1204" s="178" t="s">
        <v>503</v>
      </c>
      <c r="C1204" s="137" t="s">
        <v>19</v>
      </c>
      <c r="D1204" s="138">
        <v>0.05</v>
      </c>
      <c r="E1204" s="139" t="s">
        <v>45</v>
      </c>
      <c r="F1204" s="488"/>
      <c r="G1204" s="139" t="s">
        <v>505</v>
      </c>
      <c r="H1204" s="140"/>
      <c r="I1204" s="140" t="str">
        <f t="shared" si="29"/>
        <v>12,25</v>
      </c>
    </row>
    <row r="1205" spans="1:9" ht="19.5" hidden="1" thickBot="1" x14ac:dyDescent="0.3">
      <c r="A1205" s="502"/>
      <c r="B1205" s="178" t="s">
        <v>503</v>
      </c>
      <c r="C1205" s="137" t="s">
        <v>17</v>
      </c>
      <c r="D1205" s="138">
        <v>0.27</v>
      </c>
      <c r="E1205" s="139" t="s">
        <v>45</v>
      </c>
      <c r="F1205" s="488"/>
      <c r="G1205" s="139" t="s">
        <v>505</v>
      </c>
      <c r="H1205" s="140"/>
      <c r="I1205" s="140" t="str">
        <f t="shared" si="29"/>
        <v>12,25</v>
      </c>
    </row>
    <row r="1206" spans="1:9" ht="19.5" hidden="1" thickBot="1" x14ac:dyDescent="0.3">
      <c r="A1206" s="502"/>
      <c r="B1206" s="178" t="s">
        <v>503</v>
      </c>
      <c r="C1206" s="137" t="s">
        <v>18</v>
      </c>
      <c r="D1206" s="138">
        <v>0.79</v>
      </c>
      <c r="E1206" s="139" t="s">
        <v>508</v>
      </c>
      <c r="F1206" s="488"/>
      <c r="G1206" s="139" t="s">
        <v>505</v>
      </c>
      <c r="H1206" s="140"/>
      <c r="I1206" s="140" t="str">
        <f t="shared" si="29"/>
        <v>12,25</v>
      </c>
    </row>
    <row r="1207" spans="1:9" ht="19.5" hidden="1" thickBot="1" x14ac:dyDescent="0.3">
      <c r="A1207" s="502"/>
      <c r="B1207" s="178" t="s">
        <v>503</v>
      </c>
      <c r="C1207" s="137" t="s">
        <v>19</v>
      </c>
      <c r="D1207" s="138">
        <v>0.79</v>
      </c>
      <c r="E1207" s="139" t="s">
        <v>508</v>
      </c>
      <c r="F1207" s="488"/>
      <c r="G1207" s="139" t="s">
        <v>505</v>
      </c>
      <c r="H1207" s="140"/>
      <c r="I1207" s="140" t="str">
        <f t="shared" si="29"/>
        <v>12,25</v>
      </c>
    </row>
    <row r="1208" spans="1:9" ht="19.5" hidden="1" thickBot="1" x14ac:dyDescent="0.3">
      <c r="A1208" s="502"/>
      <c r="B1208" s="178" t="s">
        <v>503</v>
      </c>
      <c r="C1208" s="137" t="s">
        <v>116</v>
      </c>
      <c r="D1208" s="138">
        <v>0.79</v>
      </c>
      <c r="E1208" s="139" t="s">
        <v>508</v>
      </c>
      <c r="F1208" s="488"/>
      <c r="G1208" s="139" t="s">
        <v>505</v>
      </c>
      <c r="H1208" s="140"/>
      <c r="I1208" s="140" t="str">
        <f t="shared" si="29"/>
        <v>12,25</v>
      </c>
    </row>
    <row r="1209" spans="1:9" ht="19.5" hidden="1" thickBot="1" x14ac:dyDescent="0.3">
      <c r="A1209" s="503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510"/>
      <c r="G1209" s="99" t="s">
        <v>505</v>
      </c>
      <c r="H1209" s="132"/>
      <c r="I1209" s="132" t="str">
        <f t="shared" si="29"/>
        <v>12,25</v>
      </c>
    </row>
    <row r="1210" spans="1:9" ht="19.5" hidden="1" thickBot="1" x14ac:dyDescent="0.3">
      <c r="A1210" s="491">
        <f t="shared" ref="A1210:A1228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09" t="str">
        <f t="shared" si="29"/>
        <v>12,25</v>
      </c>
    </row>
    <row r="1211" spans="1:9" ht="19.5" hidden="1" thickBot="1" x14ac:dyDescent="0.3">
      <c r="A1211" s="492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116" t="str">
        <f t="shared" si="29"/>
        <v>12,25</v>
      </c>
    </row>
    <row r="1212" spans="1:9" ht="19.5" hidden="1" thickBot="1" x14ac:dyDescent="0.3">
      <c r="A1212" s="492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116" t="str">
        <f t="shared" si="29"/>
        <v>12,25</v>
      </c>
    </row>
    <row r="1213" spans="1:9" ht="19.5" hidden="1" thickBot="1" x14ac:dyDescent="0.3">
      <c r="A1213" s="492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116" t="str">
        <f t="shared" si="29"/>
        <v>12,25</v>
      </c>
    </row>
    <row r="1214" spans="1:9" ht="19.5" hidden="1" thickBot="1" x14ac:dyDescent="0.3">
      <c r="A1214" s="504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122"/>
      <c r="I1214" s="122" t="str">
        <f t="shared" si="29"/>
        <v>12,25</v>
      </c>
    </row>
    <row r="1215" spans="1:9" ht="19.5" hidden="1" thickBot="1" x14ac:dyDescent="0.3">
      <c r="A1215" s="501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135" t="str">
        <f t="shared" si="29"/>
        <v>12,25</v>
      </c>
    </row>
    <row r="1216" spans="1:9" ht="19.5" hidden="1" thickBot="1" x14ac:dyDescent="0.3">
      <c r="A1216" s="502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140" t="str">
        <f t="shared" si="29"/>
        <v>12,25</v>
      </c>
    </row>
    <row r="1217" spans="1:9" ht="19.5" hidden="1" thickBot="1" x14ac:dyDescent="0.3">
      <c r="A1217" s="502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140" t="str">
        <f t="shared" si="29"/>
        <v>12,25</v>
      </c>
    </row>
    <row r="1218" spans="1:9" ht="19.5" hidden="1" thickBot="1" x14ac:dyDescent="0.3">
      <c r="A1218" s="502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140" t="str">
        <f t="shared" si="29"/>
        <v>12,25</v>
      </c>
    </row>
    <row r="1219" spans="1:9" ht="19.5" hidden="1" thickBot="1" x14ac:dyDescent="0.3">
      <c r="A1219" s="503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132"/>
      <c r="I1219" s="132" t="str">
        <f t="shared" si="29"/>
        <v>12,25</v>
      </c>
    </row>
    <row r="1220" spans="1:9" ht="38.25" hidden="1" thickBot="1" x14ac:dyDescent="0.3">
      <c r="A1220" s="491">
        <f t="shared" si="31"/>
        <v>233</v>
      </c>
      <c r="B1220" s="104" t="s">
        <v>513</v>
      </c>
      <c r="C1220" s="105" t="s">
        <v>18</v>
      </c>
      <c r="D1220" s="106">
        <f>0.83+0.85</f>
        <v>1.68</v>
      </c>
      <c r="E1220" s="107" t="s">
        <v>34</v>
      </c>
      <c r="F1220" s="493" t="s">
        <v>515</v>
      </c>
      <c r="G1220" s="107" t="s">
        <v>512</v>
      </c>
      <c r="H1220" s="109" t="s">
        <v>514</v>
      </c>
      <c r="I1220" s="109" t="str">
        <f t="shared" si="29"/>
        <v>12,25</v>
      </c>
    </row>
    <row r="1221" spans="1:9" ht="19.5" hidden="1" thickBot="1" x14ac:dyDescent="0.3">
      <c r="A1221" s="492"/>
      <c r="B1221" s="111" t="s">
        <v>513</v>
      </c>
      <c r="C1221" s="112" t="s">
        <v>19</v>
      </c>
      <c r="D1221" s="113">
        <v>0.8</v>
      </c>
      <c r="E1221" s="114" t="s">
        <v>34</v>
      </c>
      <c r="F1221" s="494"/>
      <c r="G1221" s="114" t="s">
        <v>512</v>
      </c>
      <c r="H1221" s="116"/>
      <c r="I1221" s="116" t="str">
        <f t="shared" si="29"/>
        <v>12,25</v>
      </c>
    </row>
    <row r="1222" spans="1:9" ht="19.5" hidden="1" thickBot="1" x14ac:dyDescent="0.3">
      <c r="A1222" s="492"/>
      <c r="B1222" s="111" t="s">
        <v>513</v>
      </c>
      <c r="C1222" s="112" t="s">
        <v>116</v>
      </c>
      <c r="D1222" s="113">
        <v>0.13</v>
      </c>
      <c r="E1222" s="114" t="s">
        <v>34</v>
      </c>
      <c r="F1222" s="494"/>
      <c r="G1222" s="114" t="s">
        <v>512</v>
      </c>
      <c r="H1222" s="116"/>
      <c r="I1222" s="116" t="str">
        <f t="shared" si="29"/>
        <v>12,25</v>
      </c>
    </row>
    <row r="1223" spans="1:9" ht="19.5" hidden="1" thickBot="1" x14ac:dyDescent="0.3">
      <c r="A1223" s="492"/>
      <c r="B1223" s="111" t="s">
        <v>513</v>
      </c>
      <c r="C1223" s="112" t="s">
        <v>17</v>
      </c>
      <c r="D1223" s="113">
        <v>3.28</v>
      </c>
      <c r="E1223" s="114" t="s">
        <v>34</v>
      </c>
      <c r="F1223" s="494"/>
      <c r="G1223" s="114" t="s">
        <v>512</v>
      </c>
      <c r="H1223" s="116"/>
      <c r="I1223" s="116" t="str">
        <f t="shared" si="29"/>
        <v>12,25</v>
      </c>
    </row>
    <row r="1224" spans="1:9" ht="19.5" hidden="1" thickBot="1" x14ac:dyDescent="0.3">
      <c r="A1224" s="492"/>
      <c r="B1224" s="111" t="s">
        <v>513</v>
      </c>
      <c r="C1224" s="112" t="s">
        <v>18</v>
      </c>
      <c r="D1224" s="113">
        <v>0.23</v>
      </c>
      <c r="E1224" s="114" t="s">
        <v>45</v>
      </c>
      <c r="F1224" s="494"/>
      <c r="G1224" s="114" t="s">
        <v>512</v>
      </c>
      <c r="H1224" s="116"/>
      <c r="I1224" s="116" t="str">
        <f t="shared" si="29"/>
        <v>12,25</v>
      </c>
    </row>
    <row r="1225" spans="1:9" ht="19.5" hidden="1" thickBot="1" x14ac:dyDescent="0.3">
      <c r="A1225" s="492"/>
      <c r="B1225" s="111" t="s">
        <v>513</v>
      </c>
      <c r="C1225" s="112" t="s">
        <v>19</v>
      </c>
      <c r="D1225" s="113">
        <v>0.08</v>
      </c>
      <c r="E1225" s="114" t="s">
        <v>45</v>
      </c>
      <c r="F1225" s="494"/>
      <c r="G1225" s="114" t="s">
        <v>512</v>
      </c>
      <c r="H1225" s="116"/>
      <c r="I1225" s="116" t="str">
        <f t="shared" si="29"/>
        <v>12,25</v>
      </c>
    </row>
    <row r="1226" spans="1:9" ht="19.5" hidden="1" thickBot="1" x14ac:dyDescent="0.3">
      <c r="A1226" s="492"/>
      <c r="B1226" s="111" t="s">
        <v>513</v>
      </c>
      <c r="C1226" s="112" t="s">
        <v>116</v>
      </c>
      <c r="D1226" s="215">
        <v>0.01</v>
      </c>
      <c r="E1226" s="114" t="s">
        <v>45</v>
      </c>
      <c r="F1226" s="494"/>
      <c r="G1226" s="114" t="s">
        <v>512</v>
      </c>
      <c r="H1226" s="116"/>
      <c r="I1226" s="116" t="str">
        <f t="shared" si="29"/>
        <v>12,25</v>
      </c>
    </row>
    <row r="1227" spans="1:9" ht="19.5" hidden="1" thickBot="1" x14ac:dyDescent="0.3">
      <c r="A1227" s="492"/>
      <c r="B1227" s="167" t="s">
        <v>513</v>
      </c>
      <c r="C1227" s="168" t="s">
        <v>17</v>
      </c>
      <c r="D1227" s="169">
        <v>0.47</v>
      </c>
      <c r="E1227" s="170" t="s">
        <v>45</v>
      </c>
      <c r="F1227" s="494"/>
      <c r="G1227" s="170" t="s">
        <v>512</v>
      </c>
      <c r="H1227" s="166"/>
      <c r="I1227" s="166" t="str">
        <f t="shared" si="29"/>
        <v>12,25</v>
      </c>
    </row>
    <row r="1228" spans="1:9" ht="19.5" hidden="1" thickBot="1" x14ac:dyDescent="0.3">
      <c r="A1228" s="501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4"/>
      <c r="G1228" s="94" t="s">
        <v>517</v>
      </c>
      <c r="H1228" s="135"/>
      <c r="I1228" s="135" t="str">
        <f t="shared" si="29"/>
        <v>12,25</v>
      </c>
    </row>
    <row r="1229" spans="1:9" ht="19.5" hidden="1" thickBot="1" x14ac:dyDescent="0.3">
      <c r="A1229" s="502"/>
      <c r="B1229" s="178" t="s">
        <v>516</v>
      </c>
      <c r="C1229" s="137" t="s">
        <v>19</v>
      </c>
      <c r="D1229" s="138">
        <v>4.5010000000000003</v>
      </c>
      <c r="E1229" s="139" t="s">
        <v>13</v>
      </c>
      <c r="F1229" s="174"/>
      <c r="G1229" s="139" t="s">
        <v>517</v>
      </c>
      <c r="H1229" s="140"/>
      <c r="I1229" s="140" t="str">
        <f t="shared" si="29"/>
        <v>12,25</v>
      </c>
    </row>
    <row r="1230" spans="1:9" ht="19.5" hidden="1" thickBot="1" x14ac:dyDescent="0.3">
      <c r="A1230" s="502"/>
      <c r="B1230" s="178" t="s">
        <v>516</v>
      </c>
      <c r="C1230" s="137" t="s">
        <v>116</v>
      </c>
      <c r="D1230" s="138">
        <v>2.7229999999999999</v>
      </c>
      <c r="E1230" s="139" t="s">
        <v>13</v>
      </c>
      <c r="F1230" s="174"/>
      <c r="G1230" s="139" t="s">
        <v>517</v>
      </c>
      <c r="H1230" s="140" t="s">
        <v>416</v>
      </c>
      <c r="I1230" s="140" t="str">
        <f t="shared" si="29"/>
        <v>12,25</v>
      </c>
    </row>
    <row r="1231" spans="1:9" ht="19.5" hidden="1" thickBot="1" x14ac:dyDescent="0.3">
      <c r="A1231" s="502"/>
      <c r="B1231" s="178" t="s">
        <v>516</v>
      </c>
      <c r="C1231" s="137" t="s">
        <v>17</v>
      </c>
      <c r="D1231" s="138">
        <v>2.5249999999999999</v>
      </c>
      <c r="E1231" s="139" t="s">
        <v>13</v>
      </c>
      <c r="F1231" s="174"/>
      <c r="G1231" s="139" t="s">
        <v>517</v>
      </c>
      <c r="H1231" s="140"/>
      <c r="I1231" s="140" t="str">
        <f t="shared" si="29"/>
        <v>12,25</v>
      </c>
    </row>
    <row r="1232" spans="1:9" ht="19.5" hidden="1" thickBot="1" x14ac:dyDescent="0.3">
      <c r="A1232" s="503"/>
      <c r="B1232" s="96" t="s">
        <v>516</v>
      </c>
      <c r="C1232" s="97" t="s">
        <v>277</v>
      </c>
      <c r="D1232" s="98">
        <v>0.97399999999999998</v>
      </c>
      <c r="E1232" s="99" t="s">
        <v>13</v>
      </c>
      <c r="F1232" s="136"/>
      <c r="G1232" s="99" t="s">
        <v>517</v>
      </c>
      <c r="H1232" s="132"/>
      <c r="I1232" s="132" t="str">
        <f t="shared" si="29"/>
        <v>12,25</v>
      </c>
    </row>
    <row r="1233" spans="1:9" ht="19.5" hidden="1" thickBot="1" x14ac:dyDescent="0.3">
      <c r="A1233" s="552">
        <f>MAX(A1212:A1232)+1</f>
        <v>235</v>
      </c>
      <c r="B1233" s="129" t="s">
        <v>516</v>
      </c>
      <c r="C1233" s="105" t="s">
        <v>18</v>
      </c>
      <c r="D1233" s="106">
        <v>2.15</v>
      </c>
      <c r="E1233" s="107" t="s">
        <v>13</v>
      </c>
      <c r="F1233" s="108"/>
      <c r="G1233" s="107" t="s">
        <v>518</v>
      </c>
      <c r="H1233" s="109"/>
      <c r="I1233" s="109" t="str">
        <f t="shared" si="29"/>
        <v>01,26</v>
      </c>
    </row>
    <row r="1234" spans="1:9" ht="19.5" hidden="1" thickBot="1" x14ac:dyDescent="0.3">
      <c r="A1234" s="553"/>
      <c r="B1234" s="227" t="s">
        <v>516</v>
      </c>
      <c r="C1234" s="217" t="s">
        <v>19</v>
      </c>
      <c r="D1234" s="218">
        <v>4.3570000000000002</v>
      </c>
      <c r="E1234" s="216" t="s">
        <v>13</v>
      </c>
      <c r="F1234" s="256"/>
      <c r="G1234" s="216" t="s">
        <v>518</v>
      </c>
      <c r="H1234" s="222"/>
      <c r="I1234" s="222" t="str">
        <f t="shared" si="29"/>
        <v>01,26</v>
      </c>
    </row>
    <row r="1235" spans="1:9" ht="19.5" hidden="1" thickBot="1" x14ac:dyDescent="0.3">
      <c r="A1235" s="553"/>
      <c r="B1235" s="227" t="s">
        <v>516</v>
      </c>
      <c r="C1235" s="217" t="s">
        <v>116</v>
      </c>
      <c r="D1235" s="218">
        <v>3.24</v>
      </c>
      <c r="E1235" s="216" t="s">
        <v>13</v>
      </c>
      <c r="F1235" s="256"/>
      <c r="G1235" s="216" t="s">
        <v>518</v>
      </c>
      <c r="H1235" s="222" t="s">
        <v>416</v>
      </c>
      <c r="I1235" s="222" t="str">
        <f t="shared" si="29"/>
        <v>01,26</v>
      </c>
    </row>
    <row r="1236" spans="1:9" ht="19.5" hidden="1" thickBot="1" x14ac:dyDescent="0.3">
      <c r="A1236" s="553"/>
      <c r="B1236" s="227" t="s">
        <v>516</v>
      </c>
      <c r="C1236" s="217" t="s">
        <v>17</v>
      </c>
      <c r="D1236" s="218">
        <v>3.097</v>
      </c>
      <c r="E1236" s="216" t="s">
        <v>13</v>
      </c>
      <c r="F1236" s="256"/>
      <c r="G1236" s="216" t="s">
        <v>518</v>
      </c>
      <c r="H1236" s="222"/>
      <c r="I1236" s="222" t="str">
        <f t="shared" si="29"/>
        <v>01,26</v>
      </c>
    </row>
    <row r="1237" spans="1:9" ht="19.5" hidden="1" thickBot="1" x14ac:dyDescent="0.3">
      <c r="A1237" s="554"/>
      <c r="B1237" s="131" t="s">
        <v>522</v>
      </c>
      <c r="C1237" s="118" t="s">
        <v>319</v>
      </c>
      <c r="D1237" s="119">
        <v>0.55200000000000005</v>
      </c>
      <c r="E1237" s="216" t="s">
        <v>13</v>
      </c>
      <c r="F1237" s="121"/>
      <c r="G1237" s="120" t="s">
        <v>518</v>
      </c>
      <c r="H1237" s="122"/>
      <c r="I1237" s="122" t="str">
        <f t="shared" si="29"/>
        <v>01,26</v>
      </c>
    </row>
    <row r="1238" spans="1:9" ht="19.5" hidden="1" thickBot="1" x14ac:dyDescent="0.3">
      <c r="A1238" s="501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98" t="s">
        <v>521</v>
      </c>
      <c r="G1238" s="94" t="s">
        <v>518</v>
      </c>
      <c r="H1238" s="135"/>
      <c r="I1238" s="135" t="str">
        <f t="shared" ref="I1238:I1281" si="32">RIGHT(G1238,5)</f>
        <v>01,26</v>
      </c>
    </row>
    <row r="1239" spans="1:9" ht="19.5" hidden="1" thickBot="1" x14ac:dyDescent="0.3">
      <c r="A1239" s="502"/>
      <c r="B1239" s="178" t="s">
        <v>520</v>
      </c>
      <c r="C1239" s="137" t="s">
        <v>19</v>
      </c>
      <c r="D1239" s="138">
        <f>1.47+0.1</f>
        <v>1.57</v>
      </c>
      <c r="E1239" s="139" t="s">
        <v>519</v>
      </c>
      <c r="F1239" s="488"/>
      <c r="G1239" s="139" t="s">
        <v>518</v>
      </c>
      <c r="H1239" s="140"/>
      <c r="I1239" s="140" t="str">
        <f t="shared" si="32"/>
        <v>01,26</v>
      </c>
    </row>
    <row r="1240" spans="1:9" ht="19.5" hidden="1" thickBot="1" x14ac:dyDescent="0.3">
      <c r="A1240" s="502"/>
      <c r="B1240" s="178" t="s">
        <v>520</v>
      </c>
      <c r="C1240" s="137" t="s">
        <v>116</v>
      </c>
      <c r="D1240" s="138">
        <v>0.91</v>
      </c>
      <c r="E1240" s="139" t="s">
        <v>519</v>
      </c>
      <c r="F1240" s="488"/>
      <c r="G1240" s="139" t="s">
        <v>518</v>
      </c>
      <c r="H1240" s="140"/>
      <c r="I1240" s="140" t="str">
        <f t="shared" si="32"/>
        <v>01,26</v>
      </c>
    </row>
    <row r="1241" spans="1:9" ht="19.5" hidden="1" thickBot="1" x14ac:dyDescent="0.3">
      <c r="A1241" s="502"/>
      <c r="B1241" s="178" t="s">
        <v>520</v>
      </c>
      <c r="C1241" s="137" t="s">
        <v>17</v>
      </c>
      <c r="D1241" s="138">
        <f>2.47+0.15+0.3</f>
        <v>2.92</v>
      </c>
      <c r="E1241" s="139" t="s">
        <v>519</v>
      </c>
      <c r="F1241" s="488"/>
      <c r="G1241" s="139" t="s">
        <v>518</v>
      </c>
      <c r="H1241" s="140"/>
      <c r="I1241" s="140" t="str">
        <f t="shared" si="32"/>
        <v>01,26</v>
      </c>
    </row>
    <row r="1242" spans="1:9" ht="19.5" hidden="1" thickBot="1" x14ac:dyDescent="0.3">
      <c r="A1242" s="502"/>
      <c r="B1242" s="178" t="s">
        <v>520</v>
      </c>
      <c r="C1242" s="137" t="s">
        <v>18</v>
      </c>
      <c r="D1242" s="138">
        <v>0.18</v>
      </c>
      <c r="E1242" s="139" t="s">
        <v>45</v>
      </c>
      <c r="F1242" s="488"/>
      <c r="G1242" s="139" t="s">
        <v>518</v>
      </c>
      <c r="H1242" s="140"/>
      <c r="I1242" s="140" t="str">
        <f t="shared" si="32"/>
        <v>01,26</v>
      </c>
    </row>
    <row r="1243" spans="1:9" ht="19.5" hidden="1" thickBot="1" x14ac:dyDescent="0.3">
      <c r="A1243" s="503"/>
      <c r="B1243" s="96" t="s">
        <v>520</v>
      </c>
      <c r="C1243" s="97" t="s">
        <v>17</v>
      </c>
      <c r="D1243" s="98">
        <v>0.34</v>
      </c>
      <c r="E1243" s="99" t="s">
        <v>45</v>
      </c>
      <c r="F1243" s="510"/>
      <c r="G1243" s="99" t="s">
        <v>518</v>
      </c>
      <c r="H1243" s="132"/>
      <c r="I1243" s="132" t="str">
        <f t="shared" si="32"/>
        <v>01,26</v>
      </c>
    </row>
    <row r="1244" spans="1:9" ht="19.5" hidden="1" thickBot="1" x14ac:dyDescent="0.3">
      <c r="A1244" s="491">
        <f t="shared" ref="A1244" si="33">MAX(A1222:A1243)+1</f>
        <v>237</v>
      </c>
      <c r="B1244" s="104" t="s">
        <v>523</v>
      </c>
      <c r="C1244" s="105" t="s">
        <v>18</v>
      </c>
      <c r="D1244" s="106">
        <v>3.4319999999999999</v>
      </c>
      <c r="E1244" s="107" t="s">
        <v>13</v>
      </c>
      <c r="F1244" s="108"/>
      <c r="G1244" s="107" t="s">
        <v>524</v>
      </c>
      <c r="H1244" s="109"/>
      <c r="I1244" s="109" t="str">
        <f t="shared" si="32"/>
        <v>01,26</v>
      </c>
    </row>
    <row r="1245" spans="1:9" ht="19.5" hidden="1" thickBot="1" x14ac:dyDescent="0.3">
      <c r="A1245" s="492"/>
      <c r="B1245" s="111" t="s">
        <v>523</v>
      </c>
      <c r="C1245" s="112" t="s">
        <v>19</v>
      </c>
      <c r="D1245" s="113">
        <v>5.0389999999999997</v>
      </c>
      <c r="E1245" s="114" t="s">
        <v>13</v>
      </c>
      <c r="F1245" s="115"/>
      <c r="G1245" s="114" t="s">
        <v>524</v>
      </c>
      <c r="H1245" s="116"/>
      <c r="I1245" s="116" t="str">
        <f t="shared" si="32"/>
        <v>01,26</v>
      </c>
    </row>
    <row r="1246" spans="1:9" ht="19.5" hidden="1" thickBot="1" x14ac:dyDescent="0.3">
      <c r="A1246" s="492"/>
      <c r="B1246" s="111" t="s">
        <v>523</v>
      </c>
      <c r="C1246" s="112" t="s">
        <v>116</v>
      </c>
      <c r="D1246" s="113">
        <v>2.7810000000000001</v>
      </c>
      <c r="E1246" s="114" t="s">
        <v>13</v>
      </c>
      <c r="F1246" s="115"/>
      <c r="G1246" s="114" t="s">
        <v>524</v>
      </c>
      <c r="H1246" s="116" t="s">
        <v>416</v>
      </c>
      <c r="I1246" s="116" t="str">
        <f t="shared" si="32"/>
        <v>01,26</v>
      </c>
    </row>
    <row r="1247" spans="1:9" ht="19.5" hidden="1" thickBot="1" x14ac:dyDescent="0.3">
      <c r="A1247" s="492"/>
      <c r="B1247" s="111" t="s">
        <v>523</v>
      </c>
      <c r="C1247" s="112" t="s">
        <v>17</v>
      </c>
      <c r="D1247" s="113">
        <v>6.0810000000000004</v>
      </c>
      <c r="E1247" s="114" t="s">
        <v>13</v>
      </c>
      <c r="F1247" s="115"/>
      <c r="G1247" s="114" t="s">
        <v>524</v>
      </c>
      <c r="H1247" s="116"/>
      <c r="I1247" s="116" t="str">
        <f t="shared" si="32"/>
        <v>01,26</v>
      </c>
    </row>
    <row r="1248" spans="1:9" ht="19.5" hidden="1" thickBot="1" x14ac:dyDescent="0.3">
      <c r="A1248" s="492"/>
      <c r="B1248" s="111" t="s">
        <v>526</v>
      </c>
      <c r="C1248" s="112" t="s">
        <v>319</v>
      </c>
      <c r="D1248" s="113">
        <v>0.80500000000000005</v>
      </c>
      <c r="E1248" s="114" t="s">
        <v>13</v>
      </c>
      <c r="F1248" s="115"/>
      <c r="G1248" s="114" t="s">
        <v>524</v>
      </c>
      <c r="H1248" s="116"/>
      <c r="I1248" s="116" t="str">
        <f t="shared" si="32"/>
        <v>01,26</v>
      </c>
    </row>
    <row r="1249" spans="1:9" ht="19.5" hidden="1" thickBot="1" x14ac:dyDescent="0.3">
      <c r="A1249" s="504"/>
      <c r="B1249" s="117" t="s">
        <v>528</v>
      </c>
      <c r="C1249" s="118" t="s">
        <v>367</v>
      </c>
      <c r="D1249" s="119">
        <v>1.982</v>
      </c>
      <c r="E1249" s="120" t="s">
        <v>13</v>
      </c>
      <c r="F1249" s="121"/>
      <c r="G1249" s="120" t="s">
        <v>524</v>
      </c>
      <c r="H1249" s="122" t="s">
        <v>416</v>
      </c>
      <c r="I1249" s="259" t="str">
        <f t="shared" si="32"/>
        <v>01,26</v>
      </c>
    </row>
    <row r="1250" spans="1:9" ht="19.5" hidden="1" thickBot="1" x14ac:dyDescent="0.3">
      <c r="A1250" s="501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4"/>
      <c r="G1250" s="94" t="s">
        <v>525</v>
      </c>
      <c r="H1250" s="135"/>
      <c r="I1250" s="135" t="str">
        <f t="shared" si="32"/>
        <v>01,26</v>
      </c>
    </row>
    <row r="1251" spans="1:9" ht="19.5" hidden="1" thickBot="1" x14ac:dyDescent="0.3">
      <c r="A1251" s="502"/>
      <c r="B1251" s="178" t="s">
        <v>523</v>
      </c>
      <c r="C1251" s="137" t="s">
        <v>19</v>
      </c>
      <c r="D1251" s="138">
        <v>3.91</v>
      </c>
      <c r="E1251" s="139" t="s">
        <v>13</v>
      </c>
      <c r="F1251" s="174"/>
      <c r="G1251" s="139" t="s">
        <v>525</v>
      </c>
      <c r="H1251" s="140"/>
      <c r="I1251" s="140" t="str">
        <f t="shared" si="32"/>
        <v>01,26</v>
      </c>
    </row>
    <row r="1252" spans="1:9" ht="19.5" hidden="1" thickBot="1" x14ac:dyDescent="0.3">
      <c r="A1252" s="502"/>
      <c r="B1252" s="178" t="s">
        <v>523</v>
      </c>
      <c r="C1252" s="137" t="s">
        <v>116</v>
      </c>
      <c r="D1252" s="138">
        <v>2.169</v>
      </c>
      <c r="E1252" s="139" t="s">
        <v>13</v>
      </c>
      <c r="F1252" s="174"/>
      <c r="G1252" s="139" t="s">
        <v>525</v>
      </c>
      <c r="H1252" s="140" t="s">
        <v>416</v>
      </c>
      <c r="I1252" s="140" t="str">
        <f t="shared" si="32"/>
        <v>01,26</v>
      </c>
    </row>
    <row r="1253" spans="1:9" ht="19.5" hidden="1" thickBot="1" x14ac:dyDescent="0.3">
      <c r="A1253" s="502"/>
      <c r="B1253" s="178" t="s">
        <v>523</v>
      </c>
      <c r="C1253" s="137" t="s">
        <v>17</v>
      </c>
      <c r="D1253" s="138">
        <v>4.7119999999999997</v>
      </c>
      <c r="E1253" s="139" t="s">
        <v>13</v>
      </c>
      <c r="F1253" s="174"/>
      <c r="G1253" s="139" t="s">
        <v>525</v>
      </c>
      <c r="H1253" s="140"/>
      <c r="I1253" s="140" t="str">
        <f t="shared" si="32"/>
        <v>01,26</v>
      </c>
    </row>
    <row r="1254" spans="1:9" ht="19.5" hidden="1" thickBot="1" x14ac:dyDescent="0.3">
      <c r="A1254" s="502"/>
      <c r="B1254" s="178" t="s">
        <v>523</v>
      </c>
      <c r="C1254" s="137" t="s">
        <v>277</v>
      </c>
      <c r="D1254" s="138">
        <v>3.8849999999999998</v>
      </c>
      <c r="E1254" s="139" t="s">
        <v>13</v>
      </c>
      <c r="F1254" s="174"/>
      <c r="G1254" s="139" t="s">
        <v>525</v>
      </c>
      <c r="H1254" s="140"/>
      <c r="I1254" s="140" t="str">
        <f t="shared" si="32"/>
        <v>01,26</v>
      </c>
    </row>
    <row r="1255" spans="1:9" ht="19.5" hidden="1" thickBot="1" x14ac:dyDescent="0.3">
      <c r="A1255" s="503"/>
      <c r="B1255" s="96" t="s">
        <v>526</v>
      </c>
      <c r="C1255" s="97" t="s">
        <v>277</v>
      </c>
      <c r="D1255" s="98">
        <v>3.99</v>
      </c>
      <c r="E1255" s="99" t="s">
        <v>13</v>
      </c>
      <c r="F1255" s="136" t="s">
        <v>527</v>
      </c>
      <c r="G1255" s="99" t="s">
        <v>525</v>
      </c>
      <c r="H1255" s="132"/>
      <c r="I1255" s="257" t="str">
        <f t="shared" si="32"/>
        <v>01,26</v>
      </c>
    </row>
    <row r="1256" spans="1:9" ht="19.5" hidden="1" thickBot="1" x14ac:dyDescent="0.3">
      <c r="A1256" s="491">
        <f t="shared" ref="A1256:A1310" si="34">MAX(A1233:A1255)+1</f>
        <v>239</v>
      </c>
      <c r="B1256" s="104" t="s">
        <v>528</v>
      </c>
      <c r="C1256" s="105" t="s">
        <v>18</v>
      </c>
      <c r="D1256" s="106">
        <v>2.17</v>
      </c>
      <c r="E1256" s="107" t="s">
        <v>519</v>
      </c>
      <c r="F1256" s="493" t="s">
        <v>529</v>
      </c>
      <c r="G1256" s="107" t="s">
        <v>525</v>
      </c>
      <c r="H1256" s="109"/>
      <c r="I1256" s="109" t="str">
        <f t="shared" si="32"/>
        <v>01,26</v>
      </c>
    </row>
    <row r="1257" spans="1:9" ht="19.5" hidden="1" thickBot="1" x14ac:dyDescent="0.3">
      <c r="A1257" s="492"/>
      <c r="B1257" s="111" t="s">
        <v>528</v>
      </c>
      <c r="C1257" s="112" t="s">
        <v>19</v>
      </c>
      <c r="D1257" s="113">
        <v>0.77</v>
      </c>
      <c r="E1257" s="114" t="s">
        <v>519</v>
      </c>
      <c r="F1257" s="494"/>
      <c r="G1257" s="114" t="s">
        <v>525</v>
      </c>
      <c r="H1257" s="116"/>
      <c r="I1257" s="116" t="str">
        <f t="shared" si="32"/>
        <v>01,26</v>
      </c>
    </row>
    <row r="1258" spans="1:9" ht="19.5" hidden="1" thickBot="1" x14ac:dyDescent="0.3">
      <c r="A1258" s="492"/>
      <c r="B1258" s="111" t="s">
        <v>528</v>
      </c>
      <c r="C1258" s="112" t="s">
        <v>116</v>
      </c>
      <c r="D1258" s="113">
        <v>0.57999999999999996</v>
      </c>
      <c r="E1258" s="114" t="s">
        <v>519</v>
      </c>
      <c r="F1258" s="494"/>
      <c r="G1258" s="114" t="s">
        <v>525</v>
      </c>
      <c r="H1258" s="116"/>
      <c r="I1258" s="116" t="str">
        <f t="shared" si="32"/>
        <v>01,26</v>
      </c>
    </row>
    <row r="1259" spans="1:9" ht="19.5" hidden="1" thickBot="1" x14ac:dyDescent="0.3">
      <c r="A1259" s="492"/>
      <c r="B1259" s="111" t="s">
        <v>528</v>
      </c>
      <c r="C1259" s="112" t="s">
        <v>17</v>
      </c>
      <c r="D1259" s="113">
        <v>2.65</v>
      </c>
      <c r="E1259" s="114" t="s">
        <v>519</v>
      </c>
      <c r="F1259" s="494"/>
      <c r="G1259" s="114" t="s">
        <v>525</v>
      </c>
      <c r="H1259" s="116"/>
      <c r="I1259" s="116" t="str">
        <f t="shared" si="32"/>
        <v>01,26</v>
      </c>
    </row>
    <row r="1260" spans="1:9" ht="19.5" hidden="1" thickBot="1" x14ac:dyDescent="0.3">
      <c r="A1260" s="492"/>
      <c r="B1260" s="111" t="s">
        <v>528</v>
      </c>
      <c r="C1260" s="112" t="s">
        <v>18</v>
      </c>
      <c r="D1260" s="113">
        <v>0.11</v>
      </c>
      <c r="E1260" s="114" t="s">
        <v>45</v>
      </c>
      <c r="F1260" s="494"/>
      <c r="G1260" s="114" t="s">
        <v>525</v>
      </c>
      <c r="H1260" s="116"/>
      <c r="I1260" s="116" t="str">
        <f t="shared" si="32"/>
        <v>01,26</v>
      </c>
    </row>
    <row r="1261" spans="1:9" ht="19.5" hidden="1" thickBot="1" x14ac:dyDescent="0.3">
      <c r="A1261" s="492"/>
      <c r="B1261" s="111" t="s">
        <v>528</v>
      </c>
      <c r="C1261" s="112" t="s">
        <v>19</v>
      </c>
      <c r="D1261" s="113">
        <v>0.12</v>
      </c>
      <c r="E1261" s="114" t="s">
        <v>45</v>
      </c>
      <c r="F1261" s="494"/>
      <c r="G1261" s="114" t="s">
        <v>525</v>
      </c>
      <c r="H1261" s="116"/>
      <c r="I1261" s="116" t="str">
        <f t="shared" si="32"/>
        <v>01,26</v>
      </c>
    </row>
    <row r="1262" spans="1:9" ht="19.5" hidden="1" thickBot="1" x14ac:dyDescent="0.3">
      <c r="A1262" s="492"/>
      <c r="B1262" s="111" t="s">
        <v>528</v>
      </c>
      <c r="C1262" s="112" t="s">
        <v>116</v>
      </c>
      <c r="D1262" s="215">
        <v>0.01</v>
      </c>
      <c r="E1262" s="114" t="s">
        <v>45</v>
      </c>
      <c r="F1262" s="494"/>
      <c r="G1262" s="114" t="s">
        <v>525</v>
      </c>
      <c r="H1262" s="116"/>
      <c r="I1262" s="116" t="str">
        <f t="shared" si="32"/>
        <v>01,26</v>
      </c>
    </row>
    <row r="1263" spans="1:9" ht="19.5" hidden="1" thickBot="1" x14ac:dyDescent="0.3">
      <c r="A1263" s="492"/>
      <c r="B1263" s="167" t="s">
        <v>528</v>
      </c>
      <c r="C1263" s="168" t="s">
        <v>17</v>
      </c>
      <c r="D1263" s="169">
        <v>0.45</v>
      </c>
      <c r="E1263" s="170" t="s">
        <v>45</v>
      </c>
      <c r="F1263" s="494"/>
      <c r="G1263" s="170" t="s">
        <v>525</v>
      </c>
      <c r="H1263" s="166"/>
      <c r="I1263" s="258" t="str">
        <f t="shared" si="32"/>
        <v>01,26</v>
      </c>
    </row>
    <row r="1264" spans="1:9" ht="19.5" hidden="1" thickBot="1" x14ac:dyDescent="0.3">
      <c r="A1264" s="501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4"/>
      <c r="G1264" s="94" t="s">
        <v>531</v>
      </c>
      <c r="H1264" s="135"/>
      <c r="I1264" s="135" t="str">
        <f t="shared" si="32"/>
        <v>01,26</v>
      </c>
    </row>
    <row r="1265" spans="1:9" ht="19.5" hidden="1" thickBot="1" x14ac:dyDescent="0.3">
      <c r="A1265" s="502"/>
      <c r="B1265" s="178" t="s">
        <v>530</v>
      </c>
      <c r="C1265" s="137" t="s">
        <v>19</v>
      </c>
      <c r="D1265" s="138">
        <v>5.1980000000000004</v>
      </c>
      <c r="E1265" s="139" t="s">
        <v>13</v>
      </c>
      <c r="F1265" s="174"/>
      <c r="G1265" s="139" t="s">
        <v>531</v>
      </c>
      <c r="H1265" s="140"/>
      <c r="I1265" s="140" t="str">
        <f t="shared" si="32"/>
        <v>01,26</v>
      </c>
    </row>
    <row r="1266" spans="1:9" ht="19.5" hidden="1" thickBot="1" x14ac:dyDescent="0.3">
      <c r="A1266" s="502"/>
      <c r="B1266" s="178" t="s">
        <v>530</v>
      </c>
      <c r="C1266" s="137" t="s">
        <v>116</v>
      </c>
      <c r="D1266" s="138">
        <v>1.7430000000000001</v>
      </c>
      <c r="E1266" s="139" t="s">
        <v>13</v>
      </c>
      <c r="F1266" s="174"/>
      <c r="G1266" s="139" t="s">
        <v>531</v>
      </c>
      <c r="H1266" s="140" t="s">
        <v>416</v>
      </c>
      <c r="I1266" s="140" t="str">
        <f t="shared" si="32"/>
        <v>01,26</v>
      </c>
    </row>
    <row r="1267" spans="1:9" ht="19.5" hidden="1" thickBot="1" x14ac:dyDescent="0.3">
      <c r="A1267" s="502"/>
      <c r="B1267" s="178" t="s">
        <v>530</v>
      </c>
      <c r="C1267" s="137" t="s">
        <v>17</v>
      </c>
      <c r="D1267" s="138">
        <v>4.569</v>
      </c>
      <c r="E1267" s="139" t="s">
        <v>13</v>
      </c>
      <c r="F1267" s="174"/>
      <c r="G1267" s="139" t="s">
        <v>531</v>
      </c>
      <c r="H1267" s="140"/>
      <c r="I1267" s="140" t="str">
        <f t="shared" si="32"/>
        <v>01,26</v>
      </c>
    </row>
    <row r="1268" spans="1:9" ht="19.5" hidden="1" thickBot="1" x14ac:dyDescent="0.3">
      <c r="A1268" s="502"/>
      <c r="B1268" s="178" t="s">
        <v>530</v>
      </c>
      <c r="C1268" s="137" t="s">
        <v>319</v>
      </c>
      <c r="D1268" s="138">
        <v>1.8260000000000001</v>
      </c>
      <c r="E1268" s="139" t="s">
        <v>13</v>
      </c>
      <c r="F1268" s="174"/>
      <c r="G1268" s="139" t="s">
        <v>531</v>
      </c>
      <c r="H1268" s="140"/>
      <c r="I1268" s="140" t="str">
        <f t="shared" si="32"/>
        <v>01,26</v>
      </c>
    </row>
    <row r="1269" spans="1:9" ht="19.5" hidden="1" thickBot="1" x14ac:dyDescent="0.3">
      <c r="A1269" s="503"/>
      <c r="B1269" s="96" t="s">
        <v>530</v>
      </c>
      <c r="C1269" s="97" t="s">
        <v>367</v>
      </c>
      <c r="D1269" s="98">
        <v>3.964</v>
      </c>
      <c r="E1269" s="99" t="s">
        <v>13</v>
      </c>
      <c r="F1269" s="136"/>
      <c r="G1269" s="99" t="s">
        <v>531</v>
      </c>
      <c r="H1269" s="257" t="s">
        <v>416</v>
      </c>
      <c r="I1269" s="262" t="str">
        <f t="shared" si="32"/>
        <v>01,26</v>
      </c>
    </row>
    <row r="1270" spans="1:9" ht="19.5" hidden="1" thickBot="1" x14ac:dyDescent="0.3">
      <c r="A1270" s="491">
        <f t="shared" si="34"/>
        <v>241</v>
      </c>
      <c r="B1270" s="104" t="s">
        <v>530</v>
      </c>
      <c r="C1270" s="105" t="s">
        <v>18</v>
      </c>
      <c r="D1270" s="106">
        <v>3.37</v>
      </c>
      <c r="E1270" s="107" t="s">
        <v>13</v>
      </c>
      <c r="F1270" s="108"/>
      <c r="G1270" s="107" t="s">
        <v>532</v>
      </c>
      <c r="H1270" s="109"/>
      <c r="I1270" s="109" t="str">
        <f t="shared" si="32"/>
        <v>01,26</v>
      </c>
    </row>
    <row r="1271" spans="1:9" ht="19.5" hidden="1" thickBot="1" x14ac:dyDescent="0.3">
      <c r="A1271" s="492"/>
      <c r="B1271" s="111" t="s">
        <v>530</v>
      </c>
      <c r="C1271" s="112" t="s">
        <v>19</v>
      </c>
      <c r="D1271" s="113">
        <v>5.1120000000000001</v>
      </c>
      <c r="E1271" s="114" t="s">
        <v>13</v>
      </c>
      <c r="F1271" s="115"/>
      <c r="G1271" s="114" t="s">
        <v>532</v>
      </c>
      <c r="H1271" s="116"/>
      <c r="I1271" s="116" t="str">
        <f t="shared" si="32"/>
        <v>01,26</v>
      </c>
    </row>
    <row r="1272" spans="1:9" ht="19.5" hidden="1" thickBot="1" x14ac:dyDescent="0.3">
      <c r="A1272" s="492"/>
      <c r="B1272" s="111" t="s">
        <v>530</v>
      </c>
      <c r="C1272" s="112" t="s">
        <v>116</v>
      </c>
      <c r="D1272" s="113">
        <v>1.712</v>
      </c>
      <c r="E1272" s="114" t="s">
        <v>13</v>
      </c>
      <c r="F1272" s="115"/>
      <c r="G1272" s="114" t="s">
        <v>532</v>
      </c>
      <c r="H1272" s="116" t="s">
        <v>416</v>
      </c>
      <c r="I1272" s="116" t="str">
        <f t="shared" si="32"/>
        <v>01,26</v>
      </c>
    </row>
    <row r="1273" spans="1:9" ht="19.5" hidden="1" thickBot="1" x14ac:dyDescent="0.3">
      <c r="A1273" s="492"/>
      <c r="B1273" s="111" t="s">
        <v>530</v>
      </c>
      <c r="C1273" s="112" t="s">
        <v>17</v>
      </c>
      <c r="D1273" s="113">
        <v>4.5010000000000003</v>
      </c>
      <c r="E1273" s="114" t="s">
        <v>13</v>
      </c>
      <c r="F1273" s="115"/>
      <c r="G1273" s="114" t="s">
        <v>532</v>
      </c>
      <c r="H1273" s="116"/>
      <c r="I1273" s="116" t="str">
        <f t="shared" si="32"/>
        <v>01,26</v>
      </c>
    </row>
    <row r="1274" spans="1:9" ht="19.5" hidden="1" thickBot="1" x14ac:dyDescent="0.3">
      <c r="A1274" s="504"/>
      <c r="B1274" s="117" t="s">
        <v>530</v>
      </c>
      <c r="C1274" s="118" t="s">
        <v>277</v>
      </c>
      <c r="D1274" s="119">
        <v>4.0430000000000001</v>
      </c>
      <c r="E1274" s="120" t="s">
        <v>13</v>
      </c>
      <c r="F1274" s="121"/>
      <c r="G1274" s="120" t="s">
        <v>532</v>
      </c>
      <c r="H1274" s="122"/>
      <c r="I1274" s="264" t="str">
        <f t="shared" si="32"/>
        <v>01,26</v>
      </c>
    </row>
    <row r="1275" spans="1:9" ht="19.5" hidden="1" thickBot="1" x14ac:dyDescent="0.3">
      <c r="A1275" s="501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98" t="s">
        <v>533</v>
      </c>
      <c r="G1275" s="94" t="s">
        <v>532</v>
      </c>
      <c r="H1275" s="135"/>
      <c r="I1275" s="135" t="str">
        <f t="shared" si="32"/>
        <v>01,26</v>
      </c>
    </row>
    <row r="1276" spans="1:9" ht="19.5" hidden="1" thickBot="1" x14ac:dyDescent="0.3">
      <c r="A1276" s="502"/>
      <c r="B1276" s="178" t="s">
        <v>530</v>
      </c>
      <c r="C1276" s="137" t="s">
        <v>19</v>
      </c>
      <c r="D1276" s="138">
        <v>0.22</v>
      </c>
      <c r="E1276" s="139" t="s">
        <v>519</v>
      </c>
      <c r="F1276" s="488"/>
      <c r="G1276" s="139" t="s">
        <v>532</v>
      </c>
      <c r="H1276" s="140"/>
      <c r="I1276" s="140" t="str">
        <f t="shared" si="32"/>
        <v>01,26</v>
      </c>
    </row>
    <row r="1277" spans="1:9" ht="19.5" hidden="1" thickBot="1" x14ac:dyDescent="0.3">
      <c r="A1277" s="502"/>
      <c r="B1277" s="178" t="s">
        <v>530</v>
      </c>
      <c r="C1277" s="137" t="s">
        <v>116</v>
      </c>
      <c r="D1277" s="138">
        <v>0.12</v>
      </c>
      <c r="E1277" s="139" t="s">
        <v>519</v>
      </c>
      <c r="F1277" s="488"/>
      <c r="G1277" s="139" t="s">
        <v>532</v>
      </c>
      <c r="H1277" s="140"/>
      <c r="I1277" s="140" t="str">
        <f t="shared" si="32"/>
        <v>01,26</v>
      </c>
    </row>
    <row r="1278" spans="1:9" ht="19.5" hidden="1" thickBot="1" x14ac:dyDescent="0.3">
      <c r="A1278" s="502"/>
      <c r="B1278" s="178" t="s">
        <v>530</v>
      </c>
      <c r="C1278" s="137" t="s">
        <v>17</v>
      </c>
      <c r="D1278" s="138">
        <v>1.84</v>
      </c>
      <c r="E1278" s="139" t="s">
        <v>519</v>
      </c>
      <c r="F1278" s="488"/>
      <c r="G1278" s="139" t="s">
        <v>532</v>
      </c>
      <c r="H1278" s="140"/>
      <c r="I1278" s="140" t="str">
        <f t="shared" si="32"/>
        <v>01,26</v>
      </c>
    </row>
    <row r="1279" spans="1:9" ht="19.5" hidden="1" thickBot="1" x14ac:dyDescent="0.3">
      <c r="A1279" s="502"/>
      <c r="B1279" s="178" t="s">
        <v>530</v>
      </c>
      <c r="C1279" s="137" t="s">
        <v>18</v>
      </c>
      <c r="D1279" s="214">
        <v>0.02</v>
      </c>
      <c r="E1279" s="139" t="s">
        <v>45</v>
      </c>
      <c r="F1279" s="488"/>
      <c r="G1279" s="139" t="s">
        <v>532</v>
      </c>
      <c r="H1279" s="140"/>
      <c r="I1279" s="140" t="str">
        <f t="shared" si="32"/>
        <v>01,26</v>
      </c>
    </row>
    <row r="1280" spans="1:9" ht="19.5" hidden="1" thickBot="1" x14ac:dyDescent="0.3">
      <c r="A1280" s="502"/>
      <c r="B1280" s="178" t="s">
        <v>530</v>
      </c>
      <c r="C1280" s="137" t="s">
        <v>116</v>
      </c>
      <c r="D1280" s="214">
        <v>0.01</v>
      </c>
      <c r="E1280" s="139" t="s">
        <v>45</v>
      </c>
      <c r="F1280" s="488"/>
      <c r="G1280" s="139" t="s">
        <v>532</v>
      </c>
      <c r="H1280" s="140"/>
      <c r="I1280" s="140" t="str">
        <f t="shared" si="32"/>
        <v>01,26</v>
      </c>
    </row>
    <row r="1281" spans="1:9" ht="19.5" hidden="1" thickBot="1" x14ac:dyDescent="0.3">
      <c r="A1281" s="502"/>
      <c r="B1281" s="144" t="s">
        <v>530</v>
      </c>
      <c r="C1281" s="145" t="s">
        <v>17</v>
      </c>
      <c r="D1281" s="146">
        <v>0.23</v>
      </c>
      <c r="E1281" s="147" t="s">
        <v>45</v>
      </c>
      <c r="F1281" s="488"/>
      <c r="G1281" s="147" t="s">
        <v>532</v>
      </c>
      <c r="H1281" s="260"/>
      <c r="I1281" s="261" t="str">
        <f t="shared" si="32"/>
        <v>01,26</v>
      </c>
    </row>
    <row r="1282" spans="1:9" x14ac:dyDescent="0.25">
      <c r="A1282" s="491">
        <f t="shared" si="34"/>
        <v>243</v>
      </c>
      <c r="B1282" s="104" t="s">
        <v>534</v>
      </c>
      <c r="C1282" s="105" t="s">
        <v>18</v>
      </c>
      <c r="D1282" s="106">
        <v>3.5310000000000001</v>
      </c>
      <c r="E1282" s="107" t="s">
        <v>13</v>
      </c>
      <c r="F1282" s="108"/>
      <c r="G1282" s="107" t="s">
        <v>535</v>
      </c>
      <c r="H1282" s="109"/>
      <c r="I1282" s="110"/>
    </row>
    <row r="1283" spans="1:9" x14ac:dyDescent="0.25">
      <c r="A1283" s="492"/>
      <c r="B1283" s="111" t="s">
        <v>534</v>
      </c>
      <c r="C1283" s="112" t="s">
        <v>19</v>
      </c>
      <c r="D1283" s="113">
        <v>3.5880000000000001</v>
      </c>
      <c r="E1283" s="114" t="s">
        <v>13</v>
      </c>
      <c r="F1283" s="115"/>
      <c r="G1283" s="114" t="s">
        <v>535</v>
      </c>
      <c r="H1283" s="116"/>
      <c r="I1283" s="226"/>
    </row>
    <row r="1284" spans="1:9" x14ac:dyDescent="0.25">
      <c r="A1284" s="492"/>
      <c r="B1284" s="111" t="s">
        <v>534</v>
      </c>
      <c r="C1284" s="112" t="s">
        <v>116</v>
      </c>
      <c r="D1284" s="113">
        <v>2.27</v>
      </c>
      <c r="E1284" s="114" t="s">
        <v>13</v>
      </c>
      <c r="F1284" s="115"/>
      <c r="G1284" s="114" t="s">
        <v>535</v>
      </c>
      <c r="H1284" s="116" t="s">
        <v>416</v>
      </c>
      <c r="I1284" s="226"/>
    </row>
    <row r="1285" spans="1:9" x14ac:dyDescent="0.25">
      <c r="A1285" s="492"/>
      <c r="B1285" s="111" t="s">
        <v>534</v>
      </c>
      <c r="C1285" s="112" t="s">
        <v>17</v>
      </c>
      <c r="D1285" s="113">
        <v>2.8780000000000001</v>
      </c>
      <c r="E1285" s="114" t="s">
        <v>13</v>
      </c>
      <c r="F1285" s="115"/>
      <c r="G1285" s="114" t="s">
        <v>535</v>
      </c>
      <c r="H1285" s="116"/>
      <c r="I1285" s="226"/>
    </row>
    <row r="1286" spans="1:9" x14ac:dyDescent="0.25">
      <c r="A1286" s="492"/>
      <c r="B1286" s="111" t="s">
        <v>534</v>
      </c>
      <c r="C1286" s="112" t="s">
        <v>319</v>
      </c>
      <c r="D1286" s="113">
        <v>2.7370000000000001</v>
      </c>
      <c r="E1286" s="114" t="s">
        <v>13</v>
      </c>
      <c r="F1286" s="115"/>
      <c r="G1286" s="114" t="s">
        <v>535</v>
      </c>
      <c r="H1286" s="116"/>
      <c r="I1286" s="226"/>
    </row>
    <row r="1287" spans="1:9" ht="19.5" thickBot="1" x14ac:dyDescent="0.3">
      <c r="A1287" s="504"/>
      <c r="B1287" s="117" t="s">
        <v>534</v>
      </c>
      <c r="C1287" s="118" t="s">
        <v>367</v>
      </c>
      <c r="D1287" s="119">
        <v>4.3239999999999998</v>
      </c>
      <c r="E1287" s="120" t="s">
        <v>13</v>
      </c>
      <c r="F1287" s="121"/>
      <c r="G1287" s="120" t="s">
        <v>535</v>
      </c>
      <c r="H1287" s="259" t="s">
        <v>416</v>
      </c>
      <c r="I1287" s="232"/>
    </row>
    <row r="1288" spans="1:9" x14ac:dyDescent="0.25">
      <c r="A1288" s="501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4"/>
      <c r="G1288" s="94" t="s">
        <v>536</v>
      </c>
      <c r="H1288" s="135"/>
      <c r="I1288" s="95"/>
    </row>
    <row r="1289" spans="1:9" x14ac:dyDescent="0.25">
      <c r="A1289" s="502"/>
      <c r="B1289" s="178" t="s">
        <v>534</v>
      </c>
      <c r="C1289" s="137" t="s">
        <v>19</v>
      </c>
      <c r="D1289" s="138">
        <v>4.8440000000000003</v>
      </c>
      <c r="E1289" s="139" t="s">
        <v>13</v>
      </c>
      <c r="F1289" s="174"/>
      <c r="G1289" s="139" t="s">
        <v>536</v>
      </c>
      <c r="H1289" s="140"/>
      <c r="I1289" s="248"/>
    </row>
    <row r="1290" spans="1:9" x14ac:dyDescent="0.25">
      <c r="A1290" s="502"/>
      <c r="B1290" s="178" t="s">
        <v>534</v>
      </c>
      <c r="C1290" s="137" t="s">
        <v>116</v>
      </c>
      <c r="D1290" s="138">
        <v>3.0649999999999999</v>
      </c>
      <c r="E1290" s="139" t="s">
        <v>13</v>
      </c>
      <c r="F1290" s="174"/>
      <c r="G1290" s="139" t="s">
        <v>536</v>
      </c>
      <c r="H1290" s="140" t="s">
        <v>416</v>
      </c>
      <c r="I1290" s="248"/>
    </row>
    <row r="1291" spans="1:9" ht="19.5" thickBot="1" x14ac:dyDescent="0.3">
      <c r="A1291" s="503"/>
      <c r="B1291" s="96" t="s">
        <v>534</v>
      </c>
      <c r="C1291" s="97" t="s">
        <v>17</v>
      </c>
      <c r="D1291" s="98">
        <v>3.87</v>
      </c>
      <c r="E1291" s="99" t="s">
        <v>13</v>
      </c>
      <c r="F1291" s="136"/>
      <c r="G1291" s="99" t="s">
        <v>536</v>
      </c>
      <c r="H1291" s="257"/>
      <c r="I1291" s="100"/>
    </row>
    <row r="1292" spans="1:9" x14ac:dyDescent="0.25">
      <c r="A1292" s="491">
        <f t="shared" si="34"/>
        <v>245</v>
      </c>
      <c r="B1292" s="104" t="s">
        <v>534</v>
      </c>
      <c r="C1292" s="105" t="s">
        <v>18</v>
      </c>
      <c r="D1292" s="106">
        <v>1.48</v>
      </c>
      <c r="E1292" s="107" t="s">
        <v>519</v>
      </c>
      <c r="F1292" s="493" t="s">
        <v>537</v>
      </c>
      <c r="G1292" s="107" t="s">
        <v>536</v>
      </c>
      <c r="H1292" s="109"/>
      <c r="I1292" s="110"/>
    </row>
    <row r="1293" spans="1:9" x14ac:dyDescent="0.25">
      <c r="A1293" s="492"/>
      <c r="B1293" s="111" t="s">
        <v>534</v>
      </c>
      <c r="C1293" s="112" t="s">
        <v>19</v>
      </c>
      <c r="D1293" s="113">
        <v>0.33</v>
      </c>
      <c r="E1293" s="114" t="s">
        <v>519</v>
      </c>
      <c r="F1293" s="494"/>
      <c r="G1293" s="114" t="s">
        <v>536</v>
      </c>
      <c r="H1293" s="116"/>
      <c r="I1293" s="226"/>
    </row>
    <row r="1294" spans="1:9" x14ac:dyDescent="0.25">
      <c r="A1294" s="492"/>
      <c r="B1294" s="111" t="s">
        <v>534</v>
      </c>
      <c r="C1294" s="112" t="s">
        <v>116</v>
      </c>
      <c r="D1294" s="113">
        <v>0.28999999999999998</v>
      </c>
      <c r="E1294" s="114" t="s">
        <v>519</v>
      </c>
      <c r="F1294" s="494"/>
      <c r="G1294" s="114" t="s">
        <v>536</v>
      </c>
      <c r="H1294" s="116"/>
      <c r="I1294" s="226"/>
    </row>
    <row r="1295" spans="1:9" x14ac:dyDescent="0.25">
      <c r="A1295" s="492"/>
      <c r="B1295" s="111" t="s">
        <v>534</v>
      </c>
      <c r="C1295" s="112" t="s">
        <v>17</v>
      </c>
      <c r="D1295" s="113">
        <v>1.99</v>
      </c>
      <c r="E1295" s="114" t="s">
        <v>519</v>
      </c>
      <c r="F1295" s="494"/>
      <c r="G1295" s="114" t="s">
        <v>536</v>
      </c>
      <c r="H1295" s="116"/>
      <c r="I1295" s="226"/>
    </row>
    <row r="1296" spans="1:9" x14ac:dyDescent="0.25">
      <c r="A1296" s="492"/>
      <c r="B1296" s="111" t="s">
        <v>534</v>
      </c>
      <c r="C1296" s="112" t="s">
        <v>18</v>
      </c>
      <c r="D1296" s="113">
        <f>0.42+0.18</f>
        <v>0.6</v>
      </c>
      <c r="E1296" s="114" t="s">
        <v>45</v>
      </c>
      <c r="F1296" s="494"/>
      <c r="G1296" s="114" t="s">
        <v>536</v>
      </c>
      <c r="H1296" s="116"/>
      <c r="I1296" s="226"/>
    </row>
    <row r="1297" spans="1:9" x14ac:dyDescent="0.25">
      <c r="A1297" s="492"/>
      <c r="B1297" s="111" t="s">
        <v>534</v>
      </c>
      <c r="C1297" s="112" t="s">
        <v>19</v>
      </c>
      <c r="D1297" s="113">
        <f>0.07+0.126</f>
        <v>0.19600000000000001</v>
      </c>
      <c r="E1297" s="114" t="s">
        <v>45</v>
      </c>
      <c r="F1297" s="494"/>
      <c r="G1297" s="114" t="s">
        <v>536</v>
      </c>
      <c r="H1297" s="116"/>
      <c r="I1297" s="226"/>
    </row>
    <row r="1298" spans="1:9" ht="19.5" thickBot="1" x14ac:dyDescent="0.3">
      <c r="A1298" s="492"/>
      <c r="B1298" s="167" t="s">
        <v>534</v>
      </c>
      <c r="C1298" s="168" t="s">
        <v>17</v>
      </c>
      <c r="D1298" s="169">
        <f>0.36+0.252</f>
        <v>0.61199999999999999</v>
      </c>
      <c r="E1298" s="170" t="s">
        <v>45</v>
      </c>
      <c r="F1298" s="494"/>
      <c r="G1298" s="170" t="s">
        <v>536</v>
      </c>
      <c r="H1298" s="263"/>
      <c r="I1298" s="265"/>
    </row>
    <row r="1299" spans="1:9" x14ac:dyDescent="0.25">
      <c r="A1299" s="501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4"/>
      <c r="G1299" s="94" t="s">
        <v>539</v>
      </c>
      <c r="H1299" s="135"/>
      <c r="I1299" s="95"/>
    </row>
    <row r="1300" spans="1:9" x14ac:dyDescent="0.25">
      <c r="A1300" s="502"/>
      <c r="B1300" s="178" t="s">
        <v>538</v>
      </c>
      <c r="C1300" s="137" t="s">
        <v>19</v>
      </c>
      <c r="D1300" s="138">
        <v>5.2779999999999996</v>
      </c>
      <c r="E1300" s="139" t="s">
        <v>13</v>
      </c>
      <c r="F1300" s="174"/>
      <c r="G1300" s="139" t="s">
        <v>539</v>
      </c>
      <c r="H1300" s="140"/>
      <c r="I1300" s="248"/>
    </row>
    <row r="1301" spans="1:9" x14ac:dyDescent="0.25">
      <c r="A1301" s="502"/>
      <c r="B1301" s="178" t="s">
        <v>538</v>
      </c>
      <c r="C1301" s="137" t="s">
        <v>116</v>
      </c>
      <c r="D1301" s="138">
        <v>2.5219999999999998</v>
      </c>
      <c r="E1301" s="139" t="s">
        <v>13</v>
      </c>
      <c r="F1301" s="174"/>
      <c r="G1301" s="139" t="s">
        <v>539</v>
      </c>
      <c r="H1301" s="140" t="s">
        <v>416</v>
      </c>
      <c r="I1301" s="248"/>
    </row>
    <row r="1302" spans="1:9" x14ac:dyDescent="0.25">
      <c r="A1302" s="502"/>
      <c r="B1302" s="178" t="s">
        <v>538</v>
      </c>
      <c r="C1302" s="137" t="s">
        <v>17</v>
      </c>
      <c r="D1302" s="138">
        <v>4</v>
      </c>
      <c r="E1302" s="139" t="s">
        <v>13</v>
      </c>
      <c r="F1302" s="174"/>
      <c r="G1302" s="139" t="s">
        <v>539</v>
      </c>
      <c r="H1302" s="140"/>
      <c r="I1302" s="248"/>
    </row>
    <row r="1303" spans="1:9" x14ac:dyDescent="0.25">
      <c r="A1303" s="502"/>
      <c r="B1303" s="178" t="s">
        <v>538</v>
      </c>
      <c r="C1303" s="137" t="s">
        <v>319</v>
      </c>
      <c r="D1303" s="138">
        <v>1.609</v>
      </c>
      <c r="E1303" s="139" t="s">
        <v>13</v>
      </c>
      <c r="F1303" s="174"/>
      <c r="G1303" s="139" t="s">
        <v>539</v>
      </c>
      <c r="H1303" s="140"/>
      <c r="I1303" s="248"/>
    </row>
    <row r="1304" spans="1:9" x14ac:dyDescent="0.25">
      <c r="A1304" s="502"/>
      <c r="B1304" s="178" t="s">
        <v>538</v>
      </c>
      <c r="C1304" s="150" t="s">
        <v>367</v>
      </c>
      <c r="D1304" s="138">
        <v>2.3090000000000002</v>
      </c>
      <c r="E1304" s="139" t="s">
        <v>13</v>
      </c>
      <c r="F1304" s="174"/>
      <c r="G1304" s="139" t="s">
        <v>539</v>
      </c>
      <c r="H1304" s="140" t="s">
        <v>416</v>
      </c>
      <c r="I1304" s="248"/>
    </row>
    <row r="1305" spans="1:9" ht="19.5" thickBot="1" x14ac:dyDescent="0.3">
      <c r="A1305" s="503"/>
      <c r="B1305" s="96" t="s">
        <v>538</v>
      </c>
      <c r="C1305" s="157" t="s">
        <v>20</v>
      </c>
      <c r="D1305" s="98">
        <v>1.1279999999999999</v>
      </c>
      <c r="E1305" s="99" t="s">
        <v>13</v>
      </c>
      <c r="F1305" s="136"/>
      <c r="G1305" s="99" t="s">
        <v>539</v>
      </c>
      <c r="H1305" s="262"/>
      <c r="I1305" s="100"/>
    </row>
    <row r="1306" spans="1:9" x14ac:dyDescent="0.25">
      <c r="A1306" s="491">
        <f t="shared" si="34"/>
        <v>247</v>
      </c>
      <c r="B1306" s="104" t="s">
        <v>538</v>
      </c>
      <c r="C1306" s="105" t="s">
        <v>18</v>
      </c>
      <c r="D1306" s="106">
        <v>2.9060000000000001</v>
      </c>
      <c r="E1306" s="107" t="s">
        <v>13</v>
      </c>
      <c r="F1306" s="108"/>
      <c r="G1306" s="107" t="s">
        <v>540</v>
      </c>
      <c r="H1306" s="109"/>
      <c r="I1306" s="110"/>
    </row>
    <row r="1307" spans="1:9" x14ac:dyDescent="0.25">
      <c r="A1307" s="492"/>
      <c r="B1307" s="111" t="s">
        <v>538</v>
      </c>
      <c r="C1307" s="112" t="s">
        <v>19</v>
      </c>
      <c r="D1307" s="113">
        <v>5.8</v>
      </c>
      <c r="E1307" s="114" t="s">
        <v>13</v>
      </c>
      <c r="F1307" s="115"/>
      <c r="G1307" s="114" t="s">
        <v>540</v>
      </c>
      <c r="H1307" s="116"/>
      <c r="I1307" s="226"/>
    </row>
    <row r="1308" spans="1:9" x14ac:dyDescent="0.25">
      <c r="A1308" s="492"/>
      <c r="B1308" s="111" t="s">
        <v>538</v>
      </c>
      <c r="C1308" s="112" t="s">
        <v>116</v>
      </c>
      <c r="D1308" s="113">
        <v>2.7989999999999999</v>
      </c>
      <c r="E1308" s="114" t="s">
        <v>13</v>
      </c>
      <c r="F1308" s="115"/>
      <c r="G1308" s="114" t="s">
        <v>540</v>
      </c>
      <c r="H1308" s="116" t="s">
        <v>416</v>
      </c>
      <c r="I1308" s="226"/>
    </row>
    <row r="1309" spans="1:9" ht="19.5" thickBot="1" x14ac:dyDescent="0.3">
      <c r="A1309" s="504"/>
      <c r="B1309" s="117" t="s">
        <v>538</v>
      </c>
      <c r="C1309" s="118" t="s">
        <v>17</v>
      </c>
      <c r="D1309" s="119">
        <v>4.3019999999999996</v>
      </c>
      <c r="E1309" s="120" t="s">
        <v>13</v>
      </c>
      <c r="F1309" s="121"/>
      <c r="G1309" s="120" t="s">
        <v>540</v>
      </c>
      <c r="H1309" s="264"/>
      <c r="I1309" s="232"/>
    </row>
    <row r="1310" spans="1:9" x14ac:dyDescent="0.25">
      <c r="A1310" s="501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98" t="s">
        <v>541</v>
      </c>
      <c r="G1310" s="94" t="s">
        <v>540</v>
      </c>
      <c r="H1310" s="135"/>
      <c r="I1310" s="95"/>
    </row>
    <row r="1311" spans="1:9" x14ac:dyDescent="0.25">
      <c r="A1311" s="502"/>
      <c r="B1311" s="178" t="s">
        <v>538</v>
      </c>
      <c r="C1311" s="137" t="s">
        <v>19</v>
      </c>
      <c r="D1311" s="138">
        <v>0.57999999999999996</v>
      </c>
      <c r="E1311" s="139" t="s">
        <v>519</v>
      </c>
      <c r="F1311" s="488"/>
      <c r="G1311" s="139" t="s">
        <v>540</v>
      </c>
      <c r="H1311" s="140"/>
      <c r="I1311" s="248"/>
    </row>
    <row r="1312" spans="1:9" x14ac:dyDescent="0.25">
      <c r="A1312" s="502"/>
      <c r="B1312" s="178" t="s">
        <v>538</v>
      </c>
      <c r="C1312" s="137" t="s">
        <v>116</v>
      </c>
      <c r="D1312" s="138">
        <v>0.38</v>
      </c>
      <c r="E1312" s="139" t="s">
        <v>519</v>
      </c>
      <c r="F1312" s="488"/>
      <c r="G1312" s="139" t="s">
        <v>540</v>
      </c>
      <c r="H1312" s="140"/>
      <c r="I1312" s="248"/>
    </row>
    <row r="1313" spans="1:12" x14ac:dyDescent="0.25">
      <c r="A1313" s="502"/>
      <c r="B1313" s="178" t="s">
        <v>538</v>
      </c>
      <c r="C1313" s="145" t="s">
        <v>17</v>
      </c>
      <c r="D1313" s="138">
        <v>1.08</v>
      </c>
      <c r="E1313" s="139" t="s">
        <v>519</v>
      </c>
      <c r="F1313" s="488"/>
      <c r="G1313" s="139" t="s">
        <v>540</v>
      </c>
      <c r="H1313" s="140"/>
      <c r="I1313" s="248"/>
    </row>
    <row r="1314" spans="1:12" x14ac:dyDescent="0.25">
      <c r="A1314" s="502"/>
      <c r="B1314" s="178" t="s">
        <v>538</v>
      </c>
      <c r="C1314" s="150" t="s">
        <v>18</v>
      </c>
      <c r="D1314" s="214">
        <v>0.04</v>
      </c>
      <c r="E1314" s="139" t="s">
        <v>45</v>
      </c>
      <c r="F1314" s="488"/>
      <c r="G1314" s="139" t="s">
        <v>540</v>
      </c>
      <c r="H1314" s="140"/>
      <c r="I1314" s="248"/>
    </row>
    <row r="1315" spans="1:12" x14ac:dyDescent="0.25">
      <c r="A1315" s="502"/>
      <c r="B1315" s="178" t="s">
        <v>538</v>
      </c>
      <c r="C1315" s="137" t="s">
        <v>19</v>
      </c>
      <c r="D1315" s="138">
        <v>0.12</v>
      </c>
      <c r="E1315" s="139" t="s">
        <v>45</v>
      </c>
      <c r="F1315" s="488"/>
      <c r="G1315" s="139" t="s">
        <v>540</v>
      </c>
      <c r="H1315" s="140"/>
      <c r="I1315" s="248"/>
    </row>
    <row r="1316" spans="1:12" x14ac:dyDescent="0.25">
      <c r="A1316" s="502"/>
      <c r="B1316" s="178" t="s">
        <v>538</v>
      </c>
      <c r="C1316" s="137" t="s">
        <v>116</v>
      </c>
      <c r="D1316" s="214">
        <v>0.02</v>
      </c>
      <c r="E1316" s="139" t="s">
        <v>45</v>
      </c>
      <c r="F1316" s="488"/>
      <c r="G1316" s="139" t="s">
        <v>540</v>
      </c>
      <c r="H1316" s="140"/>
      <c r="I1316" s="248"/>
    </row>
    <row r="1317" spans="1:12" ht="19.5" thickBot="1" x14ac:dyDescent="0.3">
      <c r="A1317" s="502"/>
      <c r="B1317" s="144" t="s">
        <v>538</v>
      </c>
      <c r="C1317" s="145" t="s">
        <v>17</v>
      </c>
      <c r="D1317" s="146">
        <v>0.21</v>
      </c>
      <c r="E1317" s="147" t="s">
        <v>45</v>
      </c>
      <c r="F1317" s="488"/>
      <c r="G1317" s="147" t="s">
        <v>540</v>
      </c>
      <c r="H1317" s="267"/>
      <c r="I1317" s="270"/>
    </row>
    <row r="1318" spans="1:12" x14ac:dyDescent="0.25">
      <c r="A1318" s="507">
        <f>MAX(A1295:A1317)+1</f>
        <v>249</v>
      </c>
      <c r="B1318" s="275" t="s">
        <v>542</v>
      </c>
      <c r="C1318" s="276" t="s">
        <v>18</v>
      </c>
      <c r="D1318" s="277">
        <v>4.5030000000000001</v>
      </c>
      <c r="E1318" s="275" t="s">
        <v>13</v>
      </c>
      <c r="F1318" s="278"/>
      <c r="G1318" s="275" t="s">
        <v>543</v>
      </c>
      <c r="H1318" s="278"/>
      <c r="I1318" s="279"/>
      <c r="J1318" s="266"/>
      <c r="K1318" s="266"/>
      <c r="L1318" s="266"/>
    </row>
    <row r="1319" spans="1:12" x14ac:dyDescent="0.25">
      <c r="A1319" s="508"/>
      <c r="B1319" s="271" t="s">
        <v>542</v>
      </c>
      <c r="C1319" s="272" t="s">
        <v>19</v>
      </c>
      <c r="D1319" s="273">
        <v>6.9420000000000002</v>
      </c>
      <c r="E1319" s="271" t="s">
        <v>13</v>
      </c>
      <c r="F1319" s="274"/>
      <c r="G1319" s="271" t="s">
        <v>543</v>
      </c>
      <c r="H1319" s="274"/>
      <c r="I1319" s="280"/>
      <c r="J1319" s="266"/>
      <c r="K1319" s="266"/>
      <c r="L1319" s="266"/>
    </row>
    <row r="1320" spans="1:12" x14ac:dyDescent="0.25">
      <c r="A1320" s="508"/>
      <c r="B1320" s="271" t="s">
        <v>542</v>
      </c>
      <c r="C1320" s="272" t="s">
        <v>116</v>
      </c>
      <c r="D1320" s="273">
        <v>3.76</v>
      </c>
      <c r="E1320" s="271" t="s">
        <v>13</v>
      </c>
      <c r="F1320" s="274"/>
      <c r="G1320" s="271" t="s">
        <v>543</v>
      </c>
      <c r="H1320" s="274" t="s">
        <v>416</v>
      </c>
      <c r="I1320" s="280"/>
      <c r="J1320" s="266"/>
      <c r="K1320" s="266"/>
      <c r="L1320" s="266"/>
    </row>
    <row r="1321" spans="1:12" x14ac:dyDescent="0.25">
      <c r="A1321" s="508"/>
      <c r="B1321" s="271" t="s">
        <v>542</v>
      </c>
      <c r="C1321" s="272" t="s">
        <v>17</v>
      </c>
      <c r="D1321" s="273">
        <v>5.2779999999999996</v>
      </c>
      <c r="E1321" s="271" t="s">
        <v>13</v>
      </c>
      <c r="F1321" s="274"/>
      <c r="G1321" s="271" t="s">
        <v>543</v>
      </c>
      <c r="H1321" s="274"/>
      <c r="I1321" s="280"/>
      <c r="J1321" s="266"/>
      <c r="K1321" s="266"/>
      <c r="L1321" s="266"/>
    </row>
    <row r="1322" spans="1:12" x14ac:dyDescent="0.25">
      <c r="A1322" s="508"/>
      <c r="B1322" s="271" t="s">
        <v>542</v>
      </c>
      <c r="C1322" s="272" t="s">
        <v>319</v>
      </c>
      <c r="D1322" s="273">
        <v>1.175</v>
      </c>
      <c r="E1322" s="271" t="s">
        <v>13</v>
      </c>
      <c r="F1322" s="274"/>
      <c r="G1322" s="271" t="s">
        <v>543</v>
      </c>
      <c r="H1322" s="274"/>
      <c r="I1322" s="280"/>
      <c r="J1322" s="266"/>
      <c r="K1322" s="266"/>
      <c r="L1322" s="266"/>
    </row>
    <row r="1323" spans="1:12" ht="19.5" thickBot="1" x14ac:dyDescent="0.3">
      <c r="A1323" s="509"/>
      <c r="B1323" s="281" t="s">
        <v>542</v>
      </c>
      <c r="C1323" s="282" t="s">
        <v>367</v>
      </c>
      <c r="D1323" s="283">
        <v>3.61</v>
      </c>
      <c r="E1323" s="281" t="s">
        <v>13</v>
      </c>
      <c r="F1323" s="284"/>
      <c r="G1323" s="281" t="s">
        <v>543</v>
      </c>
      <c r="H1323" s="285" t="s">
        <v>416</v>
      </c>
      <c r="I1323" s="286"/>
    </row>
    <row r="1324" spans="1:12" x14ac:dyDescent="0.25">
      <c r="A1324" s="495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4"/>
      <c r="G1324" s="94" t="s">
        <v>544</v>
      </c>
      <c r="H1324" s="153"/>
      <c r="I1324" s="288"/>
      <c r="J1324" s="266"/>
      <c r="K1324" s="266"/>
      <c r="L1324" s="266"/>
    </row>
    <row r="1325" spans="1:12" x14ac:dyDescent="0.25">
      <c r="A1325" s="496"/>
      <c r="B1325" s="149" t="s">
        <v>542</v>
      </c>
      <c r="C1325" s="150" t="s">
        <v>17</v>
      </c>
      <c r="D1325" s="151">
        <v>5.2779999999999996</v>
      </c>
      <c r="E1325" s="149" t="s">
        <v>13</v>
      </c>
      <c r="F1325" s="287"/>
      <c r="G1325" s="149" t="s">
        <v>544</v>
      </c>
      <c r="H1325" s="152"/>
      <c r="I1325" s="289"/>
      <c r="J1325" s="266"/>
      <c r="K1325" s="266"/>
      <c r="L1325" s="266"/>
    </row>
    <row r="1326" spans="1:12" x14ac:dyDescent="0.25">
      <c r="A1326" s="496"/>
      <c r="B1326" s="149" t="s">
        <v>542</v>
      </c>
      <c r="C1326" s="150" t="s">
        <v>19</v>
      </c>
      <c r="D1326" s="151">
        <v>6.9420000000000002</v>
      </c>
      <c r="E1326" s="149" t="s">
        <v>13</v>
      </c>
      <c r="F1326" s="287"/>
      <c r="G1326" s="149" t="s">
        <v>544</v>
      </c>
      <c r="H1326" s="152"/>
      <c r="I1326" s="289"/>
      <c r="J1326" s="266"/>
      <c r="K1326" s="266"/>
      <c r="L1326" s="266"/>
    </row>
    <row r="1327" spans="1:12" x14ac:dyDescent="0.25">
      <c r="A1327" s="496"/>
      <c r="B1327" s="149" t="s">
        <v>542</v>
      </c>
      <c r="C1327" s="150" t="s">
        <v>116</v>
      </c>
      <c r="D1327" s="151">
        <v>3.76</v>
      </c>
      <c r="E1327" s="149" t="s">
        <v>13</v>
      </c>
      <c r="F1327" s="287"/>
      <c r="G1327" s="149" t="s">
        <v>544</v>
      </c>
      <c r="H1327" s="152" t="s">
        <v>416</v>
      </c>
      <c r="I1327" s="289"/>
      <c r="J1327" s="266"/>
      <c r="K1327" s="266"/>
      <c r="L1327" s="266"/>
    </row>
    <row r="1328" spans="1:12" x14ac:dyDescent="0.25">
      <c r="A1328" s="496"/>
      <c r="B1328" s="149" t="s">
        <v>542</v>
      </c>
      <c r="C1328" s="150" t="s">
        <v>277</v>
      </c>
      <c r="D1328" s="151">
        <v>1.0609999999999999</v>
      </c>
      <c r="E1328" s="149" t="s">
        <v>13</v>
      </c>
      <c r="F1328" s="287"/>
      <c r="G1328" s="149" t="s">
        <v>544</v>
      </c>
      <c r="H1328" s="152"/>
      <c r="I1328" s="289"/>
      <c r="J1328" s="266"/>
      <c r="K1328" s="266"/>
      <c r="L1328" s="266"/>
    </row>
    <row r="1329" spans="1:12" ht="19.5" thickBot="1" x14ac:dyDescent="0.3">
      <c r="A1329" s="497"/>
      <c r="B1329" s="255" t="s">
        <v>542</v>
      </c>
      <c r="C1329" s="253" t="s">
        <v>20</v>
      </c>
      <c r="D1329" s="254">
        <v>0.82299999999999995</v>
      </c>
      <c r="E1329" s="255" t="s">
        <v>13</v>
      </c>
      <c r="F1329" s="290"/>
      <c r="G1329" s="255" t="s">
        <v>544</v>
      </c>
      <c r="H1329" s="268"/>
      <c r="I1329" s="291"/>
    </row>
    <row r="1330" spans="1:12" x14ac:dyDescent="0.25">
      <c r="A1330" s="507">
        <f>MAX(A1297:A1328)+1</f>
        <v>251</v>
      </c>
      <c r="B1330" s="275" t="s">
        <v>545</v>
      </c>
      <c r="C1330" s="276" t="s">
        <v>18</v>
      </c>
      <c r="D1330" s="277">
        <v>1.68</v>
      </c>
      <c r="E1330" s="275" t="s">
        <v>34</v>
      </c>
      <c r="F1330" s="505" t="s">
        <v>546</v>
      </c>
      <c r="G1330" s="275" t="s">
        <v>544</v>
      </c>
      <c r="H1330" s="278"/>
      <c r="I1330" s="279"/>
      <c r="J1330" s="266"/>
      <c r="K1330" s="266"/>
      <c r="L1330" s="266"/>
    </row>
    <row r="1331" spans="1:12" x14ac:dyDescent="0.25">
      <c r="A1331" s="508"/>
      <c r="B1331" s="271" t="s">
        <v>545</v>
      </c>
      <c r="C1331" s="272" t="s">
        <v>19</v>
      </c>
      <c r="D1331" s="273">
        <v>0.46</v>
      </c>
      <c r="E1331" s="271" t="s">
        <v>34</v>
      </c>
      <c r="F1331" s="506"/>
      <c r="G1331" s="271" t="s">
        <v>544</v>
      </c>
      <c r="H1331" s="274"/>
      <c r="I1331" s="280"/>
      <c r="J1331" s="266"/>
      <c r="K1331" s="266"/>
      <c r="L1331" s="266"/>
    </row>
    <row r="1332" spans="1:12" x14ac:dyDescent="0.25">
      <c r="A1332" s="508"/>
      <c r="B1332" s="271" t="s">
        <v>545</v>
      </c>
      <c r="C1332" s="272" t="s">
        <v>116</v>
      </c>
      <c r="D1332" s="273">
        <v>0.47599999999999998</v>
      </c>
      <c r="E1332" s="271" t="s">
        <v>34</v>
      </c>
      <c r="F1332" s="506"/>
      <c r="G1332" s="271" t="s">
        <v>544</v>
      </c>
      <c r="H1332" s="274"/>
      <c r="I1332" s="280"/>
      <c r="J1332" s="266"/>
      <c r="K1332" s="266"/>
      <c r="L1332" s="266"/>
    </row>
    <row r="1333" spans="1:12" ht="19.5" thickBot="1" x14ac:dyDescent="0.3">
      <c r="A1333" s="509"/>
      <c r="B1333" s="281" t="s">
        <v>545</v>
      </c>
      <c r="C1333" s="282" t="s">
        <v>17</v>
      </c>
      <c r="D1333" s="283">
        <v>2.08</v>
      </c>
      <c r="E1333" s="281" t="s">
        <v>34</v>
      </c>
      <c r="F1333" s="506"/>
      <c r="G1333" s="281" t="s">
        <v>544</v>
      </c>
      <c r="H1333" s="285"/>
      <c r="I1333" s="286"/>
    </row>
    <row r="1334" spans="1:12" x14ac:dyDescent="0.25">
      <c r="A1334" s="495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98" t="s">
        <v>549</v>
      </c>
      <c r="G1334" s="94" t="s">
        <v>548</v>
      </c>
      <c r="H1334" s="153"/>
      <c r="I1334" s="288"/>
      <c r="J1334" s="269"/>
      <c r="K1334" s="269"/>
      <c r="L1334" s="269"/>
    </row>
    <row r="1335" spans="1:12" x14ac:dyDescent="0.25">
      <c r="A1335" s="496"/>
      <c r="B1335" s="149" t="s">
        <v>547</v>
      </c>
      <c r="C1335" s="150" t="s">
        <v>19</v>
      </c>
      <c r="D1335" s="151">
        <v>0.36</v>
      </c>
      <c r="E1335" s="149" t="s">
        <v>519</v>
      </c>
      <c r="F1335" s="488"/>
      <c r="G1335" s="149" t="s">
        <v>548</v>
      </c>
      <c r="H1335" s="152"/>
      <c r="I1335" s="289"/>
      <c r="J1335" s="269"/>
      <c r="K1335" s="269"/>
      <c r="L1335" s="269"/>
    </row>
    <row r="1336" spans="1:12" x14ac:dyDescent="0.25">
      <c r="A1336" s="496"/>
      <c r="B1336" s="149" t="s">
        <v>547</v>
      </c>
      <c r="C1336" s="150" t="s">
        <v>116</v>
      </c>
      <c r="D1336" s="151">
        <v>0.96</v>
      </c>
      <c r="E1336" s="149" t="s">
        <v>519</v>
      </c>
      <c r="F1336" s="488"/>
      <c r="G1336" s="149" t="s">
        <v>548</v>
      </c>
      <c r="H1336" s="152"/>
      <c r="I1336" s="289"/>
      <c r="J1336" s="269"/>
      <c r="K1336" s="269"/>
      <c r="L1336" s="269"/>
    </row>
    <row r="1337" spans="1:12" x14ac:dyDescent="0.25">
      <c r="A1337" s="496"/>
      <c r="B1337" s="149" t="s">
        <v>547</v>
      </c>
      <c r="C1337" s="150" t="s">
        <v>17</v>
      </c>
      <c r="D1337" s="151">
        <v>2</v>
      </c>
      <c r="E1337" s="149" t="s">
        <v>519</v>
      </c>
      <c r="F1337" s="488"/>
      <c r="G1337" s="149" t="s">
        <v>548</v>
      </c>
      <c r="H1337" s="152"/>
      <c r="I1337" s="289"/>
      <c r="J1337" s="269"/>
      <c r="K1337" s="269"/>
      <c r="L1337" s="269"/>
    </row>
    <row r="1338" spans="1:12" x14ac:dyDescent="0.25">
      <c r="A1338" s="496"/>
      <c r="B1338" s="149" t="s">
        <v>547</v>
      </c>
      <c r="C1338" s="150" t="s">
        <v>18</v>
      </c>
      <c r="D1338" s="292">
        <v>0.27</v>
      </c>
      <c r="E1338" s="149" t="s">
        <v>45</v>
      </c>
      <c r="F1338" s="488"/>
      <c r="G1338" s="149" t="s">
        <v>548</v>
      </c>
      <c r="H1338" s="152"/>
      <c r="I1338" s="289"/>
      <c r="J1338" s="269"/>
      <c r="K1338" s="269"/>
      <c r="L1338" s="269"/>
    </row>
    <row r="1339" spans="1:12" x14ac:dyDescent="0.25">
      <c r="A1339" s="496"/>
      <c r="B1339" s="149" t="s">
        <v>547</v>
      </c>
      <c r="C1339" s="150" t="s">
        <v>19</v>
      </c>
      <c r="D1339" s="292">
        <v>0.04</v>
      </c>
      <c r="E1339" s="149" t="s">
        <v>45</v>
      </c>
      <c r="F1339" s="488"/>
      <c r="G1339" s="149" t="s">
        <v>548</v>
      </c>
      <c r="H1339" s="152"/>
      <c r="I1339" s="289"/>
      <c r="J1339" s="269"/>
      <c r="K1339" s="269"/>
      <c r="L1339" s="269"/>
    </row>
    <row r="1340" spans="1:12" x14ac:dyDescent="0.25">
      <c r="A1340" s="496"/>
      <c r="B1340" s="149" t="s">
        <v>547</v>
      </c>
      <c r="C1340" s="150" t="s">
        <v>116</v>
      </c>
      <c r="D1340" s="292">
        <v>0.03</v>
      </c>
      <c r="E1340" s="149" t="s">
        <v>45</v>
      </c>
      <c r="F1340" s="488"/>
      <c r="G1340" s="149" t="s">
        <v>548</v>
      </c>
      <c r="H1340" s="152"/>
      <c r="I1340" s="289"/>
      <c r="J1340" s="269"/>
      <c r="K1340" s="269"/>
      <c r="L1340" s="269"/>
    </row>
    <row r="1341" spans="1:12" ht="19.5" thickBot="1" x14ac:dyDescent="0.3">
      <c r="A1341" s="497"/>
      <c r="B1341" s="255" t="s">
        <v>547</v>
      </c>
      <c r="C1341" s="253" t="s">
        <v>17</v>
      </c>
      <c r="D1341" s="297">
        <v>0.45</v>
      </c>
      <c r="E1341" s="255" t="s">
        <v>45</v>
      </c>
      <c r="F1341" s="488"/>
      <c r="G1341" s="255" t="s">
        <v>548</v>
      </c>
      <c r="H1341" s="294"/>
      <c r="I1341" s="291"/>
    </row>
    <row r="1342" spans="1:12" x14ac:dyDescent="0.25">
      <c r="A1342" s="507">
        <f>MAX(A1299:A1340)+1</f>
        <v>253</v>
      </c>
      <c r="B1342" s="275" t="s">
        <v>547</v>
      </c>
      <c r="C1342" s="276" t="s">
        <v>18</v>
      </c>
      <c r="D1342" s="299">
        <v>1.1819999999999999</v>
      </c>
      <c r="E1342" s="275" t="s">
        <v>13</v>
      </c>
      <c r="F1342" s="278"/>
      <c r="G1342" s="275" t="s">
        <v>551</v>
      </c>
      <c r="H1342" s="278"/>
      <c r="I1342" s="279"/>
      <c r="J1342" s="293"/>
      <c r="K1342" s="293"/>
      <c r="L1342" s="293"/>
    </row>
    <row r="1343" spans="1:12" x14ac:dyDescent="0.25">
      <c r="A1343" s="508"/>
      <c r="B1343" s="271" t="s">
        <v>547</v>
      </c>
      <c r="C1343" s="272" t="s">
        <v>19</v>
      </c>
      <c r="D1343" s="298">
        <v>0.79100000000000004</v>
      </c>
      <c r="E1343" s="271" t="s">
        <v>13</v>
      </c>
      <c r="F1343" s="274"/>
      <c r="G1343" s="271" t="s">
        <v>551</v>
      </c>
      <c r="H1343" s="274"/>
      <c r="I1343" s="280"/>
      <c r="J1343" s="293"/>
      <c r="K1343" s="293"/>
      <c r="L1343" s="293"/>
    </row>
    <row r="1344" spans="1:12" x14ac:dyDescent="0.25">
      <c r="A1344" s="508"/>
      <c r="B1344" s="271" t="s">
        <v>547</v>
      </c>
      <c r="C1344" s="272" t="s">
        <v>116</v>
      </c>
      <c r="D1344" s="298">
        <v>1.58</v>
      </c>
      <c r="E1344" s="271" t="s">
        <v>13</v>
      </c>
      <c r="F1344" s="274"/>
      <c r="G1344" s="271" t="s">
        <v>551</v>
      </c>
      <c r="H1344" s="274" t="s">
        <v>416</v>
      </c>
      <c r="I1344" s="280"/>
      <c r="J1344" s="293"/>
      <c r="K1344" s="293"/>
      <c r="L1344" s="293"/>
    </row>
    <row r="1345" spans="1:12" x14ac:dyDescent="0.25">
      <c r="A1345" s="508"/>
      <c r="B1345" s="271" t="s">
        <v>547</v>
      </c>
      <c r="C1345" s="272" t="s">
        <v>17</v>
      </c>
      <c r="D1345" s="298">
        <v>3.3149999999999999</v>
      </c>
      <c r="E1345" s="271" t="s">
        <v>13</v>
      </c>
      <c r="F1345" s="274"/>
      <c r="G1345" s="271" t="s">
        <v>551</v>
      </c>
      <c r="H1345" s="274"/>
      <c r="I1345" s="280"/>
      <c r="J1345" s="293"/>
      <c r="K1345" s="293"/>
      <c r="L1345" s="293"/>
    </row>
    <row r="1346" spans="1:12" x14ac:dyDescent="0.25">
      <c r="A1346" s="508"/>
      <c r="B1346" s="271" t="s">
        <v>547</v>
      </c>
      <c r="C1346" s="272" t="s">
        <v>319</v>
      </c>
      <c r="D1346" s="298">
        <v>2.4780000000000002</v>
      </c>
      <c r="E1346" s="271" t="s">
        <v>13</v>
      </c>
      <c r="F1346" s="274"/>
      <c r="G1346" s="271" t="s">
        <v>551</v>
      </c>
      <c r="H1346" s="274"/>
      <c r="I1346" s="280"/>
      <c r="J1346" s="293"/>
      <c r="K1346" s="293"/>
      <c r="L1346" s="293"/>
    </row>
    <row r="1347" spans="1:12" x14ac:dyDescent="0.25">
      <c r="A1347" s="508"/>
      <c r="B1347" s="271" t="s">
        <v>547</v>
      </c>
      <c r="C1347" s="272" t="s">
        <v>367</v>
      </c>
      <c r="D1347" s="298">
        <v>3.61</v>
      </c>
      <c r="E1347" s="271" t="s">
        <v>13</v>
      </c>
      <c r="F1347" s="274"/>
      <c r="G1347" s="271" t="s">
        <v>551</v>
      </c>
      <c r="H1347" s="274" t="s">
        <v>416</v>
      </c>
      <c r="I1347" s="280"/>
      <c r="J1347" s="293"/>
      <c r="K1347" s="293"/>
      <c r="L1347" s="293"/>
    </row>
    <row r="1348" spans="1:12" ht="19.5" thickBot="1" x14ac:dyDescent="0.3">
      <c r="A1348" s="509"/>
      <c r="B1348" s="281" t="s">
        <v>547</v>
      </c>
      <c r="C1348" s="282" t="s">
        <v>550</v>
      </c>
      <c r="D1348" s="283">
        <v>1.409</v>
      </c>
      <c r="E1348" s="281" t="s">
        <v>13</v>
      </c>
      <c r="F1348" s="284"/>
      <c r="G1348" s="281" t="s">
        <v>551</v>
      </c>
      <c r="H1348" s="285" t="s">
        <v>416</v>
      </c>
      <c r="I1348" s="286"/>
    </row>
    <row r="1349" spans="1:12" x14ac:dyDescent="0.25">
      <c r="A1349" s="495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4"/>
      <c r="G1349" s="94" t="s">
        <v>548</v>
      </c>
      <c r="H1349" s="153"/>
      <c r="I1349" s="288"/>
      <c r="J1349" s="293"/>
      <c r="K1349" s="293"/>
      <c r="L1349" s="293"/>
    </row>
    <row r="1350" spans="1:12" x14ac:dyDescent="0.25">
      <c r="A1350" s="496"/>
      <c r="B1350" s="149" t="s">
        <v>547</v>
      </c>
      <c r="C1350" s="150" t="s">
        <v>19</v>
      </c>
      <c r="D1350" s="151">
        <v>0.79100000000000004</v>
      </c>
      <c r="E1350" s="149" t="s">
        <v>13</v>
      </c>
      <c r="F1350" s="287"/>
      <c r="G1350" s="149" t="s">
        <v>548</v>
      </c>
      <c r="H1350" s="152"/>
      <c r="I1350" s="289"/>
      <c r="J1350" s="293"/>
      <c r="K1350" s="293"/>
      <c r="L1350" s="293"/>
    </row>
    <row r="1351" spans="1:12" x14ac:dyDescent="0.25">
      <c r="A1351" s="496"/>
      <c r="B1351" s="149" t="s">
        <v>547</v>
      </c>
      <c r="C1351" s="150" t="s">
        <v>116</v>
      </c>
      <c r="D1351" s="151">
        <v>1.58</v>
      </c>
      <c r="E1351" s="149" t="s">
        <v>13</v>
      </c>
      <c r="F1351" s="287"/>
      <c r="G1351" s="149" t="s">
        <v>548</v>
      </c>
      <c r="H1351" s="152" t="s">
        <v>416</v>
      </c>
      <c r="I1351" s="289"/>
      <c r="J1351" s="293"/>
      <c r="K1351" s="293"/>
      <c r="L1351" s="293"/>
    </row>
    <row r="1352" spans="1:12" x14ac:dyDescent="0.25">
      <c r="A1352" s="496"/>
      <c r="B1352" s="149" t="s">
        <v>547</v>
      </c>
      <c r="C1352" s="150" t="s">
        <v>17</v>
      </c>
      <c r="D1352" s="151">
        <v>3.3149999999999999</v>
      </c>
      <c r="E1352" s="149" t="s">
        <v>13</v>
      </c>
      <c r="F1352" s="287"/>
      <c r="G1352" s="149" t="s">
        <v>548</v>
      </c>
      <c r="H1352" s="152"/>
      <c r="I1352" s="289"/>
      <c r="J1352" s="293"/>
      <c r="K1352" s="293"/>
      <c r="L1352" s="293"/>
    </row>
    <row r="1353" spans="1:12" ht="19.5" thickBot="1" x14ac:dyDescent="0.3">
      <c r="A1353" s="497"/>
      <c r="B1353" s="255" t="s">
        <v>547</v>
      </c>
      <c r="C1353" s="253" t="s">
        <v>20</v>
      </c>
      <c r="D1353" s="254">
        <v>0.57799999999999996</v>
      </c>
      <c r="E1353" s="255" t="s">
        <v>13</v>
      </c>
      <c r="F1353" s="290"/>
      <c r="G1353" s="255" t="s">
        <v>548</v>
      </c>
      <c r="H1353" s="295"/>
      <c r="I1353" s="291"/>
    </row>
    <row r="1354" spans="1:12" x14ac:dyDescent="0.25">
      <c r="A1354" s="499">
        <f>MAX(A1301:A1352)+1</f>
        <v>255</v>
      </c>
      <c r="B1354" s="275" t="s">
        <v>552</v>
      </c>
      <c r="C1354" s="276" t="s">
        <v>18</v>
      </c>
      <c r="D1354" s="277">
        <v>1.8</v>
      </c>
      <c r="E1354" s="275" t="s">
        <v>519</v>
      </c>
      <c r="F1354" s="505" t="s">
        <v>549</v>
      </c>
      <c r="G1354" s="275" t="s">
        <v>554</v>
      </c>
      <c r="H1354" s="278"/>
      <c r="I1354" s="279"/>
      <c r="J1354" s="296"/>
      <c r="K1354" s="296"/>
      <c r="L1354" s="296"/>
    </row>
    <row r="1355" spans="1:12" x14ac:dyDescent="0.25">
      <c r="A1355" s="500"/>
      <c r="B1355" s="271" t="s">
        <v>552</v>
      </c>
      <c r="C1355" s="272" t="s">
        <v>19</v>
      </c>
      <c r="D1355" s="273">
        <v>0.2</v>
      </c>
      <c r="E1355" s="271" t="s">
        <v>519</v>
      </c>
      <c r="F1355" s="506"/>
      <c r="G1355" s="271" t="s">
        <v>554</v>
      </c>
      <c r="H1355" s="274"/>
      <c r="I1355" s="280"/>
      <c r="J1355" s="296"/>
      <c r="K1355" s="296"/>
      <c r="L1355" s="296"/>
    </row>
    <row r="1356" spans="1:12" x14ac:dyDescent="0.25">
      <c r="A1356" s="500"/>
      <c r="B1356" s="271" t="s">
        <v>552</v>
      </c>
      <c r="C1356" s="272" t="s">
        <v>116</v>
      </c>
      <c r="D1356" s="273">
        <v>0.47</v>
      </c>
      <c r="E1356" s="271" t="s">
        <v>519</v>
      </c>
      <c r="F1356" s="506"/>
      <c r="G1356" s="271" t="s">
        <v>554</v>
      </c>
      <c r="H1356" s="274"/>
      <c r="I1356" s="280"/>
      <c r="J1356" s="296"/>
      <c r="K1356" s="296"/>
      <c r="L1356" s="296"/>
    </row>
    <row r="1357" spans="1:12" x14ac:dyDescent="0.25">
      <c r="A1357" s="500"/>
      <c r="B1357" s="271" t="s">
        <v>552</v>
      </c>
      <c r="C1357" s="272" t="s">
        <v>17</v>
      </c>
      <c r="D1357" s="273">
        <v>1.5</v>
      </c>
      <c r="E1357" s="271" t="s">
        <v>519</v>
      </c>
      <c r="F1357" s="506"/>
      <c r="G1357" s="271" t="s">
        <v>554</v>
      </c>
      <c r="H1357" s="274"/>
      <c r="I1357" s="280"/>
      <c r="J1357" s="296"/>
      <c r="K1357" s="296"/>
      <c r="L1357" s="296"/>
    </row>
    <row r="1358" spans="1:12" x14ac:dyDescent="0.25">
      <c r="A1358" s="500"/>
      <c r="B1358" s="271" t="s">
        <v>552</v>
      </c>
      <c r="C1358" s="272" t="s">
        <v>18</v>
      </c>
      <c r="D1358" s="273">
        <v>0.18</v>
      </c>
      <c r="E1358" s="271" t="s">
        <v>45</v>
      </c>
      <c r="F1358" s="506"/>
      <c r="G1358" s="271" t="s">
        <v>554</v>
      </c>
      <c r="H1358" s="274"/>
      <c r="I1358" s="280"/>
      <c r="J1358" s="296"/>
      <c r="K1358" s="296"/>
      <c r="L1358" s="296"/>
    </row>
    <row r="1359" spans="1:12" x14ac:dyDescent="0.25">
      <c r="A1359" s="500"/>
      <c r="B1359" s="271" t="s">
        <v>552</v>
      </c>
      <c r="C1359" s="272" t="s">
        <v>19</v>
      </c>
      <c r="D1359" s="273">
        <v>0.11</v>
      </c>
      <c r="E1359" s="271" t="s">
        <v>45</v>
      </c>
      <c r="F1359" s="506"/>
      <c r="G1359" s="271" t="s">
        <v>554</v>
      </c>
      <c r="H1359" s="274"/>
      <c r="I1359" s="280"/>
      <c r="J1359" s="296"/>
      <c r="K1359" s="296"/>
      <c r="L1359" s="296"/>
    </row>
    <row r="1360" spans="1:12" x14ac:dyDescent="0.25">
      <c r="A1360" s="500"/>
      <c r="B1360" s="271" t="s">
        <v>552</v>
      </c>
      <c r="C1360" s="272" t="s">
        <v>116</v>
      </c>
      <c r="D1360" s="273">
        <v>0</v>
      </c>
      <c r="E1360" s="271" t="s">
        <v>45</v>
      </c>
      <c r="F1360" s="506"/>
      <c r="G1360" s="271" t="s">
        <v>554</v>
      </c>
      <c r="H1360" s="274"/>
      <c r="I1360" s="280"/>
      <c r="J1360" s="296"/>
      <c r="K1360" s="296"/>
      <c r="L1360" s="296"/>
    </row>
    <row r="1361" spans="1:12" x14ac:dyDescent="0.25">
      <c r="A1361" s="500"/>
      <c r="B1361" s="281" t="s">
        <v>552</v>
      </c>
      <c r="C1361" s="282" t="s">
        <v>17</v>
      </c>
      <c r="D1361" s="283">
        <v>0.27</v>
      </c>
      <c r="E1361" s="281" t="s">
        <v>45</v>
      </c>
      <c r="F1361" s="506"/>
      <c r="G1361" s="281" t="s">
        <v>554</v>
      </c>
      <c r="H1361" s="285"/>
      <c r="I1361" s="286"/>
      <c r="J1361" s="300"/>
      <c r="K1361" s="300"/>
      <c r="L1361" s="300"/>
    </row>
    <row r="1362" spans="1:12" x14ac:dyDescent="0.25">
      <c r="A1362" s="500"/>
      <c r="B1362" s="281" t="s">
        <v>553</v>
      </c>
      <c r="C1362" s="282" t="s">
        <v>367</v>
      </c>
      <c r="D1362" s="283">
        <v>0.6</v>
      </c>
      <c r="E1362" s="281" t="s">
        <v>34</v>
      </c>
      <c r="F1362" s="506"/>
      <c r="G1362" s="281" t="s">
        <v>554</v>
      </c>
      <c r="H1362" s="285" t="s">
        <v>416</v>
      </c>
      <c r="I1362" s="286"/>
      <c r="J1362" s="300"/>
      <c r="K1362" s="300"/>
      <c r="L1362" s="300"/>
    </row>
    <row r="1363" spans="1:12" ht="19.5" thickBot="1" x14ac:dyDescent="0.3">
      <c r="A1363" s="500"/>
      <c r="B1363" s="281" t="s">
        <v>553</v>
      </c>
      <c r="C1363" s="282" t="s">
        <v>367</v>
      </c>
      <c r="D1363" s="283">
        <v>0.05</v>
      </c>
      <c r="E1363" s="281" t="s">
        <v>45</v>
      </c>
      <c r="F1363" s="506"/>
      <c r="G1363" s="281" t="s">
        <v>554</v>
      </c>
      <c r="H1363" s="285" t="s">
        <v>416</v>
      </c>
      <c r="I1363" s="286"/>
    </row>
    <row r="1364" spans="1:12" x14ac:dyDescent="0.25">
      <c r="A1364" s="482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3"/>
      <c r="G1364" s="94" t="s">
        <v>555</v>
      </c>
      <c r="H1364" s="153"/>
      <c r="I1364" s="288"/>
      <c r="J1364" s="302"/>
      <c r="K1364" s="302"/>
      <c r="L1364" s="302"/>
    </row>
    <row r="1365" spans="1:12" x14ac:dyDescent="0.25">
      <c r="A1365" s="483"/>
      <c r="B1365" s="149" t="s">
        <v>552</v>
      </c>
      <c r="C1365" s="150" t="s">
        <v>19</v>
      </c>
      <c r="D1365" s="151">
        <v>3.2290000000000001</v>
      </c>
      <c r="E1365" s="149" t="s">
        <v>13</v>
      </c>
      <c r="F1365" s="152"/>
      <c r="G1365" s="149" t="s">
        <v>555</v>
      </c>
      <c r="H1365" s="152"/>
      <c r="I1365" s="289"/>
      <c r="J1365" s="302"/>
      <c r="K1365" s="302"/>
      <c r="L1365" s="302"/>
    </row>
    <row r="1366" spans="1:12" x14ac:dyDescent="0.25">
      <c r="A1366" s="483"/>
      <c r="B1366" s="149" t="s">
        <v>552</v>
      </c>
      <c r="C1366" s="150" t="s">
        <v>116</v>
      </c>
      <c r="D1366" s="151">
        <v>2.1150000000000002</v>
      </c>
      <c r="E1366" s="149" t="s">
        <v>13</v>
      </c>
      <c r="F1366" s="152"/>
      <c r="G1366" s="149" t="s">
        <v>555</v>
      </c>
      <c r="H1366" s="152" t="s">
        <v>416</v>
      </c>
      <c r="I1366" s="289"/>
      <c r="J1366" s="302"/>
      <c r="K1366" s="302"/>
      <c r="L1366" s="302"/>
    </row>
    <row r="1367" spans="1:12" x14ac:dyDescent="0.25">
      <c r="A1367" s="483"/>
      <c r="B1367" s="149" t="s">
        <v>552</v>
      </c>
      <c r="C1367" s="150" t="s">
        <v>17</v>
      </c>
      <c r="D1367" s="151">
        <v>3.4089999999999998</v>
      </c>
      <c r="E1367" s="149" t="s">
        <v>13</v>
      </c>
      <c r="F1367" s="152"/>
      <c r="G1367" s="149" t="s">
        <v>555</v>
      </c>
      <c r="H1367" s="152"/>
      <c r="I1367" s="289"/>
      <c r="J1367" s="302"/>
      <c r="K1367" s="302"/>
      <c r="L1367" s="302"/>
    </row>
    <row r="1368" spans="1:12" x14ac:dyDescent="0.25">
      <c r="A1368" s="483"/>
      <c r="B1368" s="149" t="s">
        <v>552</v>
      </c>
      <c r="C1368" s="150" t="s">
        <v>319</v>
      </c>
      <c r="D1368" s="151">
        <v>2.452</v>
      </c>
      <c r="E1368" s="149" t="s">
        <v>13</v>
      </c>
      <c r="F1368" s="152"/>
      <c r="G1368" s="149" t="s">
        <v>555</v>
      </c>
      <c r="H1368" s="152"/>
      <c r="I1368" s="289"/>
      <c r="J1368" s="302"/>
      <c r="K1368" s="302"/>
      <c r="L1368" s="302"/>
    </row>
    <row r="1369" spans="1:12" x14ac:dyDescent="0.25">
      <c r="A1369" s="483"/>
      <c r="B1369" s="149" t="s">
        <v>552</v>
      </c>
      <c r="C1369" s="150" t="s">
        <v>20</v>
      </c>
      <c r="D1369" s="151">
        <v>1.105</v>
      </c>
      <c r="E1369" s="149" t="s">
        <v>13</v>
      </c>
      <c r="F1369" s="152"/>
      <c r="G1369" s="149" t="s">
        <v>555</v>
      </c>
      <c r="H1369" s="152"/>
      <c r="I1369" s="289"/>
      <c r="J1369" s="302"/>
      <c r="K1369" s="302"/>
      <c r="L1369" s="302"/>
    </row>
    <row r="1370" spans="1:12" ht="19.5" thickBot="1" x14ac:dyDescent="0.3">
      <c r="A1370" s="484"/>
      <c r="B1370" s="255" t="s">
        <v>552</v>
      </c>
      <c r="C1370" s="253" t="s">
        <v>556</v>
      </c>
      <c r="D1370" s="254">
        <v>3.61</v>
      </c>
      <c r="E1370" s="255" t="s">
        <v>13</v>
      </c>
      <c r="F1370" s="290"/>
      <c r="G1370" s="255" t="s">
        <v>555</v>
      </c>
      <c r="H1370" s="301" t="s">
        <v>416</v>
      </c>
      <c r="I1370" s="291"/>
    </row>
    <row r="1371" spans="1:12" x14ac:dyDescent="0.25">
      <c r="A1371" s="485">
        <f>MAX(A1303:A1369)+1</f>
        <v>257</v>
      </c>
      <c r="B1371" s="303" t="s">
        <v>552</v>
      </c>
      <c r="C1371" s="276" t="s">
        <v>18</v>
      </c>
      <c r="D1371" s="277">
        <v>2.7759999999999998</v>
      </c>
      <c r="E1371" s="275" t="s">
        <v>13</v>
      </c>
      <c r="F1371" s="307"/>
      <c r="G1371" s="275" t="s">
        <v>554</v>
      </c>
      <c r="H1371" s="278"/>
      <c r="I1371" s="279"/>
      <c r="J1371" s="302"/>
      <c r="K1371" s="302"/>
      <c r="L1371" s="302"/>
    </row>
    <row r="1372" spans="1:12" x14ac:dyDescent="0.25">
      <c r="A1372" s="486"/>
      <c r="B1372" s="304" t="s">
        <v>552</v>
      </c>
      <c r="C1372" s="272" t="s">
        <v>19</v>
      </c>
      <c r="D1372" s="273">
        <v>3.2290000000000001</v>
      </c>
      <c r="E1372" s="271" t="s">
        <v>13</v>
      </c>
      <c r="F1372" s="308"/>
      <c r="G1372" s="271" t="s">
        <v>554</v>
      </c>
      <c r="H1372" s="274"/>
      <c r="I1372" s="280"/>
      <c r="J1372" s="302"/>
      <c r="K1372" s="302"/>
      <c r="L1372" s="302"/>
    </row>
    <row r="1373" spans="1:12" x14ac:dyDescent="0.25">
      <c r="A1373" s="486"/>
      <c r="B1373" s="304" t="s">
        <v>552</v>
      </c>
      <c r="C1373" s="272" t="s">
        <v>116</v>
      </c>
      <c r="D1373" s="273">
        <v>2.1150000000000002</v>
      </c>
      <c r="E1373" s="271" t="s">
        <v>13</v>
      </c>
      <c r="F1373" s="308"/>
      <c r="G1373" s="271" t="s">
        <v>554</v>
      </c>
      <c r="H1373" s="274" t="s">
        <v>416</v>
      </c>
      <c r="I1373" s="280"/>
      <c r="J1373" s="302"/>
      <c r="K1373" s="302"/>
      <c r="L1373" s="302"/>
    </row>
    <row r="1374" spans="1:12" x14ac:dyDescent="0.25">
      <c r="A1374" s="486"/>
      <c r="B1374" s="305" t="s">
        <v>552</v>
      </c>
      <c r="C1374" s="282" t="s">
        <v>17</v>
      </c>
      <c r="D1374" s="283">
        <v>3.4089999999999998</v>
      </c>
      <c r="E1374" s="281" t="s">
        <v>13</v>
      </c>
      <c r="F1374" s="284"/>
      <c r="G1374" s="281" t="s">
        <v>554</v>
      </c>
      <c r="H1374" s="285"/>
      <c r="I1374" s="286"/>
      <c r="J1374" s="306"/>
      <c r="K1374" s="306"/>
      <c r="L1374" s="306"/>
    </row>
    <row r="1375" spans="1:12" ht="19.5" thickBot="1" x14ac:dyDescent="0.3">
      <c r="A1375" s="486"/>
      <c r="B1375" s="311" t="s">
        <v>552</v>
      </c>
      <c r="C1375" s="282" t="s">
        <v>550</v>
      </c>
      <c r="D1375" s="283">
        <v>0.23499999999999999</v>
      </c>
      <c r="E1375" s="281" t="s">
        <v>13</v>
      </c>
      <c r="F1375" s="284"/>
      <c r="G1375" s="281" t="s">
        <v>554</v>
      </c>
      <c r="H1375" s="285" t="s">
        <v>416</v>
      </c>
      <c r="I1375" s="286"/>
    </row>
    <row r="1376" spans="1:12" x14ac:dyDescent="0.25">
      <c r="A1376" s="473">
        <f>MAX(A1304:A1373)+1</f>
        <v>258</v>
      </c>
      <c r="B1376" s="94" t="s">
        <v>557</v>
      </c>
      <c r="C1376" s="92" t="s">
        <v>18</v>
      </c>
      <c r="D1376" s="93">
        <v>1.19</v>
      </c>
      <c r="E1376" s="255" t="s">
        <v>13</v>
      </c>
      <c r="F1376" s="134"/>
      <c r="G1376" s="255" t="s">
        <v>558</v>
      </c>
      <c r="H1376" s="153"/>
      <c r="I1376" s="288"/>
      <c r="J1376" s="310"/>
      <c r="K1376" s="310"/>
      <c r="L1376" s="310"/>
    </row>
    <row r="1377" spans="1:12" x14ac:dyDescent="0.25">
      <c r="A1377" s="474"/>
      <c r="B1377" s="149" t="s">
        <v>557</v>
      </c>
      <c r="C1377" s="150" t="s">
        <v>19</v>
      </c>
      <c r="D1377" s="151">
        <v>3.31</v>
      </c>
      <c r="E1377" s="255" t="s">
        <v>13</v>
      </c>
      <c r="F1377" s="287"/>
      <c r="G1377" s="255" t="s">
        <v>558</v>
      </c>
      <c r="H1377" s="152"/>
      <c r="I1377" s="289"/>
      <c r="J1377" s="310"/>
      <c r="K1377" s="310"/>
      <c r="L1377" s="310"/>
    </row>
    <row r="1378" spans="1:12" x14ac:dyDescent="0.25">
      <c r="A1378" s="474"/>
      <c r="B1378" s="149" t="s">
        <v>557</v>
      </c>
      <c r="C1378" s="150" t="s">
        <v>116</v>
      </c>
      <c r="D1378" s="151">
        <v>3.25</v>
      </c>
      <c r="E1378" s="255" t="s">
        <v>13</v>
      </c>
      <c r="F1378" s="287"/>
      <c r="G1378" s="255" t="s">
        <v>558</v>
      </c>
      <c r="H1378" s="152" t="s">
        <v>416</v>
      </c>
      <c r="I1378" s="289"/>
      <c r="J1378" s="310"/>
      <c r="K1378" s="310"/>
      <c r="L1378" s="310"/>
    </row>
    <row r="1379" spans="1:12" x14ac:dyDescent="0.25">
      <c r="A1379" s="474"/>
      <c r="B1379" s="255" t="s">
        <v>557</v>
      </c>
      <c r="C1379" s="253" t="s">
        <v>17</v>
      </c>
      <c r="D1379" s="254">
        <v>3.14</v>
      </c>
      <c r="E1379" s="255" t="s">
        <v>13</v>
      </c>
      <c r="F1379" s="290"/>
      <c r="G1379" s="255" t="s">
        <v>558</v>
      </c>
      <c r="H1379" s="309"/>
      <c r="I1379" s="291"/>
    </row>
    <row r="1380" spans="1:12" x14ac:dyDescent="0.25">
      <c r="A1380" s="475"/>
      <c r="B1380" s="255" t="s">
        <v>557</v>
      </c>
      <c r="C1380" s="253" t="s">
        <v>319</v>
      </c>
      <c r="D1380" s="254">
        <v>3.4969999999999999</v>
      </c>
      <c r="E1380" s="255" t="s">
        <v>13</v>
      </c>
      <c r="F1380" s="290"/>
      <c r="G1380" s="255"/>
      <c r="H1380" s="313"/>
      <c r="I1380" s="320"/>
      <c r="J1380" s="312"/>
      <c r="K1380" s="312"/>
      <c r="L1380" s="312"/>
    </row>
    <row r="1381" spans="1:12" x14ac:dyDescent="0.25">
      <c r="A1381" s="476">
        <f>MAX(A1308:A1377)+1</f>
        <v>259</v>
      </c>
      <c r="B1381" s="315" t="s">
        <v>557</v>
      </c>
      <c r="C1381" s="316" t="s">
        <v>18</v>
      </c>
      <c r="D1381" s="317">
        <v>1.19</v>
      </c>
      <c r="E1381" s="315" t="s">
        <v>13</v>
      </c>
      <c r="F1381" s="314"/>
      <c r="G1381" s="315" t="s">
        <v>559</v>
      </c>
      <c r="H1381" s="318"/>
      <c r="I1381" s="315"/>
      <c r="J1381" s="310"/>
      <c r="K1381" s="310"/>
      <c r="L1381" s="310"/>
    </row>
    <row r="1382" spans="1:12" x14ac:dyDescent="0.25">
      <c r="A1382" s="477"/>
      <c r="B1382" s="315" t="s">
        <v>557</v>
      </c>
      <c r="C1382" s="316" t="s">
        <v>19</v>
      </c>
      <c r="D1382" s="317">
        <v>3.31</v>
      </c>
      <c r="E1382" s="315" t="s">
        <v>13</v>
      </c>
      <c r="F1382" s="319"/>
      <c r="G1382" s="315" t="s">
        <v>559</v>
      </c>
      <c r="H1382" s="318"/>
      <c r="I1382" s="315"/>
      <c r="J1382" s="310"/>
      <c r="K1382" s="310"/>
      <c r="L1382" s="310"/>
    </row>
    <row r="1383" spans="1:12" x14ac:dyDescent="0.25">
      <c r="A1383" s="477"/>
      <c r="B1383" s="315" t="s">
        <v>557</v>
      </c>
      <c r="C1383" s="316" t="s">
        <v>116</v>
      </c>
      <c r="D1383" s="317">
        <v>3.25</v>
      </c>
      <c r="E1383" s="315" t="s">
        <v>13</v>
      </c>
      <c r="F1383" s="319"/>
      <c r="G1383" s="315" t="s">
        <v>559</v>
      </c>
      <c r="H1383" s="318" t="s">
        <v>416</v>
      </c>
      <c r="I1383" s="315"/>
      <c r="J1383" s="310"/>
      <c r="K1383" s="310"/>
      <c r="L1383" s="310"/>
    </row>
    <row r="1384" spans="1:12" x14ac:dyDescent="0.25">
      <c r="A1384" s="477"/>
      <c r="B1384" s="315" t="s">
        <v>557</v>
      </c>
      <c r="C1384" s="316" t="s">
        <v>17</v>
      </c>
      <c r="D1384" s="317">
        <v>3.14</v>
      </c>
      <c r="E1384" s="315" t="s">
        <v>13</v>
      </c>
      <c r="F1384" s="319"/>
      <c r="G1384" s="315" t="s">
        <v>559</v>
      </c>
      <c r="H1384" s="318"/>
      <c r="I1384" s="315"/>
      <c r="J1384" s="310"/>
      <c r="K1384" s="310"/>
      <c r="L1384" s="310"/>
    </row>
    <row r="1385" spans="1:12" x14ac:dyDescent="0.25">
      <c r="A1385" s="478"/>
      <c r="B1385" s="315" t="s">
        <v>557</v>
      </c>
      <c r="C1385" s="322" t="s">
        <v>550</v>
      </c>
      <c r="D1385" s="323">
        <v>2.395</v>
      </c>
      <c r="E1385" s="321" t="s">
        <v>13</v>
      </c>
      <c r="F1385" s="324"/>
      <c r="G1385" s="315" t="s">
        <v>559</v>
      </c>
      <c r="H1385" s="325" t="s">
        <v>416</v>
      </c>
      <c r="I1385" s="321"/>
      <c r="J1385" s="312"/>
      <c r="K1385" s="312"/>
      <c r="L1385" s="312"/>
    </row>
    <row r="1386" spans="1:12" ht="18.75" customHeight="1" x14ac:dyDescent="0.25">
      <c r="A1386" s="487">
        <f>MAX(A1313:A1382)+1</f>
        <v>260</v>
      </c>
      <c r="B1386" s="152" t="s">
        <v>560</v>
      </c>
      <c r="C1386" s="152" t="s">
        <v>18</v>
      </c>
      <c r="D1386" s="152">
        <v>0.23100000000000001</v>
      </c>
      <c r="E1386" s="152" t="s">
        <v>519</v>
      </c>
      <c r="F1386" s="469" t="s">
        <v>533</v>
      </c>
      <c r="G1386" s="152" t="s">
        <v>559</v>
      </c>
      <c r="H1386" s="152"/>
      <c r="I1386" s="152"/>
      <c r="J1386" s="326"/>
      <c r="K1386" s="326"/>
      <c r="L1386" s="326"/>
    </row>
    <row r="1387" spans="1:12" x14ac:dyDescent="0.25">
      <c r="A1387" s="488"/>
      <c r="B1387" s="152" t="s">
        <v>560</v>
      </c>
      <c r="C1387" s="152" t="s">
        <v>19</v>
      </c>
      <c r="D1387" s="152">
        <v>0.13500000000000001</v>
      </c>
      <c r="E1387" s="152" t="s">
        <v>519</v>
      </c>
      <c r="F1387" s="469"/>
      <c r="G1387" s="152" t="s">
        <v>559</v>
      </c>
      <c r="H1387" s="152"/>
      <c r="I1387" s="152"/>
      <c r="J1387" s="326"/>
      <c r="K1387" s="326"/>
      <c r="L1387" s="326"/>
    </row>
    <row r="1388" spans="1:12" x14ac:dyDescent="0.25">
      <c r="A1388" s="488"/>
      <c r="B1388" s="152" t="s">
        <v>560</v>
      </c>
      <c r="C1388" s="152" t="s">
        <v>116</v>
      </c>
      <c r="D1388" s="152">
        <v>0.59</v>
      </c>
      <c r="E1388" s="152" t="s">
        <v>519</v>
      </c>
      <c r="F1388" s="469"/>
      <c r="G1388" s="152" t="s">
        <v>559</v>
      </c>
      <c r="H1388" s="152"/>
      <c r="I1388" s="152"/>
      <c r="J1388" s="326"/>
      <c r="K1388" s="326"/>
      <c r="L1388" s="326"/>
    </row>
    <row r="1389" spans="1:12" x14ac:dyDescent="0.25">
      <c r="A1389" s="488"/>
      <c r="B1389" s="152" t="s">
        <v>560</v>
      </c>
      <c r="C1389" s="152" t="s">
        <v>17</v>
      </c>
      <c r="D1389" s="152">
        <v>1.43</v>
      </c>
      <c r="E1389" s="152" t="s">
        <v>519</v>
      </c>
      <c r="F1389" s="469"/>
      <c r="G1389" s="152" t="s">
        <v>559</v>
      </c>
      <c r="H1389" s="152"/>
      <c r="I1389" s="152"/>
      <c r="J1389" s="326"/>
      <c r="K1389" s="326"/>
      <c r="L1389" s="326"/>
    </row>
    <row r="1390" spans="1:12" x14ac:dyDescent="0.25">
      <c r="A1390" s="488"/>
      <c r="B1390" s="327" t="s">
        <v>560</v>
      </c>
      <c r="C1390" s="152" t="s">
        <v>17</v>
      </c>
      <c r="D1390" s="152">
        <v>0.45</v>
      </c>
      <c r="E1390" s="152" t="s">
        <v>45</v>
      </c>
      <c r="F1390" s="469"/>
      <c r="G1390" s="152" t="s">
        <v>559</v>
      </c>
      <c r="H1390" s="152"/>
      <c r="I1390" s="152"/>
      <c r="J1390" s="326"/>
      <c r="K1390" s="326"/>
      <c r="L1390" s="326"/>
    </row>
    <row r="1391" spans="1:12" x14ac:dyDescent="0.25">
      <c r="A1391" s="479">
        <f>MAX(A1324:A1390)+1</f>
        <v>261</v>
      </c>
      <c r="B1391" s="149" t="s">
        <v>561</v>
      </c>
      <c r="C1391" s="150" t="s">
        <v>18</v>
      </c>
      <c r="D1391" s="151">
        <v>0.49099999999999999</v>
      </c>
      <c r="E1391" s="149" t="s">
        <v>13</v>
      </c>
      <c r="F1391" s="287"/>
      <c r="G1391" s="149" t="s">
        <v>563</v>
      </c>
      <c r="H1391" s="329"/>
      <c r="I1391" s="329"/>
    </row>
    <row r="1392" spans="1:12" x14ac:dyDescent="0.25">
      <c r="A1392" s="480"/>
      <c r="B1392" s="149" t="s">
        <v>561</v>
      </c>
      <c r="C1392" s="150" t="s">
        <v>19</v>
      </c>
      <c r="D1392" s="151">
        <v>1.994</v>
      </c>
      <c r="E1392" s="149" t="s">
        <v>13</v>
      </c>
      <c r="F1392" s="287"/>
      <c r="G1392" s="149" t="s">
        <v>563</v>
      </c>
      <c r="H1392" s="329"/>
      <c r="I1392" s="329"/>
    </row>
    <row r="1393" spans="1:12" x14ac:dyDescent="0.25">
      <c r="A1393" s="480"/>
      <c r="B1393" s="149" t="s">
        <v>561</v>
      </c>
      <c r="C1393" s="150" t="s">
        <v>116</v>
      </c>
      <c r="D1393" s="151">
        <v>1.256</v>
      </c>
      <c r="E1393" s="149" t="s">
        <v>13</v>
      </c>
      <c r="F1393" s="287"/>
      <c r="G1393" s="149" t="s">
        <v>563</v>
      </c>
      <c r="H1393" s="329" t="s">
        <v>416</v>
      </c>
      <c r="I1393" s="329"/>
    </row>
    <row r="1394" spans="1:12" x14ac:dyDescent="0.25">
      <c r="A1394" s="480"/>
      <c r="B1394" s="149" t="s">
        <v>561</v>
      </c>
      <c r="C1394" s="150" t="s">
        <v>17</v>
      </c>
      <c r="D1394" s="151">
        <v>1.4159999999999999</v>
      </c>
      <c r="E1394" s="149" t="s">
        <v>13</v>
      </c>
      <c r="F1394" s="287"/>
      <c r="G1394" s="149" t="s">
        <v>563</v>
      </c>
      <c r="H1394" s="329"/>
      <c r="I1394" s="329"/>
    </row>
    <row r="1395" spans="1:12" x14ac:dyDescent="0.25">
      <c r="A1395" s="480"/>
      <c r="B1395" s="255" t="s">
        <v>561</v>
      </c>
      <c r="C1395" s="253" t="s">
        <v>277</v>
      </c>
      <c r="D1395" s="254">
        <v>4.3570000000000002</v>
      </c>
      <c r="E1395" s="255" t="s">
        <v>13</v>
      </c>
      <c r="F1395" s="290"/>
      <c r="G1395" s="255" t="s">
        <v>563</v>
      </c>
      <c r="H1395" s="328"/>
      <c r="I1395" s="328"/>
    </row>
    <row r="1396" spans="1:12" x14ac:dyDescent="0.25">
      <c r="A1396" s="480"/>
      <c r="B1396" s="255" t="s">
        <v>561</v>
      </c>
      <c r="C1396" s="150" t="s">
        <v>564</v>
      </c>
      <c r="D1396" s="151">
        <v>2.0270000000000001</v>
      </c>
      <c r="E1396" s="255" t="s">
        <v>13</v>
      </c>
      <c r="F1396" s="287"/>
      <c r="G1396" s="255" t="s">
        <v>563</v>
      </c>
      <c r="H1396" s="329" t="s">
        <v>416</v>
      </c>
      <c r="I1396" s="329"/>
      <c r="J1396" s="330"/>
      <c r="K1396" s="330"/>
      <c r="L1396" s="330"/>
    </row>
    <row r="1397" spans="1:12" ht="19.5" thickBot="1" x14ac:dyDescent="0.3">
      <c r="A1397" s="481"/>
      <c r="B1397" s="255" t="s">
        <v>561</v>
      </c>
      <c r="C1397" s="253" t="s">
        <v>565</v>
      </c>
      <c r="D1397" s="254">
        <v>0.1</v>
      </c>
      <c r="E1397" s="255" t="s">
        <v>13</v>
      </c>
      <c r="F1397" s="290"/>
      <c r="G1397" s="255" t="s">
        <v>563</v>
      </c>
      <c r="H1397" s="328" t="s">
        <v>416</v>
      </c>
      <c r="I1397" s="328"/>
      <c r="J1397" s="330"/>
      <c r="K1397" s="330"/>
      <c r="L1397" s="330"/>
    </row>
    <row r="1398" spans="1:12" x14ac:dyDescent="0.25">
      <c r="A1398" s="458">
        <f>MAX(A1329:A1392)+1</f>
        <v>262</v>
      </c>
      <c r="B1398" s="332" t="s">
        <v>561</v>
      </c>
      <c r="C1398" s="92" t="s">
        <v>18</v>
      </c>
      <c r="D1398" s="93">
        <v>0.49099999999999999</v>
      </c>
      <c r="E1398" s="94" t="s">
        <v>13</v>
      </c>
      <c r="F1398" s="134"/>
      <c r="G1398" s="94" t="s">
        <v>562</v>
      </c>
      <c r="H1398" s="153"/>
      <c r="I1398" s="288"/>
    </row>
    <row r="1399" spans="1:12" x14ac:dyDescent="0.25">
      <c r="A1399" s="459"/>
      <c r="B1399" s="333" t="s">
        <v>561</v>
      </c>
      <c r="C1399" s="150" t="s">
        <v>19</v>
      </c>
      <c r="D1399" s="151">
        <v>1.994</v>
      </c>
      <c r="E1399" s="149" t="s">
        <v>13</v>
      </c>
      <c r="F1399" s="287"/>
      <c r="G1399" s="149" t="s">
        <v>562</v>
      </c>
      <c r="H1399" s="334"/>
      <c r="I1399" s="289"/>
    </row>
    <row r="1400" spans="1:12" x14ac:dyDescent="0.25">
      <c r="A1400" s="459"/>
      <c r="B1400" s="333" t="s">
        <v>561</v>
      </c>
      <c r="C1400" s="150" t="s">
        <v>116</v>
      </c>
      <c r="D1400" s="151">
        <v>1.256</v>
      </c>
      <c r="E1400" s="149" t="s">
        <v>13</v>
      </c>
      <c r="F1400" s="287"/>
      <c r="G1400" s="149" t="s">
        <v>562</v>
      </c>
      <c r="H1400" s="334" t="s">
        <v>416</v>
      </c>
      <c r="I1400" s="289"/>
    </row>
    <row r="1401" spans="1:12" x14ac:dyDescent="0.25">
      <c r="A1401" s="459"/>
      <c r="B1401" s="333" t="s">
        <v>561</v>
      </c>
      <c r="C1401" s="150" t="s">
        <v>17</v>
      </c>
      <c r="D1401" s="151">
        <v>1.4159999999999999</v>
      </c>
      <c r="E1401" s="149" t="s">
        <v>13</v>
      </c>
      <c r="F1401" s="287"/>
      <c r="G1401" s="149" t="s">
        <v>562</v>
      </c>
      <c r="H1401" s="334"/>
      <c r="I1401" s="289"/>
    </row>
    <row r="1402" spans="1:12" ht="19.5" thickBot="1" x14ac:dyDescent="0.3">
      <c r="A1402" s="460"/>
      <c r="B1402" s="156" t="s">
        <v>561</v>
      </c>
      <c r="C1402" s="157" t="s">
        <v>20</v>
      </c>
      <c r="D1402" s="158">
        <v>1.538</v>
      </c>
      <c r="E1402" s="159" t="s">
        <v>13</v>
      </c>
      <c r="F1402" s="335"/>
      <c r="G1402" s="159" t="s">
        <v>562</v>
      </c>
      <c r="H1402" s="160"/>
      <c r="I1402" s="336"/>
      <c r="J1402" s="331"/>
      <c r="K1402" s="331"/>
      <c r="L1402" s="331"/>
    </row>
    <row r="1403" spans="1:12" x14ac:dyDescent="0.25">
      <c r="A1403" s="466">
        <f>MAX(A1333:A1398)+1</f>
        <v>263</v>
      </c>
      <c r="B1403" s="337" t="s">
        <v>561</v>
      </c>
      <c r="C1403" s="337" t="s">
        <v>18</v>
      </c>
      <c r="D1403" s="339">
        <v>0.87</v>
      </c>
      <c r="E1403" s="337" t="s">
        <v>519</v>
      </c>
      <c r="F1403" s="468" t="s">
        <v>541</v>
      </c>
      <c r="G1403" s="337" t="s">
        <v>562</v>
      </c>
      <c r="H1403" s="337"/>
      <c r="I1403" s="337"/>
    </row>
    <row r="1404" spans="1:12" x14ac:dyDescent="0.25">
      <c r="A1404" s="467"/>
      <c r="B1404" s="338" t="s">
        <v>561</v>
      </c>
      <c r="C1404" s="338" t="s">
        <v>19</v>
      </c>
      <c r="D1404" s="340">
        <v>0.18</v>
      </c>
      <c r="E1404" s="338" t="s">
        <v>519</v>
      </c>
      <c r="F1404" s="551"/>
      <c r="G1404" s="338" t="s">
        <v>562</v>
      </c>
      <c r="H1404" s="338"/>
      <c r="I1404" s="338"/>
    </row>
    <row r="1405" spans="1:12" x14ac:dyDescent="0.25">
      <c r="A1405" s="467"/>
      <c r="B1405" s="338" t="s">
        <v>561</v>
      </c>
      <c r="C1405" s="338" t="s">
        <v>116</v>
      </c>
      <c r="D1405" s="340">
        <v>0.6</v>
      </c>
      <c r="E1405" s="338" t="s">
        <v>519</v>
      </c>
      <c r="F1405" s="551"/>
      <c r="G1405" s="338" t="s">
        <v>562</v>
      </c>
      <c r="H1405" s="338"/>
      <c r="I1405" s="338"/>
    </row>
    <row r="1406" spans="1:12" x14ac:dyDescent="0.25">
      <c r="A1406" s="467"/>
      <c r="B1406" s="338" t="s">
        <v>561</v>
      </c>
      <c r="C1406" s="338" t="s">
        <v>17</v>
      </c>
      <c r="D1406" s="340">
        <v>1.1000000000000001</v>
      </c>
      <c r="E1406" s="338" t="s">
        <v>519</v>
      </c>
      <c r="F1406" s="551"/>
      <c r="G1406" s="338" t="s">
        <v>562</v>
      </c>
      <c r="H1406" s="338"/>
      <c r="I1406" s="338"/>
    </row>
    <row r="1407" spans="1:12" x14ac:dyDescent="0.25">
      <c r="A1407" s="467"/>
      <c r="B1407" s="338" t="s">
        <v>561</v>
      </c>
      <c r="C1407" s="338" t="s">
        <v>17</v>
      </c>
      <c r="D1407" s="340">
        <v>0.63</v>
      </c>
      <c r="E1407" s="338" t="s">
        <v>45</v>
      </c>
      <c r="F1407" s="551"/>
      <c r="G1407" s="338" t="s">
        <v>562</v>
      </c>
      <c r="H1407" s="338"/>
      <c r="I1407" s="338"/>
    </row>
    <row r="1408" spans="1:12" ht="19.5" thickBot="1" x14ac:dyDescent="0.3">
      <c r="A1408" s="467"/>
      <c r="B1408" s="338" t="s">
        <v>561</v>
      </c>
      <c r="C1408" s="338" t="s">
        <v>116</v>
      </c>
      <c r="D1408" s="340">
        <v>0.05</v>
      </c>
      <c r="E1408" s="338" t="s">
        <v>45</v>
      </c>
      <c r="F1408" s="551"/>
      <c r="G1408" s="338" t="s">
        <v>562</v>
      </c>
      <c r="H1408" s="338"/>
      <c r="I1408" s="338"/>
    </row>
    <row r="1409" spans="1:12" ht="19.5" thickBot="1" x14ac:dyDescent="0.3">
      <c r="A1409" s="458">
        <f>MAX(A1340:A1403)+1</f>
        <v>264</v>
      </c>
      <c r="B1409" s="341" t="s">
        <v>567</v>
      </c>
      <c r="C1409" s="92" t="s">
        <v>18</v>
      </c>
      <c r="D1409" s="93">
        <v>3.145</v>
      </c>
      <c r="E1409" s="94" t="s">
        <v>13</v>
      </c>
      <c r="F1409" s="134"/>
      <c r="G1409" s="94" t="s">
        <v>566</v>
      </c>
      <c r="H1409" s="153"/>
      <c r="I1409" s="288"/>
    </row>
    <row r="1410" spans="1:12" ht="19.5" thickBot="1" x14ac:dyDescent="0.3">
      <c r="A1410" s="459"/>
      <c r="B1410" s="343" t="s">
        <v>567</v>
      </c>
      <c r="C1410" s="150" t="s">
        <v>19</v>
      </c>
      <c r="D1410" s="151">
        <v>2.7709999999999999</v>
      </c>
      <c r="E1410" s="149" t="s">
        <v>13</v>
      </c>
      <c r="F1410" s="287"/>
      <c r="G1410" s="94" t="s">
        <v>566</v>
      </c>
      <c r="H1410" s="342"/>
      <c r="I1410" s="289"/>
    </row>
    <row r="1411" spans="1:12" ht="19.5" thickBot="1" x14ac:dyDescent="0.3">
      <c r="A1411" s="459"/>
      <c r="B1411" s="343" t="s">
        <v>567</v>
      </c>
      <c r="C1411" s="150" t="s">
        <v>116</v>
      </c>
      <c r="D1411" s="151">
        <v>1.2969999999999999</v>
      </c>
      <c r="E1411" s="149" t="s">
        <v>13</v>
      </c>
      <c r="F1411" s="287"/>
      <c r="G1411" s="94" t="s">
        <v>566</v>
      </c>
      <c r="H1411" s="342" t="s">
        <v>416</v>
      </c>
      <c r="I1411" s="289"/>
    </row>
    <row r="1412" spans="1:12" ht="19.5" thickBot="1" x14ac:dyDescent="0.3">
      <c r="A1412" s="459"/>
      <c r="B1412" s="343" t="s">
        <v>567</v>
      </c>
      <c r="C1412" s="150" t="s">
        <v>17</v>
      </c>
      <c r="D1412" s="151">
        <v>1.052</v>
      </c>
      <c r="E1412" s="149" t="s">
        <v>13</v>
      </c>
      <c r="F1412" s="287"/>
      <c r="G1412" s="94" t="s">
        <v>566</v>
      </c>
      <c r="H1412" s="342"/>
      <c r="I1412" s="289"/>
    </row>
    <row r="1413" spans="1:12" ht="19.5" thickBot="1" x14ac:dyDescent="0.3">
      <c r="A1413" s="459"/>
      <c r="B1413" s="345" t="s">
        <v>567</v>
      </c>
      <c r="C1413" s="253" t="s">
        <v>367</v>
      </c>
      <c r="D1413" s="254">
        <v>1.071</v>
      </c>
      <c r="E1413" s="255" t="s">
        <v>13</v>
      </c>
      <c r="F1413" s="290"/>
      <c r="G1413" s="94" t="s">
        <v>566</v>
      </c>
      <c r="H1413" s="344" t="s">
        <v>416</v>
      </c>
      <c r="I1413" s="291"/>
      <c r="J1413" s="346"/>
      <c r="K1413" s="346"/>
      <c r="L1413" s="346"/>
    </row>
    <row r="1414" spans="1:12" ht="19.5" thickBot="1" x14ac:dyDescent="0.3">
      <c r="A1414" s="460"/>
      <c r="B1414" s="343" t="s">
        <v>567</v>
      </c>
      <c r="C1414" s="157" t="s">
        <v>277</v>
      </c>
      <c r="D1414" s="158">
        <v>3.8980000000000001</v>
      </c>
      <c r="E1414" s="159" t="s">
        <v>13</v>
      </c>
      <c r="F1414" s="335"/>
      <c r="G1414" s="94" t="s">
        <v>566</v>
      </c>
      <c r="H1414" s="160"/>
      <c r="I1414" s="336"/>
    </row>
    <row r="1415" spans="1:12" ht="19.5" thickBot="1" x14ac:dyDescent="0.3">
      <c r="A1415" s="458">
        <f>MAX(A1350:A1414)+1</f>
        <v>265</v>
      </c>
      <c r="B1415" s="343" t="s">
        <v>567</v>
      </c>
      <c r="C1415" s="92" t="s">
        <v>18</v>
      </c>
      <c r="D1415" s="93">
        <v>3.145</v>
      </c>
      <c r="E1415" s="94" t="s">
        <v>13</v>
      </c>
      <c r="F1415" s="134"/>
      <c r="G1415" s="94" t="s">
        <v>568</v>
      </c>
      <c r="H1415" s="153"/>
      <c r="I1415" s="288"/>
    </row>
    <row r="1416" spans="1:12" ht="19.5" thickBot="1" x14ac:dyDescent="0.3">
      <c r="A1416" s="459"/>
      <c r="B1416" s="343" t="s">
        <v>567</v>
      </c>
      <c r="C1416" s="150" t="s">
        <v>19</v>
      </c>
      <c r="D1416" s="151">
        <v>2.7709999999999999</v>
      </c>
      <c r="E1416" s="149" t="s">
        <v>13</v>
      </c>
      <c r="F1416" s="287"/>
      <c r="G1416" s="94" t="s">
        <v>568</v>
      </c>
      <c r="H1416" s="342"/>
      <c r="I1416" s="289"/>
    </row>
    <row r="1417" spans="1:12" ht="19.5" thickBot="1" x14ac:dyDescent="0.3">
      <c r="A1417" s="459"/>
      <c r="B1417" s="343" t="s">
        <v>567</v>
      </c>
      <c r="C1417" s="150" t="s">
        <v>116</v>
      </c>
      <c r="D1417" s="151">
        <v>1.2969999999999999</v>
      </c>
      <c r="E1417" s="149" t="s">
        <v>13</v>
      </c>
      <c r="F1417" s="287"/>
      <c r="G1417" s="94" t="s">
        <v>568</v>
      </c>
      <c r="H1417" s="342" t="s">
        <v>416</v>
      </c>
      <c r="I1417" s="289"/>
    </row>
    <row r="1418" spans="1:12" ht="19.5" thickBot="1" x14ac:dyDescent="0.3">
      <c r="A1418" s="459"/>
      <c r="B1418" s="343" t="s">
        <v>567</v>
      </c>
      <c r="C1418" s="150" t="s">
        <v>17</v>
      </c>
      <c r="D1418" s="151">
        <v>1.052</v>
      </c>
      <c r="E1418" s="149" t="s">
        <v>13</v>
      </c>
      <c r="F1418" s="287"/>
      <c r="G1418" s="94" t="s">
        <v>568</v>
      </c>
      <c r="H1418" s="342"/>
      <c r="I1418" s="289"/>
    </row>
    <row r="1419" spans="1:12" ht="19.5" thickBot="1" x14ac:dyDescent="0.3">
      <c r="A1419" s="459"/>
      <c r="B1419" s="345" t="s">
        <v>567</v>
      </c>
      <c r="C1419" s="253" t="s">
        <v>569</v>
      </c>
      <c r="D1419" s="254">
        <v>0.70099999999999996</v>
      </c>
      <c r="E1419" s="255" t="s">
        <v>13</v>
      </c>
      <c r="F1419" s="290"/>
      <c r="G1419" s="94" t="s">
        <v>568</v>
      </c>
      <c r="H1419" s="344" t="s">
        <v>416</v>
      </c>
      <c r="I1419" s="291"/>
      <c r="J1419" s="346"/>
      <c r="K1419" s="346"/>
      <c r="L1419" s="346"/>
    </row>
    <row r="1420" spans="1:12" ht="19.5" thickBot="1" x14ac:dyDescent="0.3">
      <c r="A1420" s="460"/>
      <c r="B1420" s="343" t="s">
        <v>567</v>
      </c>
      <c r="C1420" s="157" t="s">
        <v>20</v>
      </c>
      <c r="D1420" s="158">
        <v>1.147</v>
      </c>
      <c r="E1420" s="159" t="s">
        <v>13</v>
      </c>
      <c r="F1420" s="335"/>
      <c r="G1420" s="94" t="s">
        <v>568</v>
      </c>
      <c r="H1420" s="160"/>
      <c r="I1420" s="336"/>
    </row>
    <row r="1421" spans="1:12" ht="19.5" customHeight="1" thickBot="1" x14ac:dyDescent="0.3">
      <c r="A1421" s="466">
        <f>MAX(A1351:A1416)+1</f>
        <v>266</v>
      </c>
      <c r="B1421" s="347" t="s">
        <v>570</v>
      </c>
      <c r="C1421" s="347" t="s">
        <v>18</v>
      </c>
      <c r="D1421" s="354">
        <v>1.4379999999999999</v>
      </c>
      <c r="E1421" s="347" t="s">
        <v>519</v>
      </c>
      <c r="F1421" s="456" t="s">
        <v>537</v>
      </c>
      <c r="G1421" s="347" t="s">
        <v>568</v>
      </c>
      <c r="H1421" s="347"/>
      <c r="I1421" s="347"/>
    </row>
    <row r="1422" spans="1:12" ht="19.5" thickBot="1" x14ac:dyDescent="0.3">
      <c r="A1422" s="467"/>
      <c r="B1422" s="347" t="s">
        <v>570</v>
      </c>
      <c r="C1422" s="348" t="s">
        <v>19</v>
      </c>
      <c r="D1422" s="354">
        <v>0.16300000000000001</v>
      </c>
      <c r="E1422" s="348" t="s">
        <v>519</v>
      </c>
      <c r="F1422" s="457"/>
      <c r="G1422" s="347" t="s">
        <v>568</v>
      </c>
      <c r="H1422" s="348"/>
      <c r="I1422" s="348"/>
    </row>
    <row r="1423" spans="1:12" ht="19.5" thickBot="1" x14ac:dyDescent="0.3">
      <c r="A1423" s="467"/>
      <c r="B1423" s="347" t="s">
        <v>570</v>
      </c>
      <c r="C1423" s="348" t="s">
        <v>116</v>
      </c>
      <c r="D1423" s="354">
        <v>0.21</v>
      </c>
      <c r="E1423" s="348" t="s">
        <v>519</v>
      </c>
      <c r="F1423" s="457"/>
      <c r="G1423" s="347" t="s">
        <v>568</v>
      </c>
      <c r="H1423" s="348"/>
      <c r="I1423" s="348"/>
    </row>
    <row r="1424" spans="1:12" ht="19.5" thickBot="1" x14ac:dyDescent="0.3">
      <c r="A1424" s="467"/>
      <c r="B1424" s="347" t="s">
        <v>570</v>
      </c>
      <c r="C1424" s="348" t="s">
        <v>17</v>
      </c>
      <c r="D1424" s="354">
        <v>2.298</v>
      </c>
      <c r="E1424" s="348" t="s">
        <v>519</v>
      </c>
      <c r="F1424" s="457"/>
      <c r="G1424" s="347" t="s">
        <v>568</v>
      </c>
      <c r="H1424" s="348"/>
      <c r="I1424" s="348"/>
    </row>
    <row r="1425" spans="1:12" ht="19.5" thickBot="1" x14ac:dyDescent="0.3">
      <c r="A1425" s="467"/>
      <c r="B1425" s="347" t="s">
        <v>570</v>
      </c>
      <c r="C1425" s="348" t="s">
        <v>17</v>
      </c>
      <c r="D1425" s="354">
        <v>0.54</v>
      </c>
      <c r="E1425" s="348" t="s">
        <v>45</v>
      </c>
      <c r="F1425" s="457"/>
      <c r="G1425" s="347" t="s">
        <v>568</v>
      </c>
      <c r="H1425" s="348"/>
      <c r="I1425" s="348"/>
    </row>
    <row r="1426" spans="1:12" ht="19.5" thickBot="1" x14ac:dyDescent="0.3">
      <c r="A1426" s="467"/>
      <c r="B1426" s="347" t="s">
        <v>570</v>
      </c>
      <c r="C1426" s="348" t="s">
        <v>116</v>
      </c>
      <c r="D1426" s="354">
        <v>5.0000000000000001E-3</v>
      </c>
      <c r="E1426" s="348" t="s">
        <v>45</v>
      </c>
      <c r="F1426" s="457"/>
      <c r="G1426" s="347" t="s">
        <v>568</v>
      </c>
      <c r="H1426" s="348"/>
      <c r="I1426" s="348"/>
    </row>
    <row r="1427" spans="1:12" ht="19.5" customHeight="1" thickBot="1" x14ac:dyDescent="0.3">
      <c r="A1427" s="467"/>
      <c r="B1427" s="347" t="s">
        <v>570</v>
      </c>
      <c r="C1427" s="348" t="s">
        <v>367</v>
      </c>
      <c r="D1427" s="354">
        <v>0.60799999999999998</v>
      </c>
      <c r="E1427" s="348" t="s">
        <v>45</v>
      </c>
      <c r="F1427" s="468"/>
      <c r="G1427" s="347" t="s">
        <v>568</v>
      </c>
      <c r="H1427" s="348" t="s">
        <v>416</v>
      </c>
      <c r="I1427" s="348"/>
    </row>
    <row r="1428" spans="1:12" ht="19.5" thickBot="1" x14ac:dyDescent="0.3">
      <c r="A1428" s="458">
        <f>MAX(A1359:A1422)+1</f>
        <v>267</v>
      </c>
      <c r="B1428" s="351" t="s">
        <v>571</v>
      </c>
      <c r="C1428" s="92" t="s">
        <v>18</v>
      </c>
      <c r="D1428" s="93">
        <v>2.5089999999999999</v>
      </c>
      <c r="E1428" s="94" t="s">
        <v>13</v>
      </c>
      <c r="F1428" s="134"/>
      <c r="G1428" s="94" t="s">
        <v>572</v>
      </c>
      <c r="H1428" s="153"/>
      <c r="I1428" s="288"/>
    </row>
    <row r="1429" spans="1:12" ht="19.5" thickBot="1" x14ac:dyDescent="0.3">
      <c r="A1429" s="459"/>
      <c r="B1429" s="351" t="s">
        <v>571</v>
      </c>
      <c r="C1429" s="150" t="s">
        <v>19</v>
      </c>
      <c r="D1429" s="151">
        <v>6.3650000000000002</v>
      </c>
      <c r="E1429" s="149" t="s">
        <v>13</v>
      </c>
      <c r="F1429" s="287"/>
      <c r="G1429" s="94" t="s">
        <v>572</v>
      </c>
      <c r="H1429" s="350"/>
      <c r="I1429" s="289"/>
    </row>
    <row r="1430" spans="1:12" ht="19.5" thickBot="1" x14ac:dyDescent="0.3">
      <c r="A1430" s="459"/>
      <c r="B1430" s="351" t="s">
        <v>571</v>
      </c>
      <c r="C1430" s="150" t="s">
        <v>116</v>
      </c>
      <c r="D1430" s="151">
        <v>0.88100000000000001</v>
      </c>
      <c r="E1430" s="149" t="s">
        <v>13</v>
      </c>
      <c r="F1430" s="287"/>
      <c r="G1430" s="94" t="s">
        <v>572</v>
      </c>
      <c r="H1430" s="350" t="s">
        <v>416</v>
      </c>
      <c r="I1430" s="289"/>
    </row>
    <row r="1431" spans="1:12" ht="19.5" thickBot="1" x14ac:dyDescent="0.3">
      <c r="A1431" s="459"/>
      <c r="B1431" s="351" t="s">
        <v>571</v>
      </c>
      <c r="C1431" s="150" t="s">
        <v>17</v>
      </c>
      <c r="D1431" s="151">
        <v>3.343</v>
      </c>
      <c r="E1431" s="149" t="s">
        <v>13</v>
      </c>
      <c r="F1431" s="287"/>
      <c r="G1431" s="94" t="s">
        <v>572</v>
      </c>
      <c r="H1431" s="350"/>
      <c r="I1431" s="289"/>
    </row>
    <row r="1432" spans="1:12" ht="19.5" thickBot="1" x14ac:dyDescent="0.3">
      <c r="A1432" s="459"/>
      <c r="B1432" s="351" t="s">
        <v>571</v>
      </c>
      <c r="C1432" s="253" t="s">
        <v>367</v>
      </c>
      <c r="D1432" s="254">
        <v>1.002</v>
      </c>
      <c r="E1432" s="255" t="s">
        <v>13</v>
      </c>
      <c r="F1432" s="290"/>
      <c r="G1432" s="94" t="s">
        <v>572</v>
      </c>
      <c r="H1432" s="349" t="s">
        <v>416</v>
      </c>
      <c r="I1432" s="291"/>
    </row>
    <row r="1433" spans="1:12" ht="19.5" thickBot="1" x14ac:dyDescent="0.3">
      <c r="A1433" s="459"/>
      <c r="B1433" s="351" t="s">
        <v>571</v>
      </c>
      <c r="C1433" s="253" t="s">
        <v>564</v>
      </c>
      <c r="D1433" s="254">
        <v>1.272</v>
      </c>
      <c r="E1433" s="255" t="s">
        <v>13</v>
      </c>
      <c r="F1433" s="290"/>
      <c r="G1433" s="94" t="s">
        <v>572</v>
      </c>
      <c r="H1433" s="349" t="s">
        <v>416</v>
      </c>
      <c r="I1433" s="291"/>
      <c r="J1433" s="353"/>
      <c r="K1433" s="353"/>
      <c r="L1433" s="353"/>
    </row>
    <row r="1434" spans="1:12" x14ac:dyDescent="0.25">
      <c r="A1434" s="460"/>
      <c r="B1434" s="352" t="s">
        <v>571</v>
      </c>
      <c r="C1434" s="253" t="s">
        <v>277</v>
      </c>
      <c r="D1434" s="254">
        <v>2.4670000000000001</v>
      </c>
      <c r="E1434" s="255" t="s">
        <v>13</v>
      </c>
      <c r="F1434" s="290"/>
      <c r="G1434" s="357" t="s">
        <v>572</v>
      </c>
      <c r="H1434" s="349"/>
      <c r="I1434" s="291"/>
    </row>
    <row r="1435" spans="1:12" x14ac:dyDescent="0.25">
      <c r="A1435" s="489">
        <f>MAX(A1370:A1434)+1</f>
        <v>268</v>
      </c>
      <c r="B1435" s="149" t="s">
        <v>571</v>
      </c>
      <c r="C1435" s="150" t="s">
        <v>18</v>
      </c>
      <c r="D1435" s="151">
        <v>2.5089999999999999</v>
      </c>
      <c r="E1435" s="149" t="s">
        <v>13</v>
      </c>
      <c r="F1435" s="287"/>
      <c r="G1435" s="149" t="s">
        <v>573</v>
      </c>
      <c r="H1435" s="350"/>
      <c r="I1435" s="149"/>
    </row>
    <row r="1436" spans="1:12" x14ac:dyDescent="0.25">
      <c r="A1436" s="490"/>
      <c r="B1436" s="149" t="s">
        <v>571</v>
      </c>
      <c r="C1436" s="150" t="s">
        <v>19</v>
      </c>
      <c r="D1436" s="151">
        <v>6.3650000000000002</v>
      </c>
      <c r="E1436" s="149" t="s">
        <v>13</v>
      </c>
      <c r="F1436" s="287"/>
      <c r="G1436" s="149" t="s">
        <v>573</v>
      </c>
      <c r="H1436" s="350"/>
      <c r="I1436" s="149"/>
    </row>
    <row r="1437" spans="1:12" x14ac:dyDescent="0.25">
      <c r="A1437" s="490"/>
      <c r="B1437" s="149" t="s">
        <v>571</v>
      </c>
      <c r="C1437" s="150" t="s">
        <v>116</v>
      </c>
      <c r="D1437" s="151">
        <v>0.88100000000000001</v>
      </c>
      <c r="E1437" s="149" t="s">
        <v>13</v>
      </c>
      <c r="F1437" s="287"/>
      <c r="G1437" s="149" t="s">
        <v>573</v>
      </c>
      <c r="H1437" s="350" t="s">
        <v>416</v>
      </c>
      <c r="I1437" s="149"/>
    </row>
    <row r="1438" spans="1:12" x14ac:dyDescent="0.25">
      <c r="A1438" s="490"/>
      <c r="B1438" s="149" t="s">
        <v>571</v>
      </c>
      <c r="C1438" s="150" t="s">
        <v>17</v>
      </c>
      <c r="D1438" s="151">
        <v>3.343</v>
      </c>
      <c r="E1438" s="149" t="s">
        <v>13</v>
      </c>
      <c r="F1438" s="287"/>
      <c r="G1438" s="149" t="s">
        <v>573</v>
      </c>
      <c r="H1438" s="350"/>
      <c r="I1438" s="149"/>
    </row>
    <row r="1439" spans="1:12" ht="19.5" thickBot="1" x14ac:dyDescent="0.3">
      <c r="A1439" s="490"/>
      <c r="B1439" s="149" t="s">
        <v>571</v>
      </c>
      <c r="C1439" s="150" t="s">
        <v>569</v>
      </c>
      <c r="D1439" s="151">
        <v>0.1</v>
      </c>
      <c r="E1439" s="149" t="s">
        <v>13</v>
      </c>
      <c r="F1439" s="287"/>
      <c r="G1439" s="149" t="s">
        <v>573</v>
      </c>
      <c r="H1439" s="350" t="s">
        <v>416</v>
      </c>
      <c r="I1439" s="149"/>
    </row>
    <row r="1440" spans="1:12" ht="19.5" thickBot="1" x14ac:dyDescent="0.3">
      <c r="A1440" s="466">
        <f>MAX(A1370:A1435)+1</f>
        <v>269</v>
      </c>
      <c r="B1440" s="355" t="s">
        <v>570</v>
      </c>
      <c r="C1440" s="355" t="s">
        <v>18</v>
      </c>
      <c r="D1440" s="354">
        <v>0.65700000000000003</v>
      </c>
      <c r="E1440" s="355" t="s">
        <v>519</v>
      </c>
      <c r="F1440" s="456" t="s">
        <v>574</v>
      </c>
      <c r="G1440" s="355" t="s">
        <v>573</v>
      </c>
      <c r="H1440" s="355"/>
      <c r="I1440" s="355"/>
    </row>
    <row r="1441" spans="1:9" ht="19.5" thickBot="1" x14ac:dyDescent="0.3">
      <c r="A1441" s="467"/>
      <c r="B1441" s="355" t="s">
        <v>570</v>
      </c>
      <c r="C1441" s="356" t="s">
        <v>19</v>
      </c>
      <c r="D1441" s="354">
        <v>0.28000000000000003</v>
      </c>
      <c r="E1441" s="356" t="s">
        <v>519</v>
      </c>
      <c r="F1441" s="457"/>
      <c r="G1441" s="358" t="s">
        <v>573</v>
      </c>
      <c r="H1441" s="356"/>
      <c r="I1441" s="356"/>
    </row>
    <row r="1442" spans="1:9" ht="19.5" thickBot="1" x14ac:dyDescent="0.3">
      <c r="A1442" s="467"/>
      <c r="B1442" s="355" t="s">
        <v>570</v>
      </c>
      <c r="C1442" s="356" t="s">
        <v>116</v>
      </c>
      <c r="D1442" s="354">
        <v>0.111</v>
      </c>
      <c r="E1442" s="356" t="s">
        <v>519</v>
      </c>
      <c r="F1442" s="457"/>
      <c r="G1442" s="358" t="s">
        <v>573</v>
      </c>
      <c r="H1442" s="356" t="s">
        <v>416</v>
      </c>
      <c r="I1442" s="356"/>
    </row>
    <row r="1443" spans="1:9" ht="19.5" thickBot="1" x14ac:dyDescent="0.3">
      <c r="A1443" s="467"/>
      <c r="B1443" s="355" t="s">
        <v>570</v>
      </c>
      <c r="C1443" s="356" t="s">
        <v>17</v>
      </c>
      <c r="D1443" s="354">
        <v>2.1349999999999998</v>
      </c>
      <c r="E1443" s="356" t="s">
        <v>519</v>
      </c>
      <c r="F1443" s="457"/>
      <c r="G1443" s="358" t="s">
        <v>573</v>
      </c>
      <c r="H1443" s="356"/>
      <c r="I1443" s="356"/>
    </row>
    <row r="1444" spans="1:9" ht="19.5" thickBot="1" x14ac:dyDescent="0.3">
      <c r="A1444" s="467"/>
      <c r="B1444" s="355" t="s">
        <v>570</v>
      </c>
      <c r="C1444" s="356" t="s">
        <v>17</v>
      </c>
      <c r="D1444" s="354">
        <v>0.216</v>
      </c>
      <c r="E1444" s="356" t="s">
        <v>45</v>
      </c>
      <c r="F1444" s="457"/>
      <c r="G1444" s="358" t="s">
        <v>573</v>
      </c>
      <c r="H1444" s="356"/>
      <c r="I1444" s="356"/>
    </row>
    <row r="1445" spans="1:9" ht="19.5" thickBot="1" x14ac:dyDescent="0.3">
      <c r="A1445" s="467"/>
      <c r="B1445" s="355" t="s">
        <v>570</v>
      </c>
      <c r="C1445" s="356" t="s">
        <v>18</v>
      </c>
      <c r="D1445" s="354">
        <v>0.17100000000000001</v>
      </c>
      <c r="E1445" s="356" t="s">
        <v>45</v>
      </c>
      <c r="F1445" s="468"/>
      <c r="G1445" s="358" t="s">
        <v>573</v>
      </c>
      <c r="H1445" s="356" t="s">
        <v>416</v>
      </c>
      <c r="I1445" s="356"/>
    </row>
    <row r="1446" spans="1:9" ht="19.5" thickBot="1" x14ac:dyDescent="0.3">
      <c r="A1446" s="458">
        <f>MAX(A1377:A1440)+1</f>
        <v>270</v>
      </c>
      <c r="B1446" s="363" t="s">
        <v>575</v>
      </c>
      <c r="C1446" s="92" t="s">
        <v>18</v>
      </c>
      <c r="D1446" s="93">
        <v>2.661</v>
      </c>
      <c r="E1446" s="94" t="s">
        <v>13</v>
      </c>
      <c r="F1446" s="134"/>
      <c r="G1446" s="94" t="s">
        <v>576</v>
      </c>
      <c r="H1446" s="153"/>
      <c r="I1446" s="288"/>
    </row>
    <row r="1447" spans="1:9" ht="19.5" thickBot="1" x14ac:dyDescent="0.3">
      <c r="A1447" s="459"/>
      <c r="B1447" s="363" t="s">
        <v>575</v>
      </c>
      <c r="C1447" s="150" t="s">
        <v>19</v>
      </c>
      <c r="D1447" s="151">
        <v>6.9580000000000002</v>
      </c>
      <c r="E1447" s="149" t="s">
        <v>13</v>
      </c>
      <c r="F1447" s="287"/>
      <c r="G1447" s="94" t="s">
        <v>576</v>
      </c>
      <c r="H1447" s="364"/>
      <c r="I1447" s="289"/>
    </row>
    <row r="1448" spans="1:9" ht="19.5" thickBot="1" x14ac:dyDescent="0.3">
      <c r="A1448" s="459"/>
      <c r="B1448" s="363" t="s">
        <v>575</v>
      </c>
      <c r="C1448" s="150" t="s">
        <v>17</v>
      </c>
      <c r="D1448" s="151">
        <v>2.8079999999999998</v>
      </c>
      <c r="E1448" s="149" t="s">
        <v>13</v>
      </c>
      <c r="F1448" s="287"/>
      <c r="G1448" s="94" t="s">
        <v>576</v>
      </c>
      <c r="H1448" s="364"/>
      <c r="I1448" s="289"/>
    </row>
    <row r="1449" spans="1:9" ht="19.5" thickBot="1" x14ac:dyDescent="0.3">
      <c r="A1449" s="460"/>
      <c r="B1449" s="363" t="s">
        <v>575</v>
      </c>
      <c r="C1449" s="157" t="s">
        <v>277</v>
      </c>
      <c r="D1449" s="158">
        <v>3.5379999999999998</v>
      </c>
      <c r="E1449" s="159" t="s">
        <v>13</v>
      </c>
      <c r="F1449" s="335"/>
      <c r="G1449" s="94" t="s">
        <v>576</v>
      </c>
      <c r="H1449" s="160"/>
      <c r="I1449" s="336"/>
    </row>
    <row r="1450" spans="1:9" ht="19.5" thickBot="1" x14ac:dyDescent="0.3">
      <c r="A1450" s="458">
        <f>MAX(A1387:A1449)+1</f>
        <v>271</v>
      </c>
      <c r="B1450" s="363" t="s">
        <v>575</v>
      </c>
      <c r="C1450" s="92" t="s">
        <v>18</v>
      </c>
      <c r="D1450" s="93">
        <v>2.661</v>
      </c>
      <c r="E1450" s="94" t="s">
        <v>13</v>
      </c>
      <c r="F1450" s="134"/>
      <c r="G1450" s="94" t="s">
        <v>577</v>
      </c>
      <c r="H1450" s="153"/>
      <c r="I1450" s="288"/>
    </row>
    <row r="1451" spans="1:9" ht="19.5" thickBot="1" x14ac:dyDescent="0.3">
      <c r="A1451" s="459"/>
      <c r="B1451" s="363" t="s">
        <v>575</v>
      </c>
      <c r="C1451" s="150" t="s">
        <v>19</v>
      </c>
      <c r="D1451" s="151">
        <v>3.5739999999999998</v>
      </c>
      <c r="E1451" s="149" t="s">
        <v>13</v>
      </c>
      <c r="F1451" s="287"/>
      <c r="G1451" s="94" t="s">
        <v>577</v>
      </c>
      <c r="H1451" s="364"/>
      <c r="I1451" s="289"/>
    </row>
    <row r="1452" spans="1:9" ht="19.5" thickBot="1" x14ac:dyDescent="0.3">
      <c r="A1452" s="459"/>
      <c r="B1452" s="363" t="s">
        <v>575</v>
      </c>
      <c r="C1452" s="150" t="s">
        <v>116</v>
      </c>
      <c r="D1452" s="151">
        <v>2.1469999999999998</v>
      </c>
      <c r="E1452" s="149" t="s">
        <v>13</v>
      </c>
      <c r="F1452" s="287"/>
      <c r="G1452" s="94" t="s">
        <v>577</v>
      </c>
      <c r="H1452" s="364" t="s">
        <v>416</v>
      </c>
      <c r="I1452" s="289"/>
    </row>
    <row r="1453" spans="1:9" ht="19.5" thickBot="1" x14ac:dyDescent="0.3">
      <c r="A1453" s="459"/>
      <c r="B1453" s="363" t="s">
        <v>575</v>
      </c>
      <c r="C1453" s="150" t="s">
        <v>17</v>
      </c>
      <c r="D1453" s="151">
        <v>2.8079999999999998</v>
      </c>
      <c r="E1453" s="149" t="s">
        <v>13</v>
      </c>
      <c r="F1453" s="287"/>
      <c r="G1453" s="94" t="s">
        <v>577</v>
      </c>
      <c r="H1453" s="364"/>
      <c r="I1453" s="289"/>
    </row>
    <row r="1454" spans="1:9" ht="19.5" thickBot="1" x14ac:dyDescent="0.3">
      <c r="A1454" s="459"/>
      <c r="B1454" s="363" t="s">
        <v>575</v>
      </c>
      <c r="C1454" s="253" t="s">
        <v>367</v>
      </c>
      <c r="D1454" s="254">
        <v>2.6560000000000001</v>
      </c>
      <c r="E1454" s="255" t="s">
        <v>13</v>
      </c>
      <c r="F1454" s="290"/>
      <c r="G1454" s="94" t="s">
        <v>577</v>
      </c>
      <c r="H1454" s="361" t="s">
        <v>416</v>
      </c>
      <c r="I1454" s="291"/>
    </row>
    <row r="1455" spans="1:9" ht="19.5" thickBot="1" x14ac:dyDescent="0.3">
      <c r="A1455" s="458">
        <f>MAX(A1393:A1454)+1</f>
        <v>272</v>
      </c>
      <c r="B1455" s="363" t="s">
        <v>575</v>
      </c>
      <c r="C1455" s="92" t="s">
        <v>18</v>
      </c>
      <c r="D1455" s="93">
        <v>2.661</v>
      </c>
      <c r="E1455" s="94" t="s">
        <v>13</v>
      </c>
      <c r="F1455" s="134"/>
      <c r="G1455" s="94" t="s">
        <v>578</v>
      </c>
      <c r="H1455" s="153"/>
      <c r="I1455" s="288"/>
    </row>
    <row r="1456" spans="1:9" ht="19.5" thickBot="1" x14ac:dyDescent="0.3">
      <c r="A1456" s="459"/>
      <c r="B1456" s="363" t="s">
        <v>575</v>
      </c>
      <c r="C1456" s="150" t="s">
        <v>19</v>
      </c>
      <c r="D1456" s="151">
        <v>3.5739999999999998</v>
      </c>
      <c r="E1456" s="149" t="s">
        <v>13</v>
      </c>
      <c r="F1456" s="287"/>
      <c r="G1456" s="94" t="s">
        <v>578</v>
      </c>
      <c r="H1456" s="364"/>
      <c r="I1456" s="289"/>
    </row>
    <row r="1457" spans="1:12" ht="19.5" thickBot="1" x14ac:dyDescent="0.3">
      <c r="A1457" s="459"/>
      <c r="B1457" s="363" t="s">
        <v>575</v>
      </c>
      <c r="C1457" s="150" t="s">
        <v>116</v>
      </c>
      <c r="D1457" s="151">
        <v>2.1469999999999998</v>
      </c>
      <c r="E1457" s="149" t="s">
        <v>13</v>
      </c>
      <c r="F1457" s="287"/>
      <c r="G1457" s="94" t="s">
        <v>578</v>
      </c>
      <c r="H1457" s="364" t="s">
        <v>416</v>
      </c>
      <c r="I1457" s="289"/>
    </row>
    <row r="1458" spans="1:12" ht="19.5" thickBot="1" x14ac:dyDescent="0.3">
      <c r="A1458" s="459"/>
      <c r="B1458" s="363" t="s">
        <v>575</v>
      </c>
      <c r="C1458" s="150" t="s">
        <v>17</v>
      </c>
      <c r="D1458" s="151">
        <v>2.8079999999999998</v>
      </c>
      <c r="E1458" s="149" t="s">
        <v>13</v>
      </c>
      <c r="F1458" s="287"/>
      <c r="G1458" s="94" t="s">
        <v>578</v>
      </c>
      <c r="H1458" s="364"/>
      <c r="I1458" s="289"/>
    </row>
    <row r="1459" spans="1:12" ht="19.5" thickBot="1" x14ac:dyDescent="0.3">
      <c r="A1459" s="459"/>
      <c r="B1459" s="363" t="s">
        <v>575</v>
      </c>
      <c r="C1459" s="253" t="s">
        <v>569</v>
      </c>
      <c r="D1459" s="254">
        <v>0.78200000000000003</v>
      </c>
      <c r="E1459" s="255" t="s">
        <v>13</v>
      </c>
      <c r="F1459" s="290"/>
      <c r="G1459" s="94" t="s">
        <v>578</v>
      </c>
      <c r="H1459" s="361" t="s">
        <v>416</v>
      </c>
      <c r="I1459" s="291"/>
    </row>
    <row r="1460" spans="1:12" ht="19.5" thickBot="1" x14ac:dyDescent="0.3">
      <c r="A1460" s="466">
        <f>MAX(A1390:A1455)+1</f>
        <v>273</v>
      </c>
      <c r="B1460" s="359" t="s">
        <v>579</v>
      </c>
      <c r="C1460" s="359" t="s">
        <v>18</v>
      </c>
      <c r="D1460" s="354">
        <v>0.55100000000000005</v>
      </c>
      <c r="E1460" s="359" t="s">
        <v>519</v>
      </c>
      <c r="F1460" s="456" t="s">
        <v>541</v>
      </c>
      <c r="G1460" s="359" t="s">
        <v>578</v>
      </c>
      <c r="H1460" s="359"/>
      <c r="I1460" s="359"/>
    </row>
    <row r="1461" spans="1:12" ht="19.5" thickBot="1" x14ac:dyDescent="0.3">
      <c r="A1461" s="467"/>
      <c r="B1461" s="359" t="s">
        <v>579</v>
      </c>
      <c r="C1461" s="360" t="s">
        <v>19</v>
      </c>
      <c r="D1461" s="354">
        <v>0.22700000000000001</v>
      </c>
      <c r="E1461" s="360" t="s">
        <v>519</v>
      </c>
      <c r="F1461" s="457"/>
      <c r="G1461" s="359" t="s">
        <v>578</v>
      </c>
      <c r="H1461" s="360"/>
      <c r="I1461" s="360"/>
    </row>
    <row r="1462" spans="1:12" ht="19.5" thickBot="1" x14ac:dyDescent="0.3">
      <c r="A1462" s="467"/>
      <c r="B1462" s="359" t="s">
        <v>579</v>
      </c>
      <c r="C1462" s="360" t="s">
        <v>116</v>
      </c>
      <c r="D1462" s="354">
        <v>0.92900000000000005</v>
      </c>
      <c r="E1462" s="360" t="s">
        <v>519</v>
      </c>
      <c r="F1462" s="457"/>
      <c r="G1462" s="359" t="s">
        <v>578</v>
      </c>
      <c r="H1462" s="360" t="s">
        <v>416</v>
      </c>
      <c r="I1462" s="360"/>
    </row>
    <row r="1463" spans="1:12" ht="19.5" thickBot="1" x14ac:dyDescent="0.3">
      <c r="A1463" s="467"/>
      <c r="B1463" s="359" t="s">
        <v>579</v>
      </c>
      <c r="C1463" s="360" t="s">
        <v>17</v>
      </c>
      <c r="D1463" s="354">
        <v>1.333</v>
      </c>
      <c r="E1463" s="360" t="s">
        <v>519</v>
      </c>
      <c r="F1463" s="457"/>
      <c r="G1463" s="359" t="s">
        <v>578</v>
      </c>
      <c r="H1463" s="360"/>
      <c r="I1463" s="360"/>
    </row>
    <row r="1464" spans="1:12" ht="19.5" thickBot="1" x14ac:dyDescent="0.3">
      <c r="A1464" s="467"/>
      <c r="B1464" s="359" t="s">
        <v>579</v>
      </c>
      <c r="C1464" s="360" t="s">
        <v>17</v>
      </c>
      <c r="D1464" s="354">
        <v>0.18</v>
      </c>
      <c r="E1464" s="360" t="s">
        <v>45</v>
      </c>
      <c r="F1464" s="457"/>
      <c r="G1464" s="359" t="s">
        <v>578</v>
      </c>
      <c r="H1464" s="360"/>
      <c r="I1464" s="360"/>
    </row>
    <row r="1465" spans="1:12" ht="19.5" thickBot="1" x14ac:dyDescent="0.3">
      <c r="A1465" s="467"/>
      <c r="B1465" s="359" t="s">
        <v>579</v>
      </c>
      <c r="C1465" s="360" t="s">
        <v>19</v>
      </c>
      <c r="D1465" s="354">
        <v>2.7E-2</v>
      </c>
      <c r="E1465" s="360" t="s">
        <v>45</v>
      </c>
      <c r="F1465" s="457"/>
      <c r="G1465" s="359" t="s">
        <v>578</v>
      </c>
      <c r="H1465" s="360"/>
      <c r="I1465" s="360"/>
      <c r="J1465" s="362"/>
      <c r="K1465" s="362"/>
      <c r="L1465" s="362"/>
    </row>
    <row r="1466" spans="1:12" ht="19.5" thickBot="1" x14ac:dyDescent="0.3">
      <c r="A1466" s="467"/>
      <c r="B1466" s="359" t="s">
        <v>579</v>
      </c>
      <c r="C1466" s="360" t="s">
        <v>18</v>
      </c>
      <c r="D1466" s="354">
        <v>7.1999999999999995E-2</v>
      </c>
      <c r="E1466" s="360" t="s">
        <v>45</v>
      </c>
      <c r="F1466" s="468"/>
      <c r="G1466" s="359" t="s">
        <v>578</v>
      </c>
      <c r="H1466" s="360"/>
      <c r="I1466" s="360"/>
    </row>
    <row r="1467" spans="1:12" ht="19.5" thickBot="1" x14ac:dyDescent="0.3">
      <c r="A1467" s="458">
        <f>MAX(A1398:A1461)+1</f>
        <v>274</v>
      </c>
      <c r="B1467" s="367" t="s">
        <v>580</v>
      </c>
      <c r="C1467" s="92" t="s">
        <v>18</v>
      </c>
      <c r="D1467" s="93">
        <v>2.1840000000000002</v>
      </c>
      <c r="E1467" s="94" t="s">
        <v>13</v>
      </c>
      <c r="F1467" s="134"/>
      <c r="G1467" s="94" t="s">
        <v>581</v>
      </c>
      <c r="H1467" s="153"/>
      <c r="I1467" s="288"/>
    </row>
    <row r="1468" spans="1:12" ht="19.5" thickBot="1" x14ac:dyDescent="0.3">
      <c r="A1468" s="459"/>
      <c r="B1468" s="367" t="s">
        <v>580</v>
      </c>
      <c r="C1468" s="150" t="s">
        <v>19</v>
      </c>
      <c r="D1468" s="151">
        <v>5.891</v>
      </c>
      <c r="E1468" s="149" t="s">
        <v>13</v>
      </c>
      <c r="F1468" s="287"/>
      <c r="G1468" s="94" t="s">
        <v>581</v>
      </c>
      <c r="H1468" s="366"/>
      <c r="I1468" s="289"/>
    </row>
    <row r="1469" spans="1:12" ht="19.5" thickBot="1" x14ac:dyDescent="0.3">
      <c r="A1469" s="459"/>
      <c r="B1469" s="367" t="s">
        <v>580</v>
      </c>
      <c r="C1469" s="150" t="s">
        <v>116</v>
      </c>
      <c r="D1469" s="151">
        <v>2.605</v>
      </c>
      <c r="E1469" s="149" t="s">
        <v>13</v>
      </c>
      <c r="F1469" s="287"/>
      <c r="G1469" s="94" t="s">
        <v>581</v>
      </c>
      <c r="H1469" s="366" t="s">
        <v>416</v>
      </c>
      <c r="I1469" s="289"/>
    </row>
    <row r="1470" spans="1:12" ht="19.5" thickBot="1" x14ac:dyDescent="0.3">
      <c r="A1470" s="459"/>
      <c r="B1470" s="367" t="s">
        <v>580</v>
      </c>
      <c r="C1470" s="150" t="s">
        <v>17</v>
      </c>
      <c r="D1470" s="151">
        <v>2.1259999999999999</v>
      </c>
      <c r="E1470" s="149" t="s">
        <v>13</v>
      </c>
      <c r="F1470" s="287"/>
      <c r="G1470" s="94" t="s">
        <v>581</v>
      </c>
      <c r="H1470" s="366"/>
      <c r="I1470" s="289"/>
    </row>
    <row r="1471" spans="1:12" ht="19.5" thickBot="1" x14ac:dyDescent="0.3">
      <c r="A1471" s="459"/>
      <c r="B1471" s="367" t="s">
        <v>580</v>
      </c>
      <c r="C1471" s="253" t="s">
        <v>367</v>
      </c>
      <c r="D1471" s="254">
        <v>1.9950000000000001</v>
      </c>
      <c r="E1471" s="255" t="s">
        <v>13</v>
      </c>
      <c r="F1471" s="290"/>
      <c r="G1471" s="94" t="s">
        <v>581</v>
      </c>
      <c r="H1471" s="365" t="s">
        <v>416</v>
      </c>
      <c r="I1471" s="291"/>
    </row>
    <row r="1472" spans="1:12" ht="19.5" thickBot="1" x14ac:dyDescent="0.3">
      <c r="A1472" s="459"/>
      <c r="B1472" s="367" t="s">
        <v>580</v>
      </c>
      <c r="C1472" s="253" t="s">
        <v>564</v>
      </c>
      <c r="D1472" s="254">
        <v>1.1339999999999999</v>
      </c>
      <c r="E1472" s="255" t="s">
        <v>13</v>
      </c>
      <c r="F1472" s="290"/>
      <c r="G1472" s="94" t="s">
        <v>581</v>
      </c>
      <c r="H1472" s="365" t="s">
        <v>416</v>
      </c>
      <c r="I1472" s="291"/>
    </row>
    <row r="1473" spans="1:12" ht="19.5" thickBot="1" x14ac:dyDescent="0.3">
      <c r="A1473" s="460"/>
      <c r="B1473" s="367" t="s">
        <v>580</v>
      </c>
      <c r="C1473" s="253" t="s">
        <v>277</v>
      </c>
      <c r="D1473" s="254">
        <v>3.371</v>
      </c>
      <c r="E1473" s="255" t="s">
        <v>13</v>
      </c>
      <c r="F1473" s="290"/>
      <c r="G1473" s="94" t="s">
        <v>581</v>
      </c>
      <c r="H1473" s="365"/>
      <c r="I1473" s="291"/>
    </row>
    <row r="1474" spans="1:12" ht="19.5" thickBot="1" x14ac:dyDescent="0.3">
      <c r="A1474" s="458">
        <f>MAX(A1411:A1473)+1</f>
        <v>275</v>
      </c>
      <c r="B1474" s="367" t="s">
        <v>580</v>
      </c>
      <c r="C1474" s="92" t="s">
        <v>18</v>
      </c>
      <c r="D1474" s="93">
        <v>2.1840000000000002</v>
      </c>
      <c r="E1474" s="94" t="s">
        <v>13</v>
      </c>
      <c r="F1474" s="134"/>
      <c r="G1474" s="94" t="s">
        <v>582</v>
      </c>
      <c r="H1474" s="153"/>
      <c r="I1474" s="288"/>
    </row>
    <row r="1475" spans="1:12" ht="19.5" thickBot="1" x14ac:dyDescent="0.3">
      <c r="A1475" s="459"/>
      <c r="B1475" s="367" t="s">
        <v>580</v>
      </c>
      <c r="C1475" s="150" t="s">
        <v>19</v>
      </c>
      <c r="D1475" s="151">
        <v>5.891</v>
      </c>
      <c r="E1475" s="149" t="s">
        <v>13</v>
      </c>
      <c r="F1475" s="287"/>
      <c r="G1475" s="94" t="s">
        <v>582</v>
      </c>
      <c r="H1475" s="366"/>
      <c r="I1475" s="289"/>
    </row>
    <row r="1476" spans="1:12" ht="19.5" thickBot="1" x14ac:dyDescent="0.3">
      <c r="A1476" s="459"/>
      <c r="B1476" s="367" t="s">
        <v>580</v>
      </c>
      <c r="C1476" s="150" t="s">
        <v>116</v>
      </c>
      <c r="D1476" s="151">
        <v>2.605</v>
      </c>
      <c r="E1476" s="149" t="s">
        <v>13</v>
      </c>
      <c r="F1476" s="287"/>
      <c r="G1476" s="94" t="s">
        <v>582</v>
      </c>
      <c r="H1476" s="366" t="s">
        <v>416</v>
      </c>
      <c r="I1476" s="289"/>
    </row>
    <row r="1477" spans="1:12" ht="19.5" thickBot="1" x14ac:dyDescent="0.3">
      <c r="A1477" s="459"/>
      <c r="B1477" s="367" t="s">
        <v>580</v>
      </c>
      <c r="C1477" s="150" t="s">
        <v>17</v>
      </c>
      <c r="D1477" s="151">
        <v>2.1259999999999999</v>
      </c>
      <c r="E1477" s="149" t="s">
        <v>13</v>
      </c>
      <c r="F1477" s="287"/>
      <c r="G1477" s="94" t="s">
        <v>582</v>
      </c>
      <c r="H1477" s="366"/>
      <c r="I1477" s="289"/>
    </row>
    <row r="1478" spans="1:12" ht="38.25" thickBot="1" x14ac:dyDescent="0.3">
      <c r="A1478" s="373"/>
      <c r="B1478" s="372" t="s">
        <v>580</v>
      </c>
      <c r="C1478" s="137" t="s">
        <v>584</v>
      </c>
      <c r="D1478" s="254">
        <v>0.7</v>
      </c>
      <c r="E1478" s="139" t="s">
        <v>585</v>
      </c>
      <c r="F1478" s="175"/>
      <c r="G1478" s="94" t="s">
        <v>582</v>
      </c>
      <c r="H1478" s="370" t="s">
        <v>416</v>
      </c>
      <c r="I1478" s="198"/>
      <c r="J1478" s="371"/>
      <c r="K1478" s="371"/>
      <c r="L1478" s="371"/>
    </row>
    <row r="1479" spans="1:12" ht="19.5" thickBot="1" x14ac:dyDescent="0.3">
      <c r="A1479" s="466">
        <f>MAX(A1408:A1473)+1</f>
        <v>275</v>
      </c>
      <c r="B1479" s="368" t="s">
        <v>580</v>
      </c>
      <c r="C1479" s="368" t="s">
        <v>18</v>
      </c>
      <c r="D1479" s="354">
        <v>5.8000000000000003E-2</v>
      </c>
      <c r="E1479" s="368" t="s">
        <v>519</v>
      </c>
      <c r="F1479" s="456" t="s">
        <v>583</v>
      </c>
      <c r="G1479" s="368" t="s">
        <v>582</v>
      </c>
      <c r="H1479" s="368"/>
      <c r="I1479" s="368"/>
    </row>
    <row r="1480" spans="1:12" ht="19.5" thickBot="1" x14ac:dyDescent="0.3">
      <c r="A1480" s="467"/>
      <c r="B1480" s="368" t="s">
        <v>580</v>
      </c>
      <c r="C1480" s="369" t="s">
        <v>19</v>
      </c>
      <c r="D1480" s="354">
        <v>0.182</v>
      </c>
      <c r="E1480" s="369" t="s">
        <v>519</v>
      </c>
      <c r="F1480" s="457"/>
      <c r="G1480" s="368" t="s">
        <v>582</v>
      </c>
      <c r="H1480" s="369"/>
      <c r="I1480" s="369"/>
    </row>
    <row r="1481" spans="1:12" ht="19.5" thickBot="1" x14ac:dyDescent="0.3">
      <c r="A1481" s="467"/>
      <c r="B1481" s="368" t="s">
        <v>580</v>
      </c>
      <c r="C1481" s="369" t="s">
        <v>116</v>
      </c>
      <c r="D1481" s="354">
        <v>0.441</v>
      </c>
      <c r="E1481" s="369" t="s">
        <v>519</v>
      </c>
      <c r="F1481" s="457"/>
      <c r="G1481" s="368" t="s">
        <v>582</v>
      </c>
      <c r="H1481" s="369" t="s">
        <v>416</v>
      </c>
      <c r="I1481" s="369"/>
    </row>
    <row r="1482" spans="1:12" ht="19.5" thickBot="1" x14ac:dyDescent="0.3">
      <c r="A1482" s="467"/>
      <c r="B1482" s="368" t="s">
        <v>580</v>
      </c>
      <c r="C1482" s="369" t="s">
        <v>17</v>
      </c>
      <c r="D1482" s="354">
        <v>0.53300000000000003</v>
      </c>
      <c r="E1482" s="369" t="s">
        <v>519</v>
      </c>
      <c r="F1482" s="457"/>
      <c r="G1482" s="368" t="s">
        <v>582</v>
      </c>
      <c r="H1482" s="369"/>
      <c r="I1482" s="369"/>
    </row>
    <row r="1483" spans="1:12" ht="19.5" thickBot="1" x14ac:dyDescent="0.3">
      <c r="A1483" s="467"/>
      <c r="B1483" s="368" t="s">
        <v>580</v>
      </c>
      <c r="C1483" s="369" t="s">
        <v>116</v>
      </c>
      <c r="D1483" s="354">
        <v>4.2999999999999997E-2</v>
      </c>
      <c r="E1483" s="369" t="s">
        <v>45</v>
      </c>
      <c r="F1483" s="468"/>
      <c r="G1483" s="368" t="s">
        <v>582</v>
      </c>
      <c r="H1483" s="369" t="s">
        <v>416</v>
      </c>
      <c r="I1483" s="369"/>
    </row>
    <row r="1484" spans="1:12" ht="19.5" thickBot="1" x14ac:dyDescent="0.3">
      <c r="A1484" s="458">
        <f>MAX(A1415:A1478)+1</f>
        <v>276</v>
      </c>
      <c r="B1484" s="376" t="s">
        <v>586</v>
      </c>
      <c r="C1484" s="92" t="s">
        <v>18</v>
      </c>
      <c r="D1484" s="93">
        <v>3.4089999999999998</v>
      </c>
      <c r="E1484" s="94" t="s">
        <v>13</v>
      </c>
      <c r="F1484" s="134"/>
      <c r="G1484" s="94" t="s">
        <v>587</v>
      </c>
      <c r="H1484" s="153"/>
      <c r="I1484" s="288"/>
    </row>
    <row r="1485" spans="1:12" ht="19.5" thickBot="1" x14ac:dyDescent="0.3">
      <c r="A1485" s="459"/>
      <c r="B1485" s="376" t="s">
        <v>586</v>
      </c>
      <c r="C1485" s="150" t="s">
        <v>19</v>
      </c>
      <c r="D1485" s="151">
        <v>2.0859999999999999</v>
      </c>
      <c r="E1485" s="149" t="s">
        <v>13</v>
      </c>
      <c r="F1485" s="287"/>
      <c r="G1485" s="94" t="s">
        <v>587</v>
      </c>
      <c r="H1485" s="375"/>
      <c r="I1485" s="289"/>
    </row>
    <row r="1486" spans="1:12" ht="19.5" thickBot="1" x14ac:dyDescent="0.3">
      <c r="A1486" s="459"/>
      <c r="B1486" s="376" t="s">
        <v>586</v>
      </c>
      <c r="C1486" s="150" t="s">
        <v>116</v>
      </c>
      <c r="D1486" s="151">
        <v>1.5009999999999999</v>
      </c>
      <c r="E1486" s="149" t="s">
        <v>13</v>
      </c>
      <c r="F1486" s="287"/>
      <c r="G1486" s="94" t="s">
        <v>587</v>
      </c>
      <c r="H1486" s="375" t="s">
        <v>416</v>
      </c>
      <c r="I1486" s="289"/>
    </row>
    <row r="1487" spans="1:12" ht="19.5" thickBot="1" x14ac:dyDescent="0.3">
      <c r="A1487" s="459"/>
      <c r="B1487" s="376" t="s">
        <v>586</v>
      </c>
      <c r="C1487" s="150" t="s">
        <v>17</v>
      </c>
      <c r="D1487" s="151">
        <v>1.57</v>
      </c>
      <c r="E1487" s="149" t="s">
        <v>13</v>
      </c>
      <c r="F1487" s="287"/>
      <c r="G1487" s="94" t="s">
        <v>587</v>
      </c>
      <c r="H1487" s="375"/>
      <c r="I1487" s="289"/>
    </row>
    <row r="1488" spans="1:12" ht="19.5" thickBot="1" x14ac:dyDescent="0.3">
      <c r="A1488" s="459"/>
      <c r="B1488" s="376" t="s">
        <v>586</v>
      </c>
      <c r="C1488" s="253" t="s">
        <v>367</v>
      </c>
      <c r="D1488" s="254">
        <v>4.2320000000000002</v>
      </c>
      <c r="E1488" s="255" t="s">
        <v>13</v>
      </c>
      <c r="F1488" s="290"/>
      <c r="G1488" s="94" t="s">
        <v>587</v>
      </c>
      <c r="H1488" s="374" t="s">
        <v>416</v>
      </c>
      <c r="I1488" s="291"/>
    </row>
    <row r="1489" spans="1:12" ht="19.5" thickBot="1" x14ac:dyDescent="0.3">
      <c r="A1489" s="460"/>
      <c r="B1489" s="376" t="s">
        <v>586</v>
      </c>
      <c r="C1489" s="253" t="s">
        <v>277</v>
      </c>
      <c r="D1489" s="254">
        <v>3.105</v>
      </c>
      <c r="E1489" s="255" t="s">
        <v>13</v>
      </c>
      <c r="F1489" s="290"/>
      <c r="G1489" s="94" t="s">
        <v>587</v>
      </c>
      <c r="H1489" s="374"/>
      <c r="I1489" s="291"/>
    </row>
    <row r="1490" spans="1:12" ht="19.5" thickBot="1" x14ac:dyDescent="0.3">
      <c r="A1490" s="458">
        <f>MAX(A1427:A1489)+1</f>
        <v>277</v>
      </c>
      <c r="B1490" s="376" t="s">
        <v>586</v>
      </c>
      <c r="C1490" s="92" t="s">
        <v>18</v>
      </c>
      <c r="D1490" s="93">
        <v>3.4089999999999998</v>
      </c>
      <c r="E1490" s="94" t="s">
        <v>13</v>
      </c>
      <c r="F1490" s="134"/>
      <c r="G1490" s="94" t="s">
        <v>588</v>
      </c>
      <c r="H1490" s="153"/>
      <c r="I1490" s="288"/>
    </row>
    <row r="1491" spans="1:12" ht="19.5" thickBot="1" x14ac:dyDescent="0.3">
      <c r="A1491" s="459"/>
      <c r="B1491" s="376" t="s">
        <v>586</v>
      </c>
      <c r="C1491" s="150" t="s">
        <v>19</v>
      </c>
      <c r="D1491" s="151">
        <v>2.0859999999999999</v>
      </c>
      <c r="E1491" s="149" t="s">
        <v>13</v>
      </c>
      <c r="F1491" s="287"/>
      <c r="G1491" s="94" t="s">
        <v>588</v>
      </c>
      <c r="H1491" s="375"/>
      <c r="I1491" s="289"/>
    </row>
    <row r="1492" spans="1:12" ht="19.5" thickBot="1" x14ac:dyDescent="0.3">
      <c r="A1492" s="459"/>
      <c r="B1492" s="376" t="s">
        <v>586</v>
      </c>
      <c r="C1492" s="150" t="s">
        <v>116</v>
      </c>
      <c r="D1492" s="151">
        <v>1.5009999999999999</v>
      </c>
      <c r="E1492" s="149" t="s">
        <v>13</v>
      </c>
      <c r="F1492" s="287"/>
      <c r="G1492" s="94" t="s">
        <v>588</v>
      </c>
      <c r="H1492" s="375" t="s">
        <v>416</v>
      </c>
      <c r="I1492" s="289"/>
    </row>
    <row r="1493" spans="1:12" ht="19.5" thickBot="1" x14ac:dyDescent="0.3">
      <c r="A1493" s="459"/>
      <c r="B1493" s="378" t="s">
        <v>586</v>
      </c>
      <c r="C1493" s="253" t="s">
        <v>17</v>
      </c>
      <c r="D1493" s="254">
        <v>1.57</v>
      </c>
      <c r="E1493" s="255" t="s">
        <v>13</v>
      </c>
      <c r="F1493" s="290"/>
      <c r="G1493" s="357" t="s">
        <v>588</v>
      </c>
      <c r="H1493" s="377"/>
      <c r="I1493" s="291"/>
    </row>
    <row r="1494" spans="1:12" ht="19.5" thickBot="1" x14ac:dyDescent="0.3">
      <c r="A1494" s="470">
        <f>MAX(A1431:A1493)+1</f>
        <v>278</v>
      </c>
      <c r="B1494" s="379" t="s">
        <v>589</v>
      </c>
      <c r="C1494" s="92" t="s">
        <v>19</v>
      </c>
      <c r="D1494" s="93">
        <v>4.9829999999999997</v>
      </c>
      <c r="E1494" s="94" t="s">
        <v>13</v>
      </c>
      <c r="F1494" s="134"/>
      <c r="G1494" s="94" t="s">
        <v>590</v>
      </c>
      <c r="H1494" s="153"/>
      <c r="I1494" s="288"/>
    </row>
    <row r="1495" spans="1:12" ht="19.5" thickBot="1" x14ac:dyDescent="0.3">
      <c r="A1495" s="471"/>
      <c r="B1495" s="379" t="s">
        <v>589</v>
      </c>
      <c r="C1495" s="150" t="s">
        <v>116</v>
      </c>
      <c r="D1495" s="151">
        <v>0.90900000000000003</v>
      </c>
      <c r="E1495" s="149" t="s">
        <v>13</v>
      </c>
      <c r="F1495" s="287"/>
      <c r="G1495" s="94" t="s">
        <v>590</v>
      </c>
      <c r="H1495" s="380" t="s">
        <v>416</v>
      </c>
      <c r="I1495" s="289"/>
    </row>
    <row r="1496" spans="1:12" ht="19.5" thickBot="1" x14ac:dyDescent="0.3">
      <c r="A1496" s="471"/>
      <c r="B1496" s="379" t="s">
        <v>589</v>
      </c>
      <c r="C1496" s="253" t="s">
        <v>367</v>
      </c>
      <c r="D1496" s="254">
        <v>3.5310000000000001</v>
      </c>
      <c r="E1496" s="255" t="s">
        <v>13</v>
      </c>
      <c r="F1496" s="290"/>
      <c r="G1496" s="94" t="s">
        <v>590</v>
      </c>
      <c r="H1496" s="377" t="s">
        <v>416</v>
      </c>
      <c r="I1496" s="291"/>
    </row>
    <row r="1497" spans="1:12" ht="19.5" thickBot="1" x14ac:dyDescent="0.3">
      <c r="A1497" s="471"/>
      <c r="B1497" s="379" t="s">
        <v>589</v>
      </c>
      <c r="C1497" s="253" t="s">
        <v>564</v>
      </c>
      <c r="D1497" s="254">
        <v>1.1319999999999999</v>
      </c>
      <c r="E1497" s="255" t="s">
        <v>13</v>
      </c>
      <c r="F1497" s="290"/>
      <c r="G1497" s="94" t="s">
        <v>590</v>
      </c>
      <c r="H1497" s="377" t="s">
        <v>416</v>
      </c>
      <c r="I1497" s="291"/>
    </row>
    <row r="1498" spans="1:12" ht="19.5" thickBot="1" x14ac:dyDescent="0.3">
      <c r="A1498" s="472"/>
      <c r="B1498" s="379" t="s">
        <v>589</v>
      </c>
      <c r="C1498" s="157" t="s">
        <v>277</v>
      </c>
      <c r="D1498" s="158">
        <v>2.0699999999999998</v>
      </c>
      <c r="E1498" s="159" t="s">
        <v>13</v>
      </c>
      <c r="F1498" s="335"/>
      <c r="G1498" s="94" t="s">
        <v>590</v>
      </c>
      <c r="H1498" s="160"/>
      <c r="I1498" s="336"/>
    </row>
    <row r="1499" spans="1:12" ht="19.5" thickBot="1" x14ac:dyDescent="0.3">
      <c r="A1499" s="463">
        <f>MAX(A1436:A1498)+1</f>
        <v>279</v>
      </c>
      <c r="B1499" s="379" t="s">
        <v>589</v>
      </c>
      <c r="C1499" s="150" t="s">
        <v>116</v>
      </c>
      <c r="D1499" s="151">
        <v>0.90900000000000003</v>
      </c>
      <c r="E1499" s="149" t="s">
        <v>13</v>
      </c>
      <c r="F1499" s="287"/>
      <c r="G1499" s="94" t="s">
        <v>591</v>
      </c>
      <c r="H1499" s="380" t="s">
        <v>416</v>
      </c>
      <c r="I1499" s="289"/>
    </row>
    <row r="1500" spans="1:12" ht="19.5" thickBot="1" x14ac:dyDescent="0.3">
      <c r="A1500" s="464"/>
      <c r="B1500" s="386" t="s">
        <v>589</v>
      </c>
      <c r="C1500" s="150" t="s">
        <v>18</v>
      </c>
      <c r="D1500" s="151">
        <v>2.6150000000000002</v>
      </c>
      <c r="E1500" s="149" t="s">
        <v>13</v>
      </c>
      <c r="F1500" s="287"/>
      <c r="G1500" s="94" t="s">
        <v>591</v>
      </c>
      <c r="H1500" s="387"/>
      <c r="I1500" s="289"/>
      <c r="J1500" s="385"/>
      <c r="K1500" s="385"/>
      <c r="L1500" s="385"/>
    </row>
    <row r="1501" spans="1:12" ht="19.5" thickBot="1" x14ac:dyDescent="0.3">
      <c r="A1501" s="465"/>
      <c r="B1501" s="379" t="s">
        <v>589</v>
      </c>
      <c r="C1501" s="150" t="s">
        <v>19</v>
      </c>
      <c r="D1501" s="151">
        <v>4.9829999999999997</v>
      </c>
      <c r="E1501" s="149" t="s">
        <v>13</v>
      </c>
      <c r="F1501" s="287"/>
      <c r="G1501" s="94" t="s">
        <v>591</v>
      </c>
      <c r="H1501" s="380"/>
      <c r="I1501" s="289"/>
    </row>
    <row r="1502" spans="1:12" ht="19.5" customHeight="1" thickBot="1" x14ac:dyDescent="0.3">
      <c r="A1502" s="454">
        <f>MAX(A1438:A1501)+1</f>
        <v>280</v>
      </c>
      <c r="B1502" s="381" t="s">
        <v>589</v>
      </c>
      <c r="C1502" s="382" t="s">
        <v>19</v>
      </c>
      <c r="D1502" s="354">
        <v>0.65400000000000003</v>
      </c>
      <c r="E1502" s="382" t="s">
        <v>519</v>
      </c>
      <c r="F1502" s="456" t="s">
        <v>583</v>
      </c>
      <c r="G1502" s="381" t="s">
        <v>591</v>
      </c>
      <c r="H1502" s="382"/>
      <c r="I1502" s="382"/>
    </row>
    <row r="1503" spans="1:12" ht="19.5" thickBot="1" x14ac:dyDescent="0.3">
      <c r="A1503" s="455"/>
      <c r="B1503" s="381" t="s">
        <v>589</v>
      </c>
      <c r="C1503" s="382" t="s">
        <v>116</v>
      </c>
      <c r="D1503" s="354">
        <v>0.22</v>
      </c>
      <c r="E1503" s="382" t="s">
        <v>519</v>
      </c>
      <c r="F1503" s="457"/>
      <c r="G1503" s="381" t="s">
        <v>591</v>
      </c>
      <c r="H1503" s="382" t="s">
        <v>416</v>
      </c>
      <c r="I1503" s="382"/>
    </row>
    <row r="1504" spans="1:12" ht="19.5" thickBot="1" x14ac:dyDescent="0.3">
      <c r="A1504" s="455"/>
      <c r="B1504" s="381" t="s">
        <v>589</v>
      </c>
      <c r="C1504" s="382" t="s">
        <v>18</v>
      </c>
      <c r="D1504" s="354">
        <v>0.21299999999999999</v>
      </c>
      <c r="E1504" s="384" t="s">
        <v>519</v>
      </c>
      <c r="F1504" s="457"/>
      <c r="G1504" s="381" t="s">
        <v>591</v>
      </c>
      <c r="H1504" s="382"/>
      <c r="I1504" s="382"/>
    </row>
    <row r="1505" spans="1:12" ht="19.5" thickBot="1" x14ac:dyDescent="0.3">
      <c r="A1505" s="455"/>
      <c r="B1505" s="381" t="s">
        <v>589</v>
      </c>
      <c r="C1505" s="384" t="s">
        <v>17</v>
      </c>
      <c r="D1505" s="354">
        <v>0.14699999999999999</v>
      </c>
      <c r="E1505" s="384" t="s">
        <v>519</v>
      </c>
      <c r="F1505" s="457"/>
      <c r="G1505" s="381" t="s">
        <v>591</v>
      </c>
      <c r="H1505" s="382"/>
      <c r="I1505" s="382"/>
    </row>
    <row r="1506" spans="1:12" ht="19.5" thickBot="1" x14ac:dyDescent="0.3">
      <c r="A1506" s="455"/>
      <c r="B1506" s="383" t="s">
        <v>589</v>
      </c>
      <c r="C1506" s="382" t="s">
        <v>116</v>
      </c>
      <c r="D1506" s="354">
        <v>0.02</v>
      </c>
      <c r="E1506" s="384" t="s">
        <v>45</v>
      </c>
      <c r="F1506" s="457"/>
      <c r="G1506" s="383" t="s">
        <v>591</v>
      </c>
      <c r="H1506" s="384" t="s">
        <v>416</v>
      </c>
      <c r="I1506" s="384"/>
    </row>
    <row r="1507" spans="1:12" ht="19.5" thickBot="1" x14ac:dyDescent="0.3">
      <c r="A1507" s="455"/>
      <c r="B1507" s="383" t="s">
        <v>589</v>
      </c>
      <c r="C1507" s="384" t="s">
        <v>18</v>
      </c>
      <c r="D1507" s="354">
        <v>8.1000000000000003E-2</v>
      </c>
      <c r="E1507" s="384" t="s">
        <v>45</v>
      </c>
      <c r="F1507" s="457"/>
      <c r="G1507" s="383" t="s">
        <v>591</v>
      </c>
      <c r="H1507" s="384"/>
      <c r="I1507" s="384"/>
    </row>
    <row r="1508" spans="1:12" ht="19.5" thickBot="1" x14ac:dyDescent="0.3">
      <c r="A1508" s="455"/>
      <c r="B1508" s="383" t="s">
        <v>589</v>
      </c>
      <c r="C1508" s="384" t="s">
        <v>19</v>
      </c>
      <c r="D1508" s="354">
        <v>7.1999999999999995E-2</v>
      </c>
      <c r="E1508" s="384" t="s">
        <v>45</v>
      </c>
      <c r="F1508" s="457"/>
      <c r="G1508" s="383" t="s">
        <v>591</v>
      </c>
      <c r="H1508" s="384"/>
      <c r="I1508" s="384"/>
    </row>
    <row r="1509" spans="1:12" ht="19.5" thickBot="1" x14ac:dyDescent="0.3">
      <c r="A1509" s="458">
        <f>MAX(A1440:A1503)+1</f>
        <v>281</v>
      </c>
      <c r="B1509" s="390" t="s">
        <v>592</v>
      </c>
      <c r="C1509" s="92" t="s">
        <v>18</v>
      </c>
      <c r="D1509" s="93">
        <v>1.8340000000000001</v>
      </c>
      <c r="E1509" s="94" t="s">
        <v>13</v>
      </c>
      <c r="F1509" s="134"/>
      <c r="G1509" s="94" t="s">
        <v>593</v>
      </c>
      <c r="H1509" s="153"/>
      <c r="I1509" s="288"/>
    </row>
    <row r="1510" spans="1:12" ht="19.5" thickBot="1" x14ac:dyDescent="0.3">
      <c r="A1510" s="459"/>
      <c r="B1510" s="390" t="s">
        <v>592</v>
      </c>
      <c r="C1510" s="150" t="s">
        <v>19</v>
      </c>
      <c r="D1510" s="151">
        <v>6.74</v>
      </c>
      <c r="E1510" s="149" t="s">
        <v>13</v>
      </c>
      <c r="F1510" s="287"/>
      <c r="G1510" s="94" t="s">
        <v>593</v>
      </c>
      <c r="H1510" s="389"/>
      <c r="I1510" s="289"/>
    </row>
    <row r="1511" spans="1:12" ht="19.5" thickBot="1" x14ac:dyDescent="0.3">
      <c r="A1511" s="459"/>
      <c r="B1511" s="390" t="s">
        <v>592</v>
      </c>
      <c r="C1511" s="150" t="s">
        <v>116</v>
      </c>
      <c r="D1511" s="151">
        <v>1.7470000000000001</v>
      </c>
      <c r="E1511" s="149" t="s">
        <v>13</v>
      </c>
      <c r="F1511" s="287"/>
      <c r="G1511" s="94" t="s">
        <v>593</v>
      </c>
      <c r="H1511" s="389" t="s">
        <v>416</v>
      </c>
      <c r="I1511" s="289"/>
    </row>
    <row r="1512" spans="1:12" ht="19.5" thickBot="1" x14ac:dyDescent="0.3">
      <c r="A1512" s="459"/>
      <c r="B1512" s="390" t="s">
        <v>592</v>
      </c>
      <c r="C1512" s="150" t="s">
        <v>17</v>
      </c>
      <c r="D1512" s="151">
        <v>3.3109999999999999</v>
      </c>
      <c r="E1512" s="149" t="s">
        <v>13</v>
      </c>
      <c r="F1512" s="287"/>
      <c r="G1512" s="94" t="s">
        <v>593</v>
      </c>
      <c r="H1512" s="389"/>
      <c r="I1512" s="289"/>
    </row>
    <row r="1513" spans="1:12" ht="19.5" thickBot="1" x14ac:dyDescent="0.3">
      <c r="A1513" s="459"/>
      <c r="B1513" s="390" t="s">
        <v>592</v>
      </c>
      <c r="C1513" s="253" t="s">
        <v>367</v>
      </c>
      <c r="D1513" s="254">
        <v>4.3360000000000003</v>
      </c>
      <c r="E1513" s="255" t="s">
        <v>13</v>
      </c>
      <c r="F1513" s="290"/>
      <c r="G1513" s="94" t="s">
        <v>593</v>
      </c>
      <c r="H1513" s="388" t="s">
        <v>416</v>
      </c>
      <c r="I1513" s="291"/>
    </row>
    <row r="1514" spans="1:12" ht="19.5" thickBot="1" x14ac:dyDescent="0.3">
      <c r="A1514" s="458">
        <f>MAX(A1451:A1513)+1</f>
        <v>282</v>
      </c>
      <c r="B1514" s="390" t="s">
        <v>592</v>
      </c>
      <c r="C1514" s="92" t="s">
        <v>18</v>
      </c>
      <c r="D1514" s="93">
        <v>1.8340000000000001</v>
      </c>
      <c r="E1514" s="94" t="s">
        <v>13</v>
      </c>
      <c r="F1514" s="134"/>
      <c r="G1514" s="94" t="s">
        <v>594</v>
      </c>
      <c r="H1514" s="153"/>
      <c r="I1514" s="288"/>
    </row>
    <row r="1515" spans="1:12" ht="19.5" thickBot="1" x14ac:dyDescent="0.3">
      <c r="A1515" s="459"/>
      <c r="B1515" s="390" t="s">
        <v>592</v>
      </c>
      <c r="C1515" s="150" t="s">
        <v>19</v>
      </c>
      <c r="D1515" s="151">
        <v>6.74</v>
      </c>
      <c r="E1515" s="149" t="s">
        <v>13</v>
      </c>
      <c r="F1515" s="287"/>
      <c r="G1515" s="94" t="s">
        <v>594</v>
      </c>
      <c r="H1515" s="389"/>
      <c r="I1515" s="289"/>
    </row>
    <row r="1516" spans="1:12" ht="19.5" thickBot="1" x14ac:dyDescent="0.3">
      <c r="A1516" s="459"/>
      <c r="B1516" s="390" t="s">
        <v>592</v>
      </c>
      <c r="C1516" s="150" t="s">
        <v>116</v>
      </c>
      <c r="D1516" s="151">
        <v>1.7470000000000001</v>
      </c>
      <c r="E1516" s="149" t="s">
        <v>13</v>
      </c>
      <c r="F1516" s="287"/>
      <c r="G1516" s="94" t="s">
        <v>594</v>
      </c>
      <c r="H1516" s="389" t="s">
        <v>416</v>
      </c>
      <c r="I1516" s="289"/>
    </row>
    <row r="1517" spans="1:12" ht="19.5" thickBot="1" x14ac:dyDescent="0.3">
      <c r="A1517" s="459"/>
      <c r="B1517" s="394" t="s">
        <v>592</v>
      </c>
      <c r="C1517" s="253" t="s">
        <v>277</v>
      </c>
      <c r="D1517" s="254">
        <v>3.8780000000000001</v>
      </c>
      <c r="E1517" s="255" t="s">
        <v>13</v>
      </c>
      <c r="F1517" s="290"/>
      <c r="G1517" s="94" t="s">
        <v>594</v>
      </c>
      <c r="H1517" s="393" t="s">
        <v>416</v>
      </c>
      <c r="I1517" s="291"/>
      <c r="J1517" s="395"/>
      <c r="K1517" s="395"/>
      <c r="L1517" s="395"/>
    </row>
    <row r="1518" spans="1:12" ht="19.5" thickBot="1" x14ac:dyDescent="0.3">
      <c r="A1518" s="459"/>
      <c r="B1518" s="390" t="s">
        <v>592</v>
      </c>
      <c r="C1518" s="253" t="s">
        <v>17</v>
      </c>
      <c r="D1518" s="254">
        <v>3.3109999999999999</v>
      </c>
      <c r="E1518" s="255" t="s">
        <v>13</v>
      </c>
      <c r="F1518" s="290"/>
      <c r="G1518" s="94" t="s">
        <v>594</v>
      </c>
      <c r="H1518" s="388"/>
      <c r="I1518" s="291"/>
    </row>
    <row r="1519" spans="1:12" ht="19.5" customHeight="1" thickBot="1" x14ac:dyDescent="0.3">
      <c r="A1519" s="466">
        <f>MAX(A1447:A1512)+1</f>
        <v>282</v>
      </c>
      <c r="B1519" s="391" t="s">
        <v>592</v>
      </c>
      <c r="C1519" s="391" t="s">
        <v>18</v>
      </c>
      <c r="D1519" s="354">
        <v>3.2429999999999999</v>
      </c>
      <c r="E1519" s="391" t="s">
        <v>519</v>
      </c>
      <c r="F1519" s="456" t="s">
        <v>549</v>
      </c>
      <c r="G1519" s="391" t="s">
        <v>594</v>
      </c>
      <c r="H1519" s="391"/>
      <c r="I1519" s="391"/>
    </row>
    <row r="1520" spans="1:12" ht="19.5" thickBot="1" x14ac:dyDescent="0.3">
      <c r="A1520" s="467"/>
      <c r="B1520" s="391" t="s">
        <v>592</v>
      </c>
      <c r="C1520" s="392" t="s">
        <v>19</v>
      </c>
      <c r="D1520" s="354">
        <v>0.75700000000000001</v>
      </c>
      <c r="E1520" s="392" t="s">
        <v>519</v>
      </c>
      <c r="F1520" s="457"/>
      <c r="G1520" s="391" t="s">
        <v>594</v>
      </c>
      <c r="H1520" s="392"/>
      <c r="I1520" s="392"/>
    </row>
    <row r="1521" spans="1:12" ht="19.5" thickBot="1" x14ac:dyDescent="0.3">
      <c r="A1521" s="467"/>
      <c r="B1521" s="391" t="s">
        <v>592</v>
      </c>
      <c r="C1521" s="392" t="s">
        <v>116</v>
      </c>
      <c r="D1521" s="354">
        <v>0.35499999999999998</v>
      </c>
      <c r="E1521" s="392" t="s">
        <v>519</v>
      </c>
      <c r="F1521" s="457"/>
      <c r="G1521" s="391" t="s">
        <v>594</v>
      </c>
      <c r="H1521" s="392" t="s">
        <v>416</v>
      </c>
      <c r="I1521" s="392"/>
    </row>
    <row r="1522" spans="1:12" ht="19.5" thickBot="1" x14ac:dyDescent="0.3">
      <c r="A1522" s="467"/>
      <c r="B1522" s="391" t="s">
        <v>592</v>
      </c>
      <c r="C1522" s="392" t="s">
        <v>19</v>
      </c>
      <c r="D1522" s="354">
        <v>1.0999999999999999E-2</v>
      </c>
      <c r="E1522" s="392" t="s">
        <v>45</v>
      </c>
      <c r="F1522" s="457"/>
      <c r="G1522" s="391" t="s">
        <v>594</v>
      </c>
      <c r="H1522" s="392"/>
      <c r="I1522" s="392"/>
    </row>
    <row r="1523" spans="1:12" ht="19.5" thickBot="1" x14ac:dyDescent="0.3">
      <c r="A1523" s="467"/>
      <c r="B1523" s="391" t="s">
        <v>592</v>
      </c>
      <c r="C1523" s="392" t="s">
        <v>18</v>
      </c>
      <c r="D1523" s="354">
        <v>0.315</v>
      </c>
      <c r="E1523" s="392" t="s">
        <v>45</v>
      </c>
      <c r="F1523" s="468"/>
      <c r="G1523" s="391" t="s">
        <v>594</v>
      </c>
      <c r="H1523" s="392"/>
      <c r="I1523" s="392"/>
    </row>
    <row r="1524" spans="1:12" ht="19.5" thickBot="1" x14ac:dyDescent="0.3">
      <c r="A1524" s="458">
        <f>MAX(A1455:A1518)+1</f>
        <v>283</v>
      </c>
      <c r="B1524" s="398" t="s">
        <v>595</v>
      </c>
      <c r="C1524" s="92" t="s">
        <v>18</v>
      </c>
      <c r="D1524" s="93">
        <v>1.875</v>
      </c>
      <c r="E1524" s="94" t="s">
        <v>13</v>
      </c>
      <c r="F1524" s="134"/>
      <c r="G1524" s="94" t="s">
        <v>596</v>
      </c>
      <c r="H1524" s="153"/>
      <c r="I1524" s="288"/>
    </row>
    <row r="1525" spans="1:12" ht="19.5" thickBot="1" x14ac:dyDescent="0.3">
      <c r="A1525" s="459"/>
      <c r="B1525" s="398" t="s">
        <v>595</v>
      </c>
      <c r="C1525" s="150" t="s">
        <v>19</v>
      </c>
      <c r="D1525" s="151">
        <v>3.3769999999999998</v>
      </c>
      <c r="E1525" s="149" t="s">
        <v>13</v>
      </c>
      <c r="F1525" s="287"/>
      <c r="G1525" s="94" t="s">
        <v>596</v>
      </c>
      <c r="H1525" s="399"/>
      <c r="I1525" s="289"/>
    </row>
    <row r="1526" spans="1:12" ht="19.5" thickBot="1" x14ac:dyDescent="0.3">
      <c r="A1526" s="459"/>
      <c r="B1526" s="398" t="s">
        <v>595</v>
      </c>
      <c r="C1526" s="150" t="s">
        <v>116</v>
      </c>
      <c r="D1526" s="151">
        <v>2.4009999999999998</v>
      </c>
      <c r="E1526" s="149" t="s">
        <v>13</v>
      </c>
      <c r="F1526" s="287"/>
      <c r="G1526" s="94" t="s">
        <v>596</v>
      </c>
      <c r="H1526" s="399" t="s">
        <v>416</v>
      </c>
      <c r="I1526" s="289"/>
    </row>
    <row r="1527" spans="1:12" ht="19.5" thickBot="1" x14ac:dyDescent="0.3">
      <c r="A1527" s="459"/>
      <c r="B1527" s="398" t="s">
        <v>595</v>
      </c>
      <c r="C1527" s="150" t="s">
        <v>17</v>
      </c>
      <c r="D1527" s="151">
        <v>1.956</v>
      </c>
      <c r="E1527" s="149" t="s">
        <v>13</v>
      </c>
      <c r="F1527" s="287"/>
      <c r="G1527" s="94" t="s">
        <v>596</v>
      </c>
      <c r="H1527" s="399"/>
      <c r="I1527" s="289"/>
    </row>
    <row r="1528" spans="1:12" ht="19.5" thickBot="1" x14ac:dyDescent="0.3">
      <c r="A1528" s="459"/>
      <c r="B1528" s="398" t="s">
        <v>595</v>
      </c>
      <c r="C1528" s="253" t="s">
        <v>367</v>
      </c>
      <c r="D1528" s="254">
        <v>2.823</v>
      </c>
      <c r="E1528" s="255" t="s">
        <v>13</v>
      </c>
      <c r="F1528" s="290"/>
      <c r="G1528" s="94" t="s">
        <v>596</v>
      </c>
      <c r="H1528" s="396" t="s">
        <v>416</v>
      </c>
      <c r="I1528" s="291"/>
    </row>
    <row r="1529" spans="1:12" ht="19.5" thickBot="1" x14ac:dyDescent="0.3">
      <c r="A1529" s="459"/>
      <c r="B1529" s="398" t="s">
        <v>595</v>
      </c>
      <c r="C1529" s="253" t="s">
        <v>564</v>
      </c>
      <c r="D1529" s="254">
        <v>0.86499999999999999</v>
      </c>
      <c r="E1529" s="255" t="s">
        <v>13</v>
      </c>
      <c r="F1529" s="290"/>
      <c r="G1529" s="94" t="s">
        <v>596</v>
      </c>
      <c r="H1529" s="396" t="s">
        <v>416</v>
      </c>
      <c r="I1529" s="291"/>
      <c r="J1529" s="397"/>
      <c r="K1529" s="397"/>
      <c r="L1529" s="397"/>
    </row>
    <row r="1530" spans="1:12" ht="19.5" thickBot="1" x14ac:dyDescent="0.3">
      <c r="A1530" s="460"/>
      <c r="B1530" s="398" t="s">
        <v>595</v>
      </c>
      <c r="C1530" s="253" t="s">
        <v>277</v>
      </c>
      <c r="D1530" s="254">
        <v>8.4209999999999994</v>
      </c>
      <c r="E1530" s="255" t="s">
        <v>13</v>
      </c>
      <c r="F1530" s="290"/>
      <c r="G1530" s="94" t="s">
        <v>596</v>
      </c>
      <c r="H1530" s="396" t="s">
        <v>416</v>
      </c>
      <c r="I1530" s="291"/>
    </row>
    <row r="1531" spans="1:12" ht="19.5" thickBot="1" x14ac:dyDescent="0.3">
      <c r="A1531" s="458">
        <f>MAX(A1468:A1530)+1</f>
        <v>284</v>
      </c>
      <c r="B1531" s="398" t="s">
        <v>595</v>
      </c>
      <c r="C1531" s="92" t="s">
        <v>18</v>
      </c>
      <c r="D1531" s="93">
        <v>1.875</v>
      </c>
      <c r="E1531" s="94" t="s">
        <v>13</v>
      </c>
      <c r="F1531" s="134"/>
      <c r="G1531" s="94" t="s">
        <v>597</v>
      </c>
      <c r="H1531" s="153"/>
      <c r="I1531" s="288"/>
    </row>
    <row r="1532" spans="1:12" ht="19.5" thickBot="1" x14ac:dyDescent="0.3">
      <c r="A1532" s="459"/>
      <c r="B1532" s="398" t="s">
        <v>595</v>
      </c>
      <c r="C1532" s="150" t="s">
        <v>19</v>
      </c>
      <c r="D1532" s="151">
        <v>3.3769999999999998</v>
      </c>
      <c r="E1532" s="149" t="s">
        <v>13</v>
      </c>
      <c r="F1532" s="287"/>
      <c r="G1532" s="94" t="s">
        <v>597</v>
      </c>
      <c r="H1532" s="399"/>
      <c r="I1532" s="289"/>
    </row>
    <row r="1533" spans="1:12" ht="19.5" thickBot="1" x14ac:dyDescent="0.3">
      <c r="A1533" s="459"/>
      <c r="B1533" s="398" t="s">
        <v>595</v>
      </c>
      <c r="C1533" s="150" t="s">
        <v>116</v>
      </c>
      <c r="D1533" s="151">
        <v>2.4009999999999998</v>
      </c>
      <c r="E1533" s="149" t="s">
        <v>13</v>
      </c>
      <c r="F1533" s="287"/>
      <c r="G1533" s="94" t="s">
        <v>597</v>
      </c>
      <c r="H1533" s="399" t="s">
        <v>416</v>
      </c>
      <c r="I1533" s="289"/>
    </row>
    <row r="1534" spans="1:12" ht="19.5" thickBot="1" x14ac:dyDescent="0.3">
      <c r="A1534" s="459"/>
      <c r="B1534" s="398" t="s">
        <v>595</v>
      </c>
      <c r="C1534" s="150" t="s">
        <v>17</v>
      </c>
      <c r="D1534" s="151">
        <v>1.956</v>
      </c>
      <c r="E1534" s="149" t="s">
        <v>13</v>
      </c>
      <c r="F1534" s="287"/>
      <c r="G1534" s="94" t="s">
        <v>597</v>
      </c>
      <c r="H1534" s="399"/>
      <c r="I1534" s="289"/>
    </row>
    <row r="1535" spans="1:12" ht="19.5" customHeight="1" thickBot="1" x14ac:dyDescent="0.3">
      <c r="A1535" s="454">
        <f>MAX(A1471:A1534)+1</f>
        <v>285</v>
      </c>
      <c r="B1535" s="400" t="s">
        <v>595</v>
      </c>
      <c r="C1535" s="401" t="s">
        <v>19</v>
      </c>
      <c r="D1535" s="354">
        <v>0.877</v>
      </c>
      <c r="E1535" s="401" t="s">
        <v>519</v>
      </c>
      <c r="F1535" s="456" t="s">
        <v>533</v>
      </c>
      <c r="G1535" s="400" t="s">
        <v>597</v>
      </c>
      <c r="H1535" s="401"/>
      <c r="I1535" s="401"/>
    </row>
    <row r="1536" spans="1:12" ht="19.5" thickBot="1" x14ac:dyDescent="0.3">
      <c r="A1536" s="455"/>
      <c r="B1536" s="400" t="s">
        <v>595</v>
      </c>
      <c r="C1536" s="401" t="s">
        <v>116</v>
      </c>
      <c r="D1536" s="354">
        <v>0.187</v>
      </c>
      <c r="E1536" s="401" t="s">
        <v>519</v>
      </c>
      <c r="F1536" s="457"/>
      <c r="G1536" s="400" t="s">
        <v>597</v>
      </c>
      <c r="H1536" s="401" t="s">
        <v>416</v>
      </c>
      <c r="I1536" s="401"/>
    </row>
    <row r="1537" spans="1:9" ht="19.5" thickBot="1" x14ac:dyDescent="0.3">
      <c r="A1537" s="455"/>
      <c r="B1537" s="400" t="s">
        <v>595</v>
      </c>
      <c r="C1537" s="401" t="s">
        <v>18</v>
      </c>
      <c r="D1537" s="354">
        <v>1.052</v>
      </c>
      <c r="E1537" s="401" t="s">
        <v>519</v>
      </c>
      <c r="F1537" s="457"/>
      <c r="G1537" s="400" t="s">
        <v>597</v>
      </c>
      <c r="H1537" s="401"/>
      <c r="I1537" s="401"/>
    </row>
    <row r="1538" spans="1:9" ht="19.5" thickBot="1" x14ac:dyDescent="0.3">
      <c r="A1538" s="455"/>
      <c r="B1538" s="400" t="s">
        <v>595</v>
      </c>
      <c r="C1538" s="401" t="s">
        <v>17</v>
      </c>
      <c r="D1538" s="354">
        <v>0.30099999999999999</v>
      </c>
      <c r="E1538" s="401" t="s">
        <v>519</v>
      </c>
      <c r="F1538" s="457"/>
      <c r="G1538" s="400" t="s">
        <v>597</v>
      </c>
      <c r="H1538" s="401"/>
      <c r="I1538" s="401"/>
    </row>
    <row r="1539" spans="1:9" ht="19.5" thickBot="1" x14ac:dyDescent="0.3">
      <c r="A1539" s="455"/>
      <c r="B1539" s="400" t="s">
        <v>595</v>
      </c>
      <c r="C1539" s="401" t="s">
        <v>18</v>
      </c>
      <c r="D1539" s="354">
        <v>0.108</v>
      </c>
      <c r="E1539" s="401" t="s">
        <v>45</v>
      </c>
      <c r="F1539" s="457"/>
      <c r="G1539" s="400" t="s">
        <v>597</v>
      </c>
      <c r="H1539" s="401"/>
      <c r="I1539" s="401"/>
    </row>
    <row r="1540" spans="1:9" ht="19.5" thickBot="1" x14ac:dyDescent="0.3">
      <c r="A1540" s="455"/>
      <c r="B1540" s="400" t="s">
        <v>595</v>
      </c>
      <c r="C1540" s="401" t="s">
        <v>19</v>
      </c>
      <c r="D1540" s="407">
        <v>2.1999999999999999E-2</v>
      </c>
      <c r="E1540" s="401" t="s">
        <v>45</v>
      </c>
      <c r="F1540" s="457"/>
      <c r="G1540" s="400" t="s">
        <v>597</v>
      </c>
      <c r="H1540" s="401"/>
      <c r="I1540" s="401"/>
    </row>
    <row r="1541" spans="1:9" ht="19.5" thickBot="1" x14ac:dyDescent="0.3">
      <c r="A1541" s="455"/>
      <c r="B1541" s="400" t="s">
        <v>595</v>
      </c>
      <c r="C1541" s="401" t="s">
        <v>367</v>
      </c>
      <c r="D1541" s="354">
        <v>0.222</v>
      </c>
      <c r="E1541" s="401" t="s">
        <v>45</v>
      </c>
      <c r="F1541" s="457"/>
      <c r="G1541" s="400" t="s">
        <v>597</v>
      </c>
      <c r="H1541" s="401" t="s">
        <v>416</v>
      </c>
      <c r="I1541" s="401"/>
    </row>
    <row r="1542" spans="1:9" ht="19.5" thickBot="1" x14ac:dyDescent="0.3">
      <c r="A1542" s="458">
        <f>MAX(A1473:A1536)+1</f>
        <v>286</v>
      </c>
      <c r="B1542" s="405" t="s">
        <v>598</v>
      </c>
      <c r="C1542" s="92" t="s">
        <v>18</v>
      </c>
      <c r="D1542" s="93">
        <v>2.92</v>
      </c>
      <c r="E1542" s="94" t="s">
        <v>13</v>
      </c>
      <c r="F1542" s="134"/>
      <c r="G1542" s="94" t="s">
        <v>600</v>
      </c>
      <c r="H1542" s="153"/>
      <c r="I1542" s="288"/>
    </row>
    <row r="1543" spans="1:9" ht="19.5" thickBot="1" x14ac:dyDescent="0.3">
      <c r="A1543" s="459"/>
      <c r="B1543" s="405" t="s">
        <v>598</v>
      </c>
      <c r="C1543" s="150" t="s">
        <v>19</v>
      </c>
      <c r="D1543" s="151">
        <v>2.476</v>
      </c>
      <c r="E1543" s="149" t="s">
        <v>13</v>
      </c>
      <c r="F1543" s="287"/>
      <c r="G1543" s="94" t="s">
        <v>600</v>
      </c>
      <c r="H1543" s="403"/>
      <c r="I1543" s="289"/>
    </row>
    <row r="1544" spans="1:9" ht="19.5" thickBot="1" x14ac:dyDescent="0.3">
      <c r="A1544" s="459"/>
      <c r="B1544" s="405" t="s">
        <v>598</v>
      </c>
      <c r="C1544" s="150" t="s">
        <v>116</v>
      </c>
      <c r="D1544" s="151">
        <v>3.1190000000000002</v>
      </c>
      <c r="E1544" s="149" t="s">
        <v>13</v>
      </c>
      <c r="F1544" s="287"/>
      <c r="G1544" s="94" t="s">
        <v>600</v>
      </c>
      <c r="H1544" s="403" t="s">
        <v>416</v>
      </c>
      <c r="I1544" s="289"/>
    </row>
    <row r="1545" spans="1:9" ht="19.5" thickBot="1" x14ac:dyDescent="0.3">
      <c r="A1545" s="459"/>
      <c r="B1545" s="405" t="s">
        <v>598</v>
      </c>
      <c r="C1545" s="150" t="s">
        <v>17</v>
      </c>
      <c r="D1545" s="151">
        <v>1.9350000000000001</v>
      </c>
      <c r="E1545" s="149" t="s">
        <v>13</v>
      </c>
      <c r="F1545" s="287"/>
      <c r="G1545" s="94" t="s">
        <v>600</v>
      </c>
      <c r="H1545" s="403"/>
      <c r="I1545" s="289"/>
    </row>
    <row r="1546" spans="1:9" ht="19.5" thickBot="1" x14ac:dyDescent="0.3">
      <c r="A1546" s="459"/>
      <c r="B1546" s="405" t="s">
        <v>598</v>
      </c>
      <c r="C1546" s="253" t="s">
        <v>367</v>
      </c>
      <c r="D1546" s="254">
        <v>2.9239999999999999</v>
      </c>
      <c r="E1546" s="255" t="s">
        <v>13</v>
      </c>
      <c r="F1546" s="290"/>
      <c r="G1546" s="94" t="s">
        <v>600</v>
      </c>
      <c r="H1546" s="404" t="s">
        <v>416</v>
      </c>
      <c r="I1546" s="291"/>
    </row>
    <row r="1547" spans="1:9" ht="19.5" thickBot="1" x14ac:dyDescent="0.3">
      <c r="A1547" s="460"/>
      <c r="B1547" s="405" t="s">
        <v>598</v>
      </c>
      <c r="C1547" s="253" t="s">
        <v>277</v>
      </c>
      <c r="D1547" s="254">
        <v>7.73</v>
      </c>
      <c r="E1547" s="255" t="s">
        <v>13</v>
      </c>
      <c r="F1547" s="290"/>
      <c r="G1547" s="94" t="s">
        <v>600</v>
      </c>
      <c r="H1547" s="404" t="s">
        <v>416</v>
      </c>
      <c r="I1547" s="291"/>
    </row>
    <row r="1548" spans="1:9" ht="19.5" thickBot="1" x14ac:dyDescent="0.3">
      <c r="A1548" s="458">
        <f>MAX(A1486:A1547)+1</f>
        <v>287</v>
      </c>
      <c r="B1548" s="405" t="s">
        <v>598</v>
      </c>
      <c r="C1548" s="92" t="s">
        <v>18</v>
      </c>
      <c r="D1548" s="93">
        <v>2.92</v>
      </c>
      <c r="E1548" s="94" t="s">
        <v>13</v>
      </c>
      <c r="F1548" s="134"/>
      <c r="G1548" s="94" t="s">
        <v>601</v>
      </c>
      <c r="H1548" s="153"/>
      <c r="I1548" s="288"/>
    </row>
    <row r="1549" spans="1:9" ht="19.5" thickBot="1" x14ac:dyDescent="0.3">
      <c r="A1549" s="459"/>
      <c r="B1549" s="405" t="s">
        <v>598</v>
      </c>
      <c r="C1549" s="150" t="s">
        <v>19</v>
      </c>
      <c r="D1549" s="151">
        <v>2.476</v>
      </c>
      <c r="E1549" s="149" t="s">
        <v>13</v>
      </c>
      <c r="F1549" s="287"/>
      <c r="G1549" s="94" t="s">
        <v>601</v>
      </c>
      <c r="H1549" s="403"/>
      <c r="I1549" s="289"/>
    </row>
    <row r="1550" spans="1:9" ht="19.5" thickBot="1" x14ac:dyDescent="0.3">
      <c r="A1550" s="459"/>
      <c r="B1550" s="405" t="s">
        <v>598</v>
      </c>
      <c r="C1550" s="150" t="s">
        <v>116</v>
      </c>
      <c r="D1550" s="151">
        <v>3.1190000000000002</v>
      </c>
      <c r="E1550" s="149" t="s">
        <v>13</v>
      </c>
      <c r="F1550" s="287"/>
      <c r="G1550" s="94" t="s">
        <v>601</v>
      </c>
      <c r="H1550" s="403" t="s">
        <v>416</v>
      </c>
      <c r="I1550" s="289"/>
    </row>
    <row r="1551" spans="1:9" ht="19.5" thickBot="1" x14ac:dyDescent="0.3">
      <c r="A1551" s="459"/>
      <c r="B1551" s="405" t="s">
        <v>598</v>
      </c>
      <c r="C1551" s="150" t="s">
        <v>17</v>
      </c>
      <c r="D1551" s="151">
        <v>1.9350000000000001</v>
      </c>
      <c r="E1551" s="149" t="s">
        <v>13</v>
      </c>
      <c r="F1551" s="287"/>
      <c r="G1551" s="94" t="s">
        <v>601</v>
      </c>
      <c r="H1551" s="403"/>
      <c r="I1551" s="289"/>
    </row>
    <row r="1552" spans="1:9" ht="19.5" thickBot="1" x14ac:dyDescent="0.3">
      <c r="A1552" s="454">
        <f>MAX(A1488:A1551)+1</f>
        <v>288</v>
      </c>
      <c r="B1552" s="402" t="s">
        <v>599</v>
      </c>
      <c r="C1552" s="406" t="s">
        <v>19</v>
      </c>
      <c r="D1552" s="354">
        <v>0.85799999999999998</v>
      </c>
      <c r="E1552" s="406" t="s">
        <v>519</v>
      </c>
      <c r="F1552" s="456" t="s">
        <v>541</v>
      </c>
      <c r="G1552" s="402" t="s">
        <v>601</v>
      </c>
      <c r="H1552" s="406"/>
      <c r="I1552" s="406"/>
    </row>
    <row r="1553" spans="1:9" ht="19.5" thickBot="1" x14ac:dyDescent="0.3">
      <c r="A1553" s="455"/>
      <c r="B1553" s="402" t="s">
        <v>599</v>
      </c>
      <c r="C1553" s="406" t="s">
        <v>116</v>
      </c>
      <c r="D1553" s="354">
        <v>0.89700000000000002</v>
      </c>
      <c r="E1553" s="406" t="s">
        <v>519</v>
      </c>
      <c r="F1553" s="457"/>
      <c r="G1553" s="402" t="s">
        <v>601</v>
      </c>
      <c r="H1553" s="406" t="s">
        <v>416</v>
      </c>
      <c r="I1553" s="406"/>
    </row>
    <row r="1554" spans="1:9" ht="19.5" thickBot="1" x14ac:dyDescent="0.3">
      <c r="A1554" s="455"/>
      <c r="B1554" s="402" t="s">
        <v>599</v>
      </c>
      <c r="C1554" s="406" t="s">
        <v>18</v>
      </c>
      <c r="D1554" s="354">
        <v>0.55400000000000005</v>
      </c>
      <c r="E1554" s="406" t="s">
        <v>519</v>
      </c>
      <c r="F1554" s="457"/>
      <c r="G1554" s="402" t="s">
        <v>601</v>
      </c>
      <c r="H1554" s="406"/>
      <c r="I1554" s="406"/>
    </row>
    <row r="1555" spans="1:9" ht="19.5" thickBot="1" x14ac:dyDescent="0.3">
      <c r="A1555" s="455"/>
      <c r="B1555" s="402" t="s">
        <v>599</v>
      </c>
      <c r="C1555" s="406" t="s">
        <v>17</v>
      </c>
      <c r="D1555" s="354">
        <v>0.73099999999999998</v>
      </c>
      <c r="E1555" s="406" t="s">
        <v>519</v>
      </c>
      <c r="F1555" s="457"/>
      <c r="G1555" s="402" t="s">
        <v>601</v>
      </c>
      <c r="H1555" s="406"/>
      <c r="I1555" s="406"/>
    </row>
    <row r="1556" spans="1:9" ht="19.5" thickBot="1" x14ac:dyDescent="0.3">
      <c r="A1556" s="455"/>
      <c r="B1556" s="402" t="s">
        <v>599</v>
      </c>
      <c r="C1556" s="406" t="s">
        <v>18</v>
      </c>
      <c r="D1556" s="354">
        <v>0.09</v>
      </c>
      <c r="E1556" s="406" t="s">
        <v>45</v>
      </c>
      <c r="F1556" s="457"/>
      <c r="G1556" s="402" t="s">
        <v>601</v>
      </c>
      <c r="H1556" s="406"/>
      <c r="I1556" s="406"/>
    </row>
    <row r="1557" spans="1:9" ht="19.5" thickBot="1" x14ac:dyDescent="0.3">
      <c r="A1557" s="455"/>
      <c r="B1557" s="402" t="s">
        <v>599</v>
      </c>
      <c r="C1557" s="406" t="s">
        <v>19</v>
      </c>
      <c r="D1557" s="407">
        <v>3.5999999999999997E-2</v>
      </c>
      <c r="E1557" s="406" t="s">
        <v>45</v>
      </c>
      <c r="F1557" s="457"/>
      <c r="G1557" s="402" t="s">
        <v>601</v>
      </c>
      <c r="H1557" s="406"/>
      <c r="I1557" s="406"/>
    </row>
    <row r="1558" spans="1:9" ht="19.5" thickBot="1" x14ac:dyDescent="0.3">
      <c r="A1558" s="455"/>
      <c r="B1558" s="402" t="s">
        <v>599</v>
      </c>
      <c r="C1558" s="406" t="s">
        <v>367</v>
      </c>
      <c r="D1558" s="354">
        <v>0.222</v>
      </c>
      <c r="E1558" s="406" t="s">
        <v>45</v>
      </c>
      <c r="F1558" s="457"/>
      <c r="G1558" s="402" t="s">
        <v>601</v>
      </c>
      <c r="H1558" s="406" t="s">
        <v>416</v>
      </c>
      <c r="I1558" s="406"/>
    </row>
    <row r="1559" spans="1:9" ht="19.5" thickBot="1" x14ac:dyDescent="0.3">
      <c r="A1559" s="458">
        <f>MAX(A1490:A1553)+1</f>
        <v>289</v>
      </c>
      <c r="B1559" s="411" t="s">
        <v>602</v>
      </c>
      <c r="C1559" s="92" t="s">
        <v>18</v>
      </c>
      <c r="D1559" s="93">
        <v>3.863</v>
      </c>
      <c r="E1559" s="94" t="s">
        <v>13</v>
      </c>
      <c r="F1559" s="134"/>
      <c r="G1559" s="94" t="s">
        <v>603</v>
      </c>
      <c r="H1559" s="153"/>
      <c r="I1559" s="288"/>
    </row>
    <row r="1560" spans="1:9" ht="19.5" thickBot="1" x14ac:dyDescent="0.3">
      <c r="A1560" s="459"/>
      <c r="B1560" s="411" t="s">
        <v>602</v>
      </c>
      <c r="C1560" s="150" t="s">
        <v>19</v>
      </c>
      <c r="D1560" s="151">
        <v>5.2640000000000002</v>
      </c>
      <c r="E1560" s="149" t="s">
        <v>13</v>
      </c>
      <c r="F1560" s="287"/>
      <c r="G1560" s="94" t="s">
        <v>603</v>
      </c>
      <c r="H1560" s="412"/>
      <c r="I1560" s="289"/>
    </row>
    <row r="1561" spans="1:9" ht="19.5" thickBot="1" x14ac:dyDescent="0.3">
      <c r="A1561" s="459"/>
      <c r="B1561" s="411" t="s">
        <v>602</v>
      </c>
      <c r="C1561" s="150" t="s">
        <v>116</v>
      </c>
      <c r="D1561" s="151">
        <v>3.1760000000000002</v>
      </c>
      <c r="E1561" s="149" t="s">
        <v>13</v>
      </c>
      <c r="F1561" s="287"/>
      <c r="G1561" s="94" t="s">
        <v>603</v>
      </c>
      <c r="H1561" s="412" t="s">
        <v>416</v>
      </c>
      <c r="I1561" s="289"/>
    </row>
    <row r="1562" spans="1:9" ht="19.5" thickBot="1" x14ac:dyDescent="0.3">
      <c r="A1562" s="459"/>
      <c r="B1562" s="411" t="s">
        <v>602</v>
      </c>
      <c r="C1562" s="150" t="s">
        <v>17</v>
      </c>
      <c r="D1562" s="151">
        <v>3.4079999999999999</v>
      </c>
      <c r="E1562" s="149" t="s">
        <v>13</v>
      </c>
      <c r="F1562" s="287"/>
      <c r="G1562" s="94" t="s">
        <v>603</v>
      </c>
      <c r="H1562" s="412"/>
      <c r="I1562" s="289"/>
    </row>
    <row r="1563" spans="1:9" ht="19.5" thickBot="1" x14ac:dyDescent="0.3">
      <c r="A1563" s="460"/>
      <c r="B1563" s="411" t="s">
        <v>602</v>
      </c>
      <c r="C1563" s="253" t="s">
        <v>564</v>
      </c>
      <c r="D1563" s="254">
        <v>1.1120000000000001</v>
      </c>
      <c r="E1563" s="255" t="s">
        <v>13</v>
      </c>
      <c r="F1563" s="290"/>
      <c r="G1563" s="94" t="s">
        <v>603</v>
      </c>
      <c r="H1563" s="410" t="s">
        <v>416</v>
      </c>
      <c r="I1563" s="291"/>
    </row>
    <row r="1564" spans="1:9" ht="19.5" thickBot="1" x14ac:dyDescent="0.3">
      <c r="A1564" s="458">
        <f>MAX(A1503:A1563)+1</f>
        <v>290</v>
      </c>
      <c r="B1564" s="411" t="s">
        <v>602</v>
      </c>
      <c r="C1564" s="92" t="s">
        <v>18</v>
      </c>
      <c r="D1564" s="93">
        <v>3.863</v>
      </c>
      <c r="E1564" s="94" t="s">
        <v>13</v>
      </c>
      <c r="F1564" s="134"/>
      <c r="G1564" s="94" t="s">
        <v>604</v>
      </c>
      <c r="H1564" s="153"/>
      <c r="I1564" s="288"/>
    </row>
    <row r="1565" spans="1:9" ht="19.5" thickBot="1" x14ac:dyDescent="0.3">
      <c r="A1565" s="459"/>
      <c r="B1565" s="411" t="s">
        <v>602</v>
      </c>
      <c r="C1565" s="150" t="s">
        <v>19</v>
      </c>
      <c r="D1565" s="151">
        <v>5.2640000000000002</v>
      </c>
      <c r="E1565" s="149" t="s">
        <v>13</v>
      </c>
      <c r="F1565" s="287"/>
      <c r="G1565" s="94" t="s">
        <v>604</v>
      </c>
      <c r="H1565" s="412"/>
      <c r="I1565" s="289"/>
    </row>
    <row r="1566" spans="1:9" ht="19.5" thickBot="1" x14ac:dyDescent="0.3">
      <c r="A1566" s="459"/>
      <c r="B1566" s="411" t="s">
        <v>602</v>
      </c>
      <c r="C1566" s="150" t="s">
        <v>116</v>
      </c>
      <c r="D1566" s="151">
        <v>3.1760000000000002</v>
      </c>
      <c r="E1566" s="149" t="s">
        <v>13</v>
      </c>
      <c r="F1566" s="287"/>
      <c r="G1566" s="94" t="s">
        <v>604</v>
      </c>
      <c r="H1566" s="412" t="s">
        <v>416</v>
      </c>
      <c r="I1566" s="289"/>
    </row>
    <row r="1567" spans="1:9" ht="19.5" thickBot="1" x14ac:dyDescent="0.3">
      <c r="A1567" s="459"/>
      <c r="B1567" s="411" t="s">
        <v>602</v>
      </c>
      <c r="C1567" s="150" t="s">
        <v>17</v>
      </c>
      <c r="D1567" s="151">
        <v>3.4079999999999999</v>
      </c>
      <c r="E1567" s="149" t="s">
        <v>13</v>
      </c>
      <c r="F1567" s="287"/>
      <c r="G1567" s="94" t="s">
        <v>604</v>
      </c>
      <c r="H1567" s="412"/>
      <c r="I1567" s="289"/>
    </row>
    <row r="1568" spans="1:9" ht="19.5" customHeight="1" thickBot="1" x14ac:dyDescent="0.3">
      <c r="A1568" s="454">
        <f>MAX(A1505:A1567)+1</f>
        <v>291</v>
      </c>
      <c r="B1568" s="408" t="s">
        <v>605</v>
      </c>
      <c r="C1568" s="409" t="s">
        <v>19</v>
      </c>
      <c r="D1568" s="354">
        <v>1.583</v>
      </c>
      <c r="E1568" s="409" t="s">
        <v>519</v>
      </c>
      <c r="F1568" s="456" t="s">
        <v>606</v>
      </c>
      <c r="G1568" s="408" t="s">
        <v>604</v>
      </c>
      <c r="H1568" s="409"/>
      <c r="I1568" s="409"/>
    </row>
    <row r="1569" spans="1:12" ht="19.5" thickBot="1" x14ac:dyDescent="0.3">
      <c r="A1569" s="455"/>
      <c r="B1569" s="408" t="s">
        <v>605</v>
      </c>
      <c r="C1569" s="409" t="s">
        <v>116</v>
      </c>
      <c r="D1569" s="354">
        <v>1.4430000000000001</v>
      </c>
      <c r="E1569" s="409" t="s">
        <v>519</v>
      </c>
      <c r="F1569" s="457"/>
      <c r="G1569" s="408" t="s">
        <v>604</v>
      </c>
      <c r="H1569" s="409" t="s">
        <v>416</v>
      </c>
      <c r="I1569" s="409"/>
    </row>
    <row r="1570" spans="1:12" ht="19.5" thickBot="1" x14ac:dyDescent="0.3">
      <c r="A1570" s="455"/>
      <c r="B1570" s="408" t="s">
        <v>605</v>
      </c>
      <c r="C1570" s="409" t="s">
        <v>18</v>
      </c>
      <c r="D1570" s="354">
        <v>1.885</v>
      </c>
      <c r="E1570" s="409" t="s">
        <v>519</v>
      </c>
      <c r="F1570" s="457"/>
      <c r="G1570" s="408" t="s">
        <v>604</v>
      </c>
      <c r="H1570" s="409"/>
      <c r="I1570" s="409"/>
    </row>
    <row r="1571" spans="1:12" ht="19.5" thickBot="1" x14ac:dyDescent="0.3">
      <c r="A1571" s="455"/>
      <c r="B1571" s="408" t="s">
        <v>605</v>
      </c>
      <c r="C1571" s="409" t="s">
        <v>17</v>
      </c>
      <c r="D1571" s="354">
        <v>1.964</v>
      </c>
      <c r="E1571" s="409" t="s">
        <v>519</v>
      </c>
      <c r="F1571" s="457"/>
      <c r="G1571" s="408" t="s">
        <v>604</v>
      </c>
      <c r="H1571" s="409"/>
      <c r="I1571" s="409"/>
    </row>
    <row r="1572" spans="1:12" ht="19.5" thickBot="1" x14ac:dyDescent="0.3">
      <c r="A1572" s="455"/>
      <c r="B1572" s="408" t="s">
        <v>605</v>
      </c>
      <c r="C1572" s="409" t="s">
        <v>18</v>
      </c>
      <c r="D1572" s="354">
        <v>0.19800000000000001</v>
      </c>
      <c r="E1572" s="409" t="s">
        <v>45</v>
      </c>
      <c r="F1572" s="457"/>
      <c r="G1572" s="408" t="s">
        <v>604</v>
      </c>
      <c r="H1572" s="409"/>
      <c r="I1572" s="409"/>
    </row>
    <row r="1573" spans="1:12" ht="19.5" thickBot="1" x14ac:dyDescent="0.3">
      <c r="A1573" s="455"/>
      <c r="B1573" s="408" t="s">
        <v>605</v>
      </c>
      <c r="C1573" s="409" t="s">
        <v>19</v>
      </c>
      <c r="D1573" s="407">
        <v>0.09</v>
      </c>
      <c r="E1573" s="409" t="s">
        <v>45</v>
      </c>
      <c r="F1573" s="457"/>
      <c r="G1573" s="408" t="s">
        <v>604</v>
      </c>
      <c r="H1573" s="409"/>
      <c r="I1573" s="409"/>
    </row>
    <row r="1574" spans="1:12" ht="19.5" thickBot="1" x14ac:dyDescent="0.3">
      <c r="A1574" s="455"/>
      <c r="B1574" s="408" t="s">
        <v>605</v>
      </c>
      <c r="C1574" s="409" t="s">
        <v>116</v>
      </c>
      <c r="D1574" s="354">
        <v>0.249</v>
      </c>
      <c r="E1574" s="409" t="s">
        <v>45</v>
      </c>
      <c r="F1574" s="457"/>
      <c r="G1574" s="408" t="s">
        <v>604</v>
      </c>
      <c r="H1574" s="409" t="s">
        <v>416</v>
      </c>
      <c r="I1574" s="409"/>
    </row>
    <row r="1575" spans="1:12" ht="19.5" thickBot="1" x14ac:dyDescent="0.3">
      <c r="A1575" s="455"/>
      <c r="B1575" s="408" t="s">
        <v>605</v>
      </c>
      <c r="C1575" s="409" t="s">
        <v>17</v>
      </c>
      <c r="D1575" s="354">
        <v>0.126</v>
      </c>
      <c r="E1575" s="409" t="s">
        <v>45</v>
      </c>
      <c r="F1575" s="457"/>
      <c r="G1575" s="408" t="s">
        <v>604</v>
      </c>
      <c r="H1575" s="409"/>
      <c r="I1575" s="409"/>
    </row>
    <row r="1576" spans="1:12" ht="19.5" thickBot="1" x14ac:dyDescent="0.3">
      <c r="A1576" s="458">
        <f>MAX(A1515:A1575)+1</f>
        <v>292</v>
      </c>
      <c r="B1576" s="413" t="s">
        <v>607</v>
      </c>
      <c r="C1576" s="92" t="s">
        <v>18</v>
      </c>
      <c r="D1576" s="93">
        <v>1.9279999999999999</v>
      </c>
      <c r="E1576" s="94" t="s">
        <v>13</v>
      </c>
      <c r="F1576" s="134"/>
      <c r="G1576" s="94" t="s">
        <v>608</v>
      </c>
      <c r="H1576" s="153"/>
      <c r="I1576" s="288"/>
    </row>
    <row r="1577" spans="1:12" ht="19.5" thickBot="1" x14ac:dyDescent="0.3">
      <c r="A1577" s="459"/>
      <c r="B1577" s="413" t="s">
        <v>607</v>
      </c>
      <c r="C1577" s="150" t="s">
        <v>19</v>
      </c>
      <c r="D1577" s="151">
        <v>2.2050000000000001</v>
      </c>
      <c r="E1577" s="149" t="s">
        <v>13</v>
      </c>
      <c r="F1577" s="287"/>
      <c r="G1577" s="94" t="s">
        <v>608</v>
      </c>
      <c r="H1577" s="414"/>
      <c r="I1577" s="289"/>
    </row>
    <row r="1578" spans="1:12" ht="19.5" thickBot="1" x14ac:dyDescent="0.3">
      <c r="A1578" s="459"/>
      <c r="B1578" s="416" t="s">
        <v>607</v>
      </c>
      <c r="C1578" s="150" t="s">
        <v>17</v>
      </c>
      <c r="D1578" s="151">
        <v>1.657</v>
      </c>
      <c r="E1578" s="149" t="s">
        <v>13</v>
      </c>
      <c r="F1578" s="287"/>
      <c r="G1578" s="94" t="s">
        <v>608</v>
      </c>
      <c r="H1578" s="415"/>
      <c r="I1578" s="289"/>
      <c r="J1578" s="417"/>
      <c r="K1578" s="417"/>
      <c r="L1578" s="417"/>
    </row>
    <row r="1579" spans="1:12" ht="19.5" thickBot="1" x14ac:dyDescent="0.3">
      <c r="A1579" s="459"/>
      <c r="B1579" s="416" t="s">
        <v>607</v>
      </c>
      <c r="C1579" s="150" t="s">
        <v>116</v>
      </c>
      <c r="D1579" s="151">
        <v>3.032</v>
      </c>
      <c r="E1579" s="149" t="s">
        <v>13</v>
      </c>
      <c r="F1579" s="287"/>
      <c r="G1579" s="94" t="s">
        <v>608</v>
      </c>
      <c r="H1579" s="414" t="s">
        <v>416</v>
      </c>
      <c r="I1579" s="289"/>
    </row>
    <row r="1580" spans="1:12" ht="19.5" thickBot="1" x14ac:dyDescent="0.3">
      <c r="A1580" s="458">
        <f>MAX(A1519:A1579)+1</f>
        <v>293</v>
      </c>
      <c r="B1580" s="416" t="s">
        <v>607</v>
      </c>
      <c r="C1580" s="92" t="s">
        <v>18</v>
      </c>
      <c r="D1580" s="93">
        <v>1.9279999999999999</v>
      </c>
      <c r="E1580" s="94" t="s">
        <v>13</v>
      </c>
      <c r="F1580" s="134"/>
      <c r="G1580" s="94" t="s">
        <v>609</v>
      </c>
      <c r="H1580" s="153"/>
      <c r="I1580" s="288"/>
    </row>
    <row r="1581" spans="1:12" ht="19.5" thickBot="1" x14ac:dyDescent="0.3">
      <c r="A1581" s="459"/>
      <c r="B1581" s="416" t="s">
        <v>607</v>
      </c>
      <c r="C1581" s="150" t="s">
        <v>19</v>
      </c>
      <c r="D1581" s="151">
        <v>2.2050000000000001</v>
      </c>
      <c r="E1581" s="149" t="s">
        <v>13</v>
      </c>
      <c r="F1581" s="287"/>
      <c r="G1581" s="94" t="s">
        <v>609</v>
      </c>
      <c r="H1581" s="414"/>
      <c r="I1581" s="289"/>
    </row>
    <row r="1582" spans="1:12" ht="19.5" thickBot="1" x14ac:dyDescent="0.3">
      <c r="A1582" s="459"/>
      <c r="B1582" s="416" t="s">
        <v>607</v>
      </c>
      <c r="C1582" s="150" t="s">
        <v>116</v>
      </c>
      <c r="D1582" s="151">
        <v>3.032</v>
      </c>
      <c r="E1582" s="149" t="s">
        <v>13</v>
      </c>
      <c r="F1582" s="287"/>
      <c r="G1582" s="94" t="s">
        <v>609</v>
      </c>
      <c r="H1582" s="414" t="s">
        <v>416</v>
      </c>
      <c r="I1582" s="289"/>
    </row>
    <row r="1583" spans="1:12" ht="19.5" thickBot="1" x14ac:dyDescent="0.3">
      <c r="A1583" s="459"/>
      <c r="B1583" s="416" t="s">
        <v>607</v>
      </c>
      <c r="C1583" s="150" t="s">
        <v>17</v>
      </c>
      <c r="D1583" s="151">
        <v>1.657</v>
      </c>
      <c r="E1583" s="149" t="s">
        <v>13</v>
      </c>
      <c r="F1583" s="287"/>
      <c r="G1583" s="94" t="s">
        <v>609</v>
      </c>
      <c r="H1583" s="415"/>
      <c r="I1583" s="289"/>
    </row>
    <row r="1584" spans="1:12" ht="19.5" thickBot="1" x14ac:dyDescent="0.3">
      <c r="A1584" s="454">
        <f>MAX(A1521:A1583)+1</f>
        <v>294</v>
      </c>
      <c r="B1584" s="418" t="s">
        <v>610</v>
      </c>
      <c r="C1584" s="419" t="s">
        <v>19</v>
      </c>
      <c r="D1584" s="354">
        <v>0.53100000000000003</v>
      </c>
      <c r="E1584" s="419" t="s">
        <v>519</v>
      </c>
      <c r="F1584" s="456" t="s">
        <v>574</v>
      </c>
      <c r="G1584" s="418" t="s">
        <v>609</v>
      </c>
      <c r="H1584" s="419"/>
      <c r="I1584" s="419"/>
    </row>
    <row r="1585" spans="1:12" ht="19.5" thickBot="1" x14ac:dyDescent="0.3">
      <c r="A1585" s="455"/>
      <c r="B1585" s="418" t="s">
        <v>610</v>
      </c>
      <c r="C1585" s="419" t="s">
        <v>116</v>
      </c>
      <c r="D1585" s="354">
        <v>0.40200000000000002</v>
      </c>
      <c r="E1585" s="419" t="s">
        <v>519</v>
      </c>
      <c r="F1585" s="457"/>
      <c r="G1585" s="418" t="s">
        <v>609</v>
      </c>
      <c r="H1585" s="419" t="s">
        <v>416</v>
      </c>
      <c r="I1585" s="419"/>
    </row>
    <row r="1586" spans="1:12" ht="19.5" thickBot="1" x14ac:dyDescent="0.3">
      <c r="A1586" s="455"/>
      <c r="B1586" s="418" t="s">
        <v>610</v>
      </c>
      <c r="C1586" s="419" t="s">
        <v>18</v>
      </c>
      <c r="D1586" s="354">
        <v>0.64200000000000002</v>
      </c>
      <c r="E1586" s="419" t="s">
        <v>519</v>
      </c>
      <c r="F1586" s="457"/>
      <c r="G1586" s="418" t="s">
        <v>609</v>
      </c>
      <c r="H1586" s="419"/>
      <c r="I1586" s="419"/>
    </row>
    <row r="1587" spans="1:12" ht="19.5" thickBot="1" x14ac:dyDescent="0.3">
      <c r="A1587" s="455"/>
      <c r="B1587" s="418" t="s">
        <v>610</v>
      </c>
      <c r="C1587" s="419" t="s">
        <v>17</v>
      </c>
      <c r="D1587" s="354">
        <v>1.8979999999999999</v>
      </c>
      <c r="E1587" s="419" t="s">
        <v>519</v>
      </c>
      <c r="F1587" s="457"/>
      <c r="G1587" s="418" t="s">
        <v>609</v>
      </c>
      <c r="H1587" s="419"/>
      <c r="I1587" s="419"/>
    </row>
    <row r="1588" spans="1:12" ht="19.5" thickBot="1" x14ac:dyDescent="0.3">
      <c r="A1588" s="455"/>
      <c r="B1588" s="418" t="s">
        <v>610</v>
      </c>
      <c r="C1588" s="419" t="s">
        <v>18</v>
      </c>
      <c r="D1588" s="354">
        <v>0.14399999999999999</v>
      </c>
      <c r="E1588" s="419" t="s">
        <v>45</v>
      </c>
      <c r="F1588" s="457"/>
      <c r="G1588" s="418" t="s">
        <v>609</v>
      </c>
      <c r="H1588" s="419"/>
      <c r="I1588" s="419"/>
    </row>
    <row r="1589" spans="1:12" ht="19.5" thickBot="1" x14ac:dyDescent="0.3">
      <c r="A1589" s="455"/>
      <c r="B1589" s="418" t="s">
        <v>610</v>
      </c>
      <c r="C1589" s="419" t="s">
        <v>19</v>
      </c>
      <c r="D1589" s="407">
        <v>9.8000000000000004E-2</v>
      </c>
      <c r="E1589" s="419" t="s">
        <v>45</v>
      </c>
      <c r="F1589" s="457"/>
      <c r="G1589" s="418" t="s">
        <v>609</v>
      </c>
      <c r="H1589" s="419"/>
      <c r="I1589" s="419"/>
    </row>
    <row r="1590" spans="1:12" ht="19.5" thickBot="1" x14ac:dyDescent="0.3">
      <c r="A1590" s="458">
        <f>MAX(A1521:A1584)+1</f>
        <v>295</v>
      </c>
      <c r="B1590" s="422" t="s">
        <v>613</v>
      </c>
      <c r="C1590" s="92" t="s">
        <v>18</v>
      </c>
      <c r="D1590" s="93">
        <v>2.5739999999999998</v>
      </c>
      <c r="E1590" s="94" t="s">
        <v>13</v>
      </c>
      <c r="F1590" s="134"/>
      <c r="G1590" s="94" t="s">
        <v>612</v>
      </c>
      <c r="H1590" s="153"/>
      <c r="I1590" s="288"/>
    </row>
    <row r="1591" spans="1:12" ht="19.5" thickBot="1" x14ac:dyDescent="0.3">
      <c r="A1591" s="459"/>
      <c r="B1591" s="422" t="s">
        <v>613</v>
      </c>
      <c r="C1591" s="150" t="s">
        <v>19</v>
      </c>
      <c r="D1591" s="151">
        <v>4.34</v>
      </c>
      <c r="E1591" s="149" t="s">
        <v>13</v>
      </c>
      <c r="F1591" s="287"/>
      <c r="G1591" s="94" t="s">
        <v>612</v>
      </c>
      <c r="H1591" s="420"/>
      <c r="I1591" s="289"/>
    </row>
    <row r="1592" spans="1:12" ht="19.5" thickBot="1" x14ac:dyDescent="0.3">
      <c r="A1592" s="459"/>
      <c r="B1592" s="422" t="s">
        <v>613</v>
      </c>
      <c r="C1592" s="150" t="s">
        <v>17</v>
      </c>
      <c r="D1592" s="151">
        <v>1.536</v>
      </c>
      <c r="E1592" s="149" t="s">
        <v>13</v>
      </c>
      <c r="F1592" s="287"/>
      <c r="G1592" s="94" t="s">
        <v>612</v>
      </c>
      <c r="H1592" s="420"/>
      <c r="I1592" s="289"/>
    </row>
    <row r="1593" spans="1:12" ht="19.5" thickBot="1" x14ac:dyDescent="0.3">
      <c r="A1593" s="460"/>
      <c r="B1593" s="422" t="s">
        <v>613</v>
      </c>
      <c r="C1593" s="253" t="s">
        <v>564</v>
      </c>
      <c r="D1593" s="254">
        <v>1.2270000000000001</v>
      </c>
      <c r="E1593" s="255" t="s">
        <v>13</v>
      </c>
      <c r="F1593" s="290"/>
      <c r="G1593" s="94" t="s">
        <v>612</v>
      </c>
      <c r="H1593" s="421" t="s">
        <v>611</v>
      </c>
      <c r="I1593" s="291"/>
    </row>
    <row r="1594" spans="1:12" ht="19.5" thickBot="1" x14ac:dyDescent="0.3">
      <c r="A1594" s="458">
        <f>MAX(A1535:A1593)+1</f>
        <v>296</v>
      </c>
      <c r="B1594" s="422" t="s">
        <v>613</v>
      </c>
      <c r="C1594" s="92" t="s">
        <v>18</v>
      </c>
      <c r="D1594" s="93">
        <v>2.5739999999999998</v>
      </c>
      <c r="E1594" s="94" t="s">
        <v>13</v>
      </c>
      <c r="F1594" s="134"/>
      <c r="G1594" s="94" t="s">
        <v>614</v>
      </c>
      <c r="H1594" s="153"/>
      <c r="I1594" s="288"/>
    </row>
    <row r="1595" spans="1:12" ht="19.5" thickBot="1" x14ac:dyDescent="0.3">
      <c r="A1595" s="459"/>
      <c r="B1595" s="422" t="s">
        <v>613</v>
      </c>
      <c r="C1595" s="150" t="s">
        <v>19</v>
      </c>
      <c r="D1595" s="151">
        <v>4.34</v>
      </c>
      <c r="E1595" s="149" t="s">
        <v>13</v>
      </c>
      <c r="F1595" s="287"/>
      <c r="G1595" s="94" t="s">
        <v>614</v>
      </c>
      <c r="H1595" s="420"/>
      <c r="I1595" s="289"/>
    </row>
    <row r="1596" spans="1:12" ht="19.5" thickBot="1" x14ac:dyDescent="0.3">
      <c r="A1596" s="459"/>
      <c r="B1596" s="422" t="s">
        <v>613</v>
      </c>
      <c r="C1596" s="150" t="s">
        <v>116</v>
      </c>
      <c r="D1596" s="151">
        <v>4.3819999999999997</v>
      </c>
      <c r="E1596" s="149" t="s">
        <v>13</v>
      </c>
      <c r="F1596" s="287"/>
      <c r="G1596" s="94" t="s">
        <v>614</v>
      </c>
      <c r="H1596" s="420" t="s">
        <v>416</v>
      </c>
      <c r="I1596" s="289"/>
    </row>
    <row r="1597" spans="1:12" ht="19.5" thickBot="1" x14ac:dyDescent="0.3">
      <c r="A1597" s="459"/>
      <c r="B1597" s="426" t="s">
        <v>613</v>
      </c>
      <c r="C1597" s="150" t="s">
        <v>17</v>
      </c>
      <c r="D1597" s="151">
        <v>1.536</v>
      </c>
      <c r="E1597" s="149" t="s">
        <v>13</v>
      </c>
      <c r="F1597" s="287"/>
      <c r="G1597" s="94" t="s">
        <v>614</v>
      </c>
      <c r="H1597" s="427"/>
      <c r="I1597" s="289"/>
      <c r="J1597" s="425"/>
      <c r="K1597" s="425"/>
      <c r="L1597" s="425"/>
    </row>
    <row r="1598" spans="1:12" ht="19.5" thickBot="1" x14ac:dyDescent="0.3">
      <c r="A1598" s="459"/>
      <c r="B1598" s="422" t="s">
        <v>613</v>
      </c>
      <c r="C1598" s="150" t="s">
        <v>367</v>
      </c>
      <c r="D1598" s="151">
        <v>2.8580000000000001</v>
      </c>
      <c r="E1598" s="149" t="s">
        <v>13</v>
      </c>
      <c r="F1598" s="287"/>
      <c r="G1598" s="94" t="s">
        <v>614</v>
      </c>
      <c r="H1598" s="420" t="s">
        <v>616</v>
      </c>
      <c r="I1598" s="289"/>
    </row>
    <row r="1599" spans="1:12" ht="19.5" thickBot="1" x14ac:dyDescent="0.3">
      <c r="A1599" s="454">
        <f>MAX(A1536:A1598)+1</f>
        <v>297</v>
      </c>
      <c r="B1599" s="423" t="s">
        <v>615</v>
      </c>
      <c r="C1599" s="424" t="s">
        <v>19</v>
      </c>
      <c r="D1599" s="354">
        <v>0.16900000000000001</v>
      </c>
      <c r="E1599" s="424" t="s">
        <v>519</v>
      </c>
      <c r="F1599" s="456" t="s">
        <v>541</v>
      </c>
      <c r="G1599" s="423" t="s">
        <v>614</v>
      </c>
      <c r="H1599" s="424"/>
      <c r="I1599" s="424"/>
    </row>
    <row r="1600" spans="1:12" ht="19.5" thickBot="1" x14ac:dyDescent="0.3">
      <c r="A1600" s="455"/>
      <c r="B1600" s="423" t="s">
        <v>615</v>
      </c>
      <c r="C1600" s="424" t="s">
        <v>116</v>
      </c>
      <c r="D1600" s="354">
        <v>1.1359999999999999</v>
      </c>
      <c r="E1600" s="424" t="s">
        <v>519</v>
      </c>
      <c r="F1600" s="457"/>
      <c r="G1600" s="423" t="s">
        <v>614</v>
      </c>
      <c r="H1600" s="424" t="s">
        <v>416</v>
      </c>
      <c r="I1600" s="424"/>
    </row>
    <row r="1601" spans="1:9" ht="19.5" thickBot="1" x14ac:dyDescent="0.3">
      <c r="A1601" s="455"/>
      <c r="B1601" s="423" t="s">
        <v>615</v>
      </c>
      <c r="C1601" s="424" t="s">
        <v>18</v>
      </c>
      <c r="D1601" s="354">
        <v>1.075</v>
      </c>
      <c r="E1601" s="424" t="s">
        <v>519</v>
      </c>
      <c r="F1601" s="457"/>
      <c r="G1601" s="423" t="s">
        <v>614</v>
      </c>
      <c r="H1601" s="424"/>
      <c r="I1601" s="424"/>
    </row>
    <row r="1602" spans="1:9" ht="19.5" thickBot="1" x14ac:dyDescent="0.3">
      <c r="A1602" s="455"/>
      <c r="B1602" s="423" t="s">
        <v>615</v>
      </c>
      <c r="C1602" s="424" t="s">
        <v>17</v>
      </c>
      <c r="D1602" s="354">
        <v>0.33</v>
      </c>
      <c r="E1602" s="424" t="s">
        <v>519</v>
      </c>
      <c r="F1602" s="457"/>
      <c r="G1602" s="423" t="s">
        <v>614</v>
      </c>
      <c r="H1602" s="424"/>
      <c r="I1602" s="424"/>
    </row>
    <row r="1603" spans="1:9" ht="19.5" thickBot="1" x14ac:dyDescent="0.3">
      <c r="A1603" s="455"/>
      <c r="B1603" s="423" t="s">
        <v>615</v>
      </c>
      <c r="C1603" s="424" t="s">
        <v>18</v>
      </c>
      <c r="D1603" s="354">
        <v>0.216</v>
      </c>
      <c r="E1603" s="424" t="s">
        <v>45</v>
      </c>
      <c r="F1603" s="457"/>
      <c r="G1603" s="423" t="s">
        <v>614</v>
      </c>
      <c r="H1603" s="424"/>
      <c r="I1603" s="424"/>
    </row>
    <row r="1604" spans="1:9" ht="19.5" thickBot="1" x14ac:dyDescent="0.3">
      <c r="A1604" s="455"/>
      <c r="B1604" s="423" t="s">
        <v>615</v>
      </c>
      <c r="C1604" s="424" t="s">
        <v>19</v>
      </c>
      <c r="D1604" s="407">
        <v>7.5999999999999998E-2</v>
      </c>
      <c r="E1604" s="424" t="s">
        <v>45</v>
      </c>
      <c r="F1604" s="457"/>
      <c r="G1604" s="423" t="s">
        <v>614</v>
      </c>
      <c r="H1604" s="424"/>
      <c r="I1604" s="424"/>
    </row>
    <row r="1605" spans="1:9" ht="19.5" thickBot="1" x14ac:dyDescent="0.3">
      <c r="A1605" s="458">
        <f>MAX(A1544:A1604)+1</f>
        <v>298</v>
      </c>
      <c r="B1605" s="430" t="s">
        <v>617</v>
      </c>
      <c r="C1605" s="92" t="s">
        <v>18</v>
      </c>
      <c r="D1605" s="93">
        <v>1.966</v>
      </c>
      <c r="E1605" s="94" t="s">
        <v>13</v>
      </c>
      <c r="F1605" s="134"/>
      <c r="G1605" s="94" t="s">
        <v>618</v>
      </c>
      <c r="H1605" s="153"/>
      <c r="I1605" s="288"/>
    </row>
    <row r="1606" spans="1:9" ht="19.5" thickBot="1" x14ac:dyDescent="0.3">
      <c r="A1606" s="459"/>
      <c r="B1606" s="430" t="s">
        <v>617</v>
      </c>
      <c r="C1606" s="150" t="s">
        <v>19</v>
      </c>
      <c r="D1606" s="151">
        <v>6.6150000000000002</v>
      </c>
      <c r="E1606" s="149" t="s">
        <v>13</v>
      </c>
      <c r="F1606" s="287"/>
      <c r="G1606" s="94" t="s">
        <v>618</v>
      </c>
      <c r="H1606" s="431"/>
      <c r="I1606" s="289"/>
    </row>
    <row r="1607" spans="1:9" ht="19.5" thickBot="1" x14ac:dyDescent="0.3">
      <c r="A1607" s="459"/>
      <c r="B1607" s="430" t="s">
        <v>617</v>
      </c>
      <c r="C1607" s="150" t="s">
        <v>116</v>
      </c>
      <c r="D1607" s="151">
        <v>5.2270000000000003</v>
      </c>
      <c r="E1607" s="149" t="s">
        <v>13</v>
      </c>
      <c r="F1607" s="287"/>
      <c r="G1607" s="94" t="s">
        <v>618</v>
      </c>
      <c r="H1607" s="431" t="s">
        <v>416</v>
      </c>
      <c r="I1607" s="289"/>
    </row>
    <row r="1608" spans="1:9" ht="19.5" thickBot="1" x14ac:dyDescent="0.3">
      <c r="A1608" s="459"/>
      <c r="B1608" s="430" t="s">
        <v>617</v>
      </c>
      <c r="C1608" s="150" t="s">
        <v>17</v>
      </c>
      <c r="D1608" s="151">
        <v>4.5019999999999998</v>
      </c>
      <c r="E1608" s="149" t="s">
        <v>13</v>
      </c>
      <c r="F1608" s="287"/>
      <c r="G1608" s="94" t="s">
        <v>618</v>
      </c>
      <c r="H1608" s="431"/>
      <c r="I1608" s="289"/>
    </row>
    <row r="1609" spans="1:9" ht="19.5" thickBot="1" x14ac:dyDescent="0.3">
      <c r="A1609" s="461">
        <f>MAX(A1548:A1608)+1</f>
        <v>299</v>
      </c>
      <c r="B1609" s="435" t="s">
        <v>617</v>
      </c>
      <c r="C1609" s="436" t="s">
        <v>18</v>
      </c>
      <c r="D1609" s="437">
        <v>0.83199999999999996</v>
      </c>
      <c r="E1609" s="438" t="s">
        <v>619</v>
      </c>
      <c r="F1609" s="439"/>
      <c r="G1609" s="438" t="s">
        <v>618</v>
      </c>
      <c r="H1609" s="440"/>
      <c r="I1609" s="441"/>
    </row>
    <row r="1610" spans="1:9" ht="19.5" thickBot="1" x14ac:dyDescent="0.3">
      <c r="A1610" s="462"/>
      <c r="B1610" s="435" t="s">
        <v>617</v>
      </c>
      <c r="C1610" s="442" t="s">
        <v>19</v>
      </c>
      <c r="D1610" s="443">
        <v>0.27500000000000002</v>
      </c>
      <c r="E1610" s="444" t="s">
        <v>619</v>
      </c>
      <c r="F1610" s="445"/>
      <c r="G1610" s="438" t="s">
        <v>618</v>
      </c>
      <c r="H1610" s="446"/>
      <c r="I1610" s="447"/>
    </row>
    <row r="1611" spans="1:9" ht="19.5" thickBot="1" x14ac:dyDescent="0.3">
      <c r="A1611" s="458">
        <f>MAX(A1550:A1610)+1</f>
        <v>300</v>
      </c>
      <c r="B1611" s="430" t="s">
        <v>617</v>
      </c>
      <c r="C1611" s="92" t="s">
        <v>18</v>
      </c>
      <c r="D1611" s="93">
        <v>1.966</v>
      </c>
      <c r="E1611" s="94" t="s">
        <v>13</v>
      </c>
      <c r="F1611" s="134"/>
      <c r="G1611" s="94" t="s">
        <v>620</v>
      </c>
      <c r="H1611" s="153"/>
      <c r="I1611" s="288"/>
    </row>
    <row r="1612" spans="1:9" ht="19.5" thickBot="1" x14ac:dyDescent="0.3">
      <c r="A1612" s="459"/>
      <c r="B1612" s="430" t="s">
        <v>617</v>
      </c>
      <c r="C1612" s="150" t="s">
        <v>19</v>
      </c>
      <c r="D1612" s="151">
        <v>6.6150000000000002</v>
      </c>
      <c r="E1612" s="149" t="s">
        <v>13</v>
      </c>
      <c r="F1612" s="287"/>
      <c r="G1612" s="94" t="s">
        <v>620</v>
      </c>
      <c r="H1612" s="431"/>
      <c r="I1612" s="289"/>
    </row>
    <row r="1613" spans="1:9" ht="19.5" thickBot="1" x14ac:dyDescent="0.3">
      <c r="A1613" s="459"/>
      <c r="B1613" s="430" t="s">
        <v>617</v>
      </c>
      <c r="C1613" s="150" t="s">
        <v>17</v>
      </c>
      <c r="D1613" s="151">
        <v>4.5019999999999998</v>
      </c>
      <c r="E1613" s="149" t="s">
        <v>13</v>
      </c>
      <c r="F1613" s="287"/>
      <c r="G1613" s="94" t="s">
        <v>620</v>
      </c>
      <c r="H1613" s="431"/>
      <c r="I1613" s="289"/>
    </row>
    <row r="1614" spans="1:9" ht="19.5" customHeight="1" thickBot="1" x14ac:dyDescent="0.3">
      <c r="A1614" s="454">
        <f>MAX(A1551:A1613)+1</f>
        <v>301</v>
      </c>
      <c r="B1614" s="428" t="s">
        <v>617</v>
      </c>
      <c r="C1614" s="429" t="s">
        <v>19</v>
      </c>
      <c r="D1614" s="354">
        <v>0.76</v>
      </c>
      <c r="E1614" s="429" t="s">
        <v>519</v>
      </c>
      <c r="F1614" s="456" t="s">
        <v>537</v>
      </c>
      <c r="G1614" s="428" t="s">
        <v>620</v>
      </c>
      <c r="H1614" s="429"/>
      <c r="I1614" s="429"/>
    </row>
    <row r="1615" spans="1:9" ht="19.5" thickBot="1" x14ac:dyDescent="0.3">
      <c r="A1615" s="455"/>
      <c r="B1615" s="428" t="s">
        <v>617</v>
      </c>
      <c r="C1615" s="429" t="s">
        <v>116</v>
      </c>
      <c r="D1615" s="354">
        <v>0.91</v>
      </c>
      <c r="E1615" s="429" t="s">
        <v>519</v>
      </c>
      <c r="F1615" s="457"/>
      <c r="G1615" s="428" t="s">
        <v>620</v>
      </c>
      <c r="H1615" s="429" t="s">
        <v>416</v>
      </c>
      <c r="I1615" s="429"/>
    </row>
    <row r="1616" spans="1:9" ht="19.5" thickBot="1" x14ac:dyDescent="0.3">
      <c r="A1616" s="455"/>
      <c r="B1616" s="428" t="s">
        <v>617</v>
      </c>
      <c r="C1616" s="429" t="s">
        <v>18</v>
      </c>
      <c r="D1616" s="354">
        <v>0.61899999999999999</v>
      </c>
      <c r="E1616" s="429" t="s">
        <v>519</v>
      </c>
      <c r="F1616" s="457"/>
      <c r="G1616" s="428" t="s">
        <v>620</v>
      </c>
      <c r="H1616" s="429"/>
      <c r="I1616" s="429"/>
    </row>
    <row r="1617" spans="1:12" ht="19.5" thickBot="1" x14ac:dyDescent="0.3">
      <c r="A1617" s="455"/>
      <c r="B1617" s="428" t="s">
        <v>617</v>
      </c>
      <c r="C1617" s="429" t="s">
        <v>17</v>
      </c>
      <c r="D1617" s="354">
        <v>2.4830000000000001</v>
      </c>
      <c r="E1617" s="429" t="s">
        <v>519</v>
      </c>
      <c r="F1617" s="457"/>
      <c r="G1617" s="428" t="s">
        <v>620</v>
      </c>
      <c r="H1617" s="429"/>
      <c r="I1617" s="429"/>
    </row>
    <row r="1618" spans="1:12" ht="19.5" thickBot="1" x14ac:dyDescent="0.3">
      <c r="A1618" s="455"/>
      <c r="B1618" s="428" t="s">
        <v>617</v>
      </c>
      <c r="C1618" s="429" t="s">
        <v>18</v>
      </c>
      <c r="D1618" s="354">
        <v>0.13100000000000001</v>
      </c>
      <c r="E1618" s="429" t="s">
        <v>45</v>
      </c>
      <c r="F1618" s="457"/>
      <c r="G1618" s="428" t="s">
        <v>620</v>
      </c>
      <c r="H1618" s="429"/>
      <c r="I1618" s="429"/>
    </row>
    <row r="1619" spans="1:12" ht="19.5" thickBot="1" x14ac:dyDescent="0.3">
      <c r="A1619" s="455"/>
      <c r="B1619" s="428" t="s">
        <v>617</v>
      </c>
      <c r="C1619" s="429" t="s">
        <v>19</v>
      </c>
      <c r="D1619" s="407">
        <v>0.20699999999999999</v>
      </c>
      <c r="E1619" s="429" t="s">
        <v>45</v>
      </c>
      <c r="F1619" s="457"/>
      <c r="G1619" s="428" t="s">
        <v>620</v>
      </c>
      <c r="H1619" s="429"/>
      <c r="I1619" s="429"/>
    </row>
    <row r="1620" spans="1:12" ht="19.5" customHeight="1" thickBot="1" x14ac:dyDescent="0.3">
      <c r="A1620" s="455"/>
      <c r="B1620" s="428" t="s">
        <v>617</v>
      </c>
      <c r="C1620" s="429" t="s">
        <v>17</v>
      </c>
      <c r="D1620" s="407">
        <v>7.0000000000000007E-2</v>
      </c>
      <c r="E1620" s="429" t="s">
        <v>45</v>
      </c>
      <c r="F1620" s="457"/>
      <c r="G1620" s="428" t="s">
        <v>620</v>
      </c>
      <c r="H1620" s="429"/>
      <c r="I1620" s="429"/>
    </row>
    <row r="1621" spans="1:12" ht="19.5" thickBot="1" x14ac:dyDescent="0.3">
      <c r="A1621" s="455"/>
      <c r="B1621" s="428" t="s">
        <v>617</v>
      </c>
      <c r="C1621" s="429" t="s">
        <v>621</v>
      </c>
      <c r="D1621" s="407">
        <v>1.4999999999999999E-2</v>
      </c>
      <c r="E1621" s="429" t="s">
        <v>45</v>
      </c>
      <c r="F1621" s="457"/>
      <c r="G1621" s="428" t="s">
        <v>620</v>
      </c>
      <c r="H1621" s="429" t="s">
        <v>416</v>
      </c>
      <c r="I1621" s="429"/>
    </row>
    <row r="1622" spans="1:12" ht="19.5" thickBot="1" x14ac:dyDescent="0.3">
      <c r="A1622" s="458">
        <f>MAX(A1563:A1621)+1</f>
        <v>302</v>
      </c>
      <c r="B1622" s="433" t="s">
        <v>623</v>
      </c>
      <c r="C1622" s="92" t="s">
        <v>18</v>
      </c>
      <c r="D1622" s="93">
        <v>3.9119999999999999</v>
      </c>
      <c r="E1622" s="94" t="s">
        <v>13</v>
      </c>
      <c r="F1622" s="134"/>
      <c r="G1622" s="94" t="s">
        <v>622</v>
      </c>
      <c r="H1622" s="153"/>
      <c r="I1622" s="288"/>
    </row>
    <row r="1623" spans="1:12" ht="19.5" thickBot="1" x14ac:dyDescent="0.3">
      <c r="A1623" s="459"/>
      <c r="B1623" s="433" t="s">
        <v>623</v>
      </c>
      <c r="C1623" s="150" t="s">
        <v>19</v>
      </c>
      <c r="D1623" s="151">
        <v>5.2389999999999999</v>
      </c>
      <c r="E1623" s="149" t="s">
        <v>13</v>
      </c>
      <c r="F1623" s="287"/>
      <c r="G1623" s="94" t="s">
        <v>622</v>
      </c>
      <c r="H1623" s="432"/>
      <c r="I1623" s="289"/>
    </row>
    <row r="1624" spans="1:12" ht="19.5" thickBot="1" x14ac:dyDescent="0.3">
      <c r="A1624" s="459"/>
      <c r="B1624" s="433" t="s">
        <v>623</v>
      </c>
      <c r="C1624" s="150" t="s">
        <v>17</v>
      </c>
      <c r="D1624" s="151">
        <v>3.2709999999999999</v>
      </c>
      <c r="E1624" s="149" t="s">
        <v>13</v>
      </c>
      <c r="F1624" s="287"/>
      <c r="G1624" s="94" t="s">
        <v>622</v>
      </c>
      <c r="H1624" s="432"/>
      <c r="I1624" s="289"/>
    </row>
    <row r="1625" spans="1:12" ht="19.5" thickBot="1" x14ac:dyDescent="0.3">
      <c r="A1625" s="459"/>
      <c r="B1625" s="433" t="s">
        <v>623</v>
      </c>
      <c r="C1625" s="150" t="s">
        <v>564</v>
      </c>
      <c r="D1625" s="151">
        <v>1.3240000000000001</v>
      </c>
      <c r="E1625" s="149" t="s">
        <v>13</v>
      </c>
      <c r="F1625" s="287"/>
      <c r="G1625" s="94" t="s">
        <v>622</v>
      </c>
      <c r="H1625" s="432" t="s">
        <v>416</v>
      </c>
      <c r="I1625" s="289"/>
      <c r="J1625" s="434"/>
      <c r="K1625" s="434"/>
      <c r="L1625" s="434"/>
    </row>
    <row r="1626" spans="1:12" ht="19.5" thickBot="1" x14ac:dyDescent="0.3">
      <c r="A1626" s="459"/>
      <c r="B1626" s="433" t="s">
        <v>623</v>
      </c>
      <c r="C1626" s="150" t="s">
        <v>367</v>
      </c>
      <c r="D1626" s="151">
        <v>0.89400000000000002</v>
      </c>
      <c r="E1626" s="149" t="s">
        <v>13</v>
      </c>
      <c r="F1626" s="287"/>
      <c r="G1626" s="94" t="s">
        <v>622</v>
      </c>
      <c r="H1626" s="432" t="s">
        <v>616</v>
      </c>
      <c r="I1626" s="289"/>
    </row>
    <row r="1627" spans="1:12" ht="19.5" thickBot="1" x14ac:dyDescent="0.3">
      <c r="A1627" s="458">
        <f>MAX(A1566:A1626)+1</f>
        <v>303</v>
      </c>
      <c r="B1627" s="433" t="s">
        <v>623</v>
      </c>
      <c r="C1627" s="92" t="s">
        <v>18</v>
      </c>
      <c r="D1627" s="93">
        <v>3.4620000000000002</v>
      </c>
      <c r="E1627" s="94" t="s">
        <v>13</v>
      </c>
      <c r="F1627" s="134"/>
      <c r="G1627" s="94" t="s">
        <v>624</v>
      </c>
      <c r="H1627" s="153"/>
      <c r="I1627" s="288"/>
    </row>
    <row r="1628" spans="1:12" ht="19.5" thickBot="1" x14ac:dyDescent="0.3">
      <c r="A1628" s="459"/>
      <c r="B1628" s="433" t="s">
        <v>623</v>
      </c>
      <c r="C1628" s="150" t="s">
        <v>19</v>
      </c>
      <c r="D1628" s="151">
        <v>4.7889999999999997</v>
      </c>
      <c r="E1628" s="149" t="s">
        <v>13</v>
      </c>
      <c r="F1628" s="287"/>
      <c r="G1628" s="94" t="s">
        <v>624</v>
      </c>
      <c r="H1628" s="432"/>
      <c r="I1628" s="289"/>
    </row>
    <row r="1629" spans="1:12" ht="19.5" thickBot="1" x14ac:dyDescent="0.3">
      <c r="A1629" s="459"/>
      <c r="B1629" s="433" t="s">
        <v>623</v>
      </c>
      <c r="C1629" s="150" t="s">
        <v>116</v>
      </c>
      <c r="D1629" s="151">
        <v>10.747999999999999</v>
      </c>
      <c r="E1629" s="149" t="s">
        <v>13</v>
      </c>
      <c r="F1629" s="287"/>
      <c r="G1629" s="94" t="s">
        <v>624</v>
      </c>
      <c r="H1629" s="432" t="s">
        <v>416</v>
      </c>
      <c r="I1629" s="289"/>
    </row>
    <row r="1630" spans="1:12" ht="19.5" thickBot="1" x14ac:dyDescent="0.3">
      <c r="A1630" s="459"/>
      <c r="B1630" s="433" t="s">
        <v>623</v>
      </c>
      <c r="C1630" s="150" t="s">
        <v>17</v>
      </c>
      <c r="D1630" s="151">
        <v>2.9209999999999998</v>
      </c>
      <c r="E1630" s="149" t="s">
        <v>13</v>
      </c>
      <c r="F1630" s="287"/>
      <c r="G1630" s="94" t="s">
        <v>624</v>
      </c>
      <c r="H1630" s="432"/>
      <c r="I1630" s="289"/>
    </row>
    <row r="1631" spans="1:12" ht="19.5" thickBot="1" x14ac:dyDescent="0.3">
      <c r="A1631" s="461">
        <f>MAX(A1570:A1630)+1</f>
        <v>304</v>
      </c>
      <c r="B1631" s="435" t="s">
        <v>625</v>
      </c>
      <c r="C1631" s="436" t="s">
        <v>17</v>
      </c>
      <c r="D1631" s="437">
        <v>0.35199999999999998</v>
      </c>
      <c r="E1631" s="438" t="s">
        <v>619</v>
      </c>
      <c r="F1631" s="439"/>
      <c r="G1631" s="438" t="s">
        <v>622</v>
      </c>
      <c r="H1631" s="440"/>
      <c r="I1631" s="441"/>
    </row>
    <row r="1632" spans="1:12" ht="19.5" thickBot="1" x14ac:dyDescent="0.3">
      <c r="A1632" s="462"/>
      <c r="B1632" s="435" t="s">
        <v>625</v>
      </c>
      <c r="C1632" s="442" t="s">
        <v>19</v>
      </c>
      <c r="D1632" s="443">
        <v>0.2</v>
      </c>
      <c r="E1632" s="444" t="s">
        <v>619</v>
      </c>
      <c r="F1632" s="445"/>
      <c r="G1632" s="438" t="s">
        <v>622</v>
      </c>
      <c r="H1632" s="446"/>
      <c r="I1632" s="447"/>
    </row>
    <row r="1633" spans="1:9" ht="19.5" thickBot="1" x14ac:dyDescent="0.3">
      <c r="A1633" s="454">
        <f>MAX(A1570:A1632)+1</f>
        <v>305</v>
      </c>
      <c r="B1633" s="448" t="s">
        <v>625</v>
      </c>
      <c r="C1633" s="449" t="s">
        <v>19</v>
      </c>
      <c r="D1633" s="354">
        <v>0.32400000000000001</v>
      </c>
      <c r="E1633" s="449" t="s">
        <v>519</v>
      </c>
      <c r="F1633" s="456" t="s">
        <v>549</v>
      </c>
      <c r="G1633" s="448" t="s">
        <v>624</v>
      </c>
      <c r="H1633" s="449"/>
      <c r="I1633" s="449"/>
    </row>
    <row r="1634" spans="1:9" ht="19.5" thickBot="1" x14ac:dyDescent="0.3">
      <c r="A1634" s="455"/>
      <c r="B1634" s="448" t="s">
        <v>625</v>
      </c>
      <c r="C1634" s="449" t="s">
        <v>116</v>
      </c>
      <c r="D1634" s="354">
        <v>0.28799999999999998</v>
      </c>
      <c r="E1634" s="449" t="s">
        <v>519</v>
      </c>
      <c r="F1634" s="457"/>
      <c r="G1634" s="448" t="s">
        <v>624</v>
      </c>
      <c r="H1634" s="449" t="s">
        <v>416</v>
      </c>
      <c r="I1634" s="449"/>
    </row>
    <row r="1635" spans="1:9" ht="19.5" thickBot="1" x14ac:dyDescent="0.3">
      <c r="A1635" s="455"/>
      <c r="B1635" s="448" t="s">
        <v>625</v>
      </c>
      <c r="C1635" s="449" t="s">
        <v>18</v>
      </c>
      <c r="D1635" s="354">
        <v>0.90400000000000003</v>
      </c>
      <c r="E1635" s="449" t="s">
        <v>519</v>
      </c>
      <c r="F1635" s="457"/>
      <c r="G1635" s="448" t="s">
        <v>624</v>
      </c>
      <c r="H1635" s="449"/>
      <c r="I1635" s="449"/>
    </row>
    <row r="1636" spans="1:9" ht="19.5" thickBot="1" x14ac:dyDescent="0.3">
      <c r="A1636" s="455"/>
      <c r="B1636" s="448" t="s">
        <v>625</v>
      </c>
      <c r="C1636" s="449" t="s">
        <v>17</v>
      </c>
      <c r="D1636" s="354">
        <v>2.7719999999999998</v>
      </c>
      <c r="E1636" s="449" t="s">
        <v>519</v>
      </c>
      <c r="F1636" s="457"/>
      <c r="G1636" s="448" t="s">
        <v>624</v>
      </c>
      <c r="H1636" s="449"/>
      <c r="I1636" s="449"/>
    </row>
    <row r="1637" spans="1:9" ht="19.5" thickBot="1" x14ac:dyDescent="0.3">
      <c r="A1637" s="455"/>
      <c r="B1637" s="448" t="s">
        <v>625</v>
      </c>
      <c r="C1637" s="449" t="s">
        <v>18</v>
      </c>
      <c r="D1637" s="354">
        <v>0.252</v>
      </c>
      <c r="E1637" s="449" t="s">
        <v>45</v>
      </c>
      <c r="F1637" s="457"/>
      <c r="G1637" s="448" t="s">
        <v>624</v>
      </c>
      <c r="H1637" s="449"/>
      <c r="I1637" s="449"/>
    </row>
    <row r="1638" spans="1:9" ht="19.5" thickBot="1" x14ac:dyDescent="0.3">
      <c r="A1638" s="455"/>
      <c r="B1638" s="448" t="s">
        <v>625</v>
      </c>
      <c r="C1638" s="449" t="s">
        <v>19</v>
      </c>
      <c r="D1638" s="407">
        <v>1.7999999999999999E-2</v>
      </c>
      <c r="E1638" s="449" t="s">
        <v>45</v>
      </c>
      <c r="F1638" s="457"/>
      <c r="G1638" s="448" t="s">
        <v>624</v>
      </c>
      <c r="H1638" s="449"/>
      <c r="I1638" s="449"/>
    </row>
    <row r="1639" spans="1:9" ht="19.5" thickBot="1" x14ac:dyDescent="0.3">
      <c r="A1639" s="455"/>
      <c r="B1639" s="448" t="s">
        <v>625</v>
      </c>
      <c r="C1639" s="449" t="s">
        <v>621</v>
      </c>
      <c r="D1639" s="407">
        <v>0.04</v>
      </c>
      <c r="E1639" s="449" t="s">
        <v>45</v>
      </c>
      <c r="F1639" s="457"/>
      <c r="G1639" s="448" t="s">
        <v>624</v>
      </c>
      <c r="H1639" s="449" t="s">
        <v>416</v>
      </c>
      <c r="I1639" s="449"/>
    </row>
    <row r="1640" spans="1:9" ht="19.5" thickBot="1" x14ac:dyDescent="0.3">
      <c r="A1640" s="458">
        <f>MAX(A1581:A1639)+1</f>
        <v>306</v>
      </c>
      <c r="B1640" s="451" t="s">
        <v>626</v>
      </c>
      <c r="C1640" s="92" t="s">
        <v>18</v>
      </c>
      <c r="D1640" s="93">
        <v>2.97</v>
      </c>
      <c r="E1640" s="94" t="s">
        <v>13</v>
      </c>
      <c r="F1640" s="134"/>
      <c r="G1640" s="94" t="s">
        <v>627</v>
      </c>
      <c r="H1640" s="153"/>
      <c r="I1640" s="288"/>
    </row>
    <row r="1641" spans="1:9" ht="19.5" thickBot="1" x14ac:dyDescent="0.3">
      <c r="A1641" s="459"/>
      <c r="B1641" s="451" t="s">
        <v>626</v>
      </c>
      <c r="C1641" s="150" t="s">
        <v>19</v>
      </c>
      <c r="D1641" s="151">
        <v>5.0209999999999999</v>
      </c>
      <c r="E1641" s="149" t="s">
        <v>13</v>
      </c>
      <c r="F1641" s="287"/>
      <c r="G1641" s="94" t="s">
        <v>627</v>
      </c>
      <c r="H1641" s="450"/>
      <c r="I1641" s="289"/>
    </row>
    <row r="1642" spans="1:9" ht="19.5" thickBot="1" x14ac:dyDescent="0.3">
      <c r="A1642" s="459"/>
      <c r="B1642" s="451" t="s">
        <v>626</v>
      </c>
      <c r="C1642" s="150" t="s">
        <v>17</v>
      </c>
      <c r="D1642" s="151">
        <v>2.59</v>
      </c>
      <c r="E1642" s="149" t="s">
        <v>13</v>
      </c>
      <c r="F1642" s="287"/>
      <c r="G1642" s="94" t="s">
        <v>627</v>
      </c>
      <c r="H1642" s="450"/>
      <c r="I1642" s="289"/>
    </row>
    <row r="1643" spans="1:9" ht="19.5" thickBot="1" x14ac:dyDescent="0.3">
      <c r="A1643" s="459"/>
      <c r="B1643" s="451" t="s">
        <v>626</v>
      </c>
      <c r="C1643" s="150" t="s">
        <v>367</v>
      </c>
      <c r="D1643" s="151">
        <v>2.06</v>
      </c>
      <c r="E1643" s="149" t="s">
        <v>13</v>
      </c>
      <c r="F1643" s="287"/>
      <c r="G1643" s="94" t="s">
        <v>627</v>
      </c>
      <c r="H1643" s="450" t="s">
        <v>616</v>
      </c>
      <c r="I1643" s="289"/>
    </row>
    <row r="1644" spans="1:9" ht="19.5" thickBot="1" x14ac:dyDescent="0.3">
      <c r="A1644" s="458">
        <f>MAX(A1583:A1643)+1</f>
        <v>307</v>
      </c>
      <c r="B1644" s="451" t="s">
        <v>626</v>
      </c>
      <c r="C1644" s="92" t="s">
        <v>18</v>
      </c>
      <c r="D1644" s="93">
        <v>2.0510000000000002</v>
      </c>
      <c r="E1644" s="94" t="s">
        <v>13</v>
      </c>
      <c r="F1644" s="134"/>
      <c r="G1644" s="94" t="s">
        <v>628</v>
      </c>
      <c r="H1644" s="153"/>
      <c r="I1644" s="288"/>
    </row>
    <row r="1645" spans="1:9" ht="19.5" thickBot="1" x14ac:dyDescent="0.3">
      <c r="A1645" s="459"/>
      <c r="B1645" s="451" t="s">
        <v>626</v>
      </c>
      <c r="C1645" s="150" t="s">
        <v>19</v>
      </c>
      <c r="D1645" s="151">
        <v>5.0209999999999999</v>
      </c>
      <c r="E1645" s="149" t="s">
        <v>13</v>
      </c>
      <c r="F1645" s="287"/>
      <c r="G1645" s="94" t="s">
        <v>628</v>
      </c>
      <c r="H1645" s="450"/>
      <c r="I1645" s="289"/>
    </row>
    <row r="1646" spans="1:9" ht="19.5" thickBot="1" x14ac:dyDescent="0.3">
      <c r="A1646" s="459"/>
      <c r="B1646" s="451" t="s">
        <v>626</v>
      </c>
      <c r="C1646" s="150" t="s">
        <v>116</v>
      </c>
      <c r="D1646" s="151">
        <v>4.6619999999999999</v>
      </c>
      <c r="E1646" s="149" t="s">
        <v>13</v>
      </c>
      <c r="F1646" s="287"/>
      <c r="G1646" s="94" t="s">
        <v>628</v>
      </c>
      <c r="H1646" s="450" t="s">
        <v>416</v>
      </c>
      <c r="I1646" s="289"/>
    </row>
    <row r="1647" spans="1:9" ht="19.5" thickBot="1" x14ac:dyDescent="0.3">
      <c r="A1647" s="459"/>
      <c r="B1647" s="451" t="s">
        <v>626</v>
      </c>
      <c r="C1647" s="150" t="s">
        <v>17</v>
      </c>
      <c r="D1647" s="151">
        <v>2.59</v>
      </c>
      <c r="E1647" s="149" t="s">
        <v>13</v>
      </c>
      <c r="F1647" s="287"/>
      <c r="G1647" s="94" t="s">
        <v>628</v>
      </c>
      <c r="H1647" s="450"/>
      <c r="I1647" s="289"/>
    </row>
    <row r="1648" spans="1:9" ht="19.5" thickBot="1" x14ac:dyDescent="0.3">
      <c r="A1648" s="454">
        <f>MAX(A1585:A1647)+1</f>
        <v>308</v>
      </c>
      <c r="B1648" s="452" t="s">
        <v>629</v>
      </c>
      <c r="C1648" s="453" t="s">
        <v>19</v>
      </c>
      <c r="D1648" s="354">
        <v>0.214</v>
      </c>
      <c r="E1648" s="453" t="s">
        <v>519</v>
      </c>
      <c r="F1648" s="456" t="s">
        <v>533</v>
      </c>
      <c r="G1648" s="452" t="s">
        <v>628</v>
      </c>
      <c r="H1648" s="453"/>
      <c r="I1648" s="453"/>
    </row>
    <row r="1649" spans="1:9" ht="19.5" thickBot="1" x14ac:dyDescent="0.3">
      <c r="A1649" s="455"/>
      <c r="B1649" s="452" t="s">
        <v>629</v>
      </c>
      <c r="C1649" s="453" t="s">
        <v>116</v>
      </c>
      <c r="D1649" s="354">
        <v>0.28000000000000003</v>
      </c>
      <c r="E1649" s="453" t="s">
        <v>519</v>
      </c>
      <c r="F1649" s="457"/>
      <c r="G1649" s="452" t="s">
        <v>628</v>
      </c>
      <c r="H1649" s="453" t="s">
        <v>416</v>
      </c>
      <c r="I1649" s="453"/>
    </row>
    <row r="1650" spans="1:9" ht="19.5" thickBot="1" x14ac:dyDescent="0.3">
      <c r="A1650" s="455"/>
      <c r="B1650" s="452" t="s">
        <v>629</v>
      </c>
      <c r="C1650" s="453" t="s">
        <v>18</v>
      </c>
      <c r="D1650" s="354">
        <v>0.94699999999999995</v>
      </c>
      <c r="E1650" s="453" t="s">
        <v>519</v>
      </c>
      <c r="F1650" s="457"/>
      <c r="G1650" s="452" t="s">
        <v>628</v>
      </c>
      <c r="H1650" s="453"/>
      <c r="I1650" s="453"/>
    </row>
    <row r="1651" spans="1:9" ht="19.5" thickBot="1" x14ac:dyDescent="0.3">
      <c r="A1651" s="455"/>
      <c r="B1651" s="452" t="s">
        <v>629</v>
      </c>
      <c r="C1651" s="453" t="s">
        <v>17</v>
      </c>
      <c r="D1651" s="354">
        <v>0.77</v>
      </c>
      <c r="E1651" s="453" t="s">
        <v>519</v>
      </c>
      <c r="F1651" s="457"/>
      <c r="G1651" s="452" t="s">
        <v>628</v>
      </c>
      <c r="H1651" s="453"/>
      <c r="I1651" s="453"/>
    </row>
    <row r="1652" spans="1:9" ht="19.5" thickBot="1" x14ac:dyDescent="0.3">
      <c r="A1652" s="455"/>
      <c r="B1652" s="452" t="s">
        <v>629</v>
      </c>
      <c r="C1652" s="453" t="s">
        <v>18</v>
      </c>
      <c r="D1652" s="354">
        <v>0.36</v>
      </c>
      <c r="E1652" s="453" t="s">
        <v>45</v>
      </c>
      <c r="F1652" s="457"/>
      <c r="G1652" s="452" t="s">
        <v>628</v>
      </c>
      <c r="H1652" s="453"/>
      <c r="I1652" s="453"/>
    </row>
    <row r="1653" spans="1:9" ht="19.5" thickBot="1" x14ac:dyDescent="0.3">
      <c r="A1653" s="455"/>
      <c r="B1653" s="452" t="s">
        <v>629</v>
      </c>
      <c r="C1653" s="453" t="s">
        <v>621</v>
      </c>
      <c r="D1653" s="407">
        <v>2.7E-2</v>
      </c>
      <c r="E1653" s="453" t="s">
        <v>45</v>
      </c>
      <c r="F1653" s="457"/>
      <c r="G1653" s="452" t="s">
        <v>628</v>
      </c>
      <c r="H1653" s="453" t="s">
        <v>416</v>
      </c>
      <c r="I1653" s="453"/>
    </row>
  </sheetData>
  <autoFilter ref="A2:M1306" xr:uid="{00000000-0009-0000-0000-000000000000}">
    <filterColumn colId="8">
      <filters blank="1"/>
    </filterColumn>
  </autoFilter>
  <mergeCells count="569"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576:A1579"/>
    <mergeCell ref="A1633:A1639"/>
    <mergeCell ref="F1633:F1639"/>
    <mergeCell ref="A1631:A1632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MSI</cp:lastModifiedBy>
  <cp:revision>183</cp:revision>
  <cp:lastPrinted>2026-01-26T07:13:24Z</cp:lastPrinted>
  <dcterms:created xsi:type="dcterms:W3CDTF">2015-06-05T18:19:34Z</dcterms:created>
  <dcterms:modified xsi:type="dcterms:W3CDTF">2026-06-21T15:04:50Z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