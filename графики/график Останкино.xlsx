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19FFCD2B-DBF5-4A1A-8601-390F9A41D6A7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1" sheetId="1" r:id="rId1"/>
  </sheets>
  <definedNames>
    <definedName name="_xlnm._FilterDatabase" localSheetId="0" hidden="1">Лист1!$A$2:$M$1958</definedName>
    <definedName name="_xlnm.Print_Area" localSheetId="0">Лист1!$A$1:$H$1329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910" i="1" l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09" i="1"/>
  <c r="I1892" i="1" l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891" i="1"/>
  <c r="I1870" i="1" l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69" i="1"/>
  <c r="I1855" i="1" l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54" i="1"/>
  <c r="I1839" i="1" l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38" i="1"/>
  <c r="I1823" i="1" l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22" i="1"/>
  <c r="I1804" i="1" l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03" i="1"/>
  <c r="I1785" i="1" l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784" i="1"/>
  <c r="I1773" i="1" l="1"/>
  <c r="I1774" i="1"/>
  <c r="I1775" i="1"/>
  <c r="I1776" i="1"/>
  <c r="I1777" i="1"/>
  <c r="I1778" i="1"/>
  <c r="I1779" i="1"/>
  <c r="I1780" i="1"/>
  <c r="I1781" i="1"/>
  <c r="I1782" i="1"/>
  <c r="I1783" i="1"/>
  <c r="I1772" i="1"/>
  <c r="I1762" i="1"/>
  <c r="I1763" i="1"/>
  <c r="I1764" i="1"/>
  <c r="I1765" i="1"/>
  <c r="I1766" i="1"/>
  <c r="I1767" i="1"/>
  <c r="I1768" i="1"/>
  <c r="I1769" i="1"/>
  <c r="I1770" i="1"/>
  <c r="I1771" i="1"/>
  <c r="I1761" i="1"/>
  <c r="I1749" i="1" l="1"/>
  <c r="I1750" i="1"/>
  <c r="I1751" i="1"/>
  <c r="I1752" i="1"/>
  <c r="I1753" i="1"/>
  <c r="I1754" i="1"/>
  <c r="I1755" i="1"/>
  <c r="I1756" i="1"/>
  <c r="I1757" i="1"/>
  <c r="I1758" i="1"/>
  <c r="I1759" i="1"/>
  <c r="I1760" i="1"/>
  <c r="I1748" i="1"/>
  <c r="I1734" i="1" l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33" i="1"/>
  <c r="I1711" i="1" l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10" i="1"/>
  <c r="I1701" i="1" l="1"/>
  <c r="I1702" i="1"/>
  <c r="I1703" i="1"/>
  <c r="I1704" i="1"/>
  <c r="I1705" i="1"/>
  <c r="I1706" i="1"/>
  <c r="I1707" i="1"/>
  <c r="I1708" i="1"/>
  <c r="I1709" i="1"/>
  <c r="I1700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662" i="1"/>
  <c r="D1726" i="1" l="1"/>
  <c r="D1722" i="1"/>
  <c r="D1724" i="1"/>
  <c r="D1728" i="1"/>
  <c r="I1661" i="1" l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380" i="1" l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282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64" i="1"/>
  <c r="D1298" i="1" l="1"/>
  <c r="D1296" i="1"/>
  <c r="D1297" i="1"/>
  <c r="I1245" i="1" l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44" i="1"/>
  <c r="I1229" i="1" l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28" i="1"/>
  <c r="I1211" i="1" l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10" i="1"/>
  <c r="D1241" i="1" l="1"/>
  <c r="D1238" i="1" l="1"/>
  <c r="D1239" i="1"/>
  <c r="I1190" i="1" l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189" i="1"/>
  <c r="D1220" i="1" l="1"/>
  <c r="I1173" i="1" l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72" i="1"/>
  <c r="I1155" i="1" l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54" i="1"/>
  <c r="I1153" i="1"/>
  <c r="I1135" i="1" l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34" i="1"/>
  <c r="I1118" i="1" l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17" i="1"/>
  <c r="I1101" i="1" l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00" i="1"/>
  <c r="I1084" i="1" l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083" i="1"/>
  <c r="I1068" i="1" l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67" i="1"/>
  <c r="I1056" i="1" l="1"/>
  <c r="I1057" i="1"/>
  <c r="I1058" i="1"/>
  <c r="I1059" i="1"/>
  <c r="I1060" i="1"/>
  <c r="I1061" i="1"/>
  <c r="I1062" i="1"/>
  <c r="I1063" i="1"/>
  <c r="I1064" i="1"/>
  <c r="I1065" i="1"/>
  <c r="I1066" i="1"/>
  <c r="I1055" i="1"/>
  <c r="I1054" i="1"/>
  <c r="I1053" i="1"/>
  <c r="I1052" i="1"/>
  <c r="I1051" i="1"/>
  <c r="I1041" i="1" l="1"/>
  <c r="I1042" i="1"/>
  <c r="I1043" i="1"/>
  <c r="I1044" i="1"/>
  <c r="I1045" i="1"/>
  <c r="I1046" i="1"/>
  <c r="I1047" i="1"/>
  <c r="I1048" i="1"/>
  <c r="I1049" i="1"/>
  <c r="I1050" i="1"/>
  <c r="I1040" i="1"/>
  <c r="I1039" i="1"/>
  <c r="I1038" i="1"/>
  <c r="I1037" i="1"/>
  <c r="I1036" i="1"/>
  <c r="I1035" i="1"/>
  <c r="I1034" i="1"/>
  <c r="I1033" i="1"/>
  <c r="I1025" i="1" l="1"/>
  <c r="I1026" i="1"/>
  <c r="I1027" i="1"/>
  <c r="I1028" i="1"/>
  <c r="I1029" i="1"/>
  <c r="I1030" i="1"/>
  <c r="I1031" i="1"/>
  <c r="I1032" i="1"/>
  <c r="I1024" i="1"/>
  <c r="I1023" i="1"/>
  <c r="I1022" i="1"/>
  <c r="I1021" i="1"/>
  <c r="I1020" i="1"/>
  <c r="I1019" i="1"/>
  <c r="I1018" i="1"/>
  <c r="I1017" i="1"/>
  <c r="I1016" i="1"/>
  <c r="I1015" i="1" l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 l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 l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 l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 l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 l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 l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 l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 l="1"/>
  <c r="I883" i="1"/>
  <c r="I882" i="1"/>
  <c r="I881" i="1"/>
  <c r="I880" i="1"/>
  <c r="I879" i="1"/>
  <c r="I878" i="1"/>
  <c r="I877" i="1"/>
  <c r="I876" i="1"/>
  <c r="I875" i="1"/>
  <c r="I874" i="1"/>
  <c r="I873" i="1"/>
  <c r="I872" i="1" l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 l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 l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 l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 l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 l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 l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 l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 l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D738" i="1" l="1"/>
  <c r="D740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 l="1"/>
  <c r="I696" i="1"/>
  <c r="I695" i="1"/>
  <c r="I694" i="1"/>
  <c r="I693" i="1"/>
  <c r="I692" i="1"/>
  <c r="I691" i="1"/>
  <c r="I690" i="1"/>
  <c r="I689" i="1"/>
  <c r="I688" i="1"/>
  <c r="I687" i="1"/>
  <c r="I686" i="1"/>
  <c r="I685" i="1" l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 l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 l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 l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 l="1"/>
  <c r="I626" i="1"/>
  <c r="I625" i="1"/>
  <c r="I624" i="1"/>
  <c r="I623" i="1"/>
  <c r="I622" i="1"/>
  <c r="I621" i="1"/>
  <c r="I620" i="1"/>
  <c r="I619" i="1"/>
  <c r="I618" i="1"/>
  <c r="I617" i="1"/>
  <c r="I616" i="1"/>
  <c r="I615" i="1" l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 l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 l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 l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 l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 l="1"/>
  <c r="I543" i="1"/>
  <c r="I542" i="1"/>
  <c r="I541" i="1"/>
  <c r="I540" i="1"/>
  <c r="I539" i="1"/>
  <c r="I538" i="1"/>
  <c r="I537" i="1"/>
  <c r="I536" i="1"/>
  <c r="I535" i="1"/>
  <c r="I534" i="1"/>
  <c r="I533" i="1"/>
  <c r="D572" i="1" l="1"/>
  <c r="D570" i="1"/>
  <c r="D569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 l="1"/>
  <c r="I519" i="1"/>
  <c r="I518" i="1"/>
  <c r="I517" i="1"/>
  <c r="I516" i="1"/>
  <c r="I515" i="1"/>
  <c r="I514" i="1"/>
  <c r="I513" i="1"/>
  <c r="I512" i="1"/>
  <c r="I511" i="1"/>
  <c r="I510" i="1"/>
  <c r="I509" i="1" l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 l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 l="1"/>
  <c r="I481" i="1"/>
  <c r="I480" i="1"/>
  <c r="I479" i="1"/>
  <c r="I478" i="1"/>
  <c r="I477" i="1"/>
  <c r="I476" i="1"/>
  <c r="I475" i="1"/>
  <c r="I474" i="1"/>
  <c r="I473" i="1"/>
  <c r="I472" i="1" l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 l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 l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 l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 l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 l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 l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 l="1"/>
  <c r="I339" i="1"/>
  <c r="I338" i="1"/>
  <c r="I337" i="1"/>
  <c r="I336" i="1"/>
  <c r="I335" i="1"/>
  <c r="I334" i="1"/>
  <c r="I333" i="1"/>
  <c r="I332" i="1"/>
  <c r="I331" i="1"/>
  <c r="I330" i="1"/>
  <c r="I329" i="1"/>
  <c r="I328" i="1" l="1"/>
  <c r="I327" i="1"/>
  <c r="I326" i="1"/>
  <c r="I325" i="1"/>
  <c r="I324" i="1"/>
  <c r="I323" i="1"/>
  <c r="I322" i="1"/>
  <c r="I321" i="1"/>
  <c r="I320" i="1"/>
  <c r="D368" i="1" l="1"/>
  <c r="D367" i="1"/>
  <c r="D366" i="1"/>
  <c r="D365" i="1"/>
  <c r="I319" i="1" l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D332" i="1" l="1"/>
  <c r="D331" i="1"/>
  <c r="D330" i="1"/>
  <c r="I281" i="1" l="1"/>
  <c r="I280" i="1"/>
  <c r="I279" i="1"/>
  <c r="I278" i="1"/>
  <c r="I277" i="1"/>
  <c r="I276" i="1"/>
  <c r="I275" i="1"/>
  <c r="I274" i="1"/>
  <c r="I273" i="1"/>
  <c r="I272" i="1" l="1"/>
  <c r="I271" i="1"/>
  <c r="I270" i="1"/>
  <c r="I269" i="1" l="1"/>
  <c r="I268" i="1"/>
  <c r="I267" i="1"/>
  <c r="I266" i="1"/>
  <c r="I265" i="1"/>
  <c r="I264" i="1"/>
  <c r="I263" i="1"/>
  <c r="I262" i="1"/>
  <c r="I261" i="1"/>
  <c r="I260" i="1"/>
  <c r="I259" i="1"/>
  <c r="I258" i="1"/>
  <c r="I257" i="1" l="1"/>
  <c r="I256" i="1"/>
  <c r="I255" i="1"/>
  <c r="I254" i="1"/>
  <c r="I253" i="1"/>
  <c r="I252" i="1"/>
  <c r="I251" i="1"/>
  <c r="I250" i="1"/>
  <c r="I249" i="1"/>
  <c r="I248" i="1"/>
  <c r="I247" i="1"/>
  <c r="I246" i="1" l="1"/>
  <c r="I245" i="1"/>
  <c r="I244" i="1"/>
  <c r="I243" i="1"/>
  <c r="I242" i="1"/>
  <c r="I241" i="1"/>
  <c r="I240" i="1"/>
  <c r="I239" i="1"/>
  <c r="I238" i="1"/>
  <c r="D281" i="1" l="1"/>
  <c r="D280" i="1"/>
  <c r="D279" i="1"/>
  <c r="I216" i="1" l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15" i="1"/>
  <c r="I214" i="1" l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 l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D225" i="1"/>
  <c r="D224" i="1"/>
  <c r="D223" i="1"/>
  <c r="I176" i="1" l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 l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 l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 l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 l="1"/>
  <c r="I111" i="1"/>
  <c r="I110" i="1"/>
  <c r="I109" i="1"/>
  <c r="I108" i="1"/>
  <c r="I107" i="1"/>
  <c r="I106" i="1"/>
  <c r="I105" i="1"/>
  <c r="I104" i="1"/>
  <c r="I103" i="1"/>
  <c r="I102" i="1"/>
  <c r="I101" i="1"/>
  <c r="I100" i="1" l="1"/>
  <c r="I99" i="1"/>
  <c r="I98" i="1"/>
  <c r="I97" i="1"/>
  <c r="I96" i="1"/>
  <c r="I95" i="1"/>
  <c r="I94" i="1"/>
  <c r="I93" i="1"/>
  <c r="I92" i="1"/>
  <c r="I91" i="1"/>
  <c r="I90" i="1"/>
  <c r="I89" i="1" l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 l="1"/>
  <c r="I67" i="1"/>
  <c r="I66" i="1"/>
  <c r="I65" i="1"/>
  <c r="I64" i="1"/>
  <c r="I63" i="1"/>
  <c r="I62" i="1"/>
  <c r="I61" i="1"/>
  <c r="I60" i="1"/>
  <c r="I59" i="1"/>
  <c r="I58" i="1"/>
  <c r="I57" i="1"/>
  <c r="I56" i="1" l="1"/>
  <c r="I55" i="1"/>
  <c r="I54" i="1"/>
  <c r="I53" i="1"/>
  <c r="I52" i="1"/>
  <c r="I51" i="1"/>
  <c r="I50" i="1"/>
  <c r="I49" i="1"/>
  <c r="I48" i="1"/>
  <c r="I47" i="1"/>
  <c r="I46" i="1"/>
  <c r="I45" i="1"/>
  <c r="I44" i="1"/>
  <c r="A57" i="1" l="1"/>
  <c r="A59" i="1" s="1"/>
  <c r="A62" i="1" s="1"/>
  <c r="A63" i="1" s="1"/>
  <c r="A69" i="1" s="1"/>
  <c r="A71" i="1" s="1"/>
  <c r="A73" i="1" s="1"/>
  <c r="A81" i="1" s="1"/>
  <c r="A85" i="1" s="1"/>
  <c r="A90" i="1" s="1"/>
  <c r="A94" i="1" s="1"/>
  <c r="A101" i="1" s="1"/>
  <c r="A105" i="1" s="1"/>
  <c r="A113" i="1" s="1"/>
  <c r="A117" i="1" s="1"/>
  <c r="A122" i="1" s="1"/>
  <c r="A125" i="1" s="1"/>
  <c r="A127" i="1" s="1"/>
  <c r="A130" i="1" s="1"/>
  <c r="A134" i="1" s="1"/>
  <c r="A140" i="1" s="1"/>
  <c r="A143" i="1" s="1"/>
  <c r="A150" i="1" s="1"/>
  <c r="A154" i="1" s="1"/>
  <c r="A163" i="1" s="1"/>
  <c r="A167" i="1" s="1"/>
  <c r="A172" i="1" s="1"/>
  <c r="A177" i="1" s="1"/>
  <c r="A180" i="1" s="1"/>
  <c r="A183" i="1" s="1"/>
  <c r="A187" i="1" s="1"/>
  <c r="A196" i="1" s="1"/>
  <c r="A200" i="1" s="1"/>
  <c r="A203" i="1" s="1"/>
  <c r="A208" i="1" s="1"/>
  <c r="A211" i="1" s="1"/>
  <c r="A215" i="1" s="1"/>
  <c r="A218" i="1" s="1"/>
  <c r="A220" i="1" s="1"/>
  <c r="A226" i="1" s="1"/>
  <c r="A230" i="1" s="1"/>
  <c r="A238" i="1" s="1"/>
  <c r="A241" i="1" s="1"/>
  <c r="A247" i="1" s="1"/>
  <c r="A250" i="1" s="1"/>
  <c r="A253" i="1" s="1"/>
  <c r="A258" i="1" s="1"/>
  <c r="A261" i="1" s="1"/>
  <c r="A270" i="1" s="1"/>
  <c r="A273" i="1" s="1"/>
  <c r="A282" i="1" s="1"/>
  <c r="A284" i="1" s="1"/>
  <c r="A287" i="1" s="1"/>
  <c r="A292" i="1" s="1"/>
  <c r="A295" i="1" s="1"/>
  <c r="A303" i="1" s="1"/>
  <c r="A305" i="1" s="1"/>
  <c r="A307" i="1" s="1"/>
  <c r="A310" i="1" s="1"/>
  <c r="A313" i="1" s="1"/>
  <c r="A320" i="1" s="1"/>
  <c r="A323" i="1" s="1"/>
  <c r="A326" i="1" s="1"/>
  <c r="A329" i="1" s="1"/>
  <c r="A335" i="1" s="1"/>
  <c r="A338" i="1" s="1"/>
  <c r="A341" i="1" s="1"/>
  <c r="A347" i="1" s="1"/>
  <c r="A351" i="1" s="1"/>
  <c r="A358" i="1" s="1"/>
  <c r="A362" i="1" s="1"/>
  <c r="A372" i="1" s="1"/>
  <c r="A375" i="1" s="1"/>
  <c r="A385" i="1" s="1"/>
  <c r="A389" i="1" s="1"/>
  <c r="A393" i="1" s="1"/>
  <c r="A402" i="1" s="1"/>
  <c r="A406" i="1" s="1"/>
  <c r="A416" i="1" s="1"/>
  <c r="A419" i="1" s="1"/>
  <c r="A429" i="1" s="1"/>
  <c r="A433" i="1" s="1"/>
  <c r="A442" i="1" s="1"/>
  <c r="A445" i="1" s="1"/>
  <c r="A456" i="1" s="1"/>
  <c r="A466" i="1" s="1"/>
  <c r="A469" i="1" s="1"/>
  <c r="A473" i="1" s="1"/>
  <c r="A477" i="1" s="1"/>
  <c r="A483" i="1" s="1"/>
  <c r="A486" i="1" s="1"/>
  <c r="A490" i="1" s="1"/>
  <c r="A496" i="1" s="1"/>
  <c r="A499" i="1" s="1"/>
  <c r="A503" i="1" s="1"/>
  <c r="A510" i="1" s="1"/>
  <c r="A514" i="1" s="1"/>
  <c r="A521" i="1" s="1"/>
  <c r="A525" i="1" s="1"/>
  <c r="A533" i="1" s="1"/>
  <c r="A537" i="1" s="1"/>
  <c r="A545" i="1" s="1"/>
  <c r="A547" i="1" s="1"/>
  <c r="A550" i="1" s="1"/>
  <c r="A562" i="1" s="1"/>
  <c r="A565" i="1" s="1"/>
  <c r="A575" i="1" s="1"/>
  <c r="A579" i="1" s="1"/>
  <c r="A590" i="1" s="1"/>
  <c r="A593" i="1" s="1"/>
  <c r="A603" i="1" s="1"/>
  <c r="A608" i="1" s="1"/>
  <c r="A612" i="1" s="1"/>
  <c r="A616" i="1" l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A621" i="1" l="1"/>
  <c r="A628" i="1" s="1"/>
  <c r="I29" i="1"/>
  <c r="I28" i="1"/>
  <c r="I27" i="1"/>
  <c r="I26" i="1"/>
  <c r="I25" i="1"/>
  <c r="I24" i="1"/>
  <c r="I23" i="1"/>
  <c r="I22" i="1"/>
  <c r="I21" i="1"/>
  <c r="I20" i="1"/>
  <c r="I19" i="1"/>
  <c r="A632" i="1" l="1"/>
  <c r="A641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3" i="1" l="1"/>
  <c r="A646" i="1" l="1"/>
  <c r="A650" i="1" l="1"/>
  <c r="A656" i="1" l="1"/>
  <c r="A660" i="1" l="1"/>
  <c r="A665" i="1" l="1"/>
  <c r="A673" i="1" s="1"/>
  <c r="A678" i="1" l="1"/>
  <c r="A686" i="1" l="1"/>
  <c r="A690" i="1" l="1"/>
  <c r="A691" i="1" l="1"/>
  <c r="A695" i="1" l="1"/>
  <c r="A698" i="1" s="1"/>
  <c r="A702" i="1" l="1"/>
  <c r="A707" i="1" l="1"/>
  <c r="A713" i="1" s="1"/>
  <c r="A717" i="1" s="1"/>
  <c r="A721" i="1" l="1"/>
  <c r="A730" i="1" l="1"/>
  <c r="A734" i="1" s="1"/>
  <c r="A738" i="1" l="1"/>
  <c r="A743" i="1" l="1"/>
  <c r="A747" i="1" l="1"/>
  <c r="A752" i="1" l="1"/>
  <c r="A756" i="1" l="1"/>
  <c r="A775" i="1" l="1"/>
  <c r="A779" i="1" l="1"/>
  <c r="A782" i="1" l="1"/>
  <c r="A790" i="1" l="1"/>
  <c r="A791" i="1" l="1"/>
  <c r="A796" i="1" s="1"/>
  <c r="A801" i="1" l="1"/>
  <c r="A807" i="1" s="1"/>
  <c r="A810" i="1" l="1"/>
  <c r="A814" i="1" l="1"/>
  <c r="A826" i="1" s="1"/>
  <c r="A831" i="1" l="1"/>
  <c r="A842" i="1" l="1"/>
  <c r="A847" i="1" s="1"/>
  <c r="A855" i="1" s="1"/>
  <c r="A858" i="1" l="1"/>
  <c r="A861" i="1" s="1"/>
  <c r="A873" i="1" l="1"/>
  <c r="A878" i="1" l="1"/>
  <c r="A885" i="1" s="1"/>
  <c r="A890" i="1" l="1"/>
  <c r="A901" i="1" l="1"/>
  <c r="A904" i="1" s="1"/>
  <c r="A906" i="1" l="1"/>
  <c r="A917" i="1" l="1"/>
  <c r="A920" i="1" l="1"/>
  <c r="A923" i="1" l="1"/>
  <c r="A931" i="1" l="1"/>
  <c r="A937" i="1" l="1"/>
  <c r="A942" i="1" s="1"/>
  <c r="A948" i="1" l="1"/>
  <c r="A953" i="1" l="1"/>
  <c r="A965" i="1" l="1"/>
  <c r="A970" i="1" l="1"/>
  <c r="A981" i="1" l="1"/>
  <c r="A986" i="1" s="1"/>
  <c r="A991" i="1" l="1"/>
  <c r="A999" i="1" s="1"/>
  <c r="A1004" i="1" l="1"/>
  <c r="A1009" i="1" l="1"/>
  <c r="A1016" i="1" s="1"/>
  <c r="A1021" i="1" l="1"/>
  <c r="A1026" i="1" s="1"/>
  <c r="A1043" i="1" l="1"/>
  <c r="A1051" i="1" l="1"/>
  <c r="A1056" i="1" l="1"/>
  <c r="A1060" i="1" s="1"/>
  <c r="A1067" i="1" l="1"/>
  <c r="A1072" i="1" s="1"/>
  <c r="A1077" i="1" l="1"/>
  <c r="A1083" i="1" l="1"/>
  <c r="A1088" i="1" l="1"/>
  <c r="A1093" i="1" s="1"/>
  <c r="A1100" i="1" l="1"/>
  <c r="A1106" i="1" l="1"/>
  <c r="A1111" i="1" s="1"/>
  <c r="A1117" i="1" l="1"/>
  <c r="A1122" i="1" l="1"/>
  <c r="A1127" i="1" l="1"/>
  <c r="A1134" i="1" l="1"/>
  <c r="A1140" i="1" s="1"/>
  <c r="A1145" i="1" l="1"/>
  <c r="A1153" i="1" l="1"/>
  <c r="A1159" i="1" s="1"/>
  <c r="A1164" i="1" l="1"/>
  <c r="A1172" i="1" l="1"/>
  <c r="A1177" i="1" s="1"/>
  <c r="A1182" i="1" s="1"/>
  <c r="A1189" i="1" l="1"/>
  <c r="A1195" i="1" l="1"/>
  <c r="A1200" i="1" l="1"/>
  <c r="A1210" i="1" l="1"/>
  <c r="A1215" i="1" l="1"/>
  <c r="A1220" i="1" l="1"/>
  <c r="A1228" i="1" l="1"/>
  <c r="A1233" i="1" l="1"/>
  <c r="A1238" i="1" s="1"/>
  <c r="A1244" i="1" l="1"/>
  <c r="A1250" i="1" l="1"/>
  <c r="A1256" i="1" l="1"/>
  <c r="A1264" i="1" s="1"/>
  <c r="A1270" i="1" l="1"/>
  <c r="A1275" i="1" l="1"/>
  <c r="A1282" i="1" s="1"/>
  <c r="A1288" i="1" l="1"/>
  <c r="A1292" i="1" l="1"/>
  <c r="A1299" i="1" s="1"/>
  <c r="A1306" i="1" l="1"/>
  <c r="A1310" i="1" l="1"/>
  <c r="A1318" i="1" l="1"/>
  <c r="A1324" i="1" l="1"/>
  <c r="A1330" i="1" l="1"/>
  <c r="A1334" i="1" l="1"/>
  <c r="A1342" i="1" l="1"/>
  <c r="A1349" i="1" l="1"/>
  <c r="A1354" i="1" s="1"/>
  <c r="A1364" i="1" l="1"/>
  <c r="A1371" i="1" l="1"/>
  <c r="A1376" i="1" l="1"/>
  <c r="A1381" i="1" l="1"/>
  <c r="A1386" i="1" l="1"/>
  <c r="A1391" i="1" l="1"/>
  <c r="A1398" i="1" l="1"/>
  <c r="A1403" i="1" s="1"/>
  <c r="A1409" i="1" l="1"/>
  <c r="A1415" i="1" l="1"/>
  <c r="A1421" i="1" s="1"/>
  <c r="A1428" i="1" s="1"/>
  <c r="A1435" i="1" l="1"/>
  <c r="A1440" i="1" l="1"/>
  <c r="A1446" i="1" l="1"/>
  <c r="A1450" i="1" s="1"/>
  <c r="A1455" i="1" l="1"/>
  <c r="A1460" i="1" s="1"/>
  <c r="A1467" i="1" s="1"/>
  <c r="A1479" i="1" s="1"/>
  <c r="A1474" i="1" l="1"/>
  <c r="A1484" i="1" l="1"/>
  <c r="A1490" i="1" s="1"/>
  <c r="A1494" i="1" l="1"/>
  <c r="A1499" i="1" s="1"/>
  <c r="A1502" i="1" s="1"/>
  <c r="A1509" i="1" s="1"/>
  <c r="A1519" i="1" l="1"/>
  <c r="A1514" i="1"/>
  <c r="A1524" i="1" s="1"/>
  <c r="A1531" i="1" l="1"/>
  <c r="A1535" i="1" l="1"/>
  <c r="A1542" i="1" l="1"/>
  <c r="A1548" i="1" s="1"/>
  <c r="A1552" i="1" l="1"/>
  <c r="A1559" i="1" l="1"/>
  <c r="A1564" i="1" s="1"/>
  <c r="A1568" i="1" l="1"/>
  <c r="A1576" i="1" l="1"/>
  <c r="A1580" i="1" l="1"/>
  <c r="A1584" i="1" l="1"/>
  <c r="A1590" i="1" l="1"/>
  <c r="A1594" i="1" l="1"/>
  <c r="A1599" i="1" l="1"/>
  <c r="A1605" i="1" l="1"/>
  <c r="A1609" i="1" l="1"/>
  <c r="A1611" i="1" s="1"/>
  <c r="A1614" i="1" l="1"/>
  <c r="A1622" i="1" l="1"/>
  <c r="A1627" i="1" l="1"/>
  <c r="A1631" i="1" l="1"/>
  <c r="A1633" i="1" l="1"/>
  <c r="A1640" i="1" s="1"/>
  <c r="A1644" i="1" l="1"/>
  <c r="A1648" i="1" l="1"/>
  <c r="A1654" i="1" l="1"/>
  <c r="A1656" i="1" l="1"/>
  <c r="A1659" i="1" s="1"/>
  <c r="A1662" i="1" s="1"/>
  <c r="A1666" i="1" l="1"/>
  <c r="A1670" i="1" l="1"/>
  <c r="A1672" i="1" l="1"/>
  <c r="A1674" i="1" l="1"/>
  <c r="A1676" i="1" l="1"/>
  <c r="A1679" i="1" s="1"/>
  <c r="A1683" i="1" l="1"/>
  <c r="A1687" i="1" s="1"/>
  <c r="A1688" i="1" s="1"/>
  <c r="A1690" i="1" s="1"/>
  <c r="A1691" i="1" l="1"/>
  <c r="A1692" i="1" s="1"/>
  <c r="A1693" i="1" s="1"/>
  <c r="A1695" i="1" s="1"/>
  <c r="A1696" i="1" s="1"/>
  <c r="A1700" i="1" s="1"/>
  <c r="A1702" i="1" l="1"/>
  <c r="A1703" i="1" s="1"/>
  <c r="A1704" i="1" s="1"/>
  <c r="A1707" i="1" l="1"/>
  <c r="A1710" i="1" s="1"/>
  <c r="A1714" i="1" s="1"/>
  <c r="A1716" i="1" l="1"/>
  <c r="A1718" i="1" s="1"/>
  <c r="A1719" i="1" l="1"/>
  <c r="A1720" i="1" s="1"/>
  <c r="A1722" i="1" l="1"/>
  <c r="A1724" i="1" s="1"/>
  <c r="A1728" i="1" s="1"/>
  <c r="A1730" i="1" s="1"/>
  <c r="A1731" i="1" s="1"/>
  <c r="A1732" i="1" s="1"/>
  <c r="A1733" i="1" l="1"/>
  <c r="A1735" i="1" l="1"/>
  <c r="A1739" i="1" s="1"/>
  <c r="A1741" i="1" l="1"/>
  <c r="A1743" i="1" l="1"/>
  <c r="A1744" i="1" s="1"/>
  <c r="A1746" i="1" s="1"/>
  <c r="A1747" i="1" s="1"/>
  <c r="A1748" i="1" s="1"/>
  <c r="A1749" i="1" l="1"/>
  <c r="A1753" i="1" l="1"/>
  <c r="A1755" i="1" s="1"/>
  <c r="A1757" i="1" s="1"/>
  <c r="A1759" i="1" s="1"/>
  <c r="A1760" i="1" l="1"/>
  <c r="A1761" i="1" s="1"/>
  <c r="A1765" i="1" l="1"/>
  <c r="A1768" i="1" l="1"/>
  <c r="A1769" i="1" l="1"/>
  <c r="A1771" i="1" s="1"/>
  <c r="A1772" i="1" s="1"/>
  <c r="A1775" i="1" l="1"/>
  <c r="A1779" i="1" l="1"/>
  <c r="A1780" i="1" s="1"/>
  <c r="A1782" i="1" s="1"/>
  <c r="A1784" i="1" s="1"/>
  <c r="A1786" i="1" l="1"/>
  <c r="A1787" i="1" s="1"/>
  <c r="A1790" i="1" l="1"/>
  <c r="A1794" i="1" l="1"/>
  <c r="A1796" i="1" s="1"/>
  <c r="A1799" i="1" l="1"/>
  <c r="A1801" i="1" l="1"/>
  <c r="A1802" i="1" l="1"/>
  <c r="A1803" i="1" s="1"/>
  <c r="A1807" i="1" l="1"/>
  <c r="A1811" i="1" l="1"/>
  <c r="A1813" i="1" l="1"/>
  <c r="A1817" i="1" l="1"/>
  <c r="A1819" i="1" l="1"/>
  <c r="A1820" i="1" l="1"/>
  <c r="A1822" i="1" l="1"/>
  <c r="A1825" i="1" s="1"/>
  <c r="A1830" i="1" l="1"/>
  <c r="A1831" i="1" s="1"/>
  <c r="A1833" i="1" l="1"/>
  <c r="A1835" i="1" l="1"/>
  <c r="A1837" i="1" l="1"/>
  <c r="A1838" i="1" s="1"/>
  <c r="A1842" i="1" s="1"/>
  <c r="A1846" i="1" l="1"/>
  <c r="A1848" i="1" s="1"/>
  <c r="A1849" i="1" s="1"/>
  <c r="A1852" i="1" l="1"/>
  <c r="A1853" i="1" l="1"/>
  <c r="A1854" i="1" l="1"/>
  <c r="A1856" i="1"/>
  <c r="A1860" i="1" l="1"/>
  <c r="A1862" i="1" l="1"/>
  <c r="A1864" i="1"/>
  <c r="A1867" i="1" s="1"/>
  <c r="A1868" i="1" s="1"/>
  <c r="A1869" i="1" l="1"/>
  <c r="A1873" i="1" l="1"/>
  <c r="A1877" i="1"/>
  <c r="A1879" i="1" s="1"/>
  <c r="A1885" i="1" l="1"/>
  <c r="A1887" i="1" l="1"/>
  <c r="A1890" i="1" l="1"/>
  <c r="A1891" i="1" s="1"/>
  <c r="A1894" i="1"/>
  <c r="A1898" i="1" l="1"/>
  <c r="A1901" i="1" l="1"/>
  <c r="A1904" i="1" l="1"/>
  <c r="A1909" i="1" l="1"/>
  <c r="A1913" i="1" s="1"/>
  <c r="A1919" i="1" s="1"/>
  <c r="A1922" i="1" l="1"/>
  <c r="A1925" i="1" l="1"/>
  <c r="A1928" i="1" l="1"/>
  <c r="A1929" i="1" s="1"/>
  <c r="A1930" i="1" s="1"/>
  <c r="A1933" i="1" s="1"/>
  <c r="A1938" i="1" l="1"/>
  <c r="A1941" i="1" l="1"/>
  <c r="A1945" i="1" l="1"/>
  <c r="A1949" i="1" s="1"/>
  <c r="A1950" i="1" l="1"/>
  <c r="A1951" i="1" s="1"/>
  <c r="A1952" i="1" s="1"/>
  <c r="A1953" i="1" l="1"/>
  <c r="A1954" i="1" s="1"/>
  <c r="A1955" i="1" s="1"/>
  <c r="A1956" i="1" s="1"/>
  <c r="A1957" i="1" s="1"/>
  <c r="A1958" i="1" s="1"/>
</calcChain>
</file>

<file path=xl/sharedStrings.xml><?xml version="1.0" encoding="utf-8"?>
<sst xmlns="http://schemas.openxmlformats.org/spreadsheetml/2006/main" count="8427" uniqueCount="792">
  <si>
    <t>№ п/п</t>
  </si>
  <si>
    <t>дата заявки</t>
  </si>
  <si>
    <t>Заявка (для кого)</t>
  </si>
  <si>
    <t>вес в заказе (тонн)</t>
  </si>
  <si>
    <t>КИ / СЫР / масло</t>
  </si>
  <si>
    <t>комментарии</t>
  </si>
  <si>
    <t>дата отгрузки с завода (план)</t>
  </si>
  <si>
    <t>скрыть</t>
  </si>
  <si>
    <t>фирма получатель</t>
  </si>
  <si>
    <t>вес (нетто 2)</t>
  </si>
  <si>
    <t>время погрузки</t>
  </si>
  <si>
    <t>12,02,24</t>
  </si>
  <si>
    <t>Сочи</t>
  </si>
  <si>
    <t>КИ</t>
  </si>
  <si>
    <t>17,02,24</t>
  </si>
  <si>
    <t>своя доставка до филиала</t>
  </si>
  <si>
    <t>14,02,24</t>
  </si>
  <si>
    <t>Мелитополь</t>
  </si>
  <si>
    <t>Бердянск</t>
  </si>
  <si>
    <t>Донецк</t>
  </si>
  <si>
    <t>Патяка</t>
  </si>
  <si>
    <t>19,02,24</t>
  </si>
  <si>
    <t>24,02,24</t>
  </si>
  <si>
    <t>25,02,24</t>
  </si>
  <si>
    <t>26,02,24</t>
  </si>
  <si>
    <t>02,03,24</t>
  </si>
  <si>
    <t>28,02,24</t>
  </si>
  <si>
    <t>01,03,24</t>
  </si>
  <si>
    <t>06,03,24</t>
  </si>
  <si>
    <t>05,03,24</t>
  </si>
  <si>
    <t>09,03,24</t>
  </si>
  <si>
    <t>13,03,24</t>
  </si>
  <si>
    <t>16,03,24</t>
  </si>
  <si>
    <t>должны уместить на 13 паллет</t>
  </si>
  <si>
    <t>Сыр</t>
  </si>
  <si>
    <t>должны уместить на 20 паллет</t>
  </si>
  <si>
    <t>16-17,03,24</t>
  </si>
  <si>
    <t>20,03,24</t>
  </si>
  <si>
    <t>20-ка</t>
  </si>
  <si>
    <t>23,03,24</t>
  </si>
  <si>
    <t>10-ка</t>
  </si>
  <si>
    <t>25,03,24</t>
  </si>
  <si>
    <t>26,03,24</t>
  </si>
  <si>
    <t>догрузка 2-х поддонов для Павловского от Кадыко</t>
  </si>
  <si>
    <t>31,03,24</t>
  </si>
  <si>
    <t>Масло</t>
  </si>
  <si>
    <t>27,03,24</t>
  </si>
  <si>
    <t>30,03,24</t>
  </si>
  <si>
    <t>10-ти тонник (КИ должны загрузить на 10 паллет)</t>
  </si>
  <si>
    <t>01,04,24</t>
  </si>
  <si>
    <t>догружаем Мясной выбор и СЫР</t>
  </si>
  <si>
    <t>03,04,24</t>
  </si>
  <si>
    <t>06,04,24</t>
  </si>
  <si>
    <t>комментарии 2</t>
  </si>
  <si>
    <t>Останкино</t>
  </si>
  <si>
    <t>10,04,24</t>
  </si>
  <si>
    <t>13,04,24</t>
  </si>
  <si>
    <t>15,04,24</t>
  </si>
  <si>
    <t>должны разместить на 19 паллетах</t>
  </si>
  <si>
    <t>ТОЛЬКО Бердянск и Мелитополь</t>
  </si>
  <si>
    <t>догружаем 16,04,24 масло (10 паллет / 3240кг) и сыр (3 паллета / ~1800кг)</t>
  </si>
  <si>
    <t>17,04,24</t>
  </si>
  <si>
    <t>20,04,24</t>
  </si>
  <si>
    <t>10-ти тонник</t>
  </si>
  <si>
    <t>23,04,24</t>
  </si>
  <si>
    <t>10 паллет</t>
  </si>
  <si>
    <t>24,04,24</t>
  </si>
  <si>
    <t>27,04,24</t>
  </si>
  <si>
    <t>13 паллет</t>
  </si>
  <si>
    <t>29,04,24</t>
  </si>
  <si>
    <t>30,04,24</t>
  </si>
  <si>
    <t>04,05,24</t>
  </si>
  <si>
    <t>16 паллет</t>
  </si>
  <si>
    <t>05,05,24</t>
  </si>
  <si>
    <t>11,05,24</t>
  </si>
  <si>
    <t>07,05,24</t>
  </si>
  <si>
    <t>21 паллет</t>
  </si>
  <si>
    <t>08,05,24</t>
  </si>
  <si>
    <t>12,05,24</t>
  </si>
  <si>
    <t>10,05,24</t>
  </si>
  <si>
    <t>15,05,24</t>
  </si>
  <si>
    <t>18,05,24</t>
  </si>
  <si>
    <t>24 паллет</t>
  </si>
  <si>
    <t>19,05,24</t>
  </si>
  <si>
    <t>4 паллета</t>
  </si>
  <si>
    <t>Догружаем Мясной выбор для Пыжика и Мелитополя (4 паллета)</t>
  </si>
  <si>
    <t>22,05,24</t>
  </si>
  <si>
    <t>25,05,24</t>
  </si>
  <si>
    <t>26,05,24</t>
  </si>
  <si>
    <t>23 паллета</t>
  </si>
  <si>
    <t>29,05,24</t>
  </si>
  <si>
    <t>01,06,24</t>
  </si>
  <si>
    <t>03,06,24</t>
  </si>
  <si>
    <t>05,06,24</t>
  </si>
  <si>
    <t>26 паллет</t>
  </si>
  <si>
    <t>11,06,24</t>
  </si>
  <si>
    <t>08,06,24</t>
  </si>
  <si>
    <t>09,06,24</t>
  </si>
  <si>
    <t>15,06,24</t>
  </si>
  <si>
    <t>12,06,24</t>
  </si>
  <si>
    <t>16,06,24</t>
  </si>
  <si>
    <t>17,06,24</t>
  </si>
  <si>
    <t>6 паллет</t>
  </si>
  <si>
    <t>забираем 2 паллета с прошлой погрузки</t>
  </si>
  <si>
    <t>19,06,24</t>
  </si>
  <si>
    <t>22,06,24</t>
  </si>
  <si>
    <t>23,06,24</t>
  </si>
  <si>
    <t>8 паллет</t>
  </si>
  <si>
    <t>15 паллет</t>
  </si>
  <si>
    <t>9 паллет (7 нов.заказ и 2 с прошлого)</t>
  </si>
  <si>
    <t>26,06,24</t>
  </si>
  <si>
    <t>29,06,24</t>
  </si>
  <si>
    <t>30,06,24</t>
  </si>
  <si>
    <t>18 паллет</t>
  </si>
  <si>
    <t>14 паллет (10 паллет сыры + 4 паллета Юнитекс)</t>
  </si>
  <si>
    <t>03,07,24</t>
  </si>
  <si>
    <t>Луганск</t>
  </si>
  <si>
    <t>06,07,24</t>
  </si>
  <si>
    <t>08,07,24</t>
  </si>
  <si>
    <t>04,07,24</t>
  </si>
  <si>
    <t>14 паллет. Дозагруз в машину с ПОКОМом.</t>
  </si>
  <si>
    <t>10,07,24</t>
  </si>
  <si>
    <t>13,07,24</t>
  </si>
  <si>
    <t>14,07,24</t>
  </si>
  <si>
    <t>19 паллет</t>
  </si>
  <si>
    <t>13 паллет (6 паллет сыра + 7 паллет масла)</t>
  </si>
  <si>
    <t>17,07,24</t>
  </si>
  <si>
    <t>20,07,24</t>
  </si>
  <si>
    <t>21,07,24</t>
  </si>
  <si>
    <t>22 паллета</t>
  </si>
  <si>
    <t>7 паллет</t>
  </si>
  <si>
    <t>+ 2-3 паллета от Мясного Выбора для филиалов</t>
  </si>
  <si>
    <t>23,07,24</t>
  </si>
  <si>
    <t>24,07,24</t>
  </si>
  <si>
    <t>27,07,24</t>
  </si>
  <si>
    <t>9 паллет</t>
  </si>
  <si>
    <t>9 паллет (5 паллет - сыры; 4 паллета - Мясной Выбор</t>
  </si>
  <si>
    <t>29,07,24</t>
  </si>
  <si>
    <t>31,07,24</t>
  </si>
  <si>
    <t>03,08,24</t>
  </si>
  <si>
    <t>05,08,24</t>
  </si>
  <si>
    <t>11 паллет</t>
  </si>
  <si>
    <t>3 паллета</t>
  </si>
  <si>
    <t>10-ти тонник (4 паллета для чая)</t>
  </si>
  <si>
    <t>07,08,24</t>
  </si>
  <si>
    <t>10,08,24</t>
  </si>
  <si>
    <t>11,08,24</t>
  </si>
  <si>
    <t>13паллет (5 паллет Мясной Выбор + 8 паллет сыр с маслом)</t>
  </si>
  <si>
    <t>14,08,24</t>
  </si>
  <si>
    <t>17,08,24</t>
  </si>
  <si>
    <t>18,08,24</t>
  </si>
  <si>
    <t>14 паллет</t>
  </si>
  <si>
    <t>18 паллет (2 паллета - Мясной Выбор; 13 паллет - сыры и 3 паллета остаток)</t>
  </si>
  <si>
    <t>19,08,24</t>
  </si>
  <si>
    <t>21,08,24</t>
  </si>
  <si>
    <t>24,08,24</t>
  </si>
  <si>
    <t>25,08,24</t>
  </si>
  <si>
    <t>7 паллет завод должен оставить под ДОБРОЦЕН</t>
  </si>
  <si>
    <t>26,08,24</t>
  </si>
  <si>
    <t>24 паллета</t>
  </si>
  <si>
    <t>8 паллет (4 паллета - масло; 4 паллета - Мясной Выбор</t>
  </si>
  <si>
    <t>28,08,24</t>
  </si>
  <si>
    <t>31,08,24</t>
  </si>
  <si>
    <t>02,09,24</t>
  </si>
  <si>
    <t>5 паллет</t>
  </si>
  <si>
    <t>12 паллет (9 паллет - новый заказ; 3 палета - довоз)</t>
  </si>
  <si>
    <t>04,09,24</t>
  </si>
  <si>
    <t>07,09,24</t>
  </si>
  <si>
    <t>12 паллет</t>
  </si>
  <si>
    <t>17 паллет</t>
  </si>
  <si>
    <t>09,09,24</t>
  </si>
  <si>
    <t>11,09,24</t>
  </si>
  <si>
    <t>14,09,24</t>
  </si>
  <si>
    <t>16,09,24</t>
  </si>
  <si>
    <t>29 паллет (26 паллет - сыр; 3 паллета - Мясной Выбор</t>
  </si>
  <si>
    <t>18,09,24</t>
  </si>
  <si>
    <t>21,09,24</t>
  </si>
  <si>
    <t>23,09,24</t>
  </si>
  <si>
    <t>2 паллета</t>
  </si>
  <si>
    <t>12-13 паллет</t>
  </si>
  <si>
    <t>25,09,24</t>
  </si>
  <si>
    <t>28,09,24</t>
  </si>
  <si>
    <t>оставлено место для Доброцен (1,5т)</t>
  </si>
  <si>
    <t>30,09,24</t>
  </si>
  <si>
    <t>02,10,24</t>
  </si>
  <si>
    <t>оставлено место для Доброцен (1,7т)</t>
  </si>
  <si>
    <t>Гермес</t>
  </si>
  <si>
    <t>05,10,24</t>
  </si>
  <si>
    <t>18 паллет (2 паллета - Мясной Выбор; 16 паллет - сыры)</t>
  </si>
  <si>
    <t>08,10,24</t>
  </si>
  <si>
    <t>09,10,24</t>
  </si>
  <si>
    <t>12,10,24</t>
  </si>
  <si>
    <t>оставлено место для Доброцен (1,8т)</t>
  </si>
  <si>
    <t>оставлено место для Доброцен (1,9т)</t>
  </si>
  <si>
    <t>16,10,24</t>
  </si>
  <si>
    <t>19,10,24</t>
  </si>
  <si>
    <t>21,10,24</t>
  </si>
  <si>
    <t>28 паллет (КИ Ост), оставлено место для Мясного Выбора (4 паллета / 1700кг; ПЫЖИК и филиалы)</t>
  </si>
  <si>
    <t>22,10,24</t>
  </si>
  <si>
    <t>23,10,24</t>
  </si>
  <si>
    <t>26,10,24</t>
  </si>
  <si>
    <t>оставлено место для Доброцен (2т)</t>
  </si>
  <si>
    <t>4 паллета (3 - сыр; 1 - Мясной Выбор)</t>
  </si>
  <si>
    <t>30,01,24</t>
  </si>
  <si>
    <t>02,11,24</t>
  </si>
  <si>
    <t>28,10,24</t>
  </si>
  <si>
    <t>05,11,24</t>
  </si>
  <si>
    <t>06,11,24</t>
  </si>
  <si>
    <t>09,11,24</t>
  </si>
  <si>
    <t>оставлено место для Доброцен (2,8т)</t>
  </si>
  <si>
    <t>11,11,24</t>
  </si>
  <si>
    <t>19 паллет (3 паллета - Мясной Выбор; 16 паллет - сыр и масло)</t>
  </si>
  <si>
    <t>13,11,24</t>
  </si>
  <si>
    <t>16,11,24</t>
  </si>
  <si>
    <t>оставлено место для Доброцен (1,3т)</t>
  </si>
  <si>
    <t>18,11,24</t>
  </si>
  <si>
    <t>17 паллет (13 паллет сыр + масло; 4 паллета Мясной Выбор)</t>
  </si>
  <si>
    <t>20,11,24</t>
  </si>
  <si>
    <t>23,11,24</t>
  </si>
  <si>
    <t>оставлено место для Доброцен (3,2т)</t>
  </si>
  <si>
    <t>25,11,24</t>
  </si>
  <si>
    <t>11 паллет (7 паллет сыр + масло; 4 паллета Мясно Выбор)</t>
  </si>
  <si>
    <t>дублируем заказ</t>
  </si>
  <si>
    <t>27,11,24</t>
  </si>
  <si>
    <t>30,11,24</t>
  </si>
  <si>
    <t>оставлено место для Доброцен (2,9т)</t>
  </si>
  <si>
    <t>02,12,24</t>
  </si>
  <si>
    <t>17 паллет (15 паллет сыр + масло; 2 паллета Мясной Выбор)</t>
  </si>
  <si>
    <t>04,12,24</t>
  </si>
  <si>
    <t>07,12,24</t>
  </si>
  <si>
    <t>оставлено место для Доброцен (3,3т)</t>
  </si>
  <si>
    <t>09,12,24</t>
  </si>
  <si>
    <t>16 паллет (14 паллет сыр + масло; 2 паллета Мясной Выбор)</t>
  </si>
  <si>
    <t>11,12,24</t>
  </si>
  <si>
    <t>14,12,24</t>
  </si>
  <si>
    <t>оставлено место для Доброцен (3,5т)</t>
  </si>
  <si>
    <t>16,12,24</t>
  </si>
  <si>
    <t>8 паллет (6 паллета сыр и масло; 2 паллета Мясной Выбор)</t>
  </si>
  <si>
    <t>18,12,24</t>
  </si>
  <si>
    <t>21,12,24</t>
  </si>
  <si>
    <t>23,12,24</t>
  </si>
  <si>
    <t>22 паллета (19 паллет Сыр + Масло; 3 паллета Мясной Выбор)</t>
  </si>
  <si>
    <t>24,12,24</t>
  </si>
  <si>
    <t>30,12,24</t>
  </si>
  <si>
    <t>28 паллет</t>
  </si>
  <si>
    <t>27,12,24</t>
  </si>
  <si>
    <t>04,01,25</t>
  </si>
  <si>
    <t>06,01,25</t>
  </si>
  <si>
    <t>03,01,25</t>
  </si>
  <si>
    <t>11,01,25</t>
  </si>
  <si>
    <t>08,01,25</t>
  </si>
  <si>
    <t>13,01,25</t>
  </si>
  <si>
    <t>10-ти тонник (14 паллет Сыр + Масло, включая заказ за 30,12,25 - 2,1т / 4 паллета Мясной Выбор - 1,3т)</t>
  </si>
  <si>
    <t>15,01,25</t>
  </si>
  <si>
    <t>18,01,25</t>
  </si>
  <si>
    <t>оставлено место для Доброцен (3т)</t>
  </si>
  <si>
    <t>20,01,25</t>
  </si>
  <si>
    <t>10-ти тонник (данной машиной также забираем Мясной Выбор 1250кг / 3 паллета)</t>
  </si>
  <si>
    <t>22,01,25</t>
  </si>
  <si>
    <t>25,01,25</t>
  </si>
  <si>
    <t>оставлено место для Доброцен (2,5т)</t>
  </si>
  <si>
    <t>27,01,25</t>
  </si>
  <si>
    <t>Догружаем в машину с ПОКОМом (18 паллет) + 11 паллет (масло, сыр) + 3 паллета (Мясной Выбор)</t>
  </si>
  <si>
    <t>29,01,25</t>
  </si>
  <si>
    <t>01,02,25</t>
  </si>
  <si>
    <t>03,02,25</t>
  </si>
  <si>
    <t>13 паллет (12 паллет сыра и масла + 1 паллет Мясной Выбор - 350кг)</t>
  </si>
  <si>
    <t>05,02,25</t>
  </si>
  <si>
    <t>08,02,25</t>
  </si>
  <si>
    <t>10,02,25</t>
  </si>
  <si>
    <t>10 паллет (10-ти тонник)</t>
  </si>
  <si>
    <t>8 паллет (7 паллет Сыр + Масло и 1 паллет / 118кг - Мясной Выбор) (10-ти тонник)</t>
  </si>
  <si>
    <t>12,02,25</t>
  </si>
  <si>
    <t>15,02,25</t>
  </si>
  <si>
    <t>17,02,25</t>
  </si>
  <si>
    <t>оставлено место для Доброцен-Донецк (1,7т)</t>
  </si>
  <si>
    <t>19,02,25</t>
  </si>
  <si>
    <t>Поляков</t>
  </si>
  <si>
    <t>22,02,25</t>
  </si>
  <si>
    <t>оставлено место для Доброцен (Донецк - 2,5т; Луганск - 2,2т)</t>
  </si>
  <si>
    <t>24,02,25</t>
  </si>
  <si>
    <t>20 паллет</t>
  </si>
  <si>
    <t>12 паллет (Масло + Сыр - 9 паллет; Мясной выбор - 3 паллета / 0,45т )</t>
  </si>
  <si>
    <t>26,02,25</t>
  </si>
  <si>
    <t>01,03,25</t>
  </si>
  <si>
    <t>оставлено место для Доброцен-Донецк (3,6т)</t>
  </si>
  <si>
    <t>03,03,25</t>
  </si>
  <si>
    <t>14 паллет (12 паллет Сыры + Масло / 2 паллета Мясной Выбор - 518кг)</t>
  </si>
  <si>
    <t>Сыры - 18/20/22</t>
  </si>
  <si>
    <t>Колбаса - 14/15</t>
  </si>
  <si>
    <t>05,03,25</t>
  </si>
  <si>
    <t>08,03,25</t>
  </si>
  <si>
    <t>оставлено место для Доброцен-Донецк (1,2т)</t>
  </si>
  <si>
    <t>10,03,25</t>
  </si>
  <si>
    <t>19 паллет (2 паллета / 385кг - Мясной Выбор; 17 паллет - сыр и масло)</t>
  </si>
  <si>
    <t>12,03,25</t>
  </si>
  <si>
    <t>15,03,25</t>
  </si>
  <si>
    <t>оставлено место для Доброцен-Донецк (2,2т)</t>
  </si>
  <si>
    <t>17,03,25</t>
  </si>
  <si>
    <t>13 паллет (12 паллет филиалы + 1 паллет / 125кг Доброцен-Луганск)</t>
  </si>
  <si>
    <t>17 паллет (13 паллет филиалы + 4 паллет / 1,7т Доброцен-Луганск)</t>
  </si>
  <si>
    <t>15 паллет (2 паллета / 550кг - Мясной Выбор; 13 паллет - сыр и масло)</t>
  </si>
  <si>
    <t>19,03,25</t>
  </si>
  <si>
    <t>23,03,25</t>
  </si>
  <si>
    <t>оставлено место для Доброцен-Донецк (1,6т) и Доброцен-Луганск (0,5т)</t>
  </si>
  <si>
    <t>24,03,25</t>
  </si>
  <si>
    <t>8 паллет (Сыр - 6 паллет; Мясной Выбор - 2 паллета / 350кг) ДОГРУЖАЕМ в машину с ПОКОМом</t>
  </si>
  <si>
    <t>26,03,25</t>
  </si>
  <si>
    <t>29,03,25</t>
  </si>
  <si>
    <t>оставлено место для Доброцен-Донецк (2,5т)</t>
  </si>
  <si>
    <t>31,03,25</t>
  </si>
  <si>
    <t>оставлено место для Доброцен-Луганск (1,3т)</t>
  </si>
  <si>
    <t>11 паллет (9 паллет сыр + масло; 2 паллета / 555кг Мясной Выбор) Догружаем в машину с ПОКОМом</t>
  </si>
  <si>
    <t>02,04,25</t>
  </si>
  <si>
    <t>05,04,25</t>
  </si>
  <si>
    <t>оставлено место для Доброцен-Донецк (2,05т)</t>
  </si>
  <si>
    <t>07,04,25</t>
  </si>
  <si>
    <t>28 паллет (включая Доброцен-Луганск (1,2т))</t>
  </si>
  <si>
    <t>4 паллета (2 паллета сыр + 2 паллета / 414кг Мясной Выбор) Догружаем в машину с ПОКОМом</t>
  </si>
  <si>
    <t>Табота</t>
  </si>
  <si>
    <t>Ростов-на-Дону</t>
  </si>
  <si>
    <t>09,04,25</t>
  </si>
  <si>
    <t>12,04,25</t>
  </si>
  <si>
    <t>оставлено место для Доброцен-Донецк (2,7т)</t>
  </si>
  <si>
    <t>14,04,25</t>
  </si>
  <si>
    <t>8 паллет (сыр + масло) Догружаем в машину с ПОКОМом</t>
  </si>
  <si>
    <t>16,04,25</t>
  </si>
  <si>
    <t>19,04,25</t>
  </si>
  <si>
    <t>оставлено место для Доброцен-Донецк (3,4т)</t>
  </si>
  <si>
    <t>21,04,25</t>
  </si>
  <si>
    <t>оставлено место для Доброцен-Луганск (2т) - 2 заказа</t>
  </si>
  <si>
    <t>11 паллета (масло + сыр); Затем забираем ПОКОМ КИ</t>
  </si>
  <si>
    <t>11 паллет (КИ)</t>
  </si>
  <si>
    <t>23,04,25</t>
  </si>
  <si>
    <t>26,04,25</t>
  </si>
  <si>
    <t>КИ - 21 паллет / оставлено место для Доброцен-Луганск (0,6т)</t>
  </si>
  <si>
    <t>28,04,25</t>
  </si>
  <si>
    <t>11 паллет (СЫР + МАСЛО)</t>
  </si>
  <si>
    <t>03,05,25</t>
  </si>
  <si>
    <t>оставлено место для Доброцен-Донецк (2,8т)</t>
  </si>
  <si>
    <t>29,04,25</t>
  </si>
  <si>
    <t>05,05,25</t>
  </si>
  <si>
    <t>11 паллет (включая Доброцен-Луганск / 0,6т). Будем догружать ПОКОМ</t>
  </si>
  <si>
    <t>10,05,25</t>
  </si>
  <si>
    <t>06,05,25</t>
  </si>
  <si>
    <t>12,05,25</t>
  </si>
  <si>
    <t>КИ - 22 паллета; догружаем ПОКОМ</t>
  </si>
  <si>
    <t>14,05,25</t>
  </si>
  <si>
    <t>17,05,25</t>
  </si>
  <si>
    <t>19,05,25</t>
  </si>
  <si>
    <t>4 паллета (Масло и Сыр) / выгружаем в Луганске. Догружаем в ПОКОМ</t>
  </si>
  <si>
    <t>21,05,25</t>
  </si>
  <si>
    <t>24,05,25</t>
  </si>
  <si>
    <t>оставлено место для Доброцен-Донецк (2,1т)</t>
  </si>
  <si>
    <t>26,05,25</t>
  </si>
  <si>
    <t>оставлено место для Доброцен-Луганск (1,4т)</t>
  </si>
  <si>
    <t>КИ - 15 паллет</t>
  </si>
  <si>
    <t>Масло + Сыр - 5 паллет. Догружаем ПОКОМом</t>
  </si>
  <si>
    <t>28,05,25</t>
  </si>
  <si>
    <t>31,05,25</t>
  </si>
  <si>
    <t>02,06,25</t>
  </si>
  <si>
    <t>оставлено место для Доброцен-Луганск (0,8т)</t>
  </si>
  <si>
    <t>6 паллет (Сыр + Масло). Догружаем в ПОКОМ.</t>
  </si>
  <si>
    <t>04,06,25</t>
  </si>
  <si>
    <t>07,06,25</t>
  </si>
  <si>
    <t>09,06,25</t>
  </si>
  <si>
    <t>06,06,25</t>
  </si>
  <si>
    <t>ПРС</t>
  </si>
  <si>
    <t>16,06,25</t>
  </si>
  <si>
    <t>10,06,25</t>
  </si>
  <si>
    <t>14,06,25</t>
  </si>
  <si>
    <t>КИ - 16 паллет (в том числе Доброцен-Луганск / 0,8т)</t>
  </si>
  <si>
    <r>
      <t xml:space="preserve">оставлено место для Доброцен-Луганск </t>
    </r>
    <r>
      <rPr>
        <sz val="14"/>
        <color rgb="FF000000"/>
        <rFont val="Calibri"/>
        <family val="2"/>
        <charset val="204"/>
      </rPr>
      <t>(0,8т)</t>
    </r>
  </si>
  <si>
    <t>оставлено место для Доброцен-Донецк (1,4т)</t>
  </si>
  <si>
    <t>за 09,06,25</t>
  </si>
  <si>
    <t>11,06,25</t>
  </si>
  <si>
    <t>9 паллет (масло + сыр)</t>
  </si>
  <si>
    <t>18,06,25</t>
  </si>
  <si>
    <t>21,06,25</t>
  </si>
  <si>
    <t>23,06,25</t>
  </si>
  <si>
    <t>КИ - 27 паллет (в том числе Доброцен-Луганск / 1,0т)</t>
  </si>
  <si>
    <t>5 паллет (Сыр + Масло)</t>
  </si>
  <si>
    <t>19,06,25</t>
  </si>
  <si>
    <t>КИ - 10 паллет. Догружаем ПОКОМом во вторник</t>
  </si>
  <si>
    <t>25,06,25</t>
  </si>
  <si>
    <t>28,06,25</t>
  </si>
  <si>
    <t>30,06,25</t>
  </si>
  <si>
    <t>оставлено место для Доброцен-Луганск (0,9т)</t>
  </si>
  <si>
    <t>7 паллет (Сыр + Масло). Догружаем в ПОКОМ.</t>
  </si>
  <si>
    <t>02,07,25</t>
  </si>
  <si>
    <t>05,07,25</t>
  </si>
  <si>
    <t>07,07,25</t>
  </si>
  <si>
    <t>КИ - 22 паллета / оставлено место для Доброцен-Луганск (1,2т)</t>
  </si>
  <si>
    <t>10 паллет (Сыр + Масло)</t>
  </si>
  <si>
    <t>09,07,25</t>
  </si>
  <si>
    <t>оставлено место для Доброцен-Донецк (0,9т)</t>
  </si>
  <si>
    <t>12,07,25</t>
  </si>
  <si>
    <t>14,07,25</t>
  </si>
  <si>
    <t>КИ - 22 паллета / в том числе и Доброцен-Луганск (1,0т)</t>
  </si>
  <si>
    <t>16,07,25</t>
  </si>
  <si>
    <t>НВ ==&gt; ЛП</t>
  </si>
  <si>
    <t>19,07,25</t>
  </si>
  <si>
    <t>оставлено место для Доброцен-Донецк (2,0т)</t>
  </si>
  <si>
    <t>КИ - 26 паллет / в том числе и Доброцен-Луганск (0,65т)</t>
  </si>
  <si>
    <t>21,07,25</t>
  </si>
  <si>
    <t>5 паллет (масло + сыр)</t>
  </si>
  <si>
    <t>23,07,25</t>
  </si>
  <si>
    <t>26,07,25</t>
  </si>
  <si>
    <t>28,07,25</t>
  </si>
  <si>
    <t>КИ - 27 паллет / в том числе и Доброцен-Луганск (1,2т)</t>
  </si>
  <si>
    <t>30,07,25</t>
  </si>
  <si>
    <t>02,08,25</t>
  </si>
  <si>
    <t>оставлено место для Доброцен-Донецк (1,8т)</t>
  </si>
  <si>
    <t>04,08,25</t>
  </si>
  <si>
    <t>КИ - 26 паллет / в том числе и Доброцен-Луганск (0,5т)</t>
  </si>
  <si>
    <t>6 паллет (масло + сыр)</t>
  </si>
  <si>
    <t>ЛП</t>
  </si>
  <si>
    <t>06,08,25</t>
  </si>
  <si>
    <t>09,08,25</t>
  </si>
  <si>
    <t>11,08,25</t>
  </si>
  <si>
    <t>КИ - 26 паллет / в том числе и Доброцен-Луганск (0,8т)</t>
  </si>
  <si>
    <t>13,08,25</t>
  </si>
  <si>
    <t>16,08,25</t>
  </si>
  <si>
    <t>оставлено место для Доброцен-Донецк (2,4т)</t>
  </si>
  <si>
    <t>18,08,25</t>
  </si>
  <si>
    <t>КИ - 22 паллета / в том числе и Доброцен-Луганск (0,4т)</t>
  </si>
  <si>
    <t>10 паллет (масло + сыр)</t>
  </si>
  <si>
    <t>20,08,25</t>
  </si>
  <si>
    <t>23,08,25</t>
  </si>
  <si>
    <t>оставлено место для Доброцен-Донецк (5,9т)</t>
  </si>
  <si>
    <t>КИ - 26 паллета / в том числе и Доброцен-Луганск (1,6т)</t>
  </si>
  <si>
    <t>25,08,25</t>
  </si>
  <si>
    <t>27,08,25</t>
  </si>
  <si>
    <t>30,08,25</t>
  </si>
  <si>
    <t>01,09,25</t>
  </si>
  <si>
    <t>оставлено место для Доброцен-Луганск (1,5т)</t>
  </si>
  <si>
    <t>03,09,25</t>
  </si>
  <si>
    <t>06,09,25</t>
  </si>
  <si>
    <t>08,09,25</t>
  </si>
  <si>
    <t>КИ - 25 паллет / оставлено место для Доброцен-Луганск (1,3т)</t>
  </si>
  <si>
    <t>7 паллет (Сыр + Масло).</t>
  </si>
  <si>
    <t>10,09,25</t>
  </si>
  <si>
    <t>13,09,25</t>
  </si>
  <si>
    <t>15,09,25</t>
  </si>
  <si>
    <t>КИ - 24 паллет / оставлено место для Доброцен-Луганск (1,1т)</t>
  </si>
  <si>
    <t>8 паллет (Сыр + Масло).</t>
  </si>
  <si>
    <t>17,09,25</t>
  </si>
  <si>
    <t>20,09,25</t>
  </si>
  <si>
    <t>оставлено место для Доброцен-Донецк (2,6т)</t>
  </si>
  <si>
    <t>22,09,25</t>
  </si>
  <si>
    <t>оставлено место для Доброцен-Луганск (1,0т)</t>
  </si>
  <si>
    <t>5 паллет (Сыр + Масло). Догружаем в ПОКОМ</t>
  </si>
  <si>
    <t>24,09,25</t>
  </si>
  <si>
    <t>27,09,25</t>
  </si>
  <si>
    <t>29,09,25</t>
  </si>
  <si>
    <t>оставлено место для Доброцен-Луганск (1,1т)</t>
  </si>
  <si>
    <t>01,10,25</t>
  </si>
  <si>
    <t>04,10,25</t>
  </si>
  <si>
    <t>06,10,25</t>
  </si>
  <si>
    <t>6 паллет (Сыр + Масло). Догружаем в ПОКОМ</t>
  </si>
  <si>
    <t>08,10,25</t>
  </si>
  <si>
    <t>оставлено место для Доброцен-Луганск (0,45т)</t>
  </si>
  <si>
    <t>8 паллет (Сыр + Масло). Догружаем в ПОКОМ</t>
  </si>
  <si>
    <t>18,10,25</t>
  </si>
  <si>
    <t>11,10,25</t>
  </si>
  <si>
    <t>13,10,25</t>
  </si>
  <si>
    <t>20,10,25</t>
  </si>
  <si>
    <t>оставлено место для Доброцен-Луганск (1,2т)</t>
  </si>
  <si>
    <t>15,10,25</t>
  </si>
  <si>
    <t>22,10,25</t>
  </si>
  <si>
    <t>25,10,25</t>
  </si>
  <si>
    <t>оставлено место для Доброцен-Донецк (3,15т)</t>
  </si>
  <si>
    <t>27,10,25</t>
  </si>
  <si>
    <t>оставлено место для Доброцен-Луганск (1,25т)</t>
  </si>
  <si>
    <t>7 паллет (Сыр + Масло). Догружаем в ПОКОМ</t>
  </si>
  <si>
    <t>29,10,25</t>
  </si>
  <si>
    <t>03,11,25</t>
  </si>
  <si>
    <t>оставлено место для Доброцен-Луганск (0,55т)</t>
  </si>
  <si>
    <t>01,11,25</t>
  </si>
  <si>
    <t>05,11,25</t>
  </si>
  <si>
    <t>08,11,25</t>
  </si>
  <si>
    <t>10,11,25</t>
  </si>
  <si>
    <t>4 паллета (Сыр + Масло). Догружаем в ПОКОМ</t>
  </si>
  <si>
    <t>12,11,25</t>
  </si>
  <si>
    <t>15,11,25</t>
  </si>
  <si>
    <t>17,11,25</t>
  </si>
  <si>
    <t>Едет вместе с Доброцен-Луганск (1,35т)</t>
  </si>
  <si>
    <t>Едет вместе с Доброцен-Донецк (2,25т)</t>
  </si>
  <si>
    <t>19,11,25</t>
  </si>
  <si>
    <t>23,11,25</t>
  </si>
  <si>
    <t>24,11,25</t>
  </si>
  <si>
    <t>Едет вместе с Доброцен-Луганск (0,9т)</t>
  </si>
  <si>
    <t>Едет вместе с Доброцен-Луганск (0,8т)</t>
  </si>
  <si>
    <t>Едет вместе с Доброцен-Донецк (2,0т)</t>
  </si>
  <si>
    <t>26,11,25</t>
  </si>
  <si>
    <t>30,11,25</t>
  </si>
  <si>
    <t>01,12,25</t>
  </si>
  <si>
    <t>03,12,25</t>
  </si>
  <si>
    <t>07,12,25</t>
  </si>
  <si>
    <t>08,12,25</t>
  </si>
  <si>
    <t>Едет вместе с Доброцен-Донецк (1,65т)</t>
  </si>
  <si>
    <t>Едет вместе с Доброцен-Луганск (1,75т)</t>
  </si>
  <si>
    <t>5 паллет (Сыр + Масло). Догружаем в Крым</t>
  </si>
  <si>
    <t>10,12,25</t>
  </si>
  <si>
    <t>14,12,25</t>
  </si>
  <si>
    <t>15,12,25</t>
  </si>
  <si>
    <t>Едет вместе с Доброцен-Донецк</t>
  </si>
  <si>
    <t>Едет вместе с Доброцен-Луганск</t>
  </si>
  <si>
    <t>Майонез</t>
  </si>
  <si>
    <t>14 паллет (Сыр + Масло + Майонез). Догружаем в ПОКОМ</t>
  </si>
  <si>
    <t>16,12,25</t>
  </si>
  <si>
    <t>21,12,25</t>
  </si>
  <si>
    <t>22,12,25</t>
  </si>
  <si>
    <t>17,12,25</t>
  </si>
  <si>
    <t>дозаказ под клиента 850кг</t>
  </si>
  <si>
    <t>14 паллет (Сыр + Масло). Догружаем в ПОКОМ</t>
  </si>
  <si>
    <t>23,12,25</t>
  </si>
  <si>
    <t>28,12,25</t>
  </si>
  <si>
    <t>05,01,26</t>
  </si>
  <si>
    <t>Сыр + Майонез</t>
  </si>
  <si>
    <t>24,12,25</t>
  </si>
  <si>
    <t>16 паллет (Сыр + Майонез + Масло). Догружаем в ПОКОМ</t>
  </si>
  <si>
    <t>29,12,25</t>
  </si>
  <si>
    <t>30,12,25</t>
  </si>
  <si>
    <t>11,01,26</t>
  </si>
  <si>
    <t>12,01,26</t>
  </si>
  <si>
    <t>06,01,26</t>
  </si>
  <si>
    <t>дозаказ</t>
  </si>
  <si>
    <t>07,01,26</t>
  </si>
  <si>
    <t>14 паллет (Сыр + Майонез + Масло). Догружаем в ПОКОМ</t>
  </si>
  <si>
    <t>14,01,26</t>
  </si>
  <si>
    <t>18,01,26</t>
  </si>
  <si>
    <t>19,01,26</t>
  </si>
  <si>
    <t>6 паллет (Сыр + Майонез + Масло). Догружаем в ПОКОМ</t>
  </si>
  <si>
    <t>21,01,26</t>
  </si>
  <si>
    <t>25,01,26</t>
  </si>
  <si>
    <t>26,01,26</t>
  </si>
  <si>
    <t>11 паллет (Сыр + Майонез + Масло). Догружаем в ПОКОМ</t>
  </si>
  <si>
    <t>28,01,26</t>
  </si>
  <si>
    <t>01,02,26</t>
  </si>
  <si>
    <t>02,02,26</t>
  </si>
  <si>
    <t>7 паллет (Сыр + Майонез + Масло). Догружаем в ПОКОМ</t>
  </si>
  <si>
    <t>04,02,26</t>
  </si>
  <si>
    <t>08,02,26</t>
  </si>
  <si>
    <t>09,02,26</t>
  </si>
  <si>
    <t>05,02,26</t>
  </si>
  <si>
    <t>11 паллет (Сыр) + 7пал пр заказ. Догружаем в ПОКОМ</t>
  </si>
  <si>
    <t>11,02,26</t>
  </si>
  <si>
    <t>16,02,26</t>
  </si>
  <si>
    <t>10 паллет (Сыр + Майонез + Масло). Догружаем в ПОКОМ</t>
  </si>
  <si>
    <t>Опт Луганск</t>
  </si>
  <si>
    <t>15,02,26</t>
  </si>
  <si>
    <t>18,02,26</t>
  </si>
  <si>
    <t>20,02,26</t>
  </si>
  <si>
    <t>23,02,26</t>
  </si>
  <si>
    <t>22,02,26</t>
  </si>
  <si>
    <t>Опт Донецк</t>
  </si>
  <si>
    <t>25,02,26</t>
  </si>
  <si>
    <t>01,03,26</t>
  </si>
  <si>
    <t>02,03,26</t>
  </si>
  <si>
    <t>26,02,26</t>
  </si>
  <si>
    <t>04,03,26</t>
  </si>
  <si>
    <t>09,03,26</t>
  </si>
  <si>
    <t>08,03,26</t>
  </si>
  <si>
    <t>Малахутин</t>
  </si>
  <si>
    <t>Карлова</t>
  </si>
  <si>
    <t>15,03,26</t>
  </si>
  <si>
    <t>11,03,26</t>
  </si>
  <si>
    <t>16,03,26</t>
  </si>
  <si>
    <t>ОПТ Луганск</t>
  </si>
  <si>
    <t>12,03,26</t>
  </si>
  <si>
    <t>18,03,26</t>
  </si>
  <si>
    <t>22,03,26</t>
  </si>
  <si>
    <t>23,03,26</t>
  </si>
  <si>
    <t>8 паллет (Сыр + Майонез + Масло). Догружаем в ПОКОМ</t>
  </si>
  <si>
    <t>25,03,26</t>
  </si>
  <si>
    <t>28,03,26</t>
  </si>
  <si>
    <t>29,03,26</t>
  </si>
  <si>
    <t>30,03,26</t>
  </si>
  <si>
    <t>26,03,26</t>
  </si>
  <si>
    <t>01,04,26</t>
  </si>
  <si>
    <t>05,04,26</t>
  </si>
  <si>
    <t>06,04,26</t>
  </si>
  <si>
    <t>3 паллет (Сыр + Майонез + Масло). Догружаем в ПОКОМ</t>
  </si>
  <si>
    <t>Луганск Оптовики</t>
  </si>
  <si>
    <t>ки</t>
  </si>
  <si>
    <t>08,04,26</t>
  </si>
  <si>
    <t>12,04,26</t>
  </si>
  <si>
    <t>13,04,26</t>
  </si>
  <si>
    <t>15,04,26</t>
  </si>
  <si>
    <t>19,04,26</t>
  </si>
  <si>
    <t>20,04,26</t>
  </si>
  <si>
    <t>22,04,26</t>
  </si>
  <si>
    <t>26,04,26</t>
  </si>
  <si>
    <t>27,04,26</t>
  </si>
  <si>
    <t>29,04,26</t>
  </si>
  <si>
    <t>03,05,26</t>
  </si>
  <si>
    <t>04,05,26</t>
  </si>
  <si>
    <t>06,05,26</t>
  </si>
  <si>
    <t>07,05,26</t>
  </si>
  <si>
    <t>10,05,26</t>
  </si>
  <si>
    <t>11,05,26</t>
  </si>
  <si>
    <t>13,05,26</t>
  </si>
  <si>
    <t>17,05,26</t>
  </si>
  <si>
    <t>18,05,26</t>
  </si>
  <si>
    <t>14,05,26</t>
  </si>
  <si>
    <t>15 паллет (Сыр + Майонез + Масло). Догружаем в ПОКОМ</t>
  </si>
  <si>
    <t>20,05,26</t>
  </si>
  <si>
    <t>24,05,26</t>
  </si>
  <si>
    <t>25,05,26</t>
  </si>
  <si>
    <t>21,05,26</t>
  </si>
  <si>
    <t>ЛП Донецк</t>
  </si>
  <si>
    <t>31,05,26</t>
  </si>
  <si>
    <t>27,05,26</t>
  </si>
  <si>
    <t>01,06,26</t>
  </si>
  <si>
    <t>28,05,26</t>
  </si>
  <si>
    <t xml:space="preserve">ЛП </t>
  </si>
  <si>
    <t>03,06,26</t>
  </si>
  <si>
    <t>07,06,26</t>
  </si>
  <si>
    <t>ЗПФ</t>
  </si>
  <si>
    <t>08,06,26</t>
  </si>
  <si>
    <t>Лугаснк</t>
  </si>
  <si>
    <t>14,06,26</t>
  </si>
  <si>
    <t>10,06,26</t>
  </si>
  <si>
    <t>15,06,26</t>
  </si>
  <si>
    <t>11,06,26</t>
  </si>
  <si>
    <t>17,06,26</t>
  </si>
  <si>
    <t>21,06,26</t>
  </si>
  <si>
    <t>22,06,26</t>
  </si>
  <si>
    <t>18,06,26</t>
  </si>
  <si>
    <t>24,06,26</t>
  </si>
  <si>
    <t>27,06,26</t>
  </si>
  <si>
    <t>Логистикдон</t>
  </si>
  <si>
    <t>Мариуполь</t>
  </si>
  <si>
    <t>29,06,26</t>
  </si>
  <si>
    <t>Донецк (розн.)</t>
  </si>
  <si>
    <t>Донецк (сети)</t>
  </si>
  <si>
    <t>25,06,26</t>
  </si>
  <si>
    <t>Сыр + Майонез + Масло</t>
  </si>
  <si>
    <t>Догружаем в ПОКОМ Донецк</t>
  </si>
  <si>
    <t>Догружаем в ПОКОМ Мелитополь</t>
  </si>
  <si>
    <t>Догружаем в ПОКОМ Бердянск</t>
  </si>
  <si>
    <t>доставляет Останкино</t>
  </si>
  <si>
    <t>26,06,26</t>
  </si>
  <si>
    <t>Сыры ОСГ</t>
  </si>
  <si>
    <t>Догружаем в Останкино Крым</t>
  </si>
  <si>
    <t>ТН 8005872169 от 28.06.2026 Донецк НВ 5 317,954 КГ</t>
  </si>
  <si>
    <t>ТН 8005872166 от 28.06.2026 Луганск ЛП 8 670,439 КГ</t>
  </si>
  <si>
    <t>ТН 8005871634 от 27.06.2026 Донецк НВ 5 321,843 КГ</t>
  </si>
  <si>
    <t>ТН 8005871633 от 27.06.2026 ПРС ЛП 1 538,460 КГ</t>
  </si>
  <si>
    <t>ТН 8005871321 от 27.06.2026 Малахутин ЛП 2 040,864 КГ</t>
  </si>
  <si>
    <t>ТН 8005872165 от 28.06.2026 Донецк НВ 304,102 КГ</t>
  </si>
  <si>
    <t>ТН 8005870919 от 28.06.2026 Мелитополь НВ 3 305,454 КГ</t>
  </si>
  <si>
    <t>ТН 8005870918 от 28.06.2026 Бердянск НВ 3 532,555 КГ</t>
  </si>
  <si>
    <t>01,07,26</t>
  </si>
  <si>
    <t>04,07,26</t>
  </si>
  <si>
    <t>05,07,26</t>
  </si>
  <si>
    <t>06,07,26</t>
  </si>
  <si>
    <t>02,07,26</t>
  </si>
  <si>
    <t>Догружаем в ПОКОМ Луганск</t>
  </si>
  <si>
    <t>ТН 8005877964 от 05.07.2026 Луганск ЛП 4 440,759  КГ</t>
  </si>
  <si>
    <t>ТН 8005877963 от 06.07.2026 ПРС ЛП 1 507,130  КГ</t>
  </si>
  <si>
    <t>ТН 8005877965 от 06.07.2026 Донек НВ 4 554,571  КГ</t>
  </si>
  <si>
    <t>ТН 8005878231 от 06.07.2026 Донецк НВ 4 468,977  КГ</t>
  </si>
  <si>
    <t>ТН 8005878227 от 05.07.2026 Луганск ЛП 4 316,384  КГ</t>
  </si>
  <si>
    <t>ТН 8005877346 от 04.07.2026 Мелитополь 3 657,408  КГ</t>
  </si>
  <si>
    <t>ТН 8005877345 от 04.07.2026 Бердянск НВ 2 327,046  КГ</t>
  </si>
  <si>
    <t>08,07,26</t>
  </si>
  <si>
    <t>11,07,26</t>
  </si>
  <si>
    <t>12,07,26</t>
  </si>
  <si>
    <t>13,07,26</t>
  </si>
  <si>
    <t>09,07,26</t>
  </si>
  <si>
    <t>Догружаем в ПОКОМ Мелитополь, Бердянск</t>
  </si>
  <si>
    <t>ТН 8005884404 от 13.07.2026 Луганск ЛП 6 304,169  КГ</t>
  </si>
  <si>
    <t>ТН 8005884408 от 13.07.2026 Донецк НВ 4 298,033  КГ</t>
  </si>
  <si>
    <t>ТН 8005884403 от 13.07.2026 Донецк НВ 94,868  КГ</t>
  </si>
  <si>
    <t>ТН 8005884405 от 13.07.2026 Луганск ЛП 400,500  КГ</t>
  </si>
  <si>
    <t>ТН 8005883941 от 12.07.2026 ПРС ЛП 2 226,970  КГ</t>
  </si>
  <si>
    <t>ТН 8005883942 от 12.07.2026 Донецк НВ 5 247,508  КГ</t>
  </si>
  <si>
    <t>ТН 8005883671 от 11.07.2026 Мелитополь НВ 2 218,814  КГ</t>
  </si>
  <si>
    <t>15,07,26</t>
  </si>
  <si>
    <t>Грация</t>
  </si>
  <si>
    <t>18,07,26</t>
  </si>
  <si>
    <t>19,07,26</t>
  </si>
  <si>
    <t>20,07,26</t>
  </si>
  <si>
    <t>16,07,26</t>
  </si>
  <si>
    <t>ТН 8005889727 от 18.07.2026 Бердянск 4 364,815  КГ</t>
  </si>
  <si>
    <t>ТН 8005889728 от 18.07.2026 Бердянск 246,730  КГ</t>
  </si>
  <si>
    <t>ТН 8005889736 от 18.07.2026 ЛП Грация 7 539,295  КГ</t>
  </si>
  <si>
    <t>ТН 8005889792 от 18.07.2026 Малахутин 1 398,340  КГ</t>
  </si>
  <si>
    <t>ТН 8005889856 от 18.07.2026 ПРС 2 955,230  КГ</t>
  </si>
  <si>
    <t>ТН 8005889857 от 18.07.2026 Донецк 3 283,384  КГ</t>
  </si>
  <si>
    <t>ТН 8005890552 от 19.07.2026 Донецк 130,850  КГ</t>
  </si>
  <si>
    <t>ТН 8005890553 от 19.07.2026 Луганск 5 198,278  КГ</t>
  </si>
  <si>
    <t>ТН 8005890554 от 19.07.2026 Луганск 60,100  КГ</t>
  </si>
  <si>
    <t>ТН 8005890557 от 19.07.2026 Донецк 3 233,947  КГ</t>
  </si>
  <si>
    <t>22,07,26</t>
  </si>
  <si>
    <t>26,07,26</t>
  </si>
  <si>
    <t>27,07,26</t>
  </si>
  <si>
    <t>28,07,26</t>
  </si>
  <si>
    <t>23,07,26</t>
  </si>
  <si>
    <t>ТН 8005895863 от 26.07.2026 Донецк 4 722,726  КГ</t>
  </si>
  <si>
    <t>ТН 8005895862 от 26.07.2026 ПРС 2 386,909  КГ</t>
  </si>
  <si>
    <t>29,07,26</t>
  </si>
  <si>
    <t>02,08,26</t>
  </si>
  <si>
    <t>03,08,26</t>
  </si>
  <si>
    <t>04,08,26</t>
  </si>
  <si>
    <t>30,07,26</t>
  </si>
  <si>
    <t>Догружаем в ПОКОМ Бердянск, Мелитополь</t>
  </si>
  <si>
    <t>Догружаем в ПОКОМ  Донецк</t>
  </si>
  <si>
    <t>05,08,26</t>
  </si>
  <si>
    <t>09,08,26</t>
  </si>
  <si>
    <t>10,08,26</t>
  </si>
  <si>
    <t>11,08,26</t>
  </si>
  <si>
    <t>06,08,26</t>
  </si>
  <si>
    <t>12,08,26</t>
  </si>
  <si>
    <t>Баранова, Карлова</t>
  </si>
  <si>
    <t>16,08,26</t>
  </si>
  <si>
    <t>17,08,26</t>
  </si>
  <si>
    <t>18,08,26</t>
  </si>
  <si>
    <t>13,08,26</t>
  </si>
  <si>
    <t>19,08,26</t>
  </si>
  <si>
    <t>23,08,26</t>
  </si>
  <si>
    <t>24,08,26</t>
  </si>
  <si>
    <t>25,08,26</t>
  </si>
  <si>
    <t>20,08,26</t>
  </si>
  <si>
    <t>Догружаем в ПОКОМ  Луганск</t>
  </si>
  <si>
    <t>26,08,26</t>
  </si>
  <si>
    <t>30,08,26</t>
  </si>
  <si>
    <t>31,08,26</t>
  </si>
  <si>
    <t>01,09,26</t>
  </si>
  <si>
    <t>27,08,26</t>
  </si>
  <si>
    <t>02,09,26</t>
  </si>
  <si>
    <t>06,09,26</t>
  </si>
  <si>
    <t>Карлова_Баранова</t>
  </si>
  <si>
    <t>07,09,26</t>
  </si>
  <si>
    <t>08,09,26</t>
  </si>
  <si>
    <t>03,09,26</t>
  </si>
  <si>
    <t>Луганск (сети)</t>
  </si>
  <si>
    <t>04,09,26</t>
  </si>
  <si>
    <t>ВЕЗЕМ ОТДЕЛЬНОЙ МАШИНОЙ</t>
  </si>
  <si>
    <t>забрали</t>
  </si>
  <si>
    <t>09,09,26</t>
  </si>
  <si>
    <t>13,09,26</t>
  </si>
  <si>
    <t>14,09,26</t>
  </si>
  <si>
    <t>15,09,26</t>
  </si>
  <si>
    <t>10,09,26</t>
  </si>
  <si>
    <t>Догружаем в ПОКОМ  ОПТ</t>
  </si>
  <si>
    <t>Забираем с завода одной машиной (Жилин)</t>
  </si>
  <si>
    <t>11,09,26</t>
  </si>
  <si>
    <t>16,09,26</t>
  </si>
  <si>
    <t>20,09,26</t>
  </si>
  <si>
    <t>Карлов</t>
  </si>
  <si>
    <t>21,09,26</t>
  </si>
  <si>
    <t>22,09,26</t>
  </si>
  <si>
    <t>17,09,26</t>
  </si>
  <si>
    <t>23,09,26</t>
  </si>
  <si>
    <t>27,09,26</t>
  </si>
  <si>
    <t>28,09,26</t>
  </si>
  <si>
    <t>29,09,26</t>
  </si>
  <si>
    <t>24,09,26</t>
  </si>
  <si>
    <t>Догружаем в ПОКОМ Мелитополь, Бердянск, Мариуполь</t>
  </si>
  <si>
    <t>30,09,26</t>
  </si>
  <si>
    <t>04,10,26</t>
  </si>
  <si>
    <t>05,10,26</t>
  </si>
  <si>
    <t>Грация-Бердянск</t>
  </si>
  <si>
    <t>Грация-Мариуполь</t>
  </si>
  <si>
    <t>06,10,26</t>
  </si>
  <si>
    <t>01,10,26</t>
  </si>
  <si>
    <t>Догружаем в ПОКОМ Донецк, Мариуполь</t>
  </si>
  <si>
    <t>02,10,26</t>
  </si>
  <si>
    <t>07,10,26</t>
  </si>
  <si>
    <t>11,10,26</t>
  </si>
  <si>
    <t>12,10,26</t>
  </si>
  <si>
    <t>13,10,26</t>
  </si>
  <si>
    <t>14,10,26</t>
  </si>
  <si>
    <t>08,10,26</t>
  </si>
  <si>
    <t>ПРС ЛП</t>
  </si>
  <si>
    <t>Баранова_Карлов_Кафанова</t>
  </si>
  <si>
    <t>18,10,26</t>
  </si>
  <si>
    <t>Байдерман</t>
  </si>
  <si>
    <t>19,10,26</t>
  </si>
  <si>
    <t>15,10,26</t>
  </si>
  <si>
    <t>20,10,26</t>
  </si>
  <si>
    <t>21,10,26</t>
  </si>
  <si>
    <t>25,10,26</t>
  </si>
  <si>
    <t>26,10,26</t>
  </si>
  <si>
    <t>Грация(Бердянск)</t>
  </si>
  <si>
    <t>27,10,26</t>
  </si>
  <si>
    <t>22,10,26</t>
  </si>
  <si>
    <t>28,10,26</t>
  </si>
  <si>
    <t>Грация(Мариуполь)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</si>
</sst>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_ ;[Red]\-0.00\ "/>
    <numFmt numFmtId="166" formatCode="0.0_ ;[Red]\-0.0\ "/>
  </numFmts>
  <fonts count="7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4"/>
      <color rgb="FFFF0000"/>
      <name val="Calibri"/>
      <family val="2"/>
      <charset val="204"/>
    </font>
    <font>
      <sz val="14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C5E0B4"/>
        <bgColor rgb="FFD9D9D9"/>
      </patternFill>
    </fill>
    <fill>
      <patternFill patternType="solid">
        <fgColor rgb="FFD9D9D9"/>
        <bgColor rgb="FFDEEBF7"/>
      </patternFill>
    </fill>
    <fill>
      <patternFill patternType="solid">
        <fgColor rgb="FFDEEBF7"/>
        <bgColor rgb="FFD9D9D9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6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164" fontId="1" fillId="3" borderId="7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left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vertical="center" wrapText="1"/>
    </xf>
    <xf numFmtId="164" fontId="1" fillId="4" borderId="10" xfId="0" applyNumberFormat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49" fontId="1" fillId="4" borderId="10" xfId="0" applyNumberFormat="1" applyFont="1" applyFill="1" applyBorder="1" applyAlignment="1">
      <alignment horizontal="left" vertical="center" wrapText="1"/>
    </xf>
    <xf numFmtId="49" fontId="1" fillId="4" borderId="11" xfId="0" applyNumberFormat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vertical="center" wrapText="1"/>
    </xf>
    <xf numFmtId="164" fontId="1" fillId="4" borderId="13" xfId="0" applyNumberFormat="1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49" fontId="1" fillId="4" borderId="13" xfId="0" applyNumberFormat="1" applyFont="1" applyFill="1" applyBorder="1" applyAlignment="1">
      <alignment horizontal="left" vertical="center" wrapText="1"/>
    </xf>
    <xf numFmtId="49" fontId="1" fillId="4" borderId="14" xfId="0" applyNumberFormat="1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164" fontId="1" fillId="4" borderId="4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left" vertical="center" wrapText="1"/>
    </xf>
    <xf numFmtId="49" fontId="1" fillId="4" borderId="16" xfId="0" applyNumberFormat="1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vertical="center" wrapText="1"/>
    </xf>
    <xf numFmtId="164" fontId="1" fillId="3" borderId="10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49" fontId="1" fillId="3" borderId="10" xfId="0" applyNumberFormat="1" applyFont="1" applyFill="1" applyBorder="1" applyAlignment="1">
      <alignment horizontal="left" vertical="center" wrapText="1"/>
    </xf>
    <xf numFmtId="49" fontId="1" fillId="3" borderId="11" xfId="0" applyNumberFormat="1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vertical="center" wrapText="1"/>
    </xf>
    <xf numFmtId="164" fontId="1" fillId="3" borderId="13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49" fontId="1" fillId="3" borderId="13" xfId="0" applyNumberFormat="1" applyFont="1" applyFill="1" applyBorder="1" applyAlignment="1">
      <alignment horizontal="left" vertical="center" wrapText="1"/>
    </xf>
    <xf numFmtId="49" fontId="1" fillId="3" borderId="14" xfId="0" applyNumberFormat="1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left" vertical="center" wrapText="1"/>
    </xf>
    <xf numFmtId="49" fontId="1" fillId="3" borderId="16" xfId="0" applyNumberFormat="1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left" vertical="center" wrapText="1"/>
    </xf>
    <xf numFmtId="164" fontId="1" fillId="4" borderId="12" xfId="0" applyNumberFormat="1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left" vertical="center" wrapText="1"/>
    </xf>
    <xf numFmtId="164" fontId="1" fillId="4" borderId="15" xfId="0" applyNumberFormat="1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vertical="center" wrapText="1"/>
    </xf>
    <xf numFmtId="164" fontId="1" fillId="5" borderId="10" xfId="0" applyNumberFormat="1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vertical="center" wrapText="1"/>
    </xf>
    <xf numFmtId="164" fontId="1" fillId="5" borderId="13" xfId="0" applyNumberFormat="1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164" fontId="1" fillId="5" borderId="4" xfId="0" applyNumberFormat="1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49" fontId="1" fillId="5" borderId="10" xfId="0" applyNumberFormat="1" applyFont="1" applyFill="1" applyBorder="1" applyAlignment="1">
      <alignment horizontal="left" vertical="center" wrapText="1"/>
    </xf>
    <xf numFmtId="0" fontId="1" fillId="5" borderId="13" xfId="0" applyFont="1" applyFill="1" applyBorder="1" applyAlignment="1">
      <alignment horizontal="center" vertical="center" wrapText="1"/>
    </xf>
    <xf numFmtId="49" fontId="1" fillId="5" borderId="13" xfId="0" applyNumberFormat="1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 wrapText="1"/>
    </xf>
    <xf numFmtId="49" fontId="1" fillId="5" borderId="4" xfId="0" applyNumberFormat="1" applyFont="1" applyFill="1" applyBorder="1" applyAlignment="1">
      <alignment horizontal="left" vertical="center" wrapText="1"/>
    </xf>
    <xf numFmtId="49" fontId="1" fillId="5" borderId="11" xfId="0" applyNumberFormat="1" applyFont="1" applyFill="1" applyBorder="1" applyAlignment="1">
      <alignment horizontal="center" vertical="center" wrapText="1"/>
    </xf>
    <xf numFmtId="49" fontId="1" fillId="5" borderId="14" xfId="0" applyNumberFormat="1" applyFont="1" applyFill="1" applyBorder="1" applyAlignment="1">
      <alignment horizontal="center" vertical="center" wrapText="1"/>
    </xf>
    <xf numFmtId="49" fontId="1" fillId="5" borderId="16" xfId="0" applyNumberFormat="1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vertical="center" wrapText="1"/>
    </xf>
    <xf numFmtId="164" fontId="1" fillId="6" borderId="10" xfId="0" applyNumberFormat="1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vertical="center" wrapText="1"/>
    </xf>
    <xf numFmtId="164" fontId="1" fillId="6" borderId="4" xfId="0" applyNumberFormat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vertical="center" wrapText="1"/>
    </xf>
    <xf numFmtId="164" fontId="1" fillId="7" borderId="10" xfId="0" applyNumberFormat="1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49" fontId="1" fillId="7" borderId="10" xfId="0" applyNumberFormat="1" applyFont="1" applyFill="1" applyBorder="1" applyAlignment="1">
      <alignment horizontal="left" vertical="center" wrapText="1"/>
    </xf>
    <xf numFmtId="49" fontId="1" fillId="7" borderId="11" xfId="0" applyNumberFormat="1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vertical="center" wrapText="1"/>
    </xf>
    <xf numFmtId="164" fontId="1" fillId="7" borderId="13" xfId="0" applyNumberFormat="1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49" fontId="1" fillId="7" borderId="13" xfId="0" applyNumberFormat="1" applyFont="1" applyFill="1" applyBorder="1" applyAlignment="1">
      <alignment horizontal="left" vertical="center" wrapText="1"/>
    </xf>
    <xf numFmtId="49" fontId="1" fillId="7" borderId="14" xfId="0" applyNumberFormat="1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vertical="center" wrapText="1"/>
    </xf>
    <xf numFmtId="164" fontId="1" fillId="7" borderId="4" xfId="0" applyNumberFormat="1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49" fontId="1" fillId="7" borderId="4" xfId="0" applyNumberFormat="1" applyFont="1" applyFill="1" applyBorder="1" applyAlignment="1">
      <alignment horizontal="left" vertical="center" wrapText="1"/>
    </xf>
    <xf numFmtId="49" fontId="1" fillId="7" borderId="16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vertical="center" wrapText="1"/>
    </xf>
    <xf numFmtId="164" fontId="1" fillId="6" borderId="7" xfId="0" applyNumberFormat="1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49" fontId="1" fillId="6" borderId="8" xfId="0" applyNumberFormat="1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49" fontId="1" fillId="6" borderId="16" xfId="0" applyNumberFormat="1" applyFont="1" applyFill="1" applyBorder="1" applyAlignment="1">
      <alignment horizontal="center" vertical="center" wrapText="1"/>
    </xf>
    <xf numFmtId="49" fontId="1" fillId="6" borderId="7" xfId="0" applyNumberFormat="1" applyFont="1" applyFill="1" applyBorder="1" applyAlignment="1">
      <alignment horizontal="center" vertical="center" wrapText="1"/>
    </xf>
    <xf numFmtId="49" fontId="1" fillId="6" borderId="10" xfId="0" applyNumberFormat="1" applyFont="1" applyFill="1" applyBorder="1" applyAlignment="1">
      <alignment horizontal="left" vertical="center" wrapText="1"/>
    </xf>
    <xf numFmtId="49" fontId="1" fillId="6" borderId="11" xfId="0" applyNumberFormat="1" applyFont="1" applyFill="1" applyBorder="1" applyAlignment="1">
      <alignment horizontal="center" vertical="center" wrapText="1"/>
    </xf>
    <xf numFmtId="49" fontId="1" fillId="6" borderId="4" xfId="0" applyNumberFormat="1" applyFont="1" applyFill="1" applyBorder="1" applyAlignment="1">
      <alignment horizontal="left" vertical="center" wrapText="1"/>
    </xf>
    <xf numFmtId="0" fontId="1" fillId="6" borderId="13" xfId="0" applyFont="1" applyFill="1" applyBorder="1" applyAlignment="1">
      <alignment vertical="center" wrapText="1"/>
    </xf>
    <xf numFmtId="164" fontId="1" fillId="6" borderId="13" xfId="0" applyNumberFormat="1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49" fontId="1" fillId="6" borderId="14" xfId="0" applyNumberFormat="1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vertical="center" wrapText="1"/>
    </xf>
    <xf numFmtId="164" fontId="1" fillId="6" borderId="30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49" fontId="1" fillId="6" borderId="33" xfId="0" applyNumberFormat="1" applyFont="1" applyFill="1" applyBorder="1" applyAlignment="1">
      <alignment horizontal="center" vertical="center" wrapText="1"/>
    </xf>
    <xf numFmtId="0" fontId="1" fillId="6" borderId="25" xfId="0" applyFont="1" applyFill="1" applyBorder="1" applyAlignment="1">
      <alignment horizontal="center" vertical="center" wrapText="1"/>
    </xf>
    <xf numFmtId="0" fontId="1" fillId="6" borderId="25" xfId="0" applyFont="1" applyFill="1" applyBorder="1" applyAlignment="1">
      <alignment vertical="center" wrapText="1"/>
    </xf>
    <xf numFmtId="164" fontId="1" fillId="6" borderId="25" xfId="0" applyNumberFormat="1" applyFont="1" applyFill="1" applyBorder="1" applyAlignment="1">
      <alignment horizontal="center" vertical="center" wrapText="1"/>
    </xf>
    <xf numFmtId="49" fontId="1" fillId="6" borderId="25" xfId="0" applyNumberFormat="1" applyFont="1" applyFill="1" applyBorder="1" applyAlignment="1">
      <alignment horizontal="center" vertical="center" wrapText="1"/>
    </xf>
    <xf numFmtId="49" fontId="1" fillId="6" borderId="10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49" fontId="1" fillId="6" borderId="35" xfId="0" applyNumberFormat="1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vertical="center" wrapText="1"/>
    </xf>
    <xf numFmtId="164" fontId="1" fillId="6" borderId="37" xfId="0" applyNumberFormat="1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49" fontId="1" fillId="6" borderId="37" xfId="0" applyNumberFormat="1" applyFont="1" applyFill="1" applyBorder="1" applyAlignment="1">
      <alignment horizontal="center" vertical="center" wrapText="1"/>
    </xf>
    <xf numFmtId="49" fontId="1" fillId="6" borderId="38" xfId="0" applyNumberFormat="1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164" fontId="1" fillId="6" borderId="40" xfId="0" applyNumberFormat="1" applyFont="1" applyFill="1" applyBorder="1" applyAlignment="1">
      <alignment horizontal="center" vertical="center" wrapText="1"/>
    </xf>
    <xf numFmtId="164" fontId="1" fillId="6" borderId="27" xfId="0" applyNumberFormat="1" applyFont="1" applyFill="1" applyBorder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49" fontId="1" fillId="7" borderId="33" xfId="0" applyNumberFormat="1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vertical="center" wrapText="1"/>
    </xf>
    <xf numFmtId="164" fontId="1" fillId="7" borderId="30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49" fontId="1" fillId="7" borderId="30" xfId="0" applyNumberFormat="1" applyFont="1" applyFill="1" applyBorder="1" applyAlignment="1">
      <alignment horizontal="left" vertical="center" wrapText="1"/>
    </xf>
    <xf numFmtId="49" fontId="1" fillId="6" borderId="11" xfId="0" applyNumberFormat="1" applyFont="1" applyFill="1" applyBorder="1" applyAlignment="1">
      <alignment vertical="center" wrapText="1"/>
    </xf>
    <xf numFmtId="49" fontId="1" fillId="6" borderId="38" xfId="0" applyNumberFormat="1" applyFont="1" applyFill="1" applyBorder="1" applyAlignment="1">
      <alignment vertical="center" wrapText="1"/>
    </xf>
    <xf numFmtId="49" fontId="1" fillId="6" borderId="13" xfId="0" applyNumberFormat="1" applyFont="1" applyFill="1" applyBorder="1" applyAlignment="1">
      <alignment horizontal="left" vertical="center" wrapText="1"/>
    </xf>
    <xf numFmtId="49" fontId="1" fillId="6" borderId="30" xfId="0" applyNumberFormat="1" applyFont="1" applyFill="1" applyBorder="1" applyAlignment="1">
      <alignment horizontal="left" vertical="center" wrapText="1"/>
    </xf>
    <xf numFmtId="49" fontId="1" fillId="6" borderId="42" xfId="0" applyNumberFormat="1" applyFont="1" applyFill="1" applyBorder="1" applyAlignment="1">
      <alignment vertical="center" wrapText="1"/>
    </xf>
    <xf numFmtId="49" fontId="1" fillId="6" borderId="35" xfId="0" applyNumberFormat="1" applyFont="1" applyFill="1" applyBorder="1" applyAlignment="1">
      <alignment vertical="center" wrapText="1"/>
    </xf>
    <xf numFmtId="0" fontId="1" fillId="6" borderId="12" xfId="0" applyFont="1" applyFill="1" applyBorder="1" applyAlignment="1">
      <alignment horizontal="center" vertical="center" wrapText="1"/>
    </xf>
    <xf numFmtId="49" fontId="1" fillId="6" borderId="4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1" fillId="6" borderId="40" xfId="0" applyNumberFormat="1" applyFont="1" applyFill="1" applyBorder="1" applyAlignment="1">
      <alignment horizontal="center" vertical="center" wrapText="1"/>
    </xf>
    <xf numFmtId="49" fontId="1" fillId="6" borderId="47" xfId="0" applyNumberFormat="1" applyFont="1" applyFill="1" applyBorder="1" applyAlignment="1">
      <alignment horizontal="center" vertical="center" wrapText="1"/>
    </xf>
    <xf numFmtId="49" fontId="1" fillId="6" borderId="48" xfId="0" applyNumberFormat="1" applyFont="1" applyFill="1" applyBorder="1" applyAlignment="1">
      <alignment horizontal="center" vertical="center" wrapText="1"/>
    </xf>
    <xf numFmtId="0" fontId="1" fillId="7" borderId="27" xfId="0" applyFont="1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9" xfId="0" applyFont="1" applyFill="1" applyBorder="1" applyAlignment="1">
      <alignment horizontal="center" vertical="center" wrapText="1"/>
    </xf>
    <xf numFmtId="0" fontId="1" fillId="7" borderId="40" xfId="0" applyFont="1" applyFill="1" applyBorder="1" applyAlignment="1">
      <alignment horizontal="center" vertical="center" wrapText="1"/>
    </xf>
    <xf numFmtId="0" fontId="1" fillId="7" borderId="49" xfId="0" applyFont="1" applyFill="1" applyBorder="1" applyAlignment="1">
      <alignment horizontal="center" vertical="center" wrapText="1"/>
    </xf>
    <xf numFmtId="0" fontId="1" fillId="7" borderId="41" xfId="0" applyFont="1" applyFill="1" applyBorder="1" applyAlignment="1">
      <alignment horizontal="center" vertical="center" wrapText="1"/>
    </xf>
    <xf numFmtId="49" fontId="5" fillId="7" borderId="11" xfId="0" applyNumberFormat="1" applyFont="1" applyFill="1" applyBorder="1" applyAlignment="1">
      <alignment horizontal="center" vertical="center" wrapText="1"/>
    </xf>
    <xf numFmtId="49" fontId="5" fillId="7" borderId="14" xfId="0" applyNumberFormat="1" applyFont="1" applyFill="1" applyBorder="1" applyAlignment="1">
      <alignment horizontal="center" vertical="center" wrapText="1"/>
    </xf>
    <xf numFmtId="49" fontId="5" fillId="7" borderId="16" xfId="0" applyNumberFormat="1" applyFont="1" applyFill="1" applyBorder="1" applyAlignment="1">
      <alignment horizontal="center" vertical="center" wrapText="1"/>
    </xf>
    <xf numFmtId="49" fontId="5" fillId="6" borderId="11" xfId="0" applyNumberFormat="1" applyFont="1" applyFill="1" applyBorder="1" applyAlignment="1">
      <alignment horizontal="center" vertical="center" wrapText="1"/>
    </xf>
    <xf numFmtId="49" fontId="5" fillId="6" borderId="14" xfId="0" applyNumberFormat="1" applyFont="1" applyFill="1" applyBorder="1" applyAlignment="1">
      <alignment horizontal="center" vertical="center" wrapText="1"/>
    </xf>
    <xf numFmtId="49" fontId="5" fillId="6" borderId="16" xfId="0" applyNumberFormat="1" applyFont="1" applyFill="1" applyBorder="1" applyAlignment="1">
      <alignment horizontal="center" vertical="center" wrapText="1"/>
    </xf>
    <xf numFmtId="0" fontId="1" fillId="6" borderId="52" xfId="0" applyFont="1" applyFill="1" applyBorder="1" applyAlignment="1">
      <alignment horizontal="center" vertical="center" wrapText="1"/>
    </xf>
    <xf numFmtId="0" fontId="1" fillId="6" borderId="51" xfId="0" applyFont="1" applyFill="1" applyBorder="1" applyAlignment="1">
      <alignment horizontal="center" vertical="center" wrapText="1"/>
    </xf>
    <xf numFmtId="0" fontId="1" fillId="6" borderId="46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vertical="center" wrapText="1"/>
    </xf>
    <xf numFmtId="0" fontId="1" fillId="7" borderId="29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49" fontId="6" fillId="7" borderId="14" xfId="0" applyNumberFormat="1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vertical="center" wrapText="1"/>
    </xf>
    <xf numFmtId="164" fontId="1" fillId="8" borderId="13" xfId="0" applyNumberFormat="1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vertical="center" wrapText="1"/>
    </xf>
    <xf numFmtId="164" fontId="1" fillId="8" borderId="4" xfId="0" applyNumberFormat="1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2" fontId="1" fillId="6" borderId="13" xfId="0" applyNumberFormat="1" applyFont="1" applyFill="1" applyBorder="1" applyAlignment="1">
      <alignment horizontal="center" vertical="center" wrapText="1"/>
    </xf>
    <xf numFmtId="2" fontId="1" fillId="7" borderId="13" xfId="0" applyNumberFormat="1" applyFont="1" applyFill="1" applyBorder="1" applyAlignment="1">
      <alignment horizontal="center" vertical="center" wrapText="1"/>
    </xf>
    <xf numFmtId="0" fontId="1" fillId="7" borderId="25" xfId="0" applyFont="1" applyFill="1" applyBorder="1" applyAlignment="1">
      <alignment horizontal="center" vertical="center" wrapText="1"/>
    </xf>
    <xf numFmtId="0" fontId="1" fillId="7" borderId="25" xfId="0" applyFont="1" applyFill="1" applyBorder="1" applyAlignment="1">
      <alignment vertical="center" wrapText="1"/>
    </xf>
    <xf numFmtId="164" fontId="1" fillId="7" borderId="25" xfId="0" applyNumberFormat="1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vertical="center" wrapText="1"/>
    </xf>
    <xf numFmtId="164" fontId="1" fillId="7" borderId="37" xfId="0" applyNumberFormat="1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49" fontId="1" fillId="7" borderId="35" xfId="0" applyNumberFormat="1" applyFont="1" applyFill="1" applyBorder="1" applyAlignment="1">
      <alignment horizontal="center" vertical="center" wrapText="1"/>
    </xf>
    <xf numFmtId="49" fontId="1" fillId="7" borderId="38" xfId="0" applyNumberFormat="1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 wrapText="1"/>
    </xf>
    <xf numFmtId="0" fontId="1" fillId="7" borderId="53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54" xfId="0" applyFont="1" applyFill="1" applyBorder="1" applyAlignment="1">
      <alignment horizontal="center" vertical="center" wrapText="1"/>
    </xf>
    <xf numFmtId="0" fontId="1" fillId="7" borderId="50" xfId="0" applyFont="1" applyFill="1" applyBorder="1" applyAlignment="1">
      <alignment vertical="center" wrapText="1"/>
    </xf>
    <xf numFmtId="164" fontId="1" fillId="7" borderId="50" xfId="0" applyNumberFormat="1" applyFont="1" applyFill="1" applyBorder="1" applyAlignment="1">
      <alignment horizontal="center" vertical="center" wrapText="1"/>
    </xf>
    <xf numFmtId="2" fontId="1" fillId="7" borderId="25" xfId="0" applyNumberFormat="1" applyFont="1" applyFill="1" applyBorder="1" applyAlignment="1">
      <alignment horizontal="center" vertical="center" wrapText="1"/>
    </xf>
    <xf numFmtId="49" fontId="1" fillId="7" borderId="3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1" fillId="7" borderId="5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vertical="center" wrapText="1"/>
    </xf>
    <xf numFmtId="164" fontId="1" fillId="7" borderId="2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49" fontId="6" fillId="6" borderId="11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vertical="center" wrapText="1"/>
    </xf>
    <xf numFmtId="49" fontId="6" fillId="6" borderId="16" xfId="0" applyNumberFormat="1" applyFont="1" applyFill="1" applyBorder="1" applyAlignment="1">
      <alignment horizontal="center" vertical="center" wrapText="1"/>
    </xf>
    <xf numFmtId="49" fontId="6" fillId="7" borderId="16" xfId="0" applyNumberFormat="1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vertical="center" wrapText="1"/>
    </xf>
    <xf numFmtId="0" fontId="6" fillId="7" borderId="13" xfId="0" applyFont="1" applyFill="1" applyBorder="1" applyAlignment="1">
      <alignment vertical="center" wrapText="1"/>
    </xf>
    <xf numFmtId="0" fontId="6" fillId="6" borderId="13" xfId="0" applyFont="1" applyFill="1" applyBorder="1" applyAlignment="1">
      <alignment vertical="center" wrapText="1"/>
    </xf>
    <xf numFmtId="49" fontId="6" fillId="6" borderId="14" xfId="0" applyNumberFormat="1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25" xfId="0" applyNumberFormat="1" applyFont="1" applyFill="1" applyBorder="1" applyAlignment="1">
      <alignment horizontal="center" vertical="center" wrapText="1"/>
    </xf>
    <xf numFmtId="0" fontId="1" fillId="6" borderId="50" xfId="0" applyFont="1" applyFill="1" applyBorder="1" applyAlignment="1">
      <alignment vertical="center" wrapText="1"/>
    </xf>
    <xf numFmtId="164" fontId="1" fillId="6" borderId="50" xfId="0" applyNumberFormat="1" applyFont="1" applyFill="1" applyBorder="1" applyAlignment="1">
      <alignment horizontal="center" vertical="center" wrapText="1"/>
    </xf>
    <xf numFmtId="0" fontId="1" fillId="6" borderId="50" xfId="0" applyFont="1" applyFill="1" applyBorder="1" applyAlignment="1">
      <alignment horizontal="center" vertical="center" wrapText="1"/>
    </xf>
    <xf numFmtId="49" fontId="1" fillId="7" borderId="25" xfId="0" applyNumberFormat="1" applyFont="1" applyFill="1" applyBorder="1" applyAlignment="1">
      <alignment horizontal="left" vertical="center" wrapText="1"/>
    </xf>
    <xf numFmtId="49" fontId="1" fillId="6" borderId="50" xfId="0" applyNumberFormat="1" applyFont="1" applyFill="1" applyBorder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1" fillId="9" borderId="25" xfId="0" applyFont="1" applyFill="1" applyBorder="1" applyAlignment="1">
      <alignment vertical="center" wrapText="1"/>
    </xf>
    <xf numFmtId="164" fontId="1" fillId="9" borderId="25" xfId="0" applyNumberFormat="1" applyFont="1" applyFill="1" applyBorder="1" applyAlignment="1">
      <alignment horizontal="center" vertical="center" wrapText="1"/>
    </xf>
    <xf numFmtId="49" fontId="1" fillId="9" borderId="25" xfId="0" applyNumberFormat="1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vertical="center" wrapText="1"/>
    </xf>
    <xf numFmtId="164" fontId="1" fillId="9" borderId="10" xfId="0" applyNumberFormat="1" applyFont="1" applyFill="1" applyBorder="1" applyAlignment="1">
      <alignment horizontal="center" vertical="center" wrapText="1"/>
    </xf>
    <xf numFmtId="49" fontId="1" fillId="9" borderId="10" xfId="0" applyNumberFormat="1" applyFont="1" applyFill="1" applyBorder="1" applyAlignment="1">
      <alignment horizontal="center" vertical="center" wrapText="1"/>
    </xf>
    <xf numFmtId="0" fontId="1" fillId="9" borderId="50" xfId="0" applyFont="1" applyFill="1" applyBorder="1" applyAlignment="1">
      <alignment horizontal="center" vertical="center" wrapText="1"/>
    </xf>
    <xf numFmtId="0" fontId="1" fillId="9" borderId="50" xfId="0" applyFont="1" applyFill="1" applyBorder="1" applyAlignment="1">
      <alignment vertical="center" wrapText="1"/>
    </xf>
    <xf numFmtId="164" fontId="1" fillId="9" borderId="50" xfId="0" applyNumberFormat="1" applyFont="1" applyFill="1" applyBorder="1" applyAlignment="1">
      <alignment horizontal="center" vertical="center" wrapText="1"/>
    </xf>
    <xf numFmtId="49" fontId="1" fillId="9" borderId="50" xfId="0" applyNumberFormat="1" applyFont="1" applyFill="1" applyBorder="1" applyAlignment="1">
      <alignment horizontal="left" vertical="center" wrapText="1"/>
    </xf>
    <xf numFmtId="49" fontId="1" fillId="9" borderId="50" xfId="0" applyNumberFormat="1" applyFont="1" applyFill="1" applyBorder="1" applyAlignment="1">
      <alignment horizontal="center" vertical="center" wrapText="1"/>
    </xf>
    <xf numFmtId="49" fontId="1" fillId="6" borderId="25" xfId="0" applyNumberFormat="1" applyFont="1" applyFill="1" applyBorder="1" applyAlignment="1">
      <alignment horizontal="left" vertical="center" wrapText="1"/>
    </xf>
    <xf numFmtId="49" fontId="1" fillId="6" borderId="50" xfId="0" applyNumberFormat="1" applyFont="1" applyFill="1" applyBorder="1" applyAlignment="1">
      <alignment horizontal="left" vertical="center" wrapText="1"/>
    </xf>
    <xf numFmtId="165" fontId="1" fillId="6" borderId="25" xfId="0" applyNumberFormat="1" applyFont="1" applyFill="1" applyBorder="1" applyAlignment="1">
      <alignment horizontal="center" vertical="center" wrapText="1"/>
    </xf>
    <xf numFmtId="165" fontId="1" fillId="6" borderId="50" xfId="0" applyNumberFormat="1" applyFont="1" applyFill="1" applyBorder="1" applyAlignment="1">
      <alignment horizontal="center" vertical="center" wrapText="1"/>
    </xf>
    <xf numFmtId="165" fontId="1" fillId="9" borderId="25" xfId="0" applyNumberFormat="1" applyFont="1" applyFill="1" applyBorder="1" applyAlignment="1">
      <alignment horizontal="center" vertical="center" wrapText="1"/>
    </xf>
    <xf numFmtId="165" fontId="1" fillId="9" borderId="10" xfId="0" applyNumberFormat="1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0" fontId="1" fillId="9" borderId="54" xfId="0" applyFont="1" applyFill="1" applyBorder="1" applyAlignment="1">
      <alignment horizontal="center" vertical="center" wrapText="1"/>
    </xf>
    <xf numFmtId="49" fontId="1" fillId="9" borderId="10" xfId="0" applyNumberFormat="1" applyFont="1" applyFill="1" applyBorder="1" applyAlignment="1">
      <alignment horizontal="left" vertical="center" wrapText="1"/>
    </xf>
    <xf numFmtId="49" fontId="1" fillId="9" borderId="25" xfId="0" applyNumberFormat="1" applyFont="1" applyFill="1" applyBorder="1" applyAlignment="1">
      <alignment horizontal="left" vertical="center" wrapText="1"/>
    </xf>
    <xf numFmtId="49" fontId="1" fillId="10" borderId="50" xfId="0" applyNumberFormat="1" applyFont="1" applyFill="1" applyBorder="1" applyAlignment="1">
      <alignment horizontal="left" vertical="center" wrapText="1"/>
    </xf>
    <xf numFmtId="0" fontId="1" fillId="10" borderId="25" xfId="0" applyFont="1" applyFill="1" applyBorder="1" applyAlignment="1">
      <alignment horizontal="center" vertical="center" wrapText="1"/>
    </xf>
    <xf numFmtId="0" fontId="1" fillId="10" borderId="25" xfId="0" applyFont="1" applyFill="1" applyBorder="1" applyAlignment="1">
      <alignment vertical="center" wrapText="1"/>
    </xf>
    <xf numFmtId="164" fontId="1" fillId="10" borderId="25" xfId="0" applyNumberFormat="1" applyFont="1" applyFill="1" applyBorder="1" applyAlignment="1">
      <alignment horizontal="center" vertical="center" wrapText="1"/>
    </xf>
    <xf numFmtId="49" fontId="1" fillId="10" borderId="25" xfId="0" applyNumberFormat="1" applyFont="1" applyFill="1" applyBorder="1" applyAlignment="1">
      <alignment horizontal="center" vertical="center" wrapText="1"/>
    </xf>
    <xf numFmtId="49" fontId="1" fillId="10" borderId="25" xfId="0" applyNumberFormat="1" applyFont="1" applyFill="1" applyBorder="1" applyAlignment="1">
      <alignment horizontal="left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vertical="center" wrapText="1"/>
    </xf>
    <xf numFmtId="164" fontId="1" fillId="10" borderId="13" xfId="0" applyNumberFormat="1" applyFont="1" applyFill="1" applyBorder="1" applyAlignment="1">
      <alignment horizontal="center" vertical="center" wrapText="1"/>
    </xf>
    <xf numFmtId="49" fontId="1" fillId="10" borderId="13" xfId="0" applyNumberFormat="1" applyFont="1" applyFill="1" applyBorder="1" applyAlignment="1">
      <alignment horizontal="left" vertical="center" wrapText="1"/>
    </xf>
    <xf numFmtId="49" fontId="1" fillId="10" borderId="13" xfId="0" applyNumberFormat="1" applyFont="1" applyFill="1" applyBorder="1" applyAlignment="1">
      <alignment horizontal="center" vertical="center" wrapText="1"/>
    </xf>
    <xf numFmtId="49" fontId="1" fillId="6" borderId="25" xfId="0" applyNumberFormat="1" applyFont="1" applyFill="1" applyBorder="1" applyAlignment="1">
      <alignment vertical="center" wrapText="1"/>
    </xf>
    <xf numFmtId="49" fontId="1" fillId="6" borderId="37" xfId="0" applyNumberFormat="1" applyFont="1" applyFill="1" applyBorder="1" applyAlignment="1">
      <alignment horizontal="left" vertical="center" wrapText="1"/>
    </xf>
    <xf numFmtId="49" fontId="6" fillId="9" borderId="13" xfId="0" applyNumberFormat="1" applyFont="1" applyFill="1" applyBorder="1" applyAlignment="1">
      <alignment horizontal="center" vertical="center" wrapText="1"/>
    </xf>
    <xf numFmtId="49" fontId="6" fillId="9" borderId="25" xfId="0" applyNumberFormat="1" applyFont="1" applyFill="1" applyBorder="1" applyAlignment="1">
      <alignment horizontal="center" vertical="center" wrapText="1"/>
    </xf>
    <xf numFmtId="164" fontId="1" fillId="9" borderId="37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49" fontId="1" fillId="6" borderId="13" xfId="0" applyNumberFormat="1" applyFont="1" applyFill="1" applyBorder="1" applyAlignment="1">
      <alignment horizontal="center" vertical="center" wrapText="1"/>
    </xf>
    <xf numFmtId="49" fontId="1" fillId="6" borderId="0" xfId="0" applyNumberFormat="1" applyFont="1" applyFill="1" applyAlignment="1">
      <alignment horizontal="center" vertical="center"/>
    </xf>
    <xf numFmtId="166" fontId="1" fillId="9" borderId="37" xfId="0" applyNumberFormat="1" applyFont="1" applyFill="1" applyBorder="1" applyAlignment="1">
      <alignment horizontal="center" vertical="center" wrapText="1"/>
    </xf>
    <xf numFmtId="0" fontId="1" fillId="11" borderId="19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vertical="center" wrapText="1"/>
    </xf>
    <xf numFmtId="164" fontId="1" fillId="11" borderId="10" xfId="0" applyNumberFormat="1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49" fontId="1" fillId="11" borderId="10" xfId="0" applyNumberFormat="1" applyFont="1" applyFill="1" applyBorder="1" applyAlignment="1">
      <alignment horizontal="left" vertical="center" wrapText="1"/>
    </xf>
    <xf numFmtId="49" fontId="1" fillId="11" borderId="10" xfId="0" applyNumberFormat="1" applyFont="1" applyFill="1" applyBorder="1" applyAlignment="1">
      <alignment horizontal="center" vertical="center" wrapText="1"/>
    </xf>
    <xf numFmtId="0" fontId="1" fillId="11" borderId="25" xfId="0" applyFont="1" applyFill="1" applyBorder="1" applyAlignment="1">
      <alignment vertical="center" wrapText="1"/>
    </xf>
    <xf numFmtId="164" fontId="1" fillId="11" borderId="25" xfId="0" applyNumberFormat="1" applyFont="1" applyFill="1" applyBorder="1" applyAlignment="1">
      <alignment horizontal="center" vertical="center" wrapText="1"/>
    </xf>
    <xf numFmtId="0" fontId="1" fillId="11" borderId="25" xfId="0" applyFont="1" applyFill="1" applyBorder="1" applyAlignment="1">
      <alignment horizontal="center" vertical="center" wrapText="1"/>
    </xf>
    <xf numFmtId="49" fontId="1" fillId="11" borderId="25" xfId="0" applyNumberFormat="1" applyFont="1" applyFill="1" applyBorder="1" applyAlignment="1">
      <alignment horizontal="left" vertical="center" wrapText="1"/>
    </xf>
    <xf numFmtId="49" fontId="1" fillId="11" borderId="25" xfId="0" applyNumberFormat="1" applyFont="1" applyFill="1" applyBorder="1" applyAlignment="1">
      <alignment horizontal="center" vertical="center" wrapText="1"/>
    </xf>
    <xf numFmtId="49" fontId="6" fillId="9" borderId="50" xfId="0" applyNumberFormat="1" applyFont="1" applyFill="1" applyBorder="1" applyAlignment="1">
      <alignment horizontal="center" vertical="center" wrapText="1"/>
    </xf>
    <xf numFmtId="166" fontId="1" fillId="9" borderId="50" xfId="0" applyNumberFormat="1" applyFont="1" applyFill="1" applyBorder="1" applyAlignment="1">
      <alignment horizontal="center" vertical="center" wrapText="1"/>
    </xf>
    <xf numFmtId="49" fontId="1" fillId="6" borderId="52" xfId="0" applyNumberFormat="1" applyFont="1" applyFill="1" applyBorder="1" applyAlignment="1">
      <alignment horizontal="center" vertical="center" wrapText="1"/>
    </xf>
    <xf numFmtId="49" fontId="1" fillId="6" borderId="64" xfId="0" applyNumberFormat="1" applyFont="1" applyFill="1" applyBorder="1" applyAlignment="1">
      <alignment horizontal="center" vertical="center" wrapText="1"/>
    </xf>
    <xf numFmtId="0" fontId="1" fillId="6" borderId="53" xfId="0" applyFont="1" applyFill="1" applyBorder="1" applyAlignment="1">
      <alignment horizontal="center" vertical="center" wrapText="1"/>
    </xf>
    <xf numFmtId="49" fontId="1" fillId="6" borderId="65" xfId="0" applyNumberFormat="1" applyFont="1" applyFill="1" applyBorder="1" applyAlignment="1">
      <alignment horizontal="center" vertical="center" wrapText="1"/>
    </xf>
    <xf numFmtId="0" fontId="1" fillId="9" borderId="37" xfId="0" applyFont="1" applyFill="1" applyBorder="1" applyAlignment="1">
      <alignment horizontal="center" vertical="center" wrapText="1"/>
    </xf>
    <xf numFmtId="0" fontId="1" fillId="9" borderId="37" xfId="0" applyFont="1" applyFill="1" applyBorder="1" applyAlignment="1">
      <alignment vertical="center" wrapText="1"/>
    </xf>
    <xf numFmtId="49" fontId="1" fillId="9" borderId="52" xfId="0" applyNumberFormat="1" applyFont="1" applyFill="1" applyBorder="1" applyAlignment="1">
      <alignment horizontal="center" vertical="center" wrapText="1"/>
    </xf>
    <xf numFmtId="49" fontId="1" fillId="9" borderId="65" xfId="0" applyNumberFormat="1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39" xfId="0" applyFont="1" applyFill="1" applyBorder="1" applyAlignment="1">
      <alignment horizontal="center" vertical="center" wrapText="1"/>
    </xf>
    <xf numFmtId="0" fontId="1" fillId="9" borderId="53" xfId="0" applyFont="1" applyFill="1" applyBorder="1" applyAlignment="1">
      <alignment horizontal="center" vertical="center" wrapText="1"/>
    </xf>
    <xf numFmtId="49" fontId="1" fillId="6" borderId="59" xfId="0" applyNumberFormat="1" applyFont="1" applyFill="1" applyBorder="1" applyAlignment="1">
      <alignment horizontal="center" vertical="center" wrapText="1"/>
    </xf>
    <xf numFmtId="0" fontId="1" fillId="6" borderId="60" xfId="0" applyFont="1" applyFill="1" applyBorder="1" applyAlignment="1">
      <alignment horizontal="center" vertical="center" wrapText="1"/>
    </xf>
    <xf numFmtId="49" fontId="1" fillId="0" borderId="25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164" fontId="1" fillId="0" borderId="25" xfId="0" applyNumberFormat="1" applyFont="1" applyBorder="1" applyAlignment="1">
      <alignment horizontal="center" vertical="center" wrapText="1"/>
    </xf>
    <xf numFmtId="49" fontId="1" fillId="0" borderId="25" xfId="0" applyNumberFormat="1" applyFont="1" applyBorder="1" applyAlignment="1">
      <alignment horizontal="left" vertical="center" wrapText="1"/>
    </xf>
    <xf numFmtId="0" fontId="1" fillId="7" borderId="66" xfId="0" applyFont="1" applyFill="1" applyBorder="1" applyAlignment="1">
      <alignment horizontal="center" vertical="center" wrapText="1"/>
    </xf>
    <xf numFmtId="0" fontId="1" fillId="7" borderId="68" xfId="0" applyFont="1" applyFill="1" applyBorder="1" applyAlignment="1">
      <alignment horizontal="center" vertical="center" wrapText="1"/>
    </xf>
    <xf numFmtId="0" fontId="1" fillId="7" borderId="67" xfId="0" applyFont="1" applyFill="1" applyBorder="1" applyAlignment="1">
      <alignment horizontal="center" vertical="center" wrapText="1"/>
    </xf>
    <xf numFmtId="49" fontId="1" fillId="7" borderId="5" xfId="0" applyNumberFormat="1" applyFont="1" applyFill="1" applyBorder="1" applyAlignment="1">
      <alignment horizontal="center" vertical="center" wrapText="1"/>
    </xf>
    <xf numFmtId="0" fontId="1" fillId="7" borderId="23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vertical="center" wrapText="1"/>
    </xf>
    <xf numFmtId="164" fontId="1" fillId="7" borderId="7" xfId="0" applyNumberFormat="1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49" fontId="1" fillId="7" borderId="7" xfId="0" applyNumberFormat="1" applyFont="1" applyFill="1" applyBorder="1" applyAlignment="1">
      <alignment horizontal="left" vertical="center" wrapText="1"/>
    </xf>
    <xf numFmtId="49" fontId="1" fillId="7" borderId="8" xfId="0" applyNumberFormat="1" applyFont="1" applyFill="1" applyBorder="1" applyAlignment="1">
      <alignment horizontal="center" vertical="center" wrapText="1"/>
    </xf>
    <xf numFmtId="0" fontId="1" fillId="6" borderId="66" xfId="0" applyFont="1" applyFill="1" applyBorder="1" applyAlignment="1">
      <alignment horizontal="center" vertical="center" wrapText="1"/>
    </xf>
    <xf numFmtId="0" fontId="1" fillId="6" borderId="67" xfId="0" applyFont="1" applyFill="1" applyBorder="1" applyAlignment="1">
      <alignment horizontal="center" vertical="center" wrapText="1"/>
    </xf>
    <xf numFmtId="0" fontId="1" fillId="6" borderId="68" xfId="0" applyFont="1" applyFill="1" applyBorder="1" applyAlignment="1">
      <alignment horizontal="center" vertical="center" wrapText="1"/>
    </xf>
    <xf numFmtId="49" fontId="1" fillId="6" borderId="5" xfId="0" applyNumberFormat="1" applyFont="1" applyFill="1" applyBorder="1" applyAlignment="1">
      <alignment horizontal="center" vertical="center" wrapText="1"/>
    </xf>
    <xf numFmtId="49" fontId="1" fillId="6" borderId="7" xfId="0" applyNumberFormat="1" applyFont="1" applyFill="1" applyBorder="1" applyAlignment="1">
      <alignment horizontal="left" vertical="center" wrapText="1"/>
    </xf>
    <xf numFmtId="49" fontId="6" fillId="9" borderId="30" xfId="0" applyNumberFormat="1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0" fontId="1" fillId="6" borderId="55" xfId="0" applyFont="1" applyFill="1" applyBorder="1" applyAlignment="1">
      <alignment horizontal="center" vertical="center" wrapText="1"/>
    </xf>
    <xf numFmtId="49" fontId="6" fillId="9" borderId="10" xfId="0" applyNumberFormat="1" applyFont="1" applyFill="1" applyBorder="1" applyAlignment="1">
      <alignment horizontal="center" vertical="center" wrapText="1"/>
    </xf>
    <xf numFmtId="164" fontId="1" fillId="9" borderId="7" xfId="0" applyNumberFormat="1" applyFont="1" applyFill="1" applyBorder="1" applyAlignment="1">
      <alignment horizontal="center" vertical="center" wrapText="1"/>
    </xf>
    <xf numFmtId="49" fontId="6" fillId="9" borderId="11" xfId="0" applyNumberFormat="1" applyFont="1" applyFill="1" applyBorder="1" applyAlignment="1">
      <alignment horizontal="center" vertical="center" wrapText="1"/>
    </xf>
    <xf numFmtId="49" fontId="6" fillId="9" borderId="35" xfId="0" applyNumberFormat="1" applyFont="1" applyFill="1" applyBorder="1" applyAlignment="1">
      <alignment horizontal="center" vertical="center" wrapText="1"/>
    </xf>
    <xf numFmtId="49" fontId="6" fillId="9" borderId="42" xfId="0" applyNumberFormat="1" applyFont="1" applyFill="1" applyBorder="1" applyAlignment="1">
      <alignment horizontal="center" vertical="center" wrapText="1"/>
    </xf>
    <xf numFmtId="49" fontId="1" fillId="9" borderId="11" xfId="0" applyNumberFormat="1" applyFont="1" applyFill="1" applyBorder="1" applyAlignment="1">
      <alignment horizontal="center" vertical="center" wrapText="1"/>
    </xf>
    <xf numFmtId="49" fontId="1" fillId="9" borderId="35" xfId="0" applyNumberFormat="1" applyFont="1" applyFill="1" applyBorder="1" applyAlignment="1">
      <alignment horizontal="center" vertical="center" wrapText="1"/>
    </xf>
    <xf numFmtId="49" fontId="1" fillId="9" borderId="38" xfId="0" applyNumberFormat="1" applyFont="1" applyFill="1" applyBorder="1" applyAlignment="1">
      <alignment horizontal="center" vertical="center" wrapText="1"/>
    </xf>
    <xf numFmtId="49" fontId="5" fillId="9" borderId="11" xfId="0" applyNumberFormat="1" applyFont="1" applyFill="1" applyBorder="1" applyAlignment="1">
      <alignment horizontal="center" vertical="center" wrapText="1"/>
    </xf>
    <xf numFmtId="49" fontId="5" fillId="9" borderId="35" xfId="0" applyNumberFormat="1" applyFont="1" applyFill="1" applyBorder="1" applyAlignment="1">
      <alignment horizontal="center" vertical="center" wrapText="1"/>
    </xf>
    <xf numFmtId="49" fontId="5" fillId="9" borderId="4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vertical="center" wrapText="1"/>
    </xf>
    <xf numFmtId="164" fontId="1" fillId="6" borderId="2" xfId="0" applyNumberFormat="1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left" vertical="center" wrapText="1"/>
    </xf>
    <xf numFmtId="49" fontId="1" fillId="7" borderId="2" xfId="0" applyNumberFormat="1" applyFont="1" applyFill="1" applyBorder="1" applyAlignment="1">
      <alignment horizontal="left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49" fontId="1" fillId="7" borderId="28" xfId="0" applyNumberFormat="1" applyFont="1" applyFill="1" applyBorder="1" applyAlignment="1">
      <alignment horizontal="center" vertical="center" wrapText="1"/>
    </xf>
    <xf numFmtId="49" fontId="1" fillId="6" borderId="28" xfId="0" applyNumberFormat="1" applyFont="1" applyFill="1" applyBorder="1" applyAlignment="1">
      <alignment horizontal="center" vertical="center" wrapText="1"/>
    </xf>
    <xf numFmtId="49" fontId="1" fillId="7" borderId="7" xfId="0" applyNumberFormat="1" applyFont="1" applyFill="1" applyBorder="1" applyAlignment="1">
      <alignment vertical="center" wrapText="1"/>
    </xf>
    <xf numFmtId="49" fontId="1" fillId="6" borderId="7" xfId="0" applyNumberFormat="1" applyFont="1" applyFill="1" applyBorder="1" applyAlignment="1">
      <alignment vertical="center" wrapText="1"/>
    </xf>
    <xf numFmtId="49" fontId="1" fillId="6" borderId="29" xfId="0" applyNumberFormat="1" applyFont="1" applyFill="1" applyBorder="1" applyAlignment="1">
      <alignment horizontal="center" vertical="center" wrapText="1"/>
    </xf>
    <xf numFmtId="0" fontId="1" fillId="7" borderId="60" xfId="0" applyFont="1" applyFill="1" applyBorder="1" applyAlignment="1">
      <alignment horizontal="center" vertical="center" wrapText="1"/>
    </xf>
    <xf numFmtId="0" fontId="1" fillId="7" borderId="50" xfId="0" applyFont="1" applyFill="1" applyBorder="1" applyAlignment="1">
      <alignment horizontal="center" vertical="center" wrapText="1"/>
    </xf>
    <xf numFmtId="49" fontId="1" fillId="7" borderId="42" xfId="0" applyNumberFormat="1" applyFont="1" applyFill="1" applyBorder="1" applyAlignment="1">
      <alignment horizontal="center" vertical="center" wrapText="1"/>
    </xf>
    <xf numFmtId="0" fontId="3" fillId="11" borderId="36" xfId="0" applyFont="1" applyFill="1" applyBorder="1" applyAlignment="1">
      <alignment horizontal="center" vertical="center" wrapText="1"/>
    </xf>
    <xf numFmtId="0" fontId="3" fillId="11" borderId="37" xfId="0" applyFont="1" applyFill="1" applyBorder="1" applyAlignment="1">
      <alignment vertical="center" wrapText="1"/>
    </xf>
    <xf numFmtId="164" fontId="3" fillId="11" borderId="37" xfId="0" applyNumberFormat="1" applyFont="1" applyFill="1" applyBorder="1" applyAlignment="1">
      <alignment horizontal="center" vertical="center" wrapText="1"/>
    </xf>
    <xf numFmtId="0" fontId="1" fillId="11" borderId="37" xfId="0" applyFont="1" applyFill="1" applyBorder="1" applyAlignment="1">
      <alignment horizontal="center" vertical="center" wrapText="1"/>
    </xf>
    <xf numFmtId="49" fontId="1" fillId="11" borderId="38" xfId="0" applyNumberFormat="1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49" fontId="1" fillId="7" borderId="33" xfId="0" applyNumberFormat="1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vertical="center" wrapText="1"/>
    </xf>
    <xf numFmtId="2" fontId="1" fillId="7" borderId="50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14" borderId="12" xfId="0" applyFont="1" applyFill="1" applyBorder="1" applyAlignment="1">
      <alignment horizontal="center" vertical="center" wrapText="1"/>
    </xf>
    <xf numFmtId="0" fontId="1" fillId="14" borderId="25" xfId="0" applyFont="1" applyFill="1" applyBorder="1" applyAlignment="1">
      <alignment vertical="center" wrapText="1"/>
    </xf>
    <xf numFmtId="164" fontId="1" fillId="14" borderId="50" xfId="0" applyNumberFormat="1" applyFont="1" applyFill="1" applyBorder="1" applyAlignment="1">
      <alignment horizontal="center" vertical="center" wrapText="1"/>
    </xf>
    <xf numFmtId="0" fontId="1" fillId="14" borderId="25" xfId="0" applyFont="1" applyFill="1" applyBorder="1" applyAlignment="1">
      <alignment horizontal="center" vertical="center" wrapText="1"/>
    </xf>
    <xf numFmtId="49" fontId="1" fillId="14" borderId="42" xfId="0" applyNumberFormat="1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left" vertical="center" wrapText="1"/>
    </xf>
    <xf numFmtId="49" fontId="1" fillId="6" borderId="28" xfId="0" applyNumberFormat="1" applyFont="1" applyFill="1" applyBorder="1" applyAlignment="1">
      <alignment horizontal="center" vertical="center" wrapText="1"/>
    </xf>
    <xf numFmtId="0" fontId="1" fillId="6" borderId="55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0" fontId="1" fillId="7" borderId="24" xfId="0" applyFont="1" applyFill="1" applyBorder="1" applyAlignment="1">
      <alignment horizontal="center" vertical="center" wrapText="1"/>
    </xf>
    <xf numFmtId="49" fontId="1" fillId="7" borderId="28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left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49" fontId="1" fillId="7" borderId="3" xfId="0" applyNumberFormat="1" applyFont="1" applyFill="1" applyBorder="1" applyAlignment="1">
      <alignment horizontal="center" vertical="center" wrapText="1"/>
    </xf>
    <xf numFmtId="49" fontId="1" fillId="7" borderId="3" xfId="0" applyNumberFormat="1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left" vertical="center" wrapText="1"/>
    </xf>
    <xf numFmtId="49" fontId="1" fillId="6" borderId="28" xfId="0" applyNumberFormat="1" applyFont="1" applyFill="1" applyBorder="1" applyAlignment="1">
      <alignment horizontal="center" vertical="center" wrapText="1"/>
    </xf>
    <xf numFmtId="0" fontId="1" fillId="6" borderId="55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left" vertical="center" wrapText="1"/>
    </xf>
    <xf numFmtId="49" fontId="1" fillId="6" borderId="3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7" borderId="28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left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49" fontId="1" fillId="7" borderId="3" xfId="0" applyNumberFormat="1" applyFont="1" applyFill="1" applyBorder="1" applyAlignment="1">
      <alignment horizontal="center" vertical="center" wrapText="1"/>
    </xf>
    <xf numFmtId="0" fontId="1" fillId="14" borderId="32" xfId="0" applyFont="1" applyFill="1" applyBorder="1" applyAlignment="1">
      <alignment horizontal="center" vertical="center" wrapText="1"/>
    </xf>
    <xf numFmtId="0" fontId="1" fillId="14" borderId="30" xfId="0" applyFont="1" applyFill="1" applyBorder="1" applyAlignment="1">
      <alignment vertical="center" wrapText="1"/>
    </xf>
    <xf numFmtId="164" fontId="1" fillId="14" borderId="30" xfId="0" applyNumberFormat="1" applyFont="1" applyFill="1" applyBorder="1" applyAlignment="1">
      <alignment horizontal="center" vertical="center" wrapText="1"/>
    </xf>
    <xf numFmtId="0" fontId="1" fillId="14" borderId="30" xfId="0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left" vertical="center" wrapText="1"/>
    </xf>
    <xf numFmtId="49" fontId="1" fillId="6" borderId="28" xfId="0" applyNumberFormat="1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49" fontId="1" fillId="6" borderId="33" xfId="0" applyNumberFormat="1" applyFont="1" applyFill="1" applyBorder="1" applyAlignment="1">
      <alignment horizontal="center" vertical="center" wrapText="1"/>
    </xf>
    <xf numFmtId="49" fontId="1" fillId="7" borderId="3" xfId="0" applyNumberFormat="1" applyFont="1" applyFill="1" applyBorder="1" applyAlignment="1">
      <alignment horizontal="center" vertical="center" wrapText="1"/>
    </xf>
    <xf numFmtId="0" fontId="1" fillId="6" borderId="55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49" fontId="1" fillId="7" borderId="28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left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49" fontId="1" fillId="7" borderId="3" xfId="0" applyNumberFormat="1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49" fontId="1" fillId="7" borderId="3" xfId="0" applyNumberFormat="1" applyFont="1" applyFill="1" applyBorder="1" applyAlignment="1">
      <alignment horizontal="center" vertical="center" wrapText="1"/>
    </xf>
    <xf numFmtId="49" fontId="1" fillId="6" borderId="28" xfId="0" applyNumberFormat="1" applyFont="1" applyFill="1" applyBorder="1" applyAlignment="1">
      <alignment horizontal="center" vertical="center" wrapText="1"/>
    </xf>
    <xf numFmtId="49" fontId="1" fillId="6" borderId="29" xfId="0" applyNumberFormat="1" applyFont="1" applyFill="1" applyBorder="1" applyAlignment="1">
      <alignment horizontal="center" vertical="center" wrapText="1"/>
    </xf>
    <xf numFmtId="49" fontId="1" fillId="6" borderId="27" xfId="0" applyNumberFormat="1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left" vertical="center" wrapText="1"/>
    </xf>
    <xf numFmtId="49" fontId="1" fillId="6" borderId="30" xfId="0" applyNumberFormat="1" applyFont="1" applyFill="1" applyBorder="1" applyAlignment="1">
      <alignment horizontal="left" vertical="center" wrapText="1"/>
    </xf>
    <xf numFmtId="49" fontId="1" fillId="6" borderId="4" xfId="0" applyNumberFormat="1" applyFont="1" applyFill="1" applyBorder="1" applyAlignment="1">
      <alignment horizontal="left" vertical="center" wrapText="1"/>
    </xf>
    <xf numFmtId="49" fontId="1" fillId="7" borderId="28" xfId="0" applyNumberFormat="1" applyFont="1" applyFill="1" applyBorder="1" applyAlignment="1">
      <alignment horizontal="center" vertical="center" wrapText="1"/>
    </xf>
    <xf numFmtId="49" fontId="1" fillId="7" borderId="29" xfId="0" applyNumberFormat="1" applyFont="1" applyFill="1" applyBorder="1" applyAlignment="1">
      <alignment horizontal="center" vertical="center" wrapText="1"/>
    </xf>
    <xf numFmtId="49" fontId="1" fillId="7" borderId="27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left" vertical="center" wrapText="1"/>
    </xf>
    <xf numFmtId="49" fontId="1" fillId="7" borderId="30" xfId="0" applyNumberFormat="1" applyFont="1" applyFill="1" applyBorder="1" applyAlignment="1">
      <alignment horizontal="left" vertical="center" wrapText="1"/>
    </xf>
    <xf numFmtId="49" fontId="1" fillId="7" borderId="4" xfId="0" applyNumberFormat="1" applyFont="1" applyFill="1" applyBorder="1" applyAlignment="1">
      <alignment horizontal="left" vertical="center" wrapText="1"/>
    </xf>
    <xf numFmtId="0" fontId="3" fillId="13" borderId="28" xfId="0" applyFont="1" applyFill="1" applyBorder="1" applyAlignment="1">
      <alignment horizontal="center" vertical="center" wrapText="1"/>
    </xf>
    <xf numFmtId="0" fontId="3" fillId="13" borderId="29" xfId="0" applyFont="1" applyFill="1" applyBorder="1" applyAlignment="1">
      <alignment horizontal="center" vertical="center" wrapText="1"/>
    </xf>
    <xf numFmtId="0" fontId="3" fillId="13" borderId="27" xfId="0" applyFont="1" applyFill="1" applyBorder="1" applyAlignment="1">
      <alignment horizontal="center" vertical="center" wrapText="1"/>
    </xf>
    <xf numFmtId="0" fontId="1" fillId="7" borderId="28" xfId="0" applyNumberFormat="1" applyFont="1" applyFill="1" applyBorder="1" applyAlignment="1">
      <alignment horizontal="center" vertical="center" wrapText="1"/>
    </xf>
    <xf numFmtId="49" fontId="3" fillId="7" borderId="2" xfId="0" applyNumberFormat="1" applyFont="1" applyFill="1" applyBorder="1" applyAlignment="1">
      <alignment horizontal="left" vertical="center" wrapText="1"/>
    </xf>
    <xf numFmtId="49" fontId="3" fillId="7" borderId="4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3" fillId="6" borderId="4" xfId="0" applyNumberFormat="1" applyFont="1" applyFill="1" applyBorder="1" applyAlignment="1">
      <alignment horizontal="left" vertical="center" wrapText="1"/>
    </xf>
    <xf numFmtId="49" fontId="3" fillId="6" borderId="30" xfId="0" applyNumberFormat="1" applyFont="1" applyFill="1" applyBorder="1" applyAlignment="1">
      <alignment horizontal="left" vertical="center" wrapText="1"/>
    </xf>
    <xf numFmtId="49" fontId="1" fillId="7" borderId="10" xfId="0" applyNumberFormat="1" applyFont="1" applyFill="1" applyBorder="1" applyAlignment="1">
      <alignment horizontal="left" vertical="center" wrapText="1"/>
    </xf>
    <xf numFmtId="49" fontId="1" fillId="7" borderId="37" xfId="0" applyNumberFormat="1" applyFont="1" applyFill="1" applyBorder="1" applyAlignment="1">
      <alignment horizontal="left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center" vertical="center" wrapText="1"/>
    </xf>
    <xf numFmtId="0" fontId="1" fillId="7" borderId="27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49" fontId="1" fillId="7" borderId="30" xfId="0" applyNumberFormat="1" applyFont="1" applyFill="1" applyBorder="1" applyAlignment="1">
      <alignment horizontal="center" vertical="center" wrapText="1"/>
    </xf>
    <xf numFmtId="49" fontId="1" fillId="7" borderId="4" xfId="0" applyNumberFormat="1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center" vertical="center" wrapText="1"/>
    </xf>
    <xf numFmtId="49" fontId="1" fillId="6" borderId="30" xfId="0" applyNumberFormat="1" applyFont="1" applyFill="1" applyBorder="1" applyAlignment="1">
      <alignment horizontal="center" vertical="center" wrapText="1"/>
    </xf>
    <xf numFmtId="49" fontId="6" fillId="9" borderId="2" xfId="0" applyNumberFormat="1" applyFont="1" applyFill="1" applyBorder="1" applyAlignment="1">
      <alignment horizontal="center" vertical="center" wrapText="1"/>
    </xf>
    <xf numFmtId="49" fontId="6" fillId="9" borderId="30" xfId="0" applyNumberFormat="1" applyFont="1" applyFill="1" applyBorder="1" applyAlignment="1">
      <alignment horizontal="center" vertical="center" wrapText="1"/>
    </xf>
    <xf numFmtId="49" fontId="6" fillId="9" borderId="13" xfId="0" applyNumberFormat="1" applyFont="1" applyFill="1" applyBorder="1" applyAlignment="1">
      <alignment horizontal="center" vertical="center" wrapText="1"/>
    </xf>
    <xf numFmtId="49" fontId="1" fillId="9" borderId="60" xfId="0" applyNumberFormat="1" applyFont="1" applyFill="1" applyBorder="1" applyAlignment="1">
      <alignment horizontal="center" vertical="center"/>
    </xf>
    <xf numFmtId="49" fontId="1" fillId="9" borderId="32" xfId="0" applyNumberFormat="1" applyFont="1" applyFill="1" applyBorder="1" applyAlignment="1">
      <alignment horizontal="center" vertical="center"/>
    </xf>
    <xf numFmtId="49" fontId="1" fillId="6" borderId="61" xfId="0" applyNumberFormat="1" applyFont="1" applyFill="1" applyBorder="1" applyAlignment="1">
      <alignment horizontal="center" vertical="center"/>
    </xf>
    <xf numFmtId="49" fontId="1" fillId="6" borderId="57" xfId="0" applyNumberFormat="1" applyFont="1" applyFill="1" applyBorder="1" applyAlignment="1">
      <alignment horizontal="center" vertical="center"/>
    </xf>
    <xf numFmtId="49" fontId="1" fillId="6" borderId="17" xfId="0" applyNumberFormat="1" applyFont="1" applyFill="1" applyBorder="1" applyAlignment="1">
      <alignment horizontal="center" vertical="center"/>
    </xf>
    <xf numFmtId="49" fontId="6" fillId="9" borderId="25" xfId="0" applyNumberFormat="1" applyFont="1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49" fontId="1" fillId="6" borderId="4" xfId="0" applyNumberFormat="1" applyFont="1" applyFill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center" vertical="center" wrapText="1"/>
    </xf>
    <xf numFmtId="0" fontId="1" fillId="7" borderId="31" xfId="0" applyFont="1" applyFill="1" applyBorder="1" applyAlignment="1">
      <alignment horizontal="center" vertical="center" wrapText="1"/>
    </xf>
    <xf numFmtId="0" fontId="1" fillId="7" borderId="43" xfId="0" applyFont="1" applyFill="1" applyBorder="1" applyAlignment="1">
      <alignment horizontal="center" vertical="center" wrapText="1"/>
    </xf>
    <xf numFmtId="49" fontId="1" fillId="6" borderId="13" xfId="0" applyNumberFormat="1" applyFont="1" applyFill="1" applyBorder="1" applyAlignment="1">
      <alignment horizontal="center" vertical="center" wrapText="1"/>
    </xf>
    <xf numFmtId="49" fontId="1" fillId="6" borderId="50" xfId="0" applyNumberFormat="1" applyFont="1" applyFill="1" applyBorder="1" applyAlignment="1">
      <alignment horizontal="center" vertical="center" wrapText="1"/>
    </xf>
    <xf numFmtId="0" fontId="1" fillId="7" borderId="40" xfId="0" applyFont="1" applyFill="1" applyBorder="1" applyAlignment="1">
      <alignment horizontal="center" vertical="center" wrapText="1"/>
    </xf>
    <xf numFmtId="0" fontId="1" fillId="7" borderId="47" xfId="0" applyFont="1" applyFill="1" applyBorder="1" applyAlignment="1">
      <alignment horizontal="center" vertical="center" wrapText="1"/>
    </xf>
    <xf numFmtId="0" fontId="1" fillId="7" borderId="48" xfId="0" applyFont="1" applyFill="1" applyBorder="1" applyAlignment="1">
      <alignment horizontal="center" vertical="center" wrapText="1"/>
    </xf>
    <xf numFmtId="49" fontId="1" fillId="7" borderId="10" xfId="0" applyNumberFormat="1" applyFont="1" applyFill="1" applyBorder="1" applyAlignment="1">
      <alignment horizontal="center" vertical="center" wrapText="1"/>
    </xf>
    <xf numFmtId="49" fontId="1" fillId="7" borderId="25" xfId="0" applyNumberFormat="1" applyFont="1" applyFill="1" applyBorder="1" applyAlignment="1">
      <alignment horizontal="center" vertical="center" wrapText="1"/>
    </xf>
    <xf numFmtId="49" fontId="1" fillId="7" borderId="37" xfId="0" applyNumberFormat="1" applyFont="1" applyFill="1" applyBorder="1" applyAlignment="1">
      <alignment horizontal="center" vertical="center" wrapText="1"/>
    </xf>
    <xf numFmtId="49" fontId="5" fillId="7" borderId="2" xfId="0" applyNumberFormat="1" applyFont="1" applyFill="1" applyBorder="1" applyAlignment="1">
      <alignment horizontal="center" vertical="center" wrapText="1"/>
    </xf>
    <xf numFmtId="49" fontId="5" fillId="7" borderId="4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49" fontId="1" fillId="8" borderId="2" xfId="0" applyNumberFormat="1" applyFont="1" applyFill="1" applyBorder="1" applyAlignment="1">
      <alignment horizontal="center" vertical="center" wrapText="1"/>
    </xf>
    <xf numFmtId="49" fontId="1" fillId="8" borderId="30" xfId="0" applyNumberFormat="1" applyFont="1" applyFill="1" applyBorder="1" applyAlignment="1">
      <alignment horizontal="center" vertical="center" wrapText="1"/>
    </xf>
    <xf numFmtId="49" fontId="1" fillId="8" borderId="4" xfId="0" applyNumberFormat="1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49" fontId="1" fillId="6" borderId="33" xfId="0" applyNumberFormat="1" applyFont="1" applyFill="1" applyBorder="1" applyAlignment="1">
      <alignment horizontal="center" vertical="center" wrapText="1"/>
    </xf>
    <xf numFmtId="49" fontId="1" fillId="6" borderId="16" xfId="0" applyNumberFormat="1" applyFont="1" applyFill="1" applyBorder="1" applyAlignment="1">
      <alignment horizontal="center" vertical="center" wrapText="1"/>
    </xf>
    <xf numFmtId="49" fontId="1" fillId="7" borderId="3" xfId="0" applyNumberFormat="1" applyFont="1" applyFill="1" applyBorder="1" applyAlignment="1">
      <alignment horizontal="center" vertical="center" wrapText="1"/>
    </xf>
    <xf numFmtId="49" fontId="1" fillId="7" borderId="33" xfId="0" applyNumberFormat="1" applyFont="1" applyFill="1" applyBorder="1" applyAlignment="1">
      <alignment horizontal="center" vertical="center" wrapText="1"/>
    </xf>
    <xf numFmtId="49" fontId="1" fillId="7" borderId="50" xfId="0" applyNumberFormat="1" applyFont="1" applyFill="1" applyBorder="1" applyAlignment="1">
      <alignment horizontal="center" vertical="center" wrapText="1"/>
    </xf>
    <xf numFmtId="49" fontId="1" fillId="7" borderId="13" xfId="0" applyNumberFormat="1" applyFont="1" applyFill="1" applyBorder="1" applyAlignment="1">
      <alignment horizontal="center" vertical="center" wrapText="1"/>
    </xf>
    <xf numFmtId="49" fontId="1" fillId="7" borderId="16" xfId="0" applyNumberFormat="1" applyFont="1" applyFill="1" applyBorder="1" applyAlignment="1">
      <alignment horizontal="center" vertical="center" wrapText="1"/>
    </xf>
    <xf numFmtId="49" fontId="1" fillId="4" borderId="7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49" fontId="1" fillId="6" borderId="44" xfId="0" applyNumberFormat="1" applyFont="1" applyFill="1" applyBorder="1" applyAlignment="1">
      <alignment horizontal="center" vertical="center" wrapText="1"/>
    </xf>
    <xf numFmtId="49" fontId="1" fillId="6" borderId="45" xfId="0" applyNumberFormat="1" applyFont="1" applyFill="1" applyBorder="1" applyAlignment="1">
      <alignment horizontal="center" vertical="center" wrapText="1"/>
    </xf>
    <xf numFmtId="49" fontId="1" fillId="6" borderId="46" xfId="0" applyNumberFormat="1" applyFont="1" applyFill="1" applyBorder="1" applyAlignment="1">
      <alignment horizontal="center" vertical="center" wrapText="1"/>
    </xf>
    <xf numFmtId="0" fontId="1" fillId="6" borderId="4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5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41" xfId="0" applyFont="1" applyFill="1" applyBorder="1" applyAlignment="1">
      <alignment horizontal="center" vertical="center" wrapText="1"/>
    </xf>
    <xf numFmtId="49" fontId="1" fillId="9" borderId="2" xfId="0" applyNumberFormat="1" applyFont="1" applyFill="1" applyBorder="1" applyAlignment="1">
      <alignment horizontal="center" vertical="center" wrapText="1"/>
    </xf>
    <xf numFmtId="49" fontId="1" fillId="9" borderId="30" xfId="0" applyNumberFormat="1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0" fontId="1" fillId="9" borderId="54" xfId="0" applyFont="1" applyFill="1" applyBorder="1" applyAlignment="1">
      <alignment horizontal="center" vertical="center" wrapText="1"/>
    </xf>
    <xf numFmtId="0" fontId="1" fillId="6" borderId="55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10" borderId="50" xfId="0" applyFont="1" applyFill="1" applyBorder="1" applyAlignment="1">
      <alignment horizontal="center" vertical="center" wrapText="1"/>
    </xf>
    <xf numFmtId="0" fontId="1" fillId="10" borderId="30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49" fontId="1" fillId="6" borderId="59" xfId="0" applyNumberFormat="1" applyFont="1" applyFill="1" applyBorder="1" applyAlignment="1">
      <alignment horizontal="center" vertical="center" wrapText="1"/>
    </xf>
    <xf numFmtId="49" fontId="1" fillId="6" borderId="51" xfId="0" applyNumberFormat="1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9" borderId="58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49" fontId="1" fillId="6" borderId="62" xfId="0" applyNumberFormat="1" applyFont="1" applyFill="1" applyBorder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49" fontId="1" fillId="6" borderId="25" xfId="0" applyNumberFormat="1" applyFont="1" applyFill="1" applyBorder="1" applyAlignment="1">
      <alignment horizontal="center" vertical="center" wrapText="1"/>
    </xf>
    <xf numFmtId="49" fontId="1" fillId="6" borderId="28" xfId="0" applyNumberFormat="1" applyFont="1" applyFill="1" applyBorder="1" applyAlignment="1">
      <alignment horizontal="center" vertical="center"/>
    </xf>
    <xf numFmtId="49" fontId="1" fillId="6" borderId="29" xfId="0" applyNumberFormat="1" applyFont="1" applyFill="1" applyBorder="1" applyAlignment="1">
      <alignment horizontal="center" vertical="center"/>
    </xf>
    <xf numFmtId="49" fontId="1" fillId="6" borderId="27" xfId="0" applyNumberFormat="1" applyFont="1" applyFill="1" applyBorder="1" applyAlignment="1">
      <alignment horizontal="center" vertical="center"/>
    </xf>
    <xf numFmtId="49" fontId="1" fillId="6" borderId="55" xfId="0" applyNumberFormat="1" applyFont="1" applyFill="1" applyBorder="1" applyAlignment="1">
      <alignment horizontal="center" vertical="center"/>
    </xf>
    <xf numFmtId="49" fontId="1" fillId="6" borderId="32" xfId="0" applyNumberFormat="1" applyFont="1" applyFill="1" applyBorder="1" applyAlignment="1">
      <alignment horizontal="center" vertical="center"/>
    </xf>
    <xf numFmtId="49" fontId="1" fillId="6" borderId="63" xfId="0" applyNumberFormat="1" applyFont="1" applyFill="1" applyBorder="1" applyAlignment="1">
      <alignment horizontal="center" vertical="center" wrapText="1"/>
    </xf>
    <xf numFmtId="49" fontId="1" fillId="6" borderId="57" xfId="0" applyNumberFormat="1" applyFont="1" applyFill="1" applyBorder="1" applyAlignment="1">
      <alignment horizontal="center" vertical="center" wrapText="1"/>
    </xf>
    <xf numFmtId="49" fontId="1" fillId="6" borderId="18" xfId="0" applyNumberFormat="1" applyFont="1" applyFill="1" applyBorder="1" applyAlignment="1">
      <alignment horizontal="center" vertical="center" wrapText="1"/>
    </xf>
    <xf numFmtId="49" fontId="1" fillId="11" borderId="61" xfId="0" applyNumberFormat="1" applyFont="1" applyFill="1" applyBorder="1" applyAlignment="1">
      <alignment horizontal="center" vertical="center"/>
    </xf>
    <xf numFmtId="49" fontId="1" fillId="11" borderId="57" xfId="0" applyNumberFormat="1" applyFont="1" applyFill="1" applyBorder="1" applyAlignment="1">
      <alignment horizontal="center" vertical="center"/>
    </xf>
    <xf numFmtId="49" fontId="1" fillId="9" borderId="28" xfId="0" applyNumberFormat="1" applyFont="1" applyFill="1" applyBorder="1" applyAlignment="1">
      <alignment horizontal="center" vertical="center" wrapText="1"/>
    </xf>
    <xf numFmtId="49" fontId="1" fillId="9" borderId="27" xfId="0" applyNumberFormat="1" applyFont="1" applyFill="1" applyBorder="1" applyAlignment="1">
      <alignment horizontal="center" vertical="center" wrapText="1"/>
    </xf>
    <xf numFmtId="49" fontId="1" fillId="9" borderId="4" xfId="0" applyNumberFormat="1" applyFont="1" applyFill="1" applyBorder="1" applyAlignment="1">
      <alignment horizontal="center" vertical="center" wrapText="1"/>
    </xf>
    <xf numFmtId="49" fontId="1" fillId="6" borderId="40" xfId="0" applyNumberFormat="1" applyFont="1" applyFill="1" applyBorder="1" applyAlignment="1">
      <alignment horizontal="center" vertical="center" wrapText="1"/>
    </xf>
    <xf numFmtId="0" fontId="1" fillId="6" borderId="47" xfId="0" applyFont="1" applyFill="1" applyBorder="1" applyAlignment="1">
      <alignment horizontal="center" vertical="center" wrapText="1"/>
    </xf>
    <xf numFmtId="0" fontId="1" fillId="6" borderId="48" xfId="0" applyFont="1" applyFill="1" applyBorder="1" applyAlignment="1">
      <alignment horizontal="center" vertical="center" wrapText="1"/>
    </xf>
    <xf numFmtId="49" fontId="1" fillId="6" borderId="10" xfId="0" applyNumberFormat="1" applyFont="1" applyFill="1" applyBorder="1" applyAlignment="1">
      <alignment horizontal="center" vertical="center" wrapText="1"/>
    </xf>
    <xf numFmtId="49" fontId="1" fillId="6" borderId="37" xfId="0" applyNumberFormat="1" applyFont="1" applyFill="1" applyBorder="1" applyAlignment="1">
      <alignment horizontal="center" vertical="center" wrapText="1"/>
    </xf>
    <xf numFmtId="0" fontId="1" fillId="9" borderId="29" xfId="0" applyFont="1" applyFill="1" applyBorder="1" applyAlignment="1">
      <alignment horizontal="center" vertical="center" wrapText="1"/>
    </xf>
    <xf numFmtId="0" fontId="1" fillId="9" borderId="27" xfId="0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41" xfId="0" applyNumberFormat="1" applyFont="1" applyFill="1" applyBorder="1" applyAlignment="1">
      <alignment horizontal="center" vertical="center"/>
    </xf>
    <xf numFmtId="49" fontId="1" fillId="6" borderId="10" xfId="0" applyNumberFormat="1" applyFont="1" applyFill="1" applyBorder="1" applyAlignment="1">
      <alignment horizontal="left" vertical="center" wrapText="1"/>
    </xf>
    <xf numFmtId="49" fontId="1" fillId="6" borderId="37" xfId="0" applyNumberFormat="1" applyFont="1" applyFill="1" applyBorder="1" applyAlignment="1">
      <alignment horizontal="left" vertical="center" wrapText="1"/>
    </xf>
    <xf numFmtId="49" fontId="1" fillId="6" borderId="56" xfId="0" applyNumberFormat="1" applyFont="1" applyFill="1" applyBorder="1" applyAlignment="1">
      <alignment horizontal="center" vertical="center" wrapText="1"/>
    </xf>
    <xf numFmtId="49" fontId="1" fillId="6" borderId="43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MF1958"/>
  <sheetViews>
    <sheetView tabSelected="1" zoomScale="85" zoomScaleNormal="85" zoomScaleSheetLayoutView="115" workbookViewId="0">
      <pane ySplit="2" topLeftCell="A1909" activePane="bottomLeft" state="frozen"/>
      <selection pane="bottomLeft" activeCell="M1953" sqref="M1953"/>
    </sheetView>
  </sheetViews>
  <sheetFormatPr defaultColWidth="9.140625" defaultRowHeight="18.75" x14ac:dyDescent="0.25"/>
  <cols>
    <col min="1" max="1" width="6.5703125" style="1" customWidth="1"/>
    <col min="2" max="2" width="11.42578125" style="1" customWidth="1"/>
    <col min="3" max="3" width="37.5703125" style="2" customWidth="1"/>
    <col min="4" max="4" width="11.7109375" style="3" customWidth="1"/>
    <col min="5" max="5" width="19.85546875" style="1" customWidth="1"/>
    <col min="6" max="6" width="21.42578125" style="4" customWidth="1"/>
    <col min="7" max="7" width="15.7109375" style="1" customWidth="1"/>
    <col min="8" max="8" width="24.28515625" style="5" customWidth="1"/>
    <col min="9" max="9" width="9.85546875" style="1" customWidth="1"/>
    <col min="10" max="12" width="16.28515625" style="1" hidden="1" customWidth="1"/>
    <col min="13" max="13" width="72.5703125" style="2" customWidth="1"/>
    <col min="14" max="14" width="10.5703125" style="2" bestFit="1" customWidth="1"/>
    <col min="15" max="1020" width="9.140625" style="2"/>
  </cols>
  <sheetData>
    <row r="1" spans="1:17" ht="19.5" thickBot="1" x14ac:dyDescent="0.3">
      <c r="A1" s="506" t="s">
        <v>54</v>
      </c>
      <c r="B1" s="507"/>
      <c r="C1" s="507"/>
      <c r="D1" s="507"/>
      <c r="E1" s="507"/>
      <c r="F1" s="507"/>
      <c r="G1" s="507"/>
      <c r="H1" s="508"/>
      <c r="I1" s="10"/>
      <c r="M1" s="510" t="s">
        <v>288</v>
      </c>
      <c r="N1" s="510"/>
      <c r="O1" s="510" t="s">
        <v>289</v>
      </c>
      <c r="P1" s="510"/>
      <c r="Q1" s="510"/>
    </row>
    <row r="2" spans="1:17" ht="75.75" thickBot="1" x14ac:dyDescent="0.3">
      <c r="A2" s="6" t="s">
        <v>0</v>
      </c>
      <c r="B2" s="7" t="s">
        <v>1</v>
      </c>
      <c r="C2" s="7" t="s">
        <v>2</v>
      </c>
      <c r="D2" s="8" t="s">
        <v>3</v>
      </c>
      <c r="E2" s="7" t="s">
        <v>4</v>
      </c>
      <c r="F2" s="9" t="s">
        <v>5</v>
      </c>
      <c r="G2" s="7" t="s">
        <v>6</v>
      </c>
      <c r="H2" s="177" t="s">
        <v>53</v>
      </c>
      <c r="I2" s="10" t="s">
        <v>7</v>
      </c>
      <c r="J2" s="10" t="s">
        <v>8</v>
      </c>
      <c r="K2" s="10" t="s">
        <v>9</v>
      </c>
      <c r="L2" s="10" t="s">
        <v>10</v>
      </c>
    </row>
    <row r="3" spans="1:17" ht="38.25" hidden="1" thickBot="1" x14ac:dyDescent="0.3">
      <c r="A3" s="11">
        <v>1</v>
      </c>
      <c r="B3" s="12" t="s">
        <v>11</v>
      </c>
      <c r="C3" s="13" t="s">
        <v>12</v>
      </c>
      <c r="D3" s="14">
        <v>0.6</v>
      </c>
      <c r="E3" s="15" t="s">
        <v>13</v>
      </c>
      <c r="F3" s="16"/>
      <c r="G3" s="17" t="s">
        <v>14</v>
      </c>
      <c r="H3" s="18" t="s">
        <v>15</v>
      </c>
      <c r="I3" s="18" t="str">
        <f>RIGHT(G3,5)</f>
        <v>02,24</v>
      </c>
      <c r="J3" s="15"/>
      <c r="K3" s="15"/>
      <c r="L3" s="19"/>
    </row>
    <row r="4" spans="1:17" ht="19.5" hidden="1" thickBot="1" x14ac:dyDescent="0.3">
      <c r="A4" s="509">
        <v>2</v>
      </c>
      <c r="B4" s="20" t="s">
        <v>16</v>
      </c>
      <c r="C4" s="21" t="s">
        <v>17</v>
      </c>
      <c r="D4" s="22">
        <v>4.5919999999999996</v>
      </c>
      <c r="E4" s="23" t="s">
        <v>13</v>
      </c>
      <c r="F4" s="24"/>
      <c r="G4" s="23" t="s">
        <v>14</v>
      </c>
      <c r="H4" s="25"/>
      <c r="I4" s="25" t="str">
        <f t="shared" ref="I4:I216" si="0">RIGHT(G4,5)</f>
        <v>02,24</v>
      </c>
      <c r="J4" s="26"/>
      <c r="K4" s="27"/>
      <c r="L4" s="27"/>
    </row>
    <row r="5" spans="1:17" ht="19.5" hidden="1" thickBot="1" x14ac:dyDescent="0.3">
      <c r="A5" s="509"/>
      <c r="B5" s="28" t="s">
        <v>16</v>
      </c>
      <c r="C5" s="29" t="s">
        <v>18</v>
      </c>
      <c r="D5" s="30">
        <v>5.6289999999999996</v>
      </c>
      <c r="E5" s="31" t="s">
        <v>13</v>
      </c>
      <c r="F5" s="32"/>
      <c r="G5" s="31" t="s">
        <v>14</v>
      </c>
      <c r="H5" s="33"/>
      <c r="I5" s="33" t="str">
        <f t="shared" si="0"/>
        <v>02,24</v>
      </c>
      <c r="J5" s="26"/>
      <c r="K5" s="27"/>
      <c r="L5" s="27"/>
    </row>
    <row r="6" spans="1:17" ht="19.5" hidden="1" thickBot="1" x14ac:dyDescent="0.3">
      <c r="A6" s="509"/>
      <c r="B6" s="28" t="s">
        <v>16</v>
      </c>
      <c r="C6" s="29" t="s">
        <v>19</v>
      </c>
      <c r="D6" s="30">
        <v>5.1340000000000003</v>
      </c>
      <c r="E6" s="31" t="s">
        <v>13</v>
      </c>
      <c r="F6" s="32"/>
      <c r="G6" s="31" t="s">
        <v>14</v>
      </c>
      <c r="H6" s="33"/>
      <c r="I6" s="33" t="str">
        <f t="shared" si="0"/>
        <v>02,24</v>
      </c>
      <c r="J6" s="26"/>
      <c r="K6" s="27"/>
      <c r="L6" s="27"/>
    </row>
    <row r="7" spans="1:17" ht="19.5" hidden="1" thickBot="1" x14ac:dyDescent="0.3">
      <c r="A7" s="509"/>
      <c r="B7" s="34" t="s">
        <v>16</v>
      </c>
      <c r="C7" s="35" t="s">
        <v>20</v>
      </c>
      <c r="D7" s="36">
        <v>1.62</v>
      </c>
      <c r="E7" s="37" t="s">
        <v>13</v>
      </c>
      <c r="F7" s="38"/>
      <c r="G7" s="37" t="s">
        <v>14</v>
      </c>
      <c r="H7" s="39"/>
      <c r="I7" s="39" t="str">
        <f t="shared" si="0"/>
        <v>02,24</v>
      </c>
      <c r="J7" s="26"/>
      <c r="K7" s="27"/>
      <c r="L7" s="27"/>
    </row>
    <row r="8" spans="1:17" ht="38.25" hidden="1" thickBot="1" x14ac:dyDescent="0.3">
      <c r="A8" s="11">
        <v>3</v>
      </c>
      <c r="B8" s="12" t="s">
        <v>21</v>
      </c>
      <c r="C8" s="13" t="s">
        <v>12</v>
      </c>
      <c r="D8" s="14">
        <v>0.8</v>
      </c>
      <c r="E8" s="15" t="s">
        <v>13</v>
      </c>
      <c r="F8" s="16"/>
      <c r="G8" s="17" t="s">
        <v>22</v>
      </c>
      <c r="H8" s="18" t="s">
        <v>15</v>
      </c>
      <c r="I8" s="18" t="str">
        <f t="shared" si="0"/>
        <v>02,24</v>
      </c>
      <c r="J8" s="27"/>
      <c r="K8" s="27"/>
      <c r="L8" s="27"/>
    </row>
    <row r="9" spans="1:17" ht="19.5" hidden="1" thickBot="1" x14ac:dyDescent="0.3">
      <c r="A9" s="509">
        <v>4</v>
      </c>
      <c r="B9" s="20" t="s">
        <v>16</v>
      </c>
      <c r="C9" s="21" t="s">
        <v>17</v>
      </c>
      <c r="D9" s="22">
        <v>6.7750000000000004</v>
      </c>
      <c r="E9" s="23" t="s">
        <v>13</v>
      </c>
      <c r="F9" s="24"/>
      <c r="G9" s="23" t="s">
        <v>23</v>
      </c>
      <c r="H9" s="25"/>
      <c r="I9" s="25" t="str">
        <f t="shared" si="0"/>
        <v>02,24</v>
      </c>
      <c r="J9" s="26"/>
      <c r="K9" s="27"/>
      <c r="L9" s="27"/>
    </row>
    <row r="10" spans="1:17" ht="19.5" hidden="1" thickBot="1" x14ac:dyDescent="0.3">
      <c r="A10" s="509"/>
      <c r="B10" s="28" t="s">
        <v>16</v>
      </c>
      <c r="C10" s="29" t="s">
        <v>18</v>
      </c>
      <c r="D10" s="30">
        <v>1.298</v>
      </c>
      <c r="E10" s="31" t="s">
        <v>13</v>
      </c>
      <c r="F10" s="32"/>
      <c r="G10" s="31" t="s">
        <v>23</v>
      </c>
      <c r="H10" s="33"/>
      <c r="I10" s="33" t="str">
        <f t="shared" si="0"/>
        <v>02,24</v>
      </c>
      <c r="J10" s="26"/>
      <c r="K10" s="27"/>
      <c r="L10" s="27"/>
    </row>
    <row r="11" spans="1:17" ht="19.5" hidden="1" thickBot="1" x14ac:dyDescent="0.3">
      <c r="A11" s="509"/>
      <c r="B11" s="28" t="s">
        <v>16</v>
      </c>
      <c r="C11" s="29" t="s">
        <v>19</v>
      </c>
      <c r="D11" s="30">
        <v>7.3</v>
      </c>
      <c r="E11" s="31" t="s">
        <v>13</v>
      </c>
      <c r="F11" s="32"/>
      <c r="G11" s="31" t="s">
        <v>23</v>
      </c>
      <c r="H11" s="33"/>
      <c r="I11" s="33" t="str">
        <f t="shared" si="0"/>
        <v>02,24</v>
      </c>
      <c r="J11" s="26"/>
      <c r="K11" s="27"/>
      <c r="L11" s="27"/>
    </row>
    <row r="12" spans="1:17" ht="19.5" hidden="1" thickBot="1" x14ac:dyDescent="0.3">
      <c r="A12" s="509"/>
      <c r="B12" s="34" t="s">
        <v>16</v>
      </c>
      <c r="C12" s="35" t="s">
        <v>20</v>
      </c>
      <c r="D12" s="36">
        <v>1.6040000000000001</v>
      </c>
      <c r="E12" s="37" t="s">
        <v>13</v>
      </c>
      <c r="F12" s="38"/>
      <c r="G12" s="37" t="s">
        <v>23</v>
      </c>
      <c r="H12" s="39"/>
      <c r="I12" s="39" t="str">
        <f t="shared" si="0"/>
        <v>02,24</v>
      </c>
      <c r="J12" s="26"/>
      <c r="K12" s="27"/>
      <c r="L12" s="27"/>
    </row>
    <row r="13" spans="1:17" ht="38.25" hidden="1" thickBot="1" x14ac:dyDescent="0.3">
      <c r="A13" s="11">
        <v>5</v>
      </c>
      <c r="B13" s="12" t="s">
        <v>24</v>
      </c>
      <c r="C13" s="13" t="s">
        <v>12</v>
      </c>
      <c r="D13" s="14">
        <v>0.3</v>
      </c>
      <c r="E13" s="15" t="s">
        <v>13</v>
      </c>
      <c r="F13" s="16"/>
      <c r="G13" s="17" t="s">
        <v>25</v>
      </c>
      <c r="H13" s="18" t="s">
        <v>15</v>
      </c>
      <c r="I13" s="18" t="str">
        <f t="shared" si="0"/>
        <v>03,24</v>
      </c>
      <c r="J13" s="27"/>
      <c r="K13" s="27"/>
      <c r="L13" s="27"/>
    </row>
    <row r="14" spans="1:17" ht="19.5" hidden="1" thickBot="1" x14ac:dyDescent="0.3">
      <c r="A14" s="509">
        <v>6</v>
      </c>
      <c r="B14" s="20" t="s">
        <v>26</v>
      </c>
      <c r="C14" s="21" t="s">
        <v>17</v>
      </c>
      <c r="D14" s="22">
        <v>9.4529999999999994</v>
      </c>
      <c r="E14" s="23" t="s">
        <v>13</v>
      </c>
      <c r="F14" s="24"/>
      <c r="G14" s="23" t="s">
        <v>25</v>
      </c>
      <c r="H14" s="25"/>
      <c r="I14" s="25" t="str">
        <f t="shared" si="0"/>
        <v>03,24</v>
      </c>
      <c r="J14" s="27"/>
      <c r="K14" s="27"/>
      <c r="L14" s="27"/>
    </row>
    <row r="15" spans="1:17" ht="19.5" hidden="1" thickBot="1" x14ac:dyDescent="0.3">
      <c r="A15" s="509"/>
      <c r="B15" s="28" t="s">
        <v>26</v>
      </c>
      <c r="C15" s="29" t="s">
        <v>18</v>
      </c>
      <c r="D15" s="30">
        <v>2.9350000000000001</v>
      </c>
      <c r="E15" s="31" t="s">
        <v>13</v>
      </c>
      <c r="F15" s="32"/>
      <c r="G15" s="31" t="s">
        <v>25</v>
      </c>
      <c r="H15" s="33"/>
      <c r="I15" s="33" t="str">
        <f t="shared" si="0"/>
        <v>03,24</v>
      </c>
      <c r="J15" s="27"/>
      <c r="K15" s="27"/>
      <c r="L15" s="27"/>
    </row>
    <row r="16" spans="1:17" ht="19.5" hidden="1" thickBot="1" x14ac:dyDescent="0.3">
      <c r="A16" s="509"/>
      <c r="B16" s="28" t="s">
        <v>26</v>
      </c>
      <c r="C16" s="29" t="s">
        <v>19</v>
      </c>
      <c r="D16" s="30">
        <v>2.7839999999999998</v>
      </c>
      <c r="E16" s="31" t="s">
        <v>13</v>
      </c>
      <c r="F16" s="32"/>
      <c r="G16" s="31" t="s">
        <v>25</v>
      </c>
      <c r="H16" s="33"/>
      <c r="I16" s="33" t="str">
        <f t="shared" si="0"/>
        <v>03,24</v>
      </c>
      <c r="J16" s="27"/>
      <c r="K16" s="27"/>
      <c r="L16" s="27"/>
    </row>
    <row r="17" spans="1:12" ht="19.5" hidden="1" thickBot="1" x14ac:dyDescent="0.3">
      <c r="A17" s="509"/>
      <c r="B17" s="34" t="s">
        <v>26</v>
      </c>
      <c r="C17" s="35" t="s">
        <v>20</v>
      </c>
      <c r="D17" s="36">
        <v>1.6539999999999999</v>
      </c>
      <c r="E17" s="37" t="s">
        <v>13</v>
      </c>
      <c r="F17" s="38"/>
      <c r="G17" s="37" t="s">
        <v>25</v>
      </c>
      <c r="H17" s="39"/>
      <c r="I17" s="39" t="str">
        <f t="shared" si="0"/>
        <v>03,24</v>
      </c>
      <c r="J17" s="27"/>
      <c r="K17" s="27"/>
      <c r="L17" s="27"/>
    </row>
    <row r="18" spans="1:12" ht="38.25" hidden="1" thickBot="1" x14ac:dyDescent="0.3">
      <c r="A18" s="11">
        <v>7</v>
      </c>
      <c r="B18" s="12" t="s">
        <v>27</v>
      </c>
      <c r="C18" s="13" t="s">
        <v>12</v>
      </c>
      <c r="D18" s="14">
        <v>0.6</v>
      </c>
      <c r="E18" s="15" t="s">
        <v>13</v>
      </c>
      <c r="F18" s="16"/>
      <c r="G18" s="17" t="s">
        <v>28</v>
      </c>
      <c r="H18" s="18" t="s">
        <v>15</v>
      </c>
      <c r="I18" s="18" t="str">
        <f t="shared" si="0"/>
        <v>03,24</v>
      </c>
      <c r="J18" s="27"/>
      <c r="K18" s="27"/>
      <c r="L18" s="27"/>
    </row>
    <row r="19" spans="1:12" ht="19.5" hidden="1" thickBot="1" x14ac:dyDescent="0.3">
      <c r="A19" s="509">
        <v>8</v>
      </c>
      <c r="B19" s="20" t="s">
        <v>29</v>
      </c>
      <c r="C19" s="21" t="s">
        <v>17</v>
      </c>
      <c r="D19" s="22">
        <v>6.7</v>
      </c>
      <c r="E19" s="23" t="s">
        <v>13</v>
      </c>
      <c r="F19" s="24"/>
      <c r="G19" s="23" t="s">
        <v>30</v>
      </c>
      <c r="H19" s="25"/>
      <c r="I19" s="25" t="str">
        <f t="shared" si="0"/>
        <v>03,24</v>
      </c>
      <c r="J19" s="26"/>
      <c r="K19" s="27"/>
      <c r="L19" s="27"/>
    </row>
    <row r="20" spans="1:12" ht="19.5" hidden="1" thickBot="1" x14ac:dyDescent="0.3">
      <c r="A20" s="509"/>
      <c r="B20" s="28" t="s">
        <v>29</v>
      </c>
      <c r="C20" s="29" t="s">
        <v>18</v>
      </c>
      <c r="D20" s="30">
        <v>4.8</v>
      </c>
      <c r="E20" s="31" t="s">
        <v>13</v>
      </c>
      <c r="F20" s="32"/>
      <c r="G20" s="31" t="s">
        <v>30</v>
      </c>
      <c r="H20" s="33"/>
      <c r="I20" s="33" t="str">
        <f t="shared" si="0"/>
        <v>03,24</v>
      </c>
      <c r="J20" s="26"/>
      <c r="K20" s="27"/>
      <c r="L20" s="27"/>
    </row>
    <row r="21" spans="1:12" ht="19.5" hidden="1" thickBot="1" x14ac:dyDescent="0.3">
      <c r="A21" s="509"/>
      <c r="B21" s="28" t="s">
        <v>29</v>
      </c>
      <c r="C21" s="29" t="s">
        <v>19</v>
      </c>
      <c r="D21" s="30">
        <v>4.5999999999999996</v>
      </c>
      <c r="E21" s="31" t="s">
        <v>13</v>
      </c>
      <c r="F21" s="32"/>
      <c r="G21" s="31" t="s">
        <v>30</v>
      </c>
      <c r="H21" s="33"/>
      <c r="I21" s="33" t="str">
        <f t="shared" si="0"/>
        <v>03,24</v>
      </c>
      <c r="J21" s="26"/>
      <c r="K21" s="27"/>
      <c r="L21" s="27"/>
    </row>
    <row r="22" spans="1:12" ht="19.5" hidden="1" thickBot="1" x14ac:dyDescent="0.3">
      <c r="A22" s="509"/>
      <c r="B22" s="34" t="s">
        <v>29</v>
      </c>
      <c r="C22" s="35" t="s">
        <v>20</v>
      </c>
      <c r="D22" s="36">
        <v>1.3</v>
      </c>
      <c r="E22" s="37" t="s">
        <v>13</v>
      </c>
      <c r="F22" s="38"/>
      <c r="G22" s="37" t="s">
        <v>30</v>
      </c>
      <c r="H22" s="39"/>
      <c r="I22" s="39" t="str">
        <f t="shared" si="0"/>
        <v>03,24</v>
      </c>
      <c r="J22" s="26"/>
      <c r="K22" s="27"/>
      <c r="L22" s="27"/>
    </row>
    <row r="23" spans="1:12" ht="19.5" hidden="1" thickBot="1" x14ac:dyDescent="0.3">
      <c r="A23" s="503">
        <v>9</v>
      </c>
      <c r="B23" s="42" t="s">
        <v>31</v>
      </c>
      <c r="C23" s="43" t="s">
        <v>17</v>
      </c>
      <c r="D23" s="44">
        <v>5.1139999999999999</v>
      </c>
      <c r="E23" s="45" t="s">
        <v>13</v>
      </c>
      <c r="F23" s="46"/>
      <c r="G23" s="45" t="s">
        <v>32</v>
      </c>
      <c r="H23" s="47"/>
      <c r="I23" s="47" t="str">
        <f t="shared" si="0"/>
        <v>03,24</v>
      </c>
      <c r="J23" s="26"/>
      <c r="K23" s="27"/>
      <c r="L23" s="27"/>
    </row>
    <row r="24" spans="1:12" ht="19.5" hidden="1" thickBot="1" x14ac:dyDescent="0.3">
      <c r="A24" s="503"/>
      <c r="B24" s="48" t="s">
        <v>31</v>
      </c>
      <c r="C24" s="49" t="s">
        <v>18</v>
      </c>
      <c r="D24" s="50">
        <v>4.4770000000000003</v>
      </c>
      <c r="E24" s="51" t="s">
        <v>13</v>
      </c>
      <c r="F24" s="52"/>
      <c r="G24" s="51" t="s">
        <v>32</v>
      </c>
      <c r="H24" s="53"/>
      <c r="I24" s="53" t="str">
        <f t="shared" si="0"/>
        <v>03,24</v>
      </c>
      <c r="J24" s="26"/>
      <c r="K24" s="27"/>
      <c r="L24" s="27"/>
    </row>
    <row r="25" spans="1:12" ht="19.5" hidden="1" thickBot="1" x14ac:dyDescent="0.3">
      <c r="A25" s="503"/>
      <c r="B25" s="48" t="s">
        <v>31</v>
      </c>
      <c r="C25" s="49" t="s">
        <v>19</v>
      </c>
      <c r="D25" s="50">
        <v>5.8890000000000002</v>
      </c>
      <c r="E25" s="51" t="s">
        <v>13</v>
      </c>
      <c r="F25" s="52"/>
      <c r="G25" s="51" t="s">
        <v>32</v>
      </c>
      <c r="H25" s="53"/>
      <c r="I25" s="53" t="str">
        <f t="shared" si="0"/>
        <v>03,24</v>
      </c>
      <c r="J25" s="26"/>
      <c r="K25" s="27"/>
      <c r="L25" s="27"/>
    </row>
    <row r="26" spans="1:12" ht="19.5" hidden="1" thickBot="1" x14ac:dyDescent="0.3">
      <c r="A26" s="503"/>
      <c r="B26" s="54" t="s">
        <v>31</v>
      </c>
      <c r="C26" s="55" t="s">
        <v>20</v>
      </c>
      <c r="D26" s="56">
        <v>2.0430000000000001</v>
      </c>
      <c r="E26" s="57" t="s">
        <v>13</v>
      </c>
      <c r="F26" s="58"/>
      <c r="G26" s="57" t="s">
        <v>32</v>
      </c>
      <c r="H26" s="59"/>
      <c r="I26" s="59" t="str">
        <f t="shared" si="0"/>
        <v>03,24</v>
      </c>
      <c r="J26" s="26"/>
      <c r="K26" s="27"/>
      <c r="L26" s="27"/>
    </row>
    <row r="27" spans="1:12" ht="18.75" hidden="1" customHeight="1" thickBot="1" x14ac:dyDescent="0.3">
      <c r="A27" s="509">
        <v>10</v>
      </c>
      <c r="B27" s="60" t="s">
        <v>31</v>
      </c>
      <c r="C27" s="21" t="s">
        <v>17</v>
      </c>
      <c r="D27" s="22">
        <v>1.905</v>
      </c>
      <c r="E27" s="23" t="s">
        <v>13</v>
      </c>
      <c r="F27" s="501" t="s">
        <v>33</v>
      </c>
      <c r="G27" s="23" t="s">
        <v>32</v>
      </c>
      <c r="H27" s="99"/>
      <c r="I27" s="99" t="str">
        <f t="shared" si="0"/>
        <v>03,24</v>
      </c>
      <c r="J27" s="26"/>
      <c r="K27" s="27"/>
      <c r="L27" s="27"/>
    </row>
    <row r="28" spans="1:12" ht="19.5" hidden="1" thickBot="1" x14ac:dyDescent="0.3">
      <c r="A28" s="509"/>
      <c r="B28" s="61" t="s">
        <v>31</v>
      </c>
      <c r="C28" s="29" t="s">
        <v>18</v>
      </c>
      <c r="D28" s="30">
        <v>1.8979999999999999</v>
      </c>
      <c r="E28" s="31" t="s">
        <v>13</v>
      </c>
      <c r="F28" s="501"/>
      <c r="G28" s="31" t="s">
        <v>32</v>
      </c>
      <c r="H28" s="100"/>
      <c r="I28" s="100" t="str">
        <f t="shared" si="0"/>
        <v>03,24</v>
      </c>
      <c r="J28" s="26"/>
      <c r="K28" s="27"/>
      <c r="L28" s="27"/>
    </row>
    <row r="29" spans="1:12" ht="19.5" hidden="1" thickBot="1" x14ac:dyDescent="0.3">
      <c r="A29" s="509"/>
      <c r="B29" s="62" t="s">
        <v>31</v>
      </c>
      <c r="C29" s="35" t="s">
        <v>19</v>
      </c>
      <c r="D29" s="36">
        <v>1.9</v>
      </c>
      <c r="E29" s="37" t="s">
        <v>13</v>
      </c>
      <c r="F29" s="501"/>
      <c r="G29" s="37" t="s">
        <v>32</v>
      </c>
      <c r="H29" s="101"/>
      <c r="I29" s="101" t="str">
        <f t="shared" si="0"/>
        <v>03,24</v>
      </c>
      <c r="J29" s="26"/>
      <c r="K29" s="27"/>
      <c r="L29" s="27"/>
    </row>
    <row r="30" spans="1:12" ht="18.75" hidden="1" customHeight="1" thickBot="1" x14ac:dyDescent="0.3">
      <c r="A30" s="509"/>
      <c r="B30" s="28" t="s">
        <v>31</v>
      </c>
      <c r="C30" s="63" t="s">
        <v>17</v>
      </c>
      <c r="D30" s="64">
        <v>5.7220000000000004</v>
      </c>
      <c r="E30" s="28" t="s">
        <v>34</v>
      </c>
      <c r="F30" s="502" t="s">
        <v>35</v>
      </c>
      <c r="G30" s="28" t="s">
        <v>36</v>
      </c>
      <c r="H30" s="40"/>
      <c r="I30" s="40" t="str">
        <f t="shared" si="0"/>
        <v>03,24</v>
      </c>
      <c r="J30" s="26"/>
      <c r="K30" s="27"/>
      <c r="L30" s="27"/>
    </row>
    <row r="31" spans="1:12" ht="19.5" hidden="1" thickBot="1" x14ac:dyDescent="0.3">
      <c r="A31" s="509"/>
      <c r="B31" s="28" t="s">
        <v>31</v>
      </c>
      <c r="C31" s="63" t="s">
        <v>18</v>
      </c>
      <c r="D31" s="64">
        <v>2.504</v>
      </c>
      <c r="E31" s="28" t="s">
        <v>34</v>
      </c>
      <c r="F31" s="502"/>
      <c r="G31" s="28" t="s">
        <v>36</v>
      </c>
      <c r="H31" s="40"/>
      <c r="I31" s="40" t="str">
        <f t="shared" si="0"/>
        <v>03,24</v>
      </c>
      <c r="J31" s="26"/>
      <c r="K31" s="27"/>
      <c r="L31" s="27"/>
    </row>
    <row r="32" spans="1:12" ht="19.5" hidden="1" thickBot="1" x14ac:dyDescent="0.3">
      <c r="A32" s="509"/>
      <c r="B32" s="34" t="s">
        <v>31</v>
      </c>
      <c r="C32" s="65" t="s">
        <v>19</v>
      </c>
      <c r="D32" s="66">
        <v>0.76900000000000002</v>
      </c>
      <c r="E32" s="34" t="s">
        <v>34</v>
      </c>
      <c r="F32" s="502"/>
      <c r="G32" s="34" t="s">
        <v>36</v>
      </c>
      <c r="H32" s="41"/>
      <c r="I32" s="41" t="str">
        <f t="shared" si="0"/>
        <v>03,24</v>
      </c>
      <c r="J32" s="26"/>
      <c r="K32" s="27"/>
      <c r="L32" s="27"/>
    </row>
    <row r="33" spans="1:13" ht="18.75" hidden="1" customHeight="1" thickBot="1" x14ac:dyDescent="0.3">
      <c r="A33" s="503">
        <v>11</v>
      </c>
      <c r="B33" s="42" t="s">
        <v>37</v>
      </c>
      <c r="C33" s="43" t="s">
        <v>17</v>
      </c>
      <c r="D33" s="44">
        <v>5.3630000000000004</v>
      </c>
      <c r="E33" s="45" t="s">
        <v>13</v>
      </c>
      <c r="F33" s="504" t="s">
        <v>38</v>
      </c>
      <c r="G33" s="45" t="s">
        <v>39</v>
      </c>
      <c r="H33" s="47"/>
      <c r="I33" s="47" t="str">
        <f t="shared" si="0"/>
        <v>03,24</v>
      </c>
      <c r="J33" s="26"/>
      <c r="K33" s="27"/>
      <c r="L33" s="27"/>
    </row>
    <row r="34" spans="1:13" ht="19.5" hidden="1" thickBot="1" x14ac:dyDescent="0.3">
      <c r="A34" s="503"/>
      <c r="B34" s="48" t="s">
        <v>37</v>
      </c>
      <c r="C34" s="49" t="s">
        <v>18</v>
      </c>
      <c r="D34" s="50">
        <v>5.7149999999999999</v>
      </c>
      <c r="E34" s="51" t="s">
        <v>13</v>
      </c>
      <c r="F34" s="504"/>
      <c r="G34" s="51" t="s">
        <v>39</v>
      </c>
      <c r="H34" s="53"/>
      <c r="I34" s="53" t="str">
        <f t="shared" si="0"/>
        <v>03,24</v>
      </c>
      <c r="J34" s="26"/>
      <c r="K34" s="27"/>
      <c r="L34" s="27"/>
    </row>
    <row r="35" spans="1:13" ht="19.5" hidden="1" thickBot="1" x14ac:dyDescent="0.3">
      <c r="A35" s="503"/>
      <c r="B35" s="54" t="s">
        <v>37</v>
      </c>
      <c r="C35" s="55" t="s">
        <v>19</v>
      </c>
      <c r="D35" s="56">
        <v>5.9349999999999996</v>
      </c>
      <c r="E35" s="57" t="s">
        <v>13</v>
      </c>
      <c r="F35" s="504"/>
      <c r="G35" s="57" t="s">
        <v>39</v>
      </c>
      <c r="H35" s="59"/>
      <c r="I35" s="59" t="str">
        <f t="shared" si="0"/>
        <v>03,24</v>
      </c>
      <c r="J35" s="26"/>
      <c r="K35" s="27"/>
      <c r="L35" s="27"/>
    </row>
    <row r="36" spans="1:13" ht="18.75" hidden="1" customHeight="1" thickBot="1" x14ac:dyDescent="0.3">
      <c r="A36" s="509">
        <v>12</v>
      </c>
      <c r="B36" s="20" t="s">
        <v>37</v>
      </c>
      <c r="C36" s="21" t="s">
        <v>17</v>
      </c>
      <c r="D36" s="22">
        <v>6.9029999999999996</v>
      </c>
      <c r="E36" s="23" t="s">
        <v>13</v>
      </c>
      <c r="F36" s="501" t="s">
        <v>40</v>
      </c>
      <c r="G36" s="23" t="s">
        <v>41</v>
      </c>
      <c r="H36" s="25"/>
      <c r="I36" s="25" t="str">
        <f t="shared" si="0"/>
        <v>03,24</v>
      </c>
      <c r="J36" s="26"/>
      <c r="K36" s="27"/>
      <c r="L36" s="27"/>
    </row>
    <row r="37" spans="1:13" ht="19.5" hidden="1" thickBot="1" x14ac:dyDescent="0.3">
      <c r="A37" s="509"/>
      <c r="B37" s="34" t="s">
        <v>37</v>
      </c>
      <c r="C37" s="35" t="s">
        <v>20</v>
      </c>
      <c r="D37" s="36">
        <v>1.401</v>
      </c>
      <c r="E37" s="37" t="s">
        <v>13</v>
      </c>
      <c r="F37" s="501"/>
      <c r="G37" s="37" t="s">
        <v>41</v>
      </c>
      <c r="H37" s="39"/>
      <c r="I37" s="39" t="str">
        <f t="shared" si="0"/>
        <v>03,24</v>
      </c>
      <c r="J37" s="26"/>
      <c r="K37" s="27"/>
      <c r="L37" s="27"/>
    </row>
    <row r="38" spans="1:13" ht="18.75" hidden="1" customHeight="1" thickBot="1" x14ac:dyDescent="0.3">
      <c r="A38" s="511">
        <v>13</v>
      </c>
      <c r="B38" s="67" t="s">
        <v>42</v>
      </c>
      <c r="C38" s="43" t="s">
        <v>17</v>
      </c>
      <c r="D38" s="44">
        <v>6.9809999999999999</v>
      </c>
      <c r="E38" s="45" t="s">
        <v>34</v>
      </c>
      <c r="F38" s="504" t="s">
        <v>43</v>
      </c>
      <c r="G38" s="45" t="s">
        <v>44</v>
      </c>
      <c r="H38" s="47"/>
      <c r="I38" s="47" t="str">
        <f t="shared" si="0"/>
        <v>03,24</v>
      </c>
      <c r="J38" s="26"/>
      <c r="K38" s="27"/>
      <c r="L38" s="27"/>
    </row>
    <row r="39" spans="1:13" ht="19.5" hidden="1" thickBot="1" x14ac:dyDescent="0.3">
      <c r="A39" s="511"/>
      <c r="B39" s="68" t="s">
        <v>42</v>
      </c>
      <c r="C39" s="49" t="s">
        <v>18</v>
      </c>
      <c r="D39" s="50">
        <v>2.9340000000000002</v>
      </c>
      <c r="E39" s="51" t="s">
        <v>34</v>
      </c>
      <c r="F39" s="504"/>
      <c r="G39" s="51" t="s">
        <v>44</v>
      </c>
      <c r="H39" s="53"/>
      <c r="I39" s="53" t="str">
        <f t="shared" si="0"/>
        <v>03,24</v>
      </c>
      <c r="J39" s="26"/>
      <c r="K39" s="27"/>
      <c r="L39" s="27"/>
    </row>
    <row r="40" spans="1:13" ht="19.5" hidden="1" thickBot="1" x14ac:dyDescent="0.3">
      <c r="A40" s="511"/>
      <c r="B40" s="69" t="s">
        <v>42</v>
      </c>
      <c r="C40" s="55" t="s">
        <v>19</v>
      </c>
      <c r="D40" s="56">
        <v>2.952</v>
      </c>
      <c r="E40" s="57" t="s">
        <v>34</v>
      </c>
      <c r="F40" s="504"/>
      <c r="G40" s="57" t="s">
        <v>44</v>
      </c>
      <c r="H40" s="59"/>
      <c r="I40" s="59" t="str">
        <f t="shared" si="0"/>
        <v>03,24</v>
      </c>
      <c r="J40" s="26"/>
      <c r="K40" s="27"/>
      <c r="L40" s="27"/>
    </row>
    <row r="41" spans="1:13" ht="19.5" hidden="1" thickBot="1" x14ac:dyDescent="0.3">
      <c r="A41" s="511"/>
      <c r="B41" s="67" t="s">
        <v>42</v>
      </c>
      <c r="C41" s="43" t="s">
        <v>17</v>
      </c>
      <c r="D41" s="44">
        <v>1.62</v>
      </c>
      <c r="E41" s="45" t="s">
        <v>45</v>
      </c>
      <c r="F41" s="504"/>
      <c r="G41" s="45" t="s">
        <v>44</v>
      </c>
      <c r="H41" s="47"/>
      <c r="I41" s="47" t="str">
        <f t="shared" si="0"/>
        <v>03,24</v>
      </c>
      <c r="J41" s="26"/>
      <c r="K41" s="27"/>
      <c r="L41" s="27"/>
    </row>
    <row r="42" spans="1:13" ht="19.5" hidden="1" thickBot="1" x14ac:dyDescent="0.3">
      <c r="A42" s="511"/>
      <c r="B42" s="68" t="s">
        <v>42</v>
      </c>
      <c r="C42" s="49" t="s">
        <v>18</v>
      </c>
      <c r="D42" s="50">
        <v>1.26</v>
      </c>
      <c r="E42" s="51" t="s">
        <v>45</v>
      </c>
      <c r="F42" s="504"/>
      <c r="G42" s="51" t="s">
        <v>44</v>
      </c>
      <c r="H42" s="53"/>
      <c r="I42" s="53" t="str">
        <f t="shared" si="0"/>
        <v>03,24</v>
      </c>
      <c r="J42" s="26"/>
      <c r="K42" s="27"/>
      <c r="L42" s="27"/>
    </row>
    <row r="43" spans="1:13" ht="19.5" hidden="1" thickBot="1" x14ac:dyDescent="0.3">
      <c r="A43" s="511"/>
      <c r="B43" s="69" t="s">
        <v>42</v>
      </c>
      <c r="C43" s="55" t="s">
        <v>19</v>
      </c>
      <c r="D43" s="56">
        <v>0.36</v>
      </c>
      <c r="E43" s="57" t="s">
        <v>45</v>
      </c>
      <c r="F43" s="504"/>
      <c r="G43" s="57" t="s">
        <v>44</v>
      </c>
      <c r="H43" s="59"/>
      <c r="I43" s="59" t="str">
        <f t="shared" si="0"/>
        <v>03,24</v>
      </c>
      <c r="J43" s="26"/>
      <c r="K43" s="27"/>
      <c r="L43" s="27"/>
      <c r="M43" s="72"/>
    </row>
    <row r="44" spans="1:13" ht="19.5" hidden="1" thickBot="1" x14ac:dyDescent="0.3">
      <c r="A44" s="509">
        <v>14</v>
      </c>
      <c r="B44" s="20" t="s">
        <v>46</v>
      </c>
      <c r="C44" s="21" t="s">
        <v>17</v>
      </c>
      <c r="D44" s="22">
        <v>5.4180000000000001</v>
      </c>
      <c r="E44" s="23" t="s">
        <v>13</v>
      </c>
      <c r="F44" s="24"/>
      <c r="G44" s="23" t="s">
        <v>47</v>
      </c>
      <c r="H44" s="25"/>
      <c r="I44" s="25" t="str">
        <f t="shared" si="0"/>
        <v>03,24</v>
      </c>
      <c r="J44" s="26"/>
      <c r="K44" s="27"/>
      <c r="L44" s="27"/>
    </row>
    <row r="45" spans="1:13" ht="19.5" hidden="1" thickBot="1" x14ac:dyDescent="0.3">
      <c r="A45" s="509"/>
      <c r="B45" s="28" t="s">
        <v>46</v>
      </c>
      <c r="C45" s="29" t="s">
        <v>18</v>
      </c>
      <c r="D45" s="30">
        <v>4.87</v>
      </c>
      <c r="E45" s="31" t="s">
        <v>13</v>
      </c>
      <c r="F45" s="32"/>
      <c r="G45" s="31" t="s">
        <v>47</v>
      </c>
      <c r="H45" s="33"/>
      <c r="I45" s="33" t="str">
        <f t="shared" si="0"/>
        <v>03,24</v>
      </c>
      <c r="J45" s="26"/>
      <c r="K45" s="27"/>
      <c r="L45" s="27"/>
    </row>
    <row r="46" spans="1:13" ht="19.5" hidden="1" thickBot="1" x14ac:dyDescent="0.3">
      <c r="A46" s="509"/>
      <c r="B46" s="28" t="s">
        <v>46</v>
      </c>
      <c r="C46" s="29" t="s">
        <v>19</v>
      </c>
      <c r="D46" s="30">
        <v>5.4980000000000002</v>
      </c>
      <c r="E46" s="31" t="s">
        <v>13</v>
      </c>
      <c r="F46" s="32"/>
      <c r="G46" s="31" t="s">
        <v>47</v>
      </c>
      <c r="H46" s="33"/>
      <c r="I46" s="33" t="str">
        <f t="shared" si="0"/>
        <v>03,24</v>
      </c>
      <c r="J46" s="26"/>
      <c r="K46" s="27"/>
      <c r="L46" s="27"/>
    </row>
    <row r="47" spans="1:13" ht="19.5" hidden="1" thickBot="1" x14ac:dyDescent="0.3">
      <c r="A47" s="509"/>
      <c r="B47" s="34" t="s">
        <v>46</v>
      </c>
      <c r="C47" s="35" t="s">
        <v>20</v>
      </c>
      <c r="D47" s="36">
        <v>1.764</v>
      </c>
      <c r="E47" s="37" t="s">
        <v>13</v>
      </c>
      <c r="F47" s="38"/>
      <c r="G47" s="37" t="s">
        <v>47</v>
      </c>
      <c r="H47" s="39"/>
      <c r="I47" s="39" t="str">
        <f t="shared" si="0"/>
        <v>03,24</v>
      </c>
      <c r="J47" s="26"/>
      <c r="K47" s="27"/>
      <c r="L47" s="27"/>
    </row>
    <row r="48" spans="1:13" ht="75.75" hidden="1" thickBot="1" x14ac:dyDescent="0.3">
      <c r="A48" s="11">
        <v>15</v>
      </c>
      <c r="B48" s="70" t="s">
        <v>46</v>
      </c>
      <c r="C48" s="13" t="s">
        <v>17</v>
      </c>
      <c r="D48" s="14">
        <v>5.0129999999999999</v>
      </c>
      <c r="E48" s="15" t="s">
        <v>13</v>
      </c>
      <c r="F48" s="16" t="s">
        <v>48</v>
      </c>
      <c r="G48" s="15" t="s">
        <v>49</v>
      </c>
      <c r="H48" s="18" t="s">
        <v>50</v>
      </c>
      <c r="I48" s="18" t="str">
        <f t="shared" si="0"/>
        <v>04,24</v>
      </c>
      <c r="J48" s="26"/>
      <c r="K48" s="27"/>
      <c r="L48" s="27"/>
    </row>
    <row r="49" spans="1:13" ht="19.5" hidden="1" thickBot="1" x14ac:dyDescent="0.3">
      <c r="A49" s="509">
        <v>16</v>
      </c>
      <c r="B49" s="20" t="s">
        <v>51</v>
      </c>
      <c r="C49" s="21" t="s">
        <v>17</v>
      </c>
      <c r="D49" s="22">
        <v>3.82</v>
      </c>
      <c r="E49" s="23" t="s">
        <v>13</v>
      </c>
      <c r="F49" s="24"/>
      <c r="G49" s="23" t="s">
        <v>52</v>
      </c>
      <c r="H49" s="25"/>
      <c r="I49" s="25" t="str">
        <f t="shared" si="0"/>
        <v>04,24</v>
      </c>
      <c r="J49" s="26"/>
      <c r="K49" s="27"/>
      <c r="L49" s="27"/>
    </row>
    <row r="50" spans="1:13" ht="19.5" hidden="1" thickBot="1" x14ac:dyDescent="0.3">
      <c r="A50" s="509"/>
      <c r="B50" s="28" t="s">
        <v>51</v>
      </c>
      <c r="C50" s="29" t="s">
        <v>18</v>
      </c>
      <c r="D50" s="30">
        <v>3.1539999999999999</v>
      </c>
      <c r="E50" s="31" t="s">
        <v>13</v>
      </c>
      <c r="F50" s="32"/>
      <c r="G50" s="31" t="s">
        <v>52</v>
      </c>
      <c r="H50" s="33"/>
      <c r="I50" s="33" t="str">
        <f t="shared" si="0"/>
        <v>04,24</v>
      </c>
      <c r="J50" s="26"/>
      <c r="K50" s="27"/>
      <c r="L50" s="27"/>
    </row>
    <row r="51" spans="1:13" ht="19.5" hidden="1" thickBot="1" x14ac:dyDescent="0.3">
      <c r="A51" s="509"/>
      <c r="B51" s="28" t="s">
        <v>51</v>
      </c>
      <c r="C51" s="29" t="s">
        <v>19</v>
      </c>
      <c r="D51" s="30">
        <v>8.27</v>
      </c>
      <c r="E51" s="31" t="s">
        <v>13</v>
      </c>
      <c r="F51" s="32"/>
      <c r="G51" s="31" t="s">
        <v>52</v>
      </c>
      <c r="H51" s="33"/>
      <c r="I51" s="33" t="str">
        <f t="shared" si="0"/>
        <v>04,24</v>
      </c>
      <c r="J51" s="26"/>
      <c r="K51" s="27"/>
      <c r="L51" s="27"/>
    </row>
    <row r="52" spans="1:13" ht="19.5" hidden="1" thickBot="1" x14ac:dyDescent="0.3">
      <c r="A52" s="509"/>
      <c r="B52" s="34" t="s">
        <v>51</v>
      </c>
      <c r="C52" s="35" t="s">
        <v>20</v>
      </c>
      <c r="D52" s="36">
        <v>1.6539999999999999</v>
      </c>
      <c r="E52" s="37" t="s">
        <v>13</v>
      </c>
      <c r="F52" s="38"/>
      <c r="G52" s="37" t="s">
        <v>52</v>
      </c>
      <c r="H52" s="39"/>
      <c r="I52" s="39" t="str">
        <f t="shared" si="0"/>
        <v>04,24</v>
      </c>
      <c r="J52" s="26"/>
      <c r="K52" s="27"/>
      <c r="L52" s="27"/>
    </row>
    <row r="53" spans="1:13" ht="19.5" hidden="1" thickBot="1" x14ac:dyDescent="0.3">
      <c r="A53" s="505">
        <v>17</v>
      </c>
      <c r="B53" s="73" t="s">
        <v>55</v>
      </c>
      <c r="C53" s="74" t="s">
        <v>17</v>
      </c>
      <c r="D53" s="75">
        <v>4.1219999999999999</v>
      </c>
      <c r="E53" s="82" t="s">
        <v>13</v>
      </c>
      <c r="F53" s="83"/>
      <c r="G53" s="82" t="s">
        <v>56</v>
      </c>
      <c r="H53" s="88"/>
      <c r="I53" s="88" t="str">
        <f t="shared" si="0"/>
        <v>04,24</v>
      </c>
      <c r="J53" s="27"/>
      <c r="K53" s="27"/>
      <c r="L53" s="27"/>
    </row>
    <row r="54" spans="1:13" ht="19.5" hidden="1" thickBot="1" x14ac:dyDescent="0.3">
      <c r="A54" s="505"/>
      <c r="B54" s="76" t="s">
        <v>55</v>
      </c>
      <c r="C54" s="77" t="s">
        <v>18</v>
      </c>
      <c r="D54" s="78">
        <v>4.3890000000000002</v>
      </c>
      <c r="E54" s="84" t="s">
        <v>13</v>
      </c>
      <c r="F54" s="85"/>
      <c r="G54" s="84" t="s">
        <v>56</v>
      </c>
      <c r="H54" s="89"/>
      <c r="I54" s="89" t="str">
        <f t="shared" si="0"/>
        <v>04,24</v>
      </c>
      <c r="J54" s="27"/>
      <c r="K54" s="27"/>
      <c r="L54" s="27"/>
    </row>
    <row r="55" spans="1:13" ht="19.5" hidden="1" thickBot="1" x14ac:dyDescent="0.3">
      <c r="A55" s="505"/>
      <c r="B55" s="76" t="s">
        <v>55</v>
      </c>
      <c r="C55" s="77" t="s">
        <v>19</v>
      </c>
      <c r="D55" s="78">
        <v>7.15</v>
      </c>
      <c r="E55" s="84" t="s">
        <v>13</v>
      </c>
      <c r="F55" s="85"/>
      <c r="G55" s="84" t="s">
        <v>56</v>
      </c>
      <c r="H55" s="89"/>
      <c r="I55" s="89" t="str">
        <f t="shared" si="0"/>
        <v>04,24</v>
      </c>
      <c r="J55" s="27"/>
      <c r="K55" s="27"/>
      <c r="L55" s="27"/>
    </row>
    <row r="56" spans="1:13" ht="19.5" hidden="1" thickBot="1" x14ac:dyDescent="0.3">
      <c r="A56" s="505"/>
      <c r="B56" s="79" t="s">
        <v>55</v>
      </c>
      <c r="C56" s="80" t="s">
        <v>20</v>
      </c>
      <c r="D56" s="81">
        <v>1.335</v>
      </c>
      <c r="E56" s="86" t="s">
        <v>13</v>
      </c>
      <c r="F56" s="87"/>
      <c r="G56" s="86" t="s">
        <v>56</v>
      </c>
      <c r="H56" s="90"/>
      <c r="I56" s="90" t="str">
        <f t="shared" si="0"/>
        <v>04,24</v>
      </c>
      <c r="J56" s="27"/>
      <c r="K56" s="27"/>
      <c r="L56" s="27"/>
    </row>
    <row r="57" spans="1:13" ht="39" hidden="1" customHeight="1" x14ac:dyDescent="0.3">
      <c r="A57" s="460">
        <f>MAX(A56,A55,A54,A53,A52,A51,A50,A49,A48,A47,A46,A45)+1</f>
        <v>18</v>
      </c>
      <c r="B57" s="91" t="s">
        <v>55</v>
      </c>
      <c r="C57" s="92" t="s">
        <v>17</v>
      </c>
      <c r="D57" s="93">
        <v>6.3769999999999998</v>
      </c>
      <c r="E57" s="94" t="s">
        <v>13</v>
      </c>
      <c r="F57" s="462" t="s">
        <v>58</v>
      </c>
      <c r="G57" s="94" t="s">
        <v>57</v>
      </c>
      <c r="H57" s="493" t="s">
        <v>60</v>
      </c>
      <c r="I57" s="160" t="str">
        <f t="shared" si="0"/>
        <v>04,24</v>
      </c>
      <c r="J57" s="26"/>
      <c r="K57" s="27"/>
      <c r="L57" s="27"/>
      <c r="M57" s="517" t="s">
        <v>59</v>
      </c>
    </row>
    <row r="58" spans="1:13" ht="39" hidden="1" customHeight="1" thickBot="1" x14ac:dyDescent="0.3">
      <c r="A58" s="473"/>
      <c r="B58" s="95" t="s">
        <v>55</v>
      </c>
      <c r="C58" s="96" t="s">
        <v>18</v>
      </c>
      <c r="D58" s="97">
        <v>3.0110000000000001</v>
      </c>
      <c r="E58" s="98" t="s">
        <v>13</v>
      </c>
      <c r="F58" s="474"/>
      <c r="G58" s="98" t="s">
        <v>57</v>
      </c>
      <c r="H58" s="495"/>
      <c r="I58" s="161" t="str">
        <f t="shared" si="0"/>
        <v>04,24</v>
      </c>
      <c r="J58" s="26"/>
      <c r="K58" s="27"/>
      <c r="L58" s="27"/>
      <c r="M58" s="517"/>
    </row>
    <row r="59" spans="1:13" ht="19.5" hidden="1" thickBot="1" x14ac:dyDescent="0.3">
      <c r="A59" s="454">
        <f>MAX(A58,A57,A56,A55,A54,A53,A52,A51,A50,A49,A48,A47)+1</f>
        <v>19</v>
      </c>
      <c r="B59" s="102" t="s">
        <v>61</v>
      </c>
      <c r="C59" s="103" t="s">
        <v>20</v>
      </c>
      <c r="D59" s="104">
        <v>1.9450000000000001</v>
      </c>
      <c r="E59" s="105" t="s">
        <v>13</v>
      </c>
      <c r="F59" s="106"/>
      <c r="G59" s="105" t="s">
        <v>62</v>
      </c>
      <c r="H59" s="107"/>
      <c r="I59" s="107" t="str">
        <f t="shared" si="0"/>
        <v>04,24</v>
      </c>
      <c r="J59" s="26"/>
      <c r="K59" s="27"/>
      <c r="L59" s="27"/>
    </row>
    <row r="60" spans="1:13" ht="19.5" hidden="1" thickBot="1" x14ac:dyDescent="0.3">
      <c r="A60" s="455"/>
      <c r="B60" s="108" t="s">
        <v>61</v>
      </c>
      <c r="C60" s="109" t="s">
        <v>18</v>
      </c>
      <c r="D60" s="110">
        <v>5.2229999999999999</v>
      </c>
      <c r="E60" s="111" t="s">
        <v>13</v>
      </c>
      <c r="F60" s="112"/>
      <c r="G60" s="111" t="s">
        <v>62</v>
      </c>
      <c r="H60" s="113"/>
      <c r="I60" s="113" t="str">
        <f t="shared" si="0"/>
        <v>04,24</v>
      </c>
      <c r="J60" s="26"/>
      <c r="K60" s="27"/>
      <c r="L60" s="27"/>
    </row>
    <row r="61" spans="1:13" ht="19.5" hidden="1" thickBot="1" x14ac:dyDescent="0.3">
      <c r="A61" s="456"/>
      <c r="B61" s="114" t="s">
        <v>61</v>
      </c>
      <c r="C61" s="115" t="s">
        <v>19</v>
      </c>
      <c r="D61" s="116">
        <v>10.013</v>
      </c>
      <c r="E61" s="117" t="s">
        <v>13</v>
      </c>
      <c r="F61" s="118"/>
      <c r="G61" s="117" t="s">
        <v>62</v>
      </c>
      <c r="H61" s="119"/>
      <c r="I61" s="119" t="str">
        <f t="shared" si="0"/>
        <v>04,24</v>
      </c>
      <c r="J61" s="26"/>
      <c r="K61" s="27"/>
      <c r="L61" s="27"/>
    </row>
    <row r="62" spans="1:13" ht="19.5" hidden="1" thickBot="1" x14ac:dyDescent="0.3">
      <c r="A62" s="120">
        <f>MAX(A61,A60,A59,A58,A57,A56,A55,A54,A53,A52,A51,A50)+1</f>
        <v>20</v>
      </c>
      <c r="B62" s="121" t="s">
        <v>61</v>
      </c>
      <c r="C62" s="122" t="s">
        <v>17</v>
      </c>
      <c r="D62" s="123">
        <v>8.4039999999999999</v>
      </c>
      <c r="E62" s="124" t="s">
        <v>13</v>
      </c>
      <c r="F62" s="130" t="s">
        <v>63</v>
      </c>
      <c r="G62" s="124" t="s">
        <v>62</v>
      </c>
      <c r="H62" s="125"/>
      <c r="I62" s="125" t="str">
        <f t="shared" si="0"/>
        <v>04,24</v>
      </c>
      <c r="J62" s="26"/>
      <c r="K62" s="27"/>
      <c r="L62" s="27"/>
    </row>
    <row r="63" spans="1:13" ht="19.5" hidden="1" thickBot="1" x14ac:dyDescent="0.3">
      <c r="A63" s="454">
        <f>MAX(A62,A61,A60,A59,A58,A57,A56,A55,A54,A53,A52,A51)+1</f>
        <v>21</v>
      </c>
      <c r="B63" s="126" t="s">
        <v>61</v>
      </c>
      <c r="C63" s="103" t="s">
        <v>17</v>
      </c>
      <c r="D63" s="104">
        <v>4.8049999999999997</v>
      </c>
      <c r="E63" s="105" t="s">
        <v>34</v>
      </c>
      <c r="F63" s="106"/>
      <c r="G63" s="105" t="s">
        <v>64</v>
      </c>
      <c r="H63" s="107"/>
      <c r="I63" s="107" t="str">
        <f t="shared" si="0"/>
        <v>04,24</v>
      </c>
      <c r="J63" s="26"/>
      <c r="K63" s="27"/>
      <c r="L63" s="27"/>
    </row>
    <row r="64" spans="1:13" ht="19.5" hidden="1" thickBot="1" x14ac:dyDescent="0.3">
      <c r="A64" s="455"/>
      <c r="B64" s="127" t="s">
        <v>61</v>
      </c>
      <c r="C64" s="109" t="s">
        <v>18</v>
      </c>
      <c r="D64" s="110">
        <v>3.1259999999999999</v>
      </c>
      <c r="E64" s="111" t="s">
        <v>34</v>
      </c>
      <c r="F64" s="112"/>
      <c r="G64" s="111" t="s">
        <v>64</v>
      </c>
      <c r="H64" s="113"/>
      <c r="I64" s="113" t="str">
        <f t="shared" si="0"/>
        <v>04,24</v>
      </c>
      <c r="J64" s="26"/>
      <c r="K64" s="27"/>
      <c r="L64" s="27"/>
    </row>
    <row r="65" spans="1:12" ht="19.5" hidden="1" thickBot="1" x14ac:dyDescent="0.3">
      <c r="A65" s="455"/>
      <c r="B65" s="128" t="s">
        <v>61</v>
      </c>
      <c r="C65" s="115" t="s">
        <v>19</v>
      </c>
      <c r="D65" s="116">
        <v>2.8959999999999999</v>
      </c>
      <c r="E65" s="117" t="s">
        <v>34</v>
      </c>
      <c r="F65" s="118"/>
      <c r="G65" s="117" t="s">
        <v>64</v>
      </c>
      <c r="H65" s="119"/>
      <c r="I65" s="119" t="str">
        <f t="shared" si="0"/>
        <v>04,24</v>
      </c>
      <c r="J65" s="26"/>
      <c r="K65" s="27"/>
      <c r="L65" s="27"/>
    </row>
    <row r="66" spans="1:12" ht="19.5" hidden="1" thickBot="1" x14ac:dyDescent="0.3">
      <c r="A66" s="455"/>
      <c r="B66" s="126" t="s">
        <v>61</v>
      </c>
      <c r="C66" s="103" t="s">
        <v>17</v>
      </c>
      <c r="D66" s="104">
        <v>1.71</v>
      </c>
      <c r="E66" s="105" t="s">
        <v>45</v>
      </c>
      <c r="F66" s="457" t="s">
        <v>65</v>
      </c>
      <c r="G66" s="105" t="s">
        <v>64</v>
      </c>
      <c r="H66" s="107"/>
      <c r="I66" s="107" t="str">
        <f t="shared" si="0"/>
        <v>04,24</v>
      </c>
      <c r="J66" s="26"/>
      <c r="K66" s="27"/>
      <c r="L66" s="27"/>
    </row>
    <row r="67" spans="1:12" ht="19.5" hidden="1" thickBot="1" x14ac:dyDescent="0.3">
      <c r="A67" s="455"/>
      <c r="B67" s="127" t="s">
        <v>61</v>
      </c>
      <c r="C67" s="109" t="s">
        <v>18</v>
      </c>
      <c r="D67" s="110">
        <v>1.4039999999999999</v>
      </c>
      <c r="E67" s="111" t="s">
        <v>45</v>
      </c>
      <c r="F67" s="458"/>
      <c r="G67" s="111" t="s">
        <v>64</v>
      </c>
      <c r="H67" s="113"/>
      <c r="I67" s="113" t="str">
        <f t="shared" si="0"/>
        <v>04,24</v>
      </c>
      <c r="J67" s="26"/>
      <c r="K67" s="27"/>
      <c r="L67" s="27"/>
    </row>
    <row r="68" spans="1:12" ht="19.5" hidden="1" thickBot="1" x14ac:dyDescent="0.3">
      <c r="A68" s="456"/>
      <c r="B68" s="128" t="s">
        <v>61</v>
      </c>
      <c r="C68" s="115" t="s">
        <v>19</v>
      </c>
      <c r="D68" s="116">
        <v>0.216</v>
      </c>
      <c r="E68" s="117" t="s">
        <v>45</v>
      </c>
      <c r="F68" s="459"/>
      <c r="G68" s="117" t="s">
        <v>64</v>
      </c>
      <c r="H68" s="119"/>
      <c r="I68" s="119" t="str">
        <f t="shared" si="0"/>
        <v>04,24</v>
      </c>
      <c r="J68" s="26"/>
      <c r="K68" s="27"/>
      <c r="L68" s="27"/>
    </row>
    <row r="69" spans="1:12" ht="19.5" hidden="1" thickBot="1" x14ac:dyDescent="0.3">
      <c r="A69" s="460">
        <f>MAX(A68,A67,A66,A65,A64,A63,A62,A61,A60,A59,A58,A57)+1</f>
        <v>22</v>
      </c>
      <c r="B69" s="91" t="s">
        <v>66</v>
      </c>
      <c r="C69" s="92" t="s">
        <v>20</v>
      </c>
      <c r="D69" s="93">
        <v>2.7229999999999999</v>
      </c>
      <c r="E69" s="94" t="s">
        <v>13</v>
      </c>
      <c r="F69" s="131"/>
      <c r="G69" s="94" t="s">
        <v>67</v>
      </c>
      <c r="H69" s="132"/>
      <c r="I69" s="132" t="str">
        <f t="shared" si="0"/>
        <v>04,24</v>
      </c>
      <c r="J69" s="26"/>
      <c r="K69" s="27"/>
      <c r="L69" s="27"/>
    </row>
    <row r="70" spans="1:12" ht="19.5" hidden="1" thickBot="1" x14ac:dyDescent="0.3">
      <c r="A70" s="473"/>
      <c r="B70" s="95" t="s">
        <v>66</v>
      </c>
      <c r="C70" s="96" t="s">
        <v>17</v>
      </c>
      <c r="D70" s="97">
        <v>14.507</v>
      </c>
      <c r="E70" s="98" t="s">
        <v>13</v>
      </c>
      <c r="F70" s="133"/>
      <c r="G70" s="98" t="s">
        <v>67</v>
      </c>
      <c r="H70" s="129"/>
      <c r="I70" s="129" t="str">
        <f t="shared" si="0"/>
        <v>04,24</v>
      </c>
      <c r="J70" s="26"/>
      <c r="K70" s="27"/>
      <c r="L70" s="27"/>
    </row>
    <row r="71" spans="1:12" ht="19.5" hidden="1" thickBot="1" x14ac:dyDescent="0.3">
      <c r="A71" s="454">
        <f>MAX(A70,A69,A68,A67,A66,A65,A64,A63,A62,A61,A60,A59)+1</f>
        <v>23</v>
      </c>
      <c r="B71" s="102" t="s">
        <v>66</v>
      </c>
      <c r="C71" s="103" t="s">
        <v>18</v>
      </c>
      <c r="D71" s="104">
        <v>7.6849999999999996</v>
      </c>
      <c r="E71" s="105" t="s">
        <v>13</v>
      </c>
      <c r="F71" s="106"/>
      <c r="G71" s="105" t="s">
        <v>67</v>
      </c>
      <c r="H71" s="107"/>
      <c r="I71" s="107" t="str">
        <f t="shared" si="0"/>
        <v>04,24</v>
      </c>
      <c r="J71" s="26"/>
      <c r="K71" s="27"/>
      <c r="L71" s="27"/>
    </row>
    <row r="72" spans="1:12" ht="19.5" hidden="1" thickBot="1" x14ac:dyDescent="0.3">
      <c r="A72" s="456"/>
      <c r="B72" s="114" t="s">
        <v>66</v>
      </c>
      <c r="C72" s="115" t="s">
        <v>19</v>
      </c>
      <c r="D72" s="116">
        <v>9.3940000000000001</v>
      </c>
      <c r="E72" s="117" t="s">
        <v>13</v>
      </c>
      <c r="F72" s="118"/>
      <c r="G72" s="117" t="s">
        <v>67</v>
      </c>
      <c r="H72" s="119"/>
      <c r="I72" s="119" t="str">
        <f t="shared" si="0"/>
        <v>04,24</v>
      </c>
      <c r="J72" s="26"/>
      <c r="K72" s="27"/>
      <c r="L72" s="27"/>
    </row>
    <row r="73" spans="1:12" ht="19.5" hidden="1" thickBot="1" x14ac:dyDescent="0.3">
      <c r="A73" s="460">
        <f>MAX(A72,A71,A70,A69,A68,A67,A66,A65,A64,A63,A62,A61)+1</f>
        <v>24</v>
      </c>
      <c r="B73" s="91" t="s">
        <v>66</v>
      </c>
      <c r="C73" s="92" t="s">
        <v>18</v>
      </c>
      <c r="D73" s="93">
        <v>1.9990000000000001</v>
      </c>
      <c r="E73" s="94" t="s">
        <v>13</v>
      </c>
      <c r="F73" s="462" t="s">
        <v>68</v>
      </c>
      <c r="G73" s="94" t="s">
        <v>69</v>
      </c>
      <c r="H73" s="132"/>
      <c r="I73" s="132" t="str">
        <f t="shared" si="0"/>
        <v>04,24</v>
      </c>
      <c r="J73" s="26"/>
      <c r="K73" s="27"/>
      <c r="L73" s="27"/>
    </row>
    <row r="74" spans="1:12" ht="19.5" hidden="1" thickBot="1" x14ac:dyDescent="0.3">
      <c r="A74" s="461"/>
      <c r="B74" s="141" t="s">
        <v>66</v>
      </c>
      <c r="C74" s="142" t="s">
        <v>19</v>
      </c>
      <c r="D74" s="143">
        <v>4.3879999999999999</v>
      </c>
      <c r="E74" s="144" t="s">
        <v>13</v>
      </c>
      <c r="F74" s="463"/>
      <c r="G74" s="144" t="s">
        <v>69</v>
      </c>
      <c r="H74" s="145"/>
      <c r="I74" s="145" t="str">
        <f t="shared" si="0"/>
        <v>04,24</v>
      </c>
      <c r="J74" s="26"/>
      <c r="K74" s="27"/>
      <c r="L74" s="27"/>
    </row>
    <row r="75" spans="1:12" ht="18.75" hidden="1" customHeight="1" x14ac:dyDescent="0.3">
      <c r="A75" s="512"/>
      <c r="B75" s="138" t="s">
        <v>66</v>
      </c>
      <c r="C75" s="92" t="s">
        <v>17</v>
      </c>
      <c r="D75" s="93">
        <v>3.91</v>
      </c>
      <c r="E75" s="94" t="s">
        <v>34</v>
      </c>
      <c r="F75" s="150"/>
      <c r="G75" s="94" t="s">
        <v>70</v>
      </c>
      <c r="H75" s="132"/>
      <c r="I75" s="132" t="str">
        <f t="shared" si="0"/>
        <v>04,24</v>
      </c>
      <c r="J75" s="26"/>
      <c r="K75" s="27"/>
      <c r="L75" s="27"/>
    </row>
    <row r="76" spans="1:12" ht="19.5" hidden="1" thickBot="1" x14ac:dyDescent="0.3">
      <c r="A76" s="512"/>
      <c r="B76" s="151" t="s">
        <v>66</v>
      </c>
      <c r="C76" s="147" t="s">
        <v>18</v>
      </c>
      <c r="D76" s="148">
        <v>2.3340000000000001</v>
      </c>
      <c r="E76" s="146" t="s">
        <v>34</v>
      </c>
      <c r="F76" s="149"/>
      <c r="G76" s="146" t="s">
        <v>70</v>
      </c>
      <c r="H76" s="152"/>
      <c r="I76" s="152" t="str">
        <f t="shared" si="0"/>
        <v>04,24</v>
      </c>
      <c r="J76" s="26"/>
      <c r="K76" s="27"/>
      <c r="L76" s="27"/>
    </row>
    <row r="77" spans="1:12" ht="19.5" hidden="1" thickBot="1" x14ac:dyDescent="0.3">
      <c r="A77" s="512"/>
      <c r="B77" s="153" t="s">
        <v>66</v>
      </c>
      <c r="C77" s="154" t="s">
        <v>19</v>
      </c>
      <c r="D77" s="155">
        <v>0.90200000000000002</v>
      </c>
      <c r="E77" s="156" t="s">
        <v>34</v>
      </c>
      <c r="F77" s="157"/>
      <c r="G77" s="156" t="s">
        <v>70</v>
      </c>
      <c r="H77" s="158"/>
      <c r="I77" s="158" t="str">
        <f t="shared" si="0"/>
        <v>04,24</v>
      </c>
      <c r="J77" s="26"/>
      <c r="K77" s="27"/>
      <c r="L77" s="27"/>
    </row>
    <row r="78" spans="1:12" ht="18.75" hidden="1" customHeight="1" x14ac:dyDescent="0.3">
      <c r="A78" s="461"/>
      <c r="B78" s="138" t="s">
        <v>66</v>
      </c>
      <c r="C78" s="92" t="s">
        <v>17</v>
      </c>
      <c r="D78" s="93">
        <v>0.9</v>
      </c>
      <c r="E78" s="94" t="s">
        <v>45</v>
      </c>
      <c r="F78" s="150"/>
      <c r="G78" s="94" t="s">
        <v>70</v>
      </c>
      <c r="H78" s="132"/>
      <c r="I78" s="132" t="str">
        <f t="shared" si="0"/>
        <v>04,24</v>
      </c>
      <c r="J78" s="27"/>
      <c r="K78" s="27"/>
      <c r="L78" s="27"/>
    </row>
    <row r="79" spans="1:12" ht="19.5" hidden="1" thickBot="1" x14ac:dyDescent="0.3">
      <c r="A79" s="461"/>
      <c r="B79" s="151" t="s">
        <v>66</v>
      </c>
      <c r="C79" s="147" t="s">
        <v>18</v>
      </c>
      <c r="D79" s="148">
        <v>0.72</v>
      </c>
      <c r="E79" s="146" t="s">
        <v>45</v>
      </c>
      <c r="F79" s="149"/>
      <c r="G79" s="146" t="s">
        <v>70</v>
      </c>
      <c r="H79" s="152"/>
      <c r="I79" s="152" t="str">
        <f t="shared" si="0"/>
        <v>04,24</v>
      </c>
      <c r="J79" s="27"/>
      <c r="K79" s="27"/>
      <c r="L79" s="27"/>
    </row>
    <row r="80" spans="1:12" ht="19.5" hidden="1" thickBot="1" x14ac:dyDescent="0.3">
      <c r="A80" s="473"/>
      <c r="B80" s="153" t="s">
        <v>66</v>
      </c>
      <c r="C80" s="154" t="s">
        <v>19</v>
      </c>
      <c r="D80" s="155">
        <v>0.18</v>
      </c>
      <c r="E80" s="156" t="s">
        <v>45</v>
      </c>
      <c r="F80" s="157"/>
      <c r="G80" s="156" t="s">
        <v>70</v>
      </c>
      <c r="H80" s="158"/>
      <c r="I80" s="158" t="str">
        <f t="shared" si="0"/>
        <v>04,24</v>
      </c>
      <c r="J80" s="27"/>
      <c r="K80" s="27"/>
      <c r="L80" s="27"/>
    </row>
    <row r="81" spans="1:12" ht="19.5" hidden="1" thickBot="1" x14ac:dyDescent="0.3">
      <c r="A81" s="454">
        <f>MAX(A80,A79,A78,A77,A76,A75,A74,A73,A72,A71,A70,A69)+1</f>
        <v>25</v>
      </c>
      <c r="B81" s="102" t="s">
        <v>70</v>
      </c>
      <c r="C81" s="103" t="s">
        <v>17</v>
      </c>
      <c r="D81" s="104">
        <v>5.6</v>
      </c>
      <c r="E81" s="105" t="s">
        <v>13</v>
      </c>
      <c r="F81" s="106"/>
      <c r="G81" s="105" t="s">
        <v>71</v>
      </c>
      <c r="H81" s="107"/>
      <c r="I81" s="107" t="str">
        <f t="shared" si="0"/>
        <v>05,24</v>
      </c>
      <c r="J81" s="159"/>
      <c r="K81" s="71"/>
      <c r="L81" s="71"/>
    </row>
    <row r="82" spans="1:12" ht="19.5" hidden="1" thickBot="1" x14ac:dyDescent="0.3">
      <c r="A82" s="455"/>
      <c r="B82" s="108" t="s">
        <v>70</v>
      </c>
      <c r="C82" s="109" t="s">
        <v>18</v>
      </c>
      <c r="D82" s="110">
        <v>3.1269999999999998</v>
      </c>
      <c r="E82" s="111" t="s">
        <v>13</v>
      </c>
      <c r="F82" s="112"/>
      <c r="G82" s="111" t="s">
        <v>71</v>
      </c>
      <c r="H82" s="113"/>
      <c r="I82" s="113" t="str">
        <f t="shared" si="0"/>
        <v>05,24</v>
      </c>
    </row>
    <row r="83" spans="1:12" ht="19.5" hidden="1" thickBot="1" x14ac:dyDescent="0.3">
      <c r="A83" s="455"/>
      <c r="B83" s="108" t="s">
        <v>70</v>
      </c>
      <c r="C83" s="109" t="s">
        <v>19</v>
      </c>
      <c r="D83" s="110">
        <v>6.2889999999999997</v>
      </c>
      <c r="E83" s="111" t="s">
        <v>13</v>
      </c>
      <c r="F83" s="112"/>
      <c r="G83" s="111" t="s">
        <v>71</v>
      </c>
      <c r="H83" s="113"/>
      <c r="I83" s="113" t="str">
        <f t="shared" si="0"/>
        <v>05,24</v>
      </c>
    </row>
    <row r="84" spans="1:12" ht="19.5" hidden="1" thickBot="1" x14ac:dyDescent="0.3">
      <c r="A84" s="456"/>
      <c r="B84" s="114" t="s">
        <v>70</v>
      </c>
      <c r="C84" s="115" t="s">
        <v>20</v>
      </c>
      <c r="D84" s="116">
        <v>1.974</v>
      </c>
      <c r="E84" s="117" t="s">
        <v>13</v>
      </c>
      <c r="F84" s="118"/>
      <c r="G84" s="117" t="s">
        <v>71</v>
      </c>
      <c r="H84" s="119"/>
      <c r="I84" s="119" t="str">
        <f t="shared" si="0"/>
        <v>05,24</v>
      </c>
    </row>
    <row r="85" spans="1:12" ht="19.5" hidden="1" thickBot="1" x14ac:dyDescent="0.3">
      <c r="A85" s="460">
        <f t="shared" ref="A85" si="1">MAX(A84,A83,A82,A81,A80,A79,A78,A77,A76,A75,A74,A73)+1</f>
        <v>26</v>
      </c>
      <c r="B85" s="138" t="s">
        <v>70</v>
      </c>
      <c r="C85" s="92" t="s">
        <v>17</v>
      </c>
      <c r="D85" s="93">
        <v>4.3179999999999996</v>
      </c>
      <c r="E85" s="94" t="s">
        <v>13</v>
      </c>
      <c r="F85" s="462" t="s">
        <v>72</v>
      </c>
      <c r="G85" s="94" t="s">
        <v>71</v>
      </c>
      <c r="H85" s="132"/>
      <c r="I85" s="132" t="str">
        <f t="shared" si="0"/>
        <v>05,24</v>
      </c>
    </row>
    <row r="86" spans="1:12" ht="19.5" hidden="1" thickBot="1" x14ac:dyDescent="0.3">
      <c r="A86" s="461"/>
      <c r="B86" s="162" t="s">
        <v>70</v>
      </c>
      <c r="C86" s="142" t="s">
        <v>18</v>
      </c>
      <c r="D86" s="143">
        <v>3.9990000000000001</v>
      </c>
      <c r="E86" s="144" t="s">
        <v>13</v>
      </c>
      <c r="F86" s="463"/>
      <c r="G86" s="144" t="s">
        <v>71</v>
      </c>
      <c r="H86" s="145"/>
      <c r="I86" s="145" t="str">
        <f t="shared" si="0"/>
        <v>05,24</v>
      </c>
    </row>
    <row r="87" spans="1:12" ht="19.5" hidden="1" thickBot="1" x14ac:dyDescent="0.3">
      <c r="A87" s="461"/>
      <c r="B87" s="138" t="s">
        <v>70</v>
      </c>
      <c r="C87" s="92" t="s">
        <v>17</v>
      </c>
      <c r="D87" s="93">
        <v>4.55</v>
      </c>
      <c r="E87" s="94" t="s">
        <v>34</v>
      </c>
      <c r="F87" s="462" t="s">
        <v>72</v>
      </c>
      <c r="G87" s="94" t="s">
        <v>73</v>
      </c>
      <c r="H87" s="132"/>
      <c r="I87" s="132" t="str">
        <f t="shared" si="0"/>
        <v>05,24</v>
      </c>
    </row>
    <row r="88" spans="1:12" ht="19.5" hidden="1" thickBot="1" x14ac:dyDescent="0.3">
      <c r="A88" s="461"/>
      <c r="B88" s="140" t="s">
        <v>70</v>
      </c>
      <c r="C88" s="134" t="s">
        <v>18</v>
      </c>
      <c r="D88" s="135">
        <v>3.0179999999999998</v>
      </c>
      <c r="E88" s="136" t="s">
        <v>34</v>
      </c>
      <c r="F88" s="463"/>
      <c r="G88" s="136" t="s">
        <v>73</v>
      </c>
      <c r="H88" s="137"/>
      <c r="I88" s="137" t="str">
        <f t="shared" si="0"/>
        <v>05,24</v>
      </c>
    </row>
    <row r="89" spans="1:12" ht="19.5" hidden="1" thickBot="1" x14ac:dyDescent="0.3">
      <c r="A89" s="473"/>
      <c r="B89" s="139" t="s">
        <v>70</v>
      </c>
      <c r="C89" s="96" t="s">
        <v>19</v>
      </c>
      <c r="D89" s="97">
        <v>1.163</v>
      </c>
      <c r="E89" s="98" t="s">
        <v>34</v>
      </c>
      <c r="F89" s="474"/>
      <c r="G89" s="98" t="s">
        <v>73</v>
      </c>
      <c r="H89" s="129"/>
      <c r="I89" s="129" t="str">
        <f t="shared" si="0"/>
        <v>05,24</v>
      </c>
    </row>
    <row r="90" spans="1:12" ht="19.5" hidden="1" thickBot="1" x14ac:dyDescent="0.3">
      <c r="A90" s="454">
        <f>MAX(A89,A88,A87,A86,A85,A84,A83,A82,A81,A80,A79,A78)+1</f>
        <v>27</v>
      </c>
      <c r="B90" s="102" t="s">
        <v>75</v>
      </c>
      <c r="C90" s="103" t="s">
        <v>17</v>
      </c>
      <c r="D90" s="104">
        <v>4.6230000000000002</v>
      </c>
      <c r="E90" s="105" t="s">
        <v>13</v>
      </c>
      <c r="F90" s="106"/>
      <c r="G90" s="105" t="s">
        <v>74</v>
      </c>
      <c r="H90" s="107"/>
      <c r="I90" s="107" t="str">
        <f t="shared" si="0"/>
        <v>05,24</v>
      </c>
    </row>
    <row r="91" spans="1:12" ht="19.5" hidden="1" thickBot="1" x14ac:dyDescent="0.3">
      <c r="A91" s="455"/>
      <c r="B91" s="108" t="s">
        <v>75</v>
      </c>
      <c r="C91" s="109" t="s">
        <v>18</v>
      </c>
      <c r="D91" s="110">
        <v>6.7670000000000003</v>
      </c>
      <c r="E91" s="111" t="s">
        <v>13</v>
      </c>
      <c r="F91" s="112"/>
      <c r="G91" s="111" t="s">
        <v>74</v>
      </c>
      <c r="H91" s="113"/>
      <c r="I91" s="113" t="str">
        <f t="shared" si="0"/>
        <v>05,24</v>
      </c>
    </row>
    <row r="92" spans="1:12" ht="19.5" hidden="1" thickBot="1" x14ac:dyDescent="0.3">
      <c r="A92" s="455"/>
      <c r="B92" s="108" t="s">
        <v>75</v>
      </c>
      <c r="C92" s="109" t="s">
        <v>19</v>
      </c>
      <c r="D92" s="110">
        <v>4.2640000000000002</v>
      </c>
      <c r="E92" s="111" t="s">
        <v>13</v>
      </c>
      <c r="F92" s="112"/>
      <c r="G92" s="111" t="s">
        <v>74</v>
      </c>
      <c r="H92" s="113"/>
      <c r="I92" s="113" t="str">
        <f t="shared" si="0"/>
        <v>05,24</v>
      </c>
    </row>
    <row r="93" spans="1:12" ht="19.5" hidden="1" thickBot="1" x14ac:dyDescent="0.3">
      <c r="A93" s="456"/>
      <c r="B93" s="164" t="s">
        <v>75</v>
      </c>
      <c r="C93" s="165" t="s">
        <v>20</v>
      </c>
      <c r="D93" s="166">
        <v>1.734</v>
      </c>
      <c r="E93" s="167" t="s">
        <v>13</v>
      </c>
      <c r="F93" s="168"/>
      <c r="G93" s="167" t="s">
        <v>74</v>
      </c>
      <c r="H93" s="163"/>
      <c r="I93" s="163" t="str">
        <f t="shared" si="0"/>
        <v>05,24</v>
      </c>
    </row>
    <row r="94" spans="1:12" ht="18.75" hidden="1" customHeight="1" x14ac:dyDescent="0.3">
      <c r="A94" s="460">
        <f>MAX(A93,A92,A91,A90,A89,A88,A87,A86,A85,A84,A83,A82)+1</f>
        <v>28</v>
      </c>
      <c r="B94" s="138" t="s">
        <v>75</v>
      </c>
      <c r="C94" s="92" t="s">
        <v>17</v>
      </c>
      <c r="D94" s="93">
        <v>5.5039999999999996</v>
      </c>
      <c r="E94" s="94" t="s">
        <v>13</v>
      </c>
      <c r="F94" s="462" t="s">
        <v>76</v>
      </c>
      <c r="G94" s="94" t="s">
        <v>74</v>
      </c>
      <c r="H94" s="169"/>
      <c r="I94" s="132" t="str">
        <f t="shared" si="0"/>
        <v>05,24</v>
      </c>
    </row>
    <row r="95" spans="1:12" ht="19.5" hidden="1" thickBot="1" x14ac:dyDescent="0.3">
      <c r="A95" s="461"/>
      <c r="B95" s="162" t="s">
        <v>75</v>
      </c>
      <c r="C95" s="142" t="s">
        <v>19</v>
      </c>
      <c r="D95" s="143">
        <v>4.9960000000000004</v>
      </c>
      <c r="E95" s="144" t="s">
        <v>13</v>
      </c>
      <c r="F95" s="463"/>
      <c r="G95" s="144" t="s">
        <v>74</v>
      </c>
      <c r="H95" s="173"/>
      <c r="I95" s="176" t="str">
        <f t="shared" si="0"/>
        <v>05,24</v>
      </c>
    </row>
    <row r="96" spans="1:12" ht="19.5" hidden="1" thickBot="1" x14ac:dyDescent="0.3">
      <c r="A96" s="461"/>
      <c r="B96" s="138" t="s">
        <v>77</v>
      </c>
      <c r="C96" s="92" t="s">
        <v>17</v>
      </c>
      <c r="D96" s="93">
        <v>2.1819999999999999</v>
      </c>
      <c r="E96" s="94" t="s">
        <v>34</v>
      </c>
      <c r="F96" s="131"/>
      <c r="G96" s="94" t="s">
        <v>78</v>
      </c>
      <c r="H96" s="169"/>
      <c r="I96" s="132" t="str">
        <f t="shared" si="0"/>
        <v>05,24</v>
      </c>
    </row>
    <row r="97" spans="1:9" ht="19.5" hidden="1" thickBot="1" x14ac:dyDescent="0.3">
      <c r="A97" s="461"/>
      <c r="B97" s="140" t="s">
        <v>77</v>
      </c>
      <c r="C97" s="134" t="s">
        <v>18</v>
      </c>
      <c r="D97" s="135">
        <v>2.0150000000000001</v>
      </c>
      <c r="E97" s="136" t="s">
        <v>34</v>
      </c>
      <c r="F97" s="171"/>
      <c r="G97" s="136" t="s">
        <v>78</v>
      </c>
      <c r="H97" s="174"/>
      <c r="I97" s="152" t="str">
        <f t="shared" si="0"/>
        <v>05,24</v>
      </c>
    </row>
    <row r="98" spans="1:9" ht="19.5" hidden="1" thickBot="1" x14ac:dyDescent="0.3">
      <c r="A98" s="461"/>
      <c r="B98" s="162" t="s">
        <v>77</v>
      </c>
      <c r="C98" s="142" t="s">
        <v>19</v>
      </c>
      <c r="D98" s="143">
        <v>0.81</v>
      </c>
      <c r="E98" s="144" t="s">
        <v>34</v>
      </c>
      <c r="F98" s="172"/>
      <c r="G98" s="144" t="s">
        <v>78</v>
      </c>
      <c r="H98" s="173"/>
      <c r="I98" s="176" t="str">
        <f t="shared" si="0"/>
        <v>05,24</v>
      </c>
    </row>
    <row r="99" spans="1:9" ht="19.5" hidden="1" thickBot="1" x14ac:dyDescent="0.3">
      <c r="A99" s="512"/>
      <c r="B99" s="138" t="s">
        <v>79</v>
      </c>
      <c r="C99" s="92" t="s">
        <v>19</v>
      </c>
      <c r="D99" s="93">
        <v>0.18</v>
      </c>
      <c r="E99" s="94" t="s">
        <v>45</v>
      </c>
      <c r="F99" s="94"/>
      <c r="G99" s="94" t="s">
        <v>78</v>
      </c>
      <c r="H99" s="169"/>
      <c r="I99" s="132" t="str">
        <f t="shared" si="0"/>
        <v>05,24</v>
      </c>
    </row>
    <row r="100" spans="1:9" ht="19.5" hidden="1" thickBot="1" x14ac:dyDescent="0.3">
      <c r="A100" s="516"/>
      <c r="B100" s="153" t="s">
        <v>79</v>
      </c>
      <c r="C100" s="154" t="s">
        <v>17</v>
      </c>
      <c r="D100" s="155">
        <v>0.18</v>
      </c>
      <c r="E100" s="156" t="s">
        <v>45</v>
      </c>
      <c r="F100" s="156"/>
      <c r="G100" s="156" t="s">
        <v>78</v>
      </c>
      <c r="H100" s="170"/>
      <c r="I100" s="158" t="str">
        <f t="shared" si="0"/>
        <v>05,24</v>
      </c>
    </row>
    <row r="101" spans="1:9" ht="19.5" hidden="1" thickBot="1" x14ac:dyDescent="0.3">
      <c r="A101" s="454">
        <f>MAX(A100,A99,A98,A97,A96,A95,A94,A93,A92,A91,A90,A89)+1</f>
        <v>29</v>
      </c>
      <c r="B101" s="102" t="s">
        <v>80</v>
      </c>
      <c r="C101" s="103" t="s">
        <v>17</v>
      </c>
      <c r="D101" s="104">
        <v>4.9059999999999997</v>
      </c>
      <c r="E101" s="105" t="s">
        <v>13</v>
      </c>
      <c r="F101" s="106"/>
      <c r="G101" s="105" t="s">
        <v>81</v>
      </c>
      <c r="H101" s="107"/>
      <c r="I101" s="107" t="str">
        <f t="shared" si="0"/>
        <v>05,24</v>
      </c>
    </row>
    <row r="102" spans="1:9" ht="19.5" hidden="1" thickBot="1" x14ac:dyDescent="0.3">
      <c r="A102" s="455"/>
      <c r="B102" s="108" t="s">
        <v>80</v>
      </c>
      <c r="C102" s="109" t="s">
        <v>18</v>
      </c>
      <c r="D102" s="110">
        <v>6.3970000000000002</v>
      </c>
      <c r="E102" s="111" t="s">
        <v>13</v>
      </c>
      <c r="F102" s="112"/>
      <c r="G102" s="111" t="s">
        <v>81</v>
      </c>
      <c r="H102" s="113"/>
      <c r="I102" s="113" t="str">
        <f t="shared" si="0"/>
        <v>05,24</v>
      </c>
    </row>
    <row r="103" spans="1:9" ht="19.5" hidden="1" thickBot="1" x14ac:dyDescent="0.3">
      <c r="A103" s="455"/>
      <c r="B103" s="108" t="s">
        <v>80</v>
      </c>
      <c r="C103" s="109" t="s">
        <v>19</v>
      </c>
      <c r="D103" s="110">
        <v>4.2050000000000001</v>
      </c>
      <c r="E103" s="111" t="s">
        <v>13</v>
      </c>
      <c r="F103" s="112"/>
      <c r="G103" s="111" t="s">
        <v>81</v>
      </c>
      <c r="H103" s="113"/>
      <c r="I103" s="113" t="str">
        <f t="shared" si="0"/>
        <v>05,24</v>
      </c>
    </row>
    <row r="104" spans="1:9" ht="19.5" hidden="1" thickBot="1" x14ac:dyDescent="0.3">
      <c r="A104" s="456"/>
      <c r="B104" s="114" t="s">
        <v>80</v>
      </c>
      <c r="C104" s="115" t="s">
        <v>20</v>
      </c>
      <c r="D104" s="116">
        <v>1.8620000000000001</v>
      </c>
      <c r="E104" s="117" t="s">
        <v>13</v>
      </c>
      <c r="F104" s="118"/>
      <c r="G104" s="117" t="s">
        <v>81</v>
      </c>
      <c r="H104" s="119"/>
      <c r="I104" s="119" t="str">
        <f t="shared" si="0"/>
        <v>05,24</v>
      </c>
    </row>
    <row r="105" spans="1:9" ht="19.5" hidden="1" thickBot="1" x14ac:dyDescent="0.3">
      <c r="A105" s="460">
        <f>MAX(A104,A103,A102,A101,A100,A99,A98,A97,A96,A95,A94,A93)+1</f>
        <v>30</v>
      </c>
      <c r="B105" s="138" t="s">
        <v>80</v>
      </c>
      <c r="C105" s="92" t="s">
        <v>17</v>
      </c>
      <c r="D105" s="93">
        <v>6.0010000000000003</v>
      </c>
      <c r="E105" s="94" t="s">
        <v>13</v>
      </c>
      <c r="F105" s="462" t="s">
        <v>82</v>
      </c>
      <c r="G105" s="94" t="s">
        <v>81</v>
      </c>
      <c r="H105" s="132"/>
      <c r="I105" s="132" t="str">
        <f t="shared" si="0"/>
        <v>05,24</v>
      </c>
    </row>
    <row r="106" spans="1:9" ht="19.5" hidden="1" thickBot="1" x14ac:dyDescent="0.3">
      <c r="A106" s="461"/>
      <c r="B106" s="162" t="s">
        <v>80</v>
      </c>
      <c r="C106" s="142" t="s">
        <v>19</v>
      </c>
      <c r="D106" s="143">
        <v>6.0090000000000003</v>
      </c>
      <c r="E106" s="144" t="s">
        <v>13</v>
      </c>
      <c r="F106" s="463"/>
      <c r="G106" s="144" t="s">
        <v>81</v>
      </c>
      <c r="H106" s="176"/>
      <c r="I106" s="176" t="str">
        <f t="shared" si="0"/>
        <v>05,24</v>
      </c>
    </row>
    <row r="107" spans="1:9" ht="19.5" hidden="1" thickBot="1" x14ac:dyDescent="0.3">
      <c r="A107" s="461"/>
      <c r="B107" s="138" t="s">
        <v>80</v>
      </c>
      <c r="C107" s="92" t="s">
        <v>17</v>
      </c>
      <c r="D107" s="93">
        <v>0.77100000000000002</v>
      </c>
      <c r="E107" s="94" t="s">
        <v>34</v>
      </c>
      <c r="F107" s="462" t="s">
        <v>84</v>
      </c>
      <c r="G107" s="94" t="s">
        <v>83</v>
      </c>
      <c r="H107" s="513" t="s">
        <v>85</v>
      </c>
      <c r="I107" s="178" t="str">
        <f t="shared" si="0"/>
        <v>05,24</v>
      </c>
    </row>
    <row r="108" spans="1:9" ht="19.5" hidden="1" thickBot="1" x14ac:dyDescent="0.3">
      <c r="A108" s="461"/>
      <c r="B108" s="140" t="s">
        <v>80</v>
      </c>
      <c r="C108" s="134" t="s">
        <v>18</v>
      </c>
      <c r="D108" s="135">
        <v>0.69</v>
      </c>
      <c r="E108" s="136" t="s">
        <v>34</v>
      </c>
      <c r="F108" s="463"/>
      <c r="G108" s="136" t="s">
        <v>83</v>
      </c>
      <c r="H108" s="514"/>
      <c r="I108" s="179" t="str">
        <f t="shared" si="0"/>
        <v>05,24</v>
      </c>
    </row>
    <row r="109" spans="1:9" ht="19.5" hidden="1" thickBot="1" x14ac:dyDescent="0.3">
      <c r="A109" s="461"/>
      <c r="B109" s="162" t="s">
        <v>80</v>
      </c>
      <c r="C109" s="142" t="s">
        <v>19</v>
      </c>
      <c r="D109" s="143">
        <v>0.106</v>
      </c>
      <c r="E109" s="144" t="s">
        <v>34</v>
      </c>
      <c r="F109" s="463"/>
      <c r="G109" s="144" t="s">
        <v>83</v>
      </c>
      <c r="H109" s="514"/>
      <c r="I109" s="179" t="str">
        <f t="shared" si="0"/>
        <v>05,24</v>
      </c>
    </row>
    <row r="110" spans="1:9" ht="19.5" hidden="1" thickBot="1" x14ac:dyDescent="0.3">
      <c r="A110" s="461"/>
      <c r="B110" s="138" t="s">
        <v>80</v>
      </c>
      <c r="C110" s="92" t="s">
        <v>19</v>
      </c>
      <c r="D110" s="93">
        <v>0.27</v>
      </c>
      <c r="E110" s="94" t="s">
        <v>45</v>
      </c>
      <c r="F110" s="463"/>
      <c r="G110" s="94" t="s">
        <v>83</v>
      </c>
      <c r="H110" s="514"/>
      <c r="I110" s="179" t="str">
        <f t="shared" si="0"/>
        <v>05,24</v>
      </c>
    </row>
    <row r="111" spans="1:9" ht="19.5" hidden="1" thickBot="1" x14ac:dyDescent="0.3">
      <c r="A111" s="461"/>
      <c r="B111" s="140" t="s">
        <v>80</v>
      </c>
      <c r="C111" s="134" t="s">
        <v>17</v>
      </c>
      <c r="D111" s="135">
        <v>0.09</v>
      </c>
      <c r="E111" s="136" t="s">
        <v>45</v>
      </c>
      <c r="F111" s="463"/>
      <c r="G111" s="136" t="s">
        <v>83</v>
      </c>
      <c r="H111" s="514"/>
      <c r="I111" s="179" t="str">
        <f t="shared" si="0"/>
        <v>05,24</v>
      </c>
    </row>
    <row r="112" spans="1:9" ht="19.5" hidden="1" thickBot="1" x14ac:dyDescent="0.3">
      <c r="A112" s="473"/>
      <c r="B112" s="139" t="s">
        <v>80</v>
      </c>
      <c r="C112" s="96" t="s">
        <v>18</v>
      </c>
      <c r="D112" s="97">
        <v>0.18</v>
      </c>
      <c r="E112" s="98" t="s">
        <v>45</v>
      </c>
      <c r="F112" s="474"/>
      <c r="G112" s="98" t="s">
        <v>83</v>
      </c>
      <c r="H112" s="515"/>
      <c r="I112" s="180" t="str">
        <f t="shared" si="0"/>
        <v>05,24</v>
      </c>
    </row>
    <row r="113" spans="1:9" ht="19.5" hidden="1" thickBot="1" x14ac:dyDescent="0.3">
      <c r="A113" s="454">
        <f>MAX(A112,A111,A110,A109,A108,A107,A106,A105,A104,A103,A102,A101)+1</f>
        <v>31</v>
      </c>
      <c r="B113" s="102" t="s">
        <v>86</v>
      </c>
      <c r="C113" s="103" t="s">
        <v>17</v>
      </c>
      <c r="D113" s="104">
        <v>4.3419999999999996</v>
      </c>
      <c r="E113" s="105" t="s">
        <v>13</v>
      </c>
      <c r="F113" s="106"/>
      <c r="G113" s="105" t="s">
        <v>87</v>
      </c>
      <c r="H113" s="107"/>
      <c r="I113" s="107" t="str">
        <f t="shared" si="0"/>
        <v>05,24</v>
      </c>
    </row>
    <row r="114" spans="1:9" ht="19.5" hidden="1" thickBot="1" x14ac:dyDescent="0.3">
      <c r="A114" s="455"/>
      <c r="B114" s="108" t="s">
        <v>86</v>
      </c>
      <c r="C114" s="109" t="s">
        <v>18</v>
      </c>
      <c r="D114" s="110">
        <v>8.0169999999999995</v>
      </c>
      <c r="E114" s="111" t="s">
        <v>13</v>
      </c>
      <c r="F114" s="112"/>
      <c r="G114" s="111" t="s">
        <v>87</v>
      </c>
      <c r="H114" s="113"/>
      <c r="I114" s="113" t="str">
        <f t="shared" si="0"/>
        <v>05,24</v>
      </c>
    </row>
    <row r="115" spans="1:9" ht="19.5" hidden="1" thickBot="1" x14ac:dyDescent="0.3">
      <c r="A115" s="455"/>
      <c r="B115" s="108" t="s">
        <v>86</v>
      </c>
      <c r="C115" s="109" t="s">
        <v>19</v>
      </c>
      <c r="D115" s="110">
        <v>4.1929999999999996</v>
      </c>
      <c r="E115" s="111" t="s">
        <v>13</v>
      </c>
      <c r="F115" s="112"/>
      <c r="G115" s="111" t="s">
        <v>87</v>
      </c>
      <c r="H115" s="113"/>
      <c r="I115" s="113" t="str">
        <f t="shared" si="0"/>
        <v>05,24</v>
      </c>
    </row>
    <row r="116" spans="1:9" ht="19.5" hidden="1" thickBot="1" x14ac:dyDescent="0.3">
      <c r="A116" s="456"/>
      <c r="B116" s="114" t="s">
        <v>86</v>
      </c>
      <c r="C116" s="115" t="s">
        <v>20</v>
      </c>
      <c r="D116" s="116">
        <v>0.58599999999999997</v>
      </c>
      <c r="E116" s="117" t="s">
        <v>13</v>
      </c>
      <c r="F116" s="118"/>
      <c r="G116" s="117" t="s">
        <v>87</v>
      </c>
      <c r="H116" s="119"/>
      <c r="I116" s="119" t="str">
        <f t="shared" si="0"/>
        <v>05,24</v>
      </c>
    </row>
    <row r="117" spans="1:9" ht="19.5" hidden="1" thickBot="1" x14ac:dyDescent="0.3">
      <c r="A117" s="460">
        <f t="shared" ref="A117:A180" si="2">MAX(A116,A115,A114,A113,A112,A111,A110,A109,A108,A107,A106,A105,A104,A103,A102)+1</f>
        <v>32</v>
      </c>
      <c r="B117" s="138" t="s">
        <v>86</v>
      </c>
      <c r="C117" s="92" t="s">
        <v>19</v>
      </c>
      <c r="D117" s="93">
        <v>5.82</v>
      </c>
      <c r="E117" s="94" t="s">
        <v>13</v>
      </c>
      <c r="F117" s="462" t="s">
        <v>89</v>
      </c>
      <c r="G117" s="94" t="s">
        <v>87</v>
      </c>
      <c r="H117" s="132"/>
      <c r="I117" s="132" t="str">
        <f t="shared" si="0"/>
        <v>05,24</v>
      </c>
    </row>
    <row r="118" spans="1:9" ht="19.5" hidden="1" thickBot="1" x14ac:dyDescent="0.3">
      <c r="A118" s="461"/>
      <c r="B118" s="139" t="s">
        <v>86</v>
      </c>
      <c r="C118" s="96" t="s">
        <v>17</v>
      </c>
      <c r="D118" s="97">
        <v>5.7009999999999996</v>
      </c>
      <c r="E118" s="98" t="s">
        <v>13</v>
      </c>
      <c r="F118" s="474"/>
      <c r="G118" s="98" t="s">
        <v>87</v>
      </c>
      <c r="H118" s="129"/>
      <c r="I118" s="129" t="str">
        <f t="shared" si="0"/>
        <v>05,24</v>
      </c>
    </row>
    <row r="119" spans="1:9" ht="19.5" hidden="1" thickBot="1" x14ac:dyDescent="0.3">
      <c r="A119" s="461"/>
      <c r="B119" s="175" t="s">
        <v>86</v>
      </c>
      <c r="C119" s="134" t="s">
        <v>18</v>
      </c>
      <c r="D119" s="135">
        <v>2.1</v>
      </c>
      <c r="E119" s="136" t="s">
        <v>34</v>
      </c>
      <c r="F119" s="171"/>
      <c r="G119" s="136" t="s">
        <v>88</v>
      </c>
      <c r="H119" s="137"/>
      <c r="I119" s="137" t="str">
        <f t="shared" si="0"/>
        <v>05,24</v>
      </c>
    </row>
    <row r="120" spans="1:9" ht="19.5" hidden="1" thickBot="1" x14ac:dyDescent="0.3">
      <c r="A120" s="461"/>
      <c r="B120" s="175" t="s">
        <v>86</v>
      </c>
      <c r="C120" s="134" t="s">
        <v>19</v>
      </c>
      <c r="D120" s="135">
        <v>1.9</v>
      </c>
      <c r="E120" s="136" t="s">
        <v>34</v>
      </c>
      <c r="F120" s="171"/>
      <c r="G120" s="136" t="s">
        <v>88</v>
      </c>
      <c r="H120" s="137"/>
      <c r="I120" s="137" t="str">
        <f t="shared" si="0"/>
        <v>05,24</v>
      </c>
    </row>
    <row r="121" spans="1:9" ht="19.5" hidden="1" thickBot="1" x14ac:dyDescent="0.3">
      <c r="A121" s="473"/>
      <c r="B121" s="95" t="s">
        <v>86</v>
      </c>
      <c r="C121" s="96" t="s">
        <v>17</v>
      </c>
      <c r="D121" s="97">
        <v>1.6</v>
      </c>
      <c r="E121" s="98" t="s">
        <v>34</v>
      </c>
      <c r="F121" s="133"/>
      <c r="G121" s="98" t="s">
        <v>88</v>
      </c>
      <c r="H121" s="129"/>
      <c r="I121" s="129" t="str">
        <f t="shared" si="0"/>
        <v>05,24</v>
      </c>
    </row>
    <row r="122" spans="1:9" ht="19.5" hidden="1" thickBot="1" x14ac:dyDescent="0.3">
      <c r="A122" s="454">
        <f t="shared" si="2"/>
        <v>33</v>
      </c>
      <c r="B122" s="102" t="s">
        <v>90</v>
      </c>
      <c r="C122" s="103" t="s">
        <v>20</v>
      </c>
      <c r="D122" s="104">
        <v>2.5209999999999999</v>
      </c>
      <c r="E122" s="105" t="s">
        <v>13</v>
      </c>
      <c r="F122" s="106"/>
      <c r="G122" s="105" t="s">
        <v>91</v>
      </c>
      <c r="H122" s="107"/>
      <c r="I122" s="107" t="str">
        <f t="shared" si="0"/>
        <v>06,24</v>
      </c>
    </row>
    <row r="123" spans="1:9" ht="19.5" hidden="1" thickBot="1" x14ac:dyDescent="0.3">
      <c r="A123" s="455"/>
      <c r="B123" s="108" t="s">
        <v>90</v>
      </c>
      <c r="C123" s="109" t="s">
        <v>17</v>
      </c>
      <c r="D123" s="110">
        <v>12.323</v>
      </c>
      <c r="E123" s="111" t="s">
        <v>13</v>
      </c>
      <c r="F123" s="112"/>
      <c r="G123" s="111" t="s">
        <v>91</v>
      </c>
      <c r="H123" s="113"/>
      <c r="I123" s="113" t="str">
        <f t="shared" si="0"/>
        <v>06,24</v>
      </c>
    </row>
    <row r="124" spans="1:9" ht="19.5" hidden="1" thickBot="1" x14ac:dyDescent="0.3">
      <c r="A124" s="456"/>
      <c r="B124" s="114" t="s">
        <v>90</v>
      </c>
      <c r="C124" s="115" t="s">
        <v>18</v>
      </c>
      <c r="D124" s="116">
        <v>2.125</v>
      </c>
      <c r="E124" s="117" t="s">
        <v>13</v>
      </c>
      <c r="F124" s="118"/>
      <c r="G124" s="117" t="s">
        <v>91</v>
      </c>
      <c r="H124" s="119"/>
      <c r="I124" s="119" t="str">
        <f t="shared" si="0"/>
        <v>06,24</v>
      </c>
    </row>
    <row r="125" spans="1:9" ht="19.5" hidden="1" thickBot="1" x14ac:dyDescent="0.3">
      <c r="A125" s="460">
        <f t="shared" si="2"/>
        <v>34</v>
      </c>
      <c r="B125" s="91" t="s">
        <v>90</v>
      </c>
      <c r="C125" s="92" t="s">
        <v>18</v>
      </c>
      <c r="D125" s="93">
        <v>6.0439999999999996</v>
      </c>
      <c r="E125" s="94" t="s">
        <v>13</v>
      </c>
      <c r="F125" s="131"/>
      <c r="G125" s="94" t="s">
        <v>91</v>
      </c>
      <c r="H125" s="132"/>
      <c r="I125" s="132" t="str">
        <f t="shared" si="0"/>
        <v>06,24</v>
      </c>
    </row>
    <row r="126" spans="1:9" ht="19.5" hidden="1" thickBot="1" x14ac:dyDescent="0.3">
      <c r="A126" s="473"/>
      <c r="B126" s="95" t="s">
        <v>90</v>
      </c>
      <c r="C126" s="96" t="s">
        <v>19</v>
      </c>
      <c r="D126" s="97">
        <v>10.991</v>
      </c>
      <c r="E126" s="98" t="s">
        <v>13</v>
      </c>
      <c r="F126" s="133"/>
      <c r="G126" s="98" t="s">
        <v>91</v>
      </c>
      <c r="H126" s="129"/>
      <c r="I126" s="129" t="str">
        <f t="shared" si="0"/>
        <v>06,24</v>
      </c>
    </row>
    <row r="127" spans="1:9" ht="19.5" hidden="1" thickBot="1" x14ac:dyDescent="0.3">
      <c r="A127" s="454">
        <f t="shared" si="2"/>
        <v>35</v>
      </c>
      <c r="B127" s="102" t="s">
        <v>90</v>
      </c>
      <c r="C127" s="103" t="s">
        <v>17</v>
      </c>
      <c r="D127" s="104">
        <v>6.4009999999999998</v>
      </c>
      <c r="E127" s="105" t="s">
        <v>34</v>
      </c>
      <c r="F127" s="457" t="s">
        <v>40</v>
      </c>
      <c r="G127" s="105" t="s">
        <v>92</v>
      </c>
      <c r="H127" s="107"/>
      <c r="I127" s="107" t="str">
        <f t="shared" si="0"/>
        <v>06,24</v>
      </c>
    </row>
    <row r="128" spans="1:9" ht="19.5" hidden="1" thickBot="1" x14ac:dyDescent="0.3">
      <c r="A128" s="455"/>
      <c r="B128" s="108" t="s">
        <v>90</v>
      </c>
      <c r="C128" s="109" t="s">
        <v>18</v>
      </c>
      <c r="D128" s="110">
        <v>1.016</v>
      </c>
      <c r="E128" s="111" t="s">
        <v>34</v>
      </c>
      <c r="F128" s="458"/>
      <c r="G128" s="111" t="s">
        <v>92</v>
      </c>
      <c r="H128" s="113"/>
      <c r="I128" s="113" t="str">
        <f t="shared" si="0"/>
        <v>06,24</v>
      </c>
    </row>
    <row r="129" spans="1:9" ht="19.5" hidden="1" thickBot="1" x14ac:dyDescent="0.3">
      <c r="A129" s="456"/>
      <c r="B129" s="114" t="s">
        <v>90</v>
      </c>
      <c r="C129" s="115" t="s">
        <v>19</v>
      </c>
      <c r="D129" s="116">
        <v>0.66700000000000004</v>
      </c>
      <c r="E129" s="117" t="s">
        <v>34</v>
      </c>
      <c r="F129" s="459"/>
      <c r="G129" s="117" t="s">
        <v>92</v>
      </c>
      <c r="H129" s="119"/>
      <c r="I129" s="119" t="str">
        <f t="shared" si="0"/>
        <v>06,24</v>
      </c>
    </row>
    <row r="130" spans="1:9" ht="19.5" hidden="1" thickBot="1" x14ac:dyDescent="0.3">
      <c r="A130" s="460">
        <f t="shared" si="2"/>
        <v>36</v>
      </c>
      <c r="B130" s="91" t="s">
        <v>93</v>
      </c>
      <c r="C130" s="92" t="s">
        <v>18</v>
      </c>
      <c r="D130" s="93">
        <v>3.6120000000000001</v>
      </c>
      <c r="E130" s="94" t="s">
        <v>13</v>
      </c>
      <c r="F130" s="131"/>
      <c r="G130" s="94" t="s">
        <v>96</v>
      </c>
      <c r="H130" s="132"/>
      <c r="I130" s="132" t="str">
        <f t="shared" si="0"/>
        <v>06,24</v>
      </c>
    </row>
    <row r="131" spans="1:9" ht="19.5" hidden="1" thickBot="1" x14ac:dyDescent="0.3">
      <c r="A131" s="461"/>
      <c r="B131" s="175" t="s">
        <v>93</v>
      </c>
      <c r="C131" s="134" t="s">
        <v>19</v>
      </c>
      <c r="D131" s="135">
        <v>4.3739999999999997</v>
      </c>
      <c r="E131" s="136" t="s">
        <v>13</v>
      </c>
      <c r="F131" s="171"/>
      <c r="G131" s="136" t="s">
        <v>96</v>
      </c>
      <c r="H131" s="137"/>
      <c r="I131" s="137" t="str">
        <f t="shared" si="0"/>
        <v>06,24</v>
      </c>
    </row>
    <row r="132" spans="1:9" ht="19.5" hidden="1" thickBot="1" x14ac:dyDescent="0.3">
      <c r="A132" s="461"/>
      <c r="B132" s="175" t="s">
        <v>93</v>
      </c>
      <c r="C132" s="134" t="s">
        <v>17</v>
      </c>
      <c r="D132" s="135">
        <v>6.6020000000000003</v>
      </c>
      <c r="E132" s="136" t="s">
        <v>13</v>
      </c>
      <c r="F132" s="171"/>
      <c r="G132" s="136" t="s">
        <v>96</v>
      </c>
      <c r="H132" s="137"/>
      <c r="I132" s="137" t="str">
        <f t="shared" si="0"/>
        <v>06,24</v>
      </c>
    </row>
    <row r="133" spans="1:9" ht="19.5" hidden="1" thickBot="1" x14ac:dyDescent="0.3">
      <c r="A133" s="473"/>
      <c r="B133" s="95" t="s">
        <v>93</v>
      </c>
      <c r="C133" s="96" t="s">
        <v>20</v>
      </c>
      <c r="D133" s="97">
        <v>2.5910000000000002</v>
      </c>
      <c r="E133" s="98" t="s">
        <v>13</v>
      </c>
      <c r="F133" s="133"/>
      <c r="G133" s="98" t="s">
        <v>96</v>
      </c>
      <c r="H133" s="129"/>
      <c r="I133" s="129" t="str">
        <f t="shared" si="0"/>
        <v>06,24</v>
      </c>
    </row>
    <row r="134" spans="1:9" ht="19.5" hidden="1" thickBot="1" x14ac:dyDescent="0.3">
      <c r="A134" s="454">
        <f t="shared" si="2"/>
        <v>37</v>
      </c>
      <c r="B134" s="126" t="s">
        <v>93</v>
      </c>
      <c r="C134" s="103" t="s">
        <v>18</v>
      </c>
      <c r="D134" s="104">
        <v>3.49</v>
      </c>
      <c r="E134" s="105" t="s">
        <v>13</v>
      </c>
      <c r="F134" s="457" t="s">
        <v>94</v>
      </c>
      <c r="G134" s="105" t="s">
        <v>96</v>
      </c>
      <c r="H134" s="107"/>
      <c r="I134" s="107" t="str">
        <f t="shared" si="0"/>
        <v>06,24</v>
      </c>
    </row>
    <row r="135" spans="1:9" ht="19.5" hidden="1" thickBot="1" x14ac:dyDescent="0.3">
      <c r="A135" s="455"/>
      <c r="B135" s="127" t="s">
        <v>93</v>
      </c>
      <c r="C135" s="109" t="s">
        <v>19</v>
      </c>
      <c r="D135" s="110">
        <v>4.2850000000000001</v>
      </c>
      <c r="E135" s="111" t="s">
        <v>13</v>
      </c>
      <c r="F135" s="458"/>
      <c r="G135" s="111" t="s">
        <v>96</v>
      </c>
      <c r="H135" s="113"/>
      <c r="I135" s="113" t="str">
        <f t="shared" si="0"/>
        <v>06,24</v>
      </c>
    </row>
    <row r="136" spans="1:9" ht="19.5" hidden="1" thickBot="1" x14ac:dyDescent="0.3">
      <c r="A136" s="455"/>
      <c r="B136" s="128" t="s">
        <v>93</v>
      </c>
      <c r="C136" s="115" t="s">
        <v>17</v>
      </c>
      <c r="D136" s="116">
        <v>6.2969999999999997</v>
      </c>
      <c r="E136" s="117" t="s">
        <v>13</v>
      </c>
      <c r="F136" s="459"/>
      <c r="G136" s="117" t="s">
        <v>96</v>
      </c>
      <c r="H136" s="119"/>
      <c r="I136" s="119" t="str">
        <f t="shared" si="0"/>
        <v>06,24</v>
      </c>
    </row>
    <row r="137" spans="1:9" ht="19.5" hidden="1" thickBot="1" x14ac:dyDescent="0.3">
      <c r="A137" s="455"/>
      <c r="B137" s="126" t="s">
        <v>93</v>
      </c>
      <c r="C137" s="103" t="s">
        <v>18</v>
      </c>
      <c r="D137" s="104">
        <v>1.4</v>
      </c>
      <c r="E137" s="105" t="s">
        <v>34</v>
      </c>
      <c r="F137" s="106"/>
      <c r="G137" s="105" t="s">
        <v>97</v>
      </c>
      <c r="H137" s="107"/>
      <c r="I137" s="107" t="str">
        <f t="shared" si="0"/>
        <v>06,24</v>
      </c>
    </row>
    <row r="138" spans="1:9" ht="19.5" hidden="1" thickBot="1" x14ac:dyDescent="0.3">
      <c r="A138" s="455"/>
      <c r="B138" s="127" t="s">
        <v>93</v>
      </c>
      <c r="C138" s="109" t="s">
        <v>19</v>
      </c>
      <c r="D138" s="110">
        <v>0.6</v>
      </c>
      <c r="E138" s="111" t="s">
        <v>34</v>
      </c>
      <c r="F138" s="112"/>
      <c r="G138" s="111" t="s">
        <v>97</v>
      </c>
      <c r="H138" s="113"/>
      <c r="I138" s="113" t="str">
        <f t="shared" si="0"/>
        <v>06,24</v>
      </c>
    </row>
    <row r="139" spans="1:9" ht="19.5" hidden="1" thickBot="1" x14ac:dyDescent="0.3">
      <c r="A139" s="456"/>
      <c r="B139" s="128" t="s">
        <v>93</v>
      </c>
      <c r="C139" s="115" t="s">
        <v>17</v>
      </c>
      <c r="D139" s="116">
        <v>1</v>
      </c>
      <c r="E139" s="117" t="s">
        <v>34</v>
      </c>
      <c r="F139" s="118"/>
      <c r="G139" s="117" t="s">
        <v>97</v>
      </c>
      <c r="H139" s="119"/>
      <c r="I139" s="119" t="str">
        <f t="shared" si="0"/>
        <v>06,24</v>
      </c>
    </row>
    <row r="140" spans="1:9" ht="19.5" hidden="1" thickBot="1" x14ac:dyDescent="0.3">
      <c r="A140" s="460">
        <f t="shared" si="2"/>
        <v>38</v>
      </c>
      <c r="B140" s="91" t="s">
        <v>95</v>
      </c>
      <c r="C140" s="92" t="s">
        <v>18</v>
      </c>
      <c r="D140" s="93">
        <v>3.919</v>
      </c>
      <c r="E140" s="94" t="s">
        <v>13</v>
      </c>
      <c r="F140" s="131"/>
      <c r="G140" s="94" t="s">
        <v>98</v>
      </c>
      <c r="H140" s="132"/>
      <c r="I140" s="183" t="str">
        <f t="shared" si="0"/>
        <v>06,24</v>
      </c>
    </row>
    <row r="141" spans="1:9" ht="19.5" hidden="1" thickBot="1" x14ac:dyDescent="0.3">
      <c r="A141" s="461"/>
      <c r="B141" s="175" t="s">
        <v>95</v>
      </c>
      <c r="C141" s="134" t="s">
        <v>19</v>
      </c>
      <c r="D141" s="135">
        <v>6.1950000000000003</v>
      </c>
      <c r="E141" s="136" t="s">
        <v>13</v>
      </c>
      <c r="F141" s="171"/>
      <c r="G141" s="136" t="s">
        <v>98</v>
      </c>
      <c r="H141" s="137"/>
      <c r="I141" s="184" t="str">
        <f t="shared" si="0"/>
        <v>06,24</v>
      </c>
    </row>
    <row r="142" spans="1:9" ht="19.5" hidden="1" thickBot="1" x14ac:dyDescent="0.3">
      <c r="A142" s="473"/>
      <c r="B142" s="95" t="s">
        <v>95</v>
      </c>
      <c r="C142" s="96" t="s">
        <v>17</v>
      </c>
      <c r="D142" s="97">
        <v>7.0730000000000004</v>
      </c>
      <c r="E142" s="98" t="s">
        <v>13</v>
      </c>
      <c r="F142" s="133"/>
      <c r="G142" s="98" t="s">
        <v>98</v>
      </c>
      <c r="H142" s="129"/>
      <c r="I142" s="182" t="str">
        <f t="shared" si="0"/>
        <v>06,24</v>
      </c>
    </row>
    <row r="143" spans="1:9" ht="19.5" hidden="1" thickBot="1" x14ac:dyDescent="0.3">
      <c r="A143" s="454">
        <f t="shared" si="2"/>
        <v>39</v>
      </c>
      <c r="B143" s="126" t="s">
        <v>99</v>
      </c>
      <c r="C143" s="103" t="s">
        <v>18</v>
      </c>
      <c r="D143" s="104">
        <v>2.2989999999999999</v>
      </c>
      <c r="E143" s="105" t="s">
        <v>13</v>
      </c>
      <c r="F143" s="457" t="s">
        <v>82</v>
      </c>
      <c r="G143" s="105" t="s">
        <v>100</v>
      </c>
      <c r="H143" s="107"/>
      <c r="I143" s="185" t="str">
        <f t="shared" si="0"/>
        <v>06,24</v>
      </c>
    </row>
    <row r="144" spans="1:9" ht="19.5" hidden="1" thickBot="1" x14ac:dyDescent="0.3">
      <c r="A144" s="455"/>
      <c r="B144" s="127" t="s">
        <v>99</v>
      </c>
      <c r="C144" s="109" t="s">
        <v>19</v>
      </c>
      <c r="D144" s="110">
        <v>3.7050000000000001</v>
      </c>
      <c r="E144" s="111" t="s">
        <v>13</v>
      </c>
      <c r="F144" s="458"/>
      <c r="G144" s="111" t="s">
        <v>100</v>
      </c>
      <c r="H144" s="113"/>
      <c r="I144" s="186" t="str">
        <f t="shared" si="0"/>
        <v>06,24</v>
      </c>
    </row>
    <row r="145" spans="1:9" ht="19.5" hidden="1" thickBot="1" x14ac:dyDescent="0.3">
      <c r="A145" s="455"/>
      <c r="B145" s="127" t="s">
        <v>99</v>
      </c>
      <c r="C145" s="109" t="s">
        <v>17</v>
      </c>
      <c r="D145" s="110">
        <v>4.9989999999999997</v>
      </c>
      <c r="E145" s="111" t="s">
        <v>13</v>
      </c>
      <c r="F145" s="458"/>
      <c r="G145" s="111" t="s">
        <v>100</v>
      </c>
      <c r="H145" s="113"/>
      <c r="I145" s="186" t="str">
        <f t="shared" si="0"/>
        <v>06,24</v>
      </c>
    </row>
    <row r="146" spans="1:9" ht="19.5" hidden="1" thickBot="1" x14ac:dyDescent="0.3">
      <c r="A146" s="455"/>
      <c r="B146" s="128" t="s">
        <v>99</v>
      </c>
      <c r="C146" s="115" t="s">
        <v>20</v>
      </c>
      <c r="D146" s="116">
        <v>0.81100000000000005</v>
      </c>
      <c r="E146" s="117" t="s">
        <v>13</v>
      </c>
      <c r="F146" s="459"/>
      <c r="G146" s="117" t="s">
        <v>100</v>
      </c>
      <c r="H146" s="119"/>
      <c r="I146" s="181" t="str">
        <f t="shared" si="0"/>
        <v>06,24</v>
      </c>
    </row>
    <row r="147" spans="1:9" ht="19.5" hidden="1" thickBot="1" x14ac:dyDescent="0.3">
      <c r="A147" s="455"/>
      <c r="B147" s="108" t="s">
        <v>99</v>
      </c>
      <c r="C147" s="109" t="s">
        <v>18</v>
      </c>
      <c r="D147" s="110">
        <v>0.4</v>
      </c>
      <c r="E147" s="111" t="s">
        <v>34</v>
      </c>
      <c r="F147" s="457" t="s">
        <v>102</v>
      </c>
      <c r="G147" s="111" t="s">
        <v>101</v>
      </c>
      <c r="H147" s="496" t="s">
        <v>103</v>
      </c>
      <c r="I147" s="185" t="str">
        <f t="shared" si="0"/>
        <v>06,24</v>
      </c>
    </row>
    <row r="148" spans="1:9" ht="19.5" hidden="1" thickBot="1" x14ac:dyDescent="0.3">
      <c r="A148" s="455"/>
      <c r="B148" s="108" t="s">
        <v>99</v>
      </c>
      <c r="C148" s="109" t="s">
        <v>19</v>
      </c>
      <c r="D148" s="110">
        <v>1</v>
      </c>
      <c r="E148" s="111" t="s">
        <v>34</v>
      </c>
      <c r="F148" s="458"/>
      <c r="G148" s="111" t="s">
        <v>101</v>
      </c>
      <c r="H148" s="497"/>
      <c r="I148" s="186" t="str">
        <f t="shared" si="0"/>
        <v>06,24</v>
      </c>
    </row>
    <row r="149" spans="1:9" ht="19.5" hidden="1" thickBot="1" x14ac:dyDescent="0.3">
      <c r="A149" s="456"/>
      <c r="B149" s="114" t="s">
        <v>99</v>
      </c>
      <c r="C149" s="115" t="s">
        <v>17</v>
      </c>
      <c r="D149" s="116">
        <v>1.6</v>
      </c>
      <c r="E149" s="117" t="s">
        <v>34</v>
      </c>
      <c r="F149" s="459"/>
      <c r="G149" s="117" t="s">
        <v>101</v>
      </c>
      <c r="H149" s="500"/>
      <c r="I149" s="181" t="str">
        <f t="shared" si="0"/>
        <v>06,24</v>
      </c>
    </row>
    <row r="150" spans="1:9" ht="19.5" hidden="1" thickBot="1" x14ac:dyDescent="0.3">
      <c r="A150" s="460">
        <f t="shared" si="2"/>
        <v>40</v>
      </c>
      <c r="B150" s="91" t="s">
        <v>104</v>
      </c>
      <c r="C150" s="92" t="s">
        <v>20</v>
      </c>
      <c r="D150" s="93">
        <v>0.56699999999999995</v>
      </c>
      <c r="E150" s="94" t="s">
        <v>13</v>
      </c>
      <c r="F150" s="131"/>
      <c r="G150" s="94" t="s">
        <v>105</v>
      </c>
      <c r="H150" s="132"/>
      <c r="I150" s="183" t="str">
        <f t="shared" si="0"/>
        <v>06,24</v>
      </c>
    </row>
    <row r="151" spans="1:9" ht="19.5" hidden="1" thickBot="1" x14ac:dyDescent="0.3">
      <c r="A151" s="461"/>
      <c r="B151" s="175" t="s">
        <v>104</v>
      </c>
      <c r="C151" s="134" t="s">
        <v>17</v>
      </c>
      <c r="D151" s="135">
        <v>7.7140000000000004</v>
      </c>
      <c r="E151" s="136" t="s">
        <v>13</v>
      </c>
      <c r="F151" s="171"/>
      <c r="G151" s="136" t="s">
        <v>105</v>
      </c>
      <c r="H151" s="137"/>
      <c r="I151" s="184" t="str">
        <f t="shared" si="0"/>
        <v>06,24</v>
      </c>
    </row>
    <row r="152" spans="1:9" ht="19.5" hidden="1" thickBot="1" x14ac:dyDescent="0.3">
      <c r="A152" s="461"/>
      <c r="B152" s="175" t="s">
        <v>104</v>
      </c>
      <c r="C152" s="134" t="s">
        <v>18</v>
      </c>
      <c r="D152" s="135">
        <v>4.782</v>
      </c>
      <c r="E152" s="136" t="s">
        <v>13</v>
      </c>
      <c r="F152" s="171"/>
      <c r="G152" s="136" t="s">
        <v>105</v>
      </c>
      <c r="H152" s="137"/>
      <c r="I152" s="184" t="str">
        <f t="shared" si="0"/>
        <v>06,24</v>
      </c>
    </row>
    <row r="153" spans="1:9" ht="19.5" hidden="1" thickBot="1" x14ac:dyDescent="0.3">
      <c r="A153" s="473"/>
      <c r="B153" s="95" t="s">
        <v>104</v>
      </c>
      <c r="C153" s="96" t="s">
        <v>19</v>
      </c>
      <c r="D153" s="97">
        <v>3.9630000000000001</v>
      </c>
      <c r="E153" s="98" t="s">
        <v>13</v>
      </c>
      <c r="F153" s="133"/>
      <c r="G153" s="98" t="s">
        <v>105</v>
      </c>
      <c r="H153" s="129"/>
      <c r="I153" s="182" t="str">
        <f t="shared" si="0"/>
        <v>06,24</v>
      </c>
    </row>
    <row r="154" spans="1:9" ht="19.5" hidden="1" thickBot="1" x14ac:dyDescent="0.3">
      <c r="A154" s="454">
        <f t="shared" si="2"/>
        <v>41</v>
      </c>
      <c r="B154" s="126" t="s">
        <v>104</v>
      </c>
      <c r="C154" s="103" t="s">
        <v>17</v>
      </c>
      <c r="D154" s="104">
        <v>3.5</v>
      </c>
      <c r="E154" s="105" t="s">
        <v>13</v>
      </c>
      <c r="F154" s="457" t="s">
        <v>108</v>
      </c>
      <c r="G154" s="105" t="s">
        <v>105</v>
      </c>
      <c r="H154" s="107"/>
      <c r="I154" s="185" t="str">
        <f t="shared" si="0"/>
        <v>06,24</v>
      </c>
    </row>
    <row r="155" spans="1:9" ht="19.5" hidden="1" thickBot="1" x14ac:dyDescent="0.3">
      <c r="A155" s="455"/>
      <c r="B155" s="127" t="s">
        <v>104</v>
      </c>
      <c r="C155" s="109" t="s">
        <v>18</v>
      </c>
      <c r="D155" s="110">
        <v>2.8069999999999999</v>
      </c>
      <c r="E155" s="111" t="s">
        <v>13</v>
      </c>
      <c r="F155" s="458"/>
      <c r="G155" s="111" t="s">
        <v>105</v>
      </c>
      <c r="H155" s="113"/>
      <c r="I155" s="186" t="str">
        <f t="shared" si="0"/>
        <v>06,24</v>
      </c>
    </row>
    <row r="156" spans="1:9" ht="19.5" hidden="1" thickBot="1" x14ac:dyDescent="0.3">
      <c r="A156" s="455"/>
      <c r="B156" s="128" t="s">
        <v>104</v>
      </c>
      <c r="C156" s="115" t="s">
        <v>19</v>
      </c>
      <c r="D156" s="116">
        <v>1.2</v>
      </c>
      <c r="E156" s="117" t="s">
        <v>13</v>
      </c>
      <c r="F156" s="459"/>
      <c r="G156" s="117" t="s">
        <v>105</v>
      </c>
      <c r="H156" s="119"/>
      <c r="I156" s="181" t="str">
        <f t="shared" si="0"/>
        <v>06,24</v>
      </c>
    </row>
    <row r="157" spans="1:9" ht="19.5" hidden="1" thickBot="1" x14ac:dyDescent="0.3">
      <c r="A157" s="455"/>
      <c r="B157" s="126" t="s">
        <v>104</v>
      </c>
      <c r="C157" s="103" t="s">
        <v>17</v>
      </c>
      <c r="D157" s="104">
        <v>2.1989999999999998</v>
      </c>
      <c r="E157" s="105" t="s">
        <v>34</v>
      </c>
      <c r="F157" s="457" t="s">
        <v>109</v>
      </c>
      <c r="G157" s="105" t="s">
        <v>106</v>
      </c>
      <c r="H157" s="107"/>
      <c r="I157" s="185" t="str">
        <f t="shared" si="0"/>
        <v>06,24</v>
      </c>
    </row>
    <row r="158" spans="1:9" ht="19.5" hidden="1" thickBot="1" x14ac:dyDescent="0.3">
      <c r="A158" s="455"/>
      <c r="B158" s="127" t="s">
        <v>104</v>
      </c>
      <c r="C158" s="109" t="s">
        <v>18</v>
      </c>
      <c r="D158" s="110">
        <v>0.66</v>
      </c>
      <c r="E158" s="111" t="s">
        <v>34</v>
      </c>
      <c r="F158" s="458"/>
      <c r="G158" s="111" t="s">
        <v>106</v>
      </c>
      <c r="H158" s="113"/>
      <c r="I158" s="186" t="str">
        <f t="shared" si="0"/>
        <v>06,24</v>
      </c>
    </row>
    <row r="159" spans="1:9" ht="19.5" hidden="1" thickBot="1" x14ac:dyDescent="0.3">
      <c r="A159" s="455"/>
      <c r="B159" s="128" t="s">
        <v>104</v>
      </c>
      <c r="C159" s="115" t="s">
        <v>19</v>
      </c>
      <c r="D159" s="116">
        <v>0.64700000000000002</v>
      </c>
      <c r="E159" s="117" t="s">
        <v>34</v>
      </c>
      <c r="F159" s="459"/>
      <c r="G159" s="117" t="s">
        <v>106</v>
      </c>
      <c r="H159" s="119"/>
      <c r="I159" s="181" t="str">
        <f t="shared" si="0"/>
        <v>06,24</v>
      </c>
    </row>
    <row r="160" spans="1:9" ht="19.5" hidden="1" thickBot="1" x14ac:dyDescent="0.3">
      <c r="A160" s="455"/>
      <c r="B160" s="126" t="s">
        <v>104</v>
      </c>
      <c r="C160" s="103" t="s">
        <v>17</v>
      </c>
      <c r="D160" s="104">
        <v>2.2240000000000002</v>
      </c>
      <c r="E160" s="105" t="s">
        <v>45</v>
      </c>
      <c r="F160" s="457" t="s">
        <v>107</v>
      </c>
      <c r="G160" s="105" t="s">
        <v>106</v>
      </c>
      <c r="H160" s="107"/>
      <c r="I160" s="185" t="str">
        <f t="shared" si="0"/>
        <v>06,24</v>
      </c>
    </row>
    <row r="161" spans="1:9" ht="19.5" hidden="1" thickBot="1" x14ac:dyDescent="0.3">
      <c r="A161" s="455"/>
      <c r="B161" s="127" t="s">
        <v>104</v>
      </c>
      <c r="C161" s="109" t="s">
        <v>18</v>
      </c>
      <c r="D161" s="110">
        <v>1.63</v>
      </c>
      <c r="E161" s="111" t="s">
        <v>45</v>
      </c>
      <c r="F161" s="458"/>
      <c r="G161" s="111" t="s">
        <v>106</v>
      </c>
      <c r="H161" s="113"/>
      <c r="I161" s="186" t="str">
        <f t="shared" si="0"/>
        <v>06,24</v>
      </c>
    </row>
    <row r="162" spans="1:9" ht="19.5" hidden="1" thickBot="1" x14ac:dyDescent="0.3">
      <c r="A162" s="456"/>
      <c r="B162" s="128" t="s">
        <v>104</v>
      </c>
      <c r="C162" s="115" t="s">
        <v>19</v>
      </c>
      <c r="D162" s="116">
        <v>0.44800000000000001</v>
      </c>
      <c r="E162" s="117" t="s">
        <v>45</v>
      </c>
      <c r="F162" s="459"/>
      <c r="G162" s="117" t="s">
        <v>106</v>
      </c>
      <c r="H162" s="119"/>
      <c r="I162" s="181" t="str">
        <f t="shared" si="0"/>
        <v>06,24</v>
      </c>
    </row>
    <row r="163" spans="1:9" ht="19.5" hidden="1" thickBot="1" x14ac:dyDescent="0.3">
      <c r="A163" s="460">
        <f t="shared" si="2"/>
        <v>42</v>
      </c>
      <c r="B163" s="91" t="s">
        <v>110</v>
      </c>
      <c r="C163" s="92" t="s">
        <v>20</v>
      </c>
      <c r="D163" s="93">
        <v>2.165</v>
      </c>
      <c r="E163" s="94" t="s">
        <v>13</v>
      </c>
      <c r="F163" s="131"/>
      <c r="G163" s="94" t="s">
        <v>111</v>
      </c>
      <c r="H163" s="132"/>
      <c r="I163" s="132" t="str">
        <f t="shared" si="0"/>
        <v>06,24</v>
      </c>
    </row>
    <row r="164" spans="1:9" ht="19.5" hidden="1" thickBot="1" x14ac:dyDescent="0.3">
      <c r="A164" s="461"/>
      <c r="B164" s="175" t="s">
        <v>110</v>
      </c>
      <c r="C164" s="134" t="s">
        <v>17</v>
      </c>
      <c r="D164" s="135">
        <v>7.3680000000000003</v>
      </c>
      <c r="E164" s="136" t="s">
        <v>13</v>
      </c>
      <c r="F164" s="171"/>
      <c r="G164" s="136" t="s">
        <v>111</v>
      </c>
      <c r="H164" s="137"/>
      <c r="I164" s="137" t="str">
        <f t="shared" si="0"/>
        <v>06,24</v>
      </c>
    </row>
    <row r="165" spans="1:9" ht="19.5" hidden="1" thickBot="1" x14ac:dyDescent="0.3">
      <c r="A165" s="461"/>
      <c r="B165" s="175" t="s">
        <v>110</v>
      </c>
      <c r="C165" s="134" t="s">
        <v>18</v>
      </c>
      <c r="D165" s="135">
        <v>5.4980000000000002</v>
      </c>
      <c r="E165" s="136" t="s">
        <v>13</v>
      </c>
      <c r="F165" s="171"/>
      <c r="G165" s="136" t="s">
        <v>111</v>
      </c>
      <c r="H165" s="137"/>
      <c r="I165" s="137" t="str">
        <f t="shared" si="0"/>
        <v>06,24</v>
      </c>
    </row>
    <row r="166" spans="1:9" ht="19.5" hidden="1" thickBot="1" x14ac:dyDescent="0.3">
      <c r="A166" s="473"/>
      <c r="B166" s="95" t="s">
        <v>110</v>
      </c>
      <c r="C166" s="96" t="s">
        <v>19</v>
      </c>
      <c r="D166" s="97">
        <v>1.883</v>
      </c>
      <c r="E166" s="98" t="s">
        <v>13</v>
      </c>
      <c r="F166" s="133"/>
      <c r="G166" s="98" t="s">
        <v>111</v>
      </c>
      <c r="H166" s="129"/>
      <c r="I166" s="129" t="str">
        <f t="shared" si="0"/>
        <v>06,24</v>
      </c>
    </row>
    <row r="167" spans="1:9" ht="19.5" hidden="1" thickBot="1" x14ac:dyDescent="0.3">
      <c r="A167" s="454">
        <f t="shared" si="2"/>
        <v>43</v>
      </c>
      <c r="B167" s="126" t="s">
        <v>110</v>
      </c>
      <c r="C167" s="103" t="s">
        <v>17</v>
      </c>
      <c r="D167" s="104">
        <v>4.8890000000000002</v>
      </c>
      <c r="E167" s="105" t="s">
        <v>13</v>
      </c>
      <c r="F167" s="457" t="s">
        <v>113</v>
      </c>
      <c r="G167" s="105" t="s">
        <v>111</v>
      </c>
      <c r="H167" s="107"/>
      <c r="I167" s="107" t="str">
        <f t="shared" si="0"/>
        <v>06,24</v>
      </c>
    </row>
    <row r="168" spans="1:9" ht="19.5" hidden="1" thickBot="1" x14ac:dyDescent="0.3">
      <c r="A168" s="455"/>
      <c r="B168" s="128" t="s">
        <v>110</v>
      </c>
      <c r="C168" s="115" t="s">
        <v>18</v>
      </c>
      <c r="D168" s="116">
        <v>4.0090000000000003</v>
      </c>
      <c r="E168" s="117" t="s">
        <v>13</v>
      </c>
      <c r="F168" s="459"/>
      <c r="G168" s="117" t="s">
        <v>111</v>
      </c>
      <c r="H168" s="119"/>
      <c r="I168" s="119" t="str">
        <f t="shared" si="0"/>
        <v>06,24</v>
      </c>
    </row>
    <row r="169" spans="1:9" ht="19.5" hidden="1" thickBot="1" x14ac:dyDescent="0.3">
      <c r="A169" s="455"/>
      <c r="B169" s="126" t="s">
        <v>110</v>
      </c>
      <c r="C169" s="103" t="s">
        <v>17</v>
      </c>
      <c r="D169" s="104">
        <v>2.4</v>
      </c>
      <c r="E169" s="105" t="s">
        <v>34</v>
      </c>
      <c r="F169" s="457" t="s">
        <v>114</v>
      </c>
      <c r="G169" s="105" t="s">
        <v>112</v>
      </c>
      <c r="H169" s="107"/>
      <c r="I169" s="107" t="str">
        <f t="shared" si="0"/>
        <v>06,24</v>
      </c>
    </row>
    <row r="170" spans="1:9" ht="19.5" hidden="1" thickBot="1" x14ac:dyDescent="0.3">
      <c r="A170" s="455"/>
      <c r="B170" s="127" t="s">
        <v>110</v>
      </c>
      <c r="C170" s="109" t="s">
        <v>18</v>
      </c>
      <c r="D170" s="110">
        <v>1.8</v>
      </c>
      <c r="E170" s="111" t="s">
        <v>34</v>
      </c>
      <c r="F170" s="458"/>
      <c r="G170" s="111" t="s">
        <v>112</v>
      </c>
      <c r="H170" s="113"/>
      <c r="I170" s="113" t="str">
        <f t="shared" si="0"/>
        <v>06,24</v>
      </c>
    </row>
    <row r="171" spans="1:9" ht="19.5" hidden="1" thickBot="1" x14ac:dyDescent="0.3">
      <c r="A171" s="456"/>
      <c r="B171" s="128" t="s">
        <v>110</v>
      </c>
      <c r="C171" s="115" t="s">
        <v>19</v>
      </c>
      <c r="D171" s="116">
        <v>0.8</v>
      </c>
      <c r="E171" s="117" t="s">
        <v>34</v>
      </c>
      <c r="F171" s="459"/>
      <c r="G171" s="117" t="s">
        <v>112</v>
      </c>
      <c r="H171" s="119"/>
      <c r="I171" s="119" t="str">
        <f t="shared" si="0"/>
        <v>06,24</v>
      </c>
    </row>
    <row r="172" spans="1:9" ht="19.5" hidden="1" thickBot="1" x14ac:dyDescent="0.3">
      <c r="A172" s="460">
        <f t="shared" si="2"/>
        <v>44</v>
      </c>
      <c r="B172" s="91" t="s">
        <v>115</v>
      </c>
      <c r="C172" s="92" t="s">
        <v>18</v>
      </c>
      <c r="D172" s="93">
        <v>4.524</v>
      </c>
      <c r="E172" s="94" t="s">
        <v>13</v>
      </c>
      <c r="F172" s="131"/>
      <c r="G172" s="94" t="s">
        <v>117</v>
      </c>
      <c r="H172" s="132"/>
      <c r="I172" s="132" t="str">
        <f t="shared" si="0"/>
        <v>07,24</v>
      </c>
    </row>
    <row r="173" spans="1:9" ht="19.5" hidden="1" thickBot="1" x14ac:dyDescent="0.3">
      <c r="A173" s="461"/>
      <c r="B173" s="175" t="s">
        <v>115</v>
      </c>
      <c r="C173" s="134" t="s">
        <v>19</v>
      </c>
      <c r="D173" s="135">
        <v>6.2160000000000002</v>
      </c>
      <c r="E173" s="136" t="s">
        <v>13</v>
      </c>
      <c r="F173" s="171"/>
      <c r="G173" s="136" t="s">
        <v>117</v>
      </c>
      <c r="H173" s="137"/>
      <c r="I173" s="137" t="str">
        <f t="shared" si="0"/>
        <v>07,24</v>
      </c>
    </row>
    <row r="174" spans="1:9" ht="19.5" hidden="1" thickBot="1" x14ac:dyDescent="0.3">
      <c r="A174" s="461"/>
      <c r="B174" s="175" t="s">
        <v>115</v>
      </c>
      <c r="C174" s="134" t="s">
        <v>116</v>
      </c>
      <c r="D174" s="135">
        <v>0.502</v>
      </c>
      <c r="E174" s="136" t="s">
        <v>13</v>
      </c>
      <c r="F174" s="171"/>
      <c r="G174" s="136" t="s">
        <v>117</v>
      </c>
      <c r="H174" s="137"/>
      <c r="I174" s="137" t="str">
        <f t="shared" si="0"/>
        <v>07,24</v>
      </c>
    </row>
    <row r="175" spans="1:9" ht="19.5" hidden="1" thickBot="1" x14ac:dyDescent="0.3">
      <c r="A175" s="461"/>
      <c r="B175" s="175" t="s">
        <v>115</v>
      </c>
      <c r="C175" s="134" t="s">
        <v>17</v>
      </c>
      <c r="D175" s="135">
        <v>5.0060000000000002</v>
      </c>
      <c r="E175" s="136" t="s">
        <v>13</v>
      </c>
      <c r="F175" s="171"/>
      <c r="G175" s="136" t="s">
        <v>117</v>
      </c>
      <c r="H175" s="137"/>
      <c r="I175" s="137" t="str">
        <f t="shared" si="0"/>
        <v>07,24</v>
      </c>
    </row>
    <row r="176" spans="1:9" ht="19.5" hidden="1" thickBot="1" x14ac:dyDescent="0.3">
      <c r="A176" s="473"/>
      <c r="B176" s="95" t="s">
        <v>115</v>
      </c>
      <c r="C176" s="96" t="s">
        <v>20</v>
      </c>
      <c r="D176" s="97">
        <v>0.89600000000000002</v>
      </c>
      <c r="E176" s="98" t="s">
        <v>13</v>
      </c>
      <c r="F176" s="133"/>
      <c r="G176" s="98" t="s">
        <v>117</v>
      </c>
      <c r="H176" s="129"/>
      <c r="I176" s="129" t="str">
        <f t="shared" si="0"/>
        <v>07,24</v>
      </c>
    </row>
    <row r="177" spans="1:13" ht="19.5" hidden="1" thickBot="1" x14ac:dyDescent="0.3">
      <c r="A177" s="454">
        <f t="shared" si="2"/>
        <v>45</v>
      </c>
      <c r="B177" s="102" t="s">
        <v>115</v>
      </c>
      <c r="C177" s="103" t="s">
        <v>18</v>
      </c>
      <c r="D177" s="104">
        <v>4.9980000000000002</v>
      </c>
      <c r="E177" s="105" t="s">
        <v>13</v>
      </c>
      <c r="F177" s="106"/>
      <c r="G177" s="105" t="s">
        <v>118</v>
      </c>
      <c r="H177" s="107"/>
      <c r="I177" s="107" t="str">
        <f t="shared" si="0"/>
        <v>07,24</v>
      </c>
    </row>
    <row r="178" spans="1:13" ht="19.5" hidden="1" thickBot="1" x14ac:dyDescent="0.3">
      <c r="A178" s="455"/>
      <c r="B178" s="108" t="s">
        <v>115</v>
      </c>
      <c r="C178" s="109" t="s">
        <v>19</v>
      </c>
      <c r="D178" s="110">
        <v>7.0309999999999997</v>
      </c>
      <c r="E178" s="111" t="s">
        <v>13</v>
      </c>
      <c r="F178" s="112"/>
      <c r="G178" s="111" t="s">
        <v>118</v>
      </c>
      <c r="H178" s="113"/>
      <c r="I178" s="113" t="str">
        <f t="shared" si="0"/>
        <v>07,24</v>
      </c>
    </row>
    <row r="179" spans="1:13" ht="19.5" hidden="1" thickBot="1" x14ac:dyDescent="0.3">
      <c r="A179" s="456"/>
      <c r="B179" s="114" t="s">
        <v>115</v>
      </c>
      <c r="C179" s="115" t="s">
        <v>17</v>
      </c>
      <c r="D179" s="116">
        <v>5.0179999999999998</v>
      </c>
      <c r="E179" s="117" t="s">
        <v>13</v>
      </c>
      <c r="F179" s="118"/>
      <c r="G179" s="117" t="s">
        <v>118</v>
      </c>
      <c r="H179" s="119"/>
      <c r="I179" s="119" t="str">
        <f t="shared" si="0"/>
        <v>07,24</v>
      </c>
    </row>
    <row r="180" spans="1:13" ht="26.25" hidden="1" customHeight="1" x14ac:dyDescent="0.3">
      <c r="A180" s="460">
        <f t="shared" si="2"/>
        <v>46</v>
      </c>
      <c r="B180" s="91" t="s">
        <v>119</v>
      </c>
      <c r="C180" s="92" t="s">
        <v>18</v>
      </c>
      <c r="D180" s="93">
        <v>2.0350000000000001</v>
      </c>
      <c r="E180" s="94" t="s">
        <v>34</v>
      </c>
      <c r="F180" s="462" t="s">
        <v>120</v>
      </c>
      <c r="G180" s="94" t="s">
        <v>118</v>
      </c>
      <c r="H180" s="132"/>
      <c r="I180" s="132" t="str">
        <f t="shared" si="0"/>
        <v>07,24</v>
      </c>
      <c r="M180" s="2">
        <v>1921</v>
      </c>
    </row>
    <row r="181" spans="1:13" ht="26.25" hidden="1" customHeight="1" x14ac:dyDescent="0.3">
      <c r="A181" s="461"/>
      <c r="B181" s="175" t="s">
        <v>119</v>
      </c>
      <c r="C181" s="134" t="s">
        <v>19</v>
      </c>
      <c r="D181" s="135">
        <v>0.5</v>
      </c>
      <c r="E181" s="136" t="s">
        <v>34</v>
      </c>
      <c r="F181" s="463"/>
      <c r="G181" s="136" t="s">
        <v>118</v>
      </c>
      <c r="H181" s="137"/>
      <c r="I181" s="137" t="str">
        <f t="shared" si="0"/>
        <v>07,24</v>
      </c>
      <c r="M181" s="2">
        <v>368</v>
      </c>
    </row>
    <row r="182" spans="1:13" ht="26.25" hidden="1" customHeight="1" thickBot="1" x14ac:dyDescent="0.3">
      <c r="A182" s="473"/>
      <c r="B182" s="95" t="s">
        <v>119</v>
      </c>
      <c r="C182" s="96" t="s">
        <v>17</v>
      </c>
      <c r="D182" s="97">
        <v>4</v>
      </c>
      <c r="E182" s="98" t="s">
        <v>34</v>
      </c>
      <c r="F182" s="474"/>
      <c r="G182" s="98" t="s">
        <v>118</v>
      </c>
      <c r="H182" s="129"/>
      <c r="I182" s="129" t="str">
        <f t="shared" si="0"/>
        <v>07,24</v>
      </c>
      <c r="M182" s="2">
        <v>3948</v>
      </c>
    </row>
    <row r="183" spans="1:13" ht="19.5" hidden="1" thickBot="1" x14ac:dyDescent="0.3">
      <c r="A183" s="454">
        <f t="shared" ref="A183:A241" si="3">MAX(A182,A181,A180,A179,A178,A177,A176,A175,A174,A173,A172,A171,A170,A169,A168)+1</f>
        <v>47</v>
      </c>
      <c r="B183" s="102" t="s">
        <v>121</v>
      </c>
      <c r="C183" s="103" t="s">
        <v>20</v>
      </c>
      <c r="D183" s="104">
        <v>1.4139999999999999</v>
      </c>
      <c r="E183" s="105" t="s">
        <v>13</v>
      </c>
      <c r="F183" s="106"/>
      <c r="G183" s="105" t="s">
        <v>122</v>
      </c>
      <c r="H183" s="107"/>
      <c r="I183" s="107" t="str">
        <f t="shared" si="0"/>
        <v>07,24</v>
      </c>
    </row>
    <row r="184" spans="1:13" ht="19.5" hidden="1" thickBot="1" x14ac:dyDescent="0.3">
      <c r="A184" s="455"/>
      <c r="B184" s="108" t="s">
        <v>121</v>
      </c>
      <c r="C184" s="109" t="s">
        <v>17</v>
      </c>
      <c r="D184" s="110">
        <v>5.9210000000000003</v>
      </c>
      <c r="E184" s="111" t="s">
        <v>13</v>
      </c>
      <c r="F184" s="112"/>
      <c r="G184" s="111" t="s">
        <v>122</v>
      </c>
      <c r="H184" s="113"/>
      <c r="I184" s="113" t="str">
        <f t="shared" si="0"/>
        <v>07,24</v>
      </c>
    </row>
    <row r="185" spans="1:13" ht="19.5" hidden="1" thickBot="1" x14ac:dyDescent="0.3">
      <c r="A185" s="455"/>
      <c r="B185" s="108" t="s">
        <v>121</v>
      </c>
      <c r="C185" s="109" t="s">
        <v>18</v>
      </c>
      <c r="D185" s="110">
        <v>4.4080000000000004</v>
      </c>
      <c r="E185" s="111" t="s">
        <v>13</v>
      </c>
      <c r="F185" s="112"/>
      <c r="G185" s="111" t="s">
        <v>122</v>
      </c>
      <c r="H185" s="113"/>
      <c r="I185" s="113" t="str">
        <f t="shared" si="0"/>
        <v>07,24</v>
      </c>
    </row>
    <row r="186" spans="1:13" ht="19.5" hidden="1" thickBot="1" x14ac:dyDescent="0.3">
      <c r="A186" s="456"/>
      <c r="B186" s="114" t="s">
        <v>121</v>
      </c>
      <c r="C186" s="115" t="s">
        <v>19</v>
      </c>
      <c r="D186" s="116">
        <v>5.3490000000000002</v>
      </c>
      <c r="E186" s="117" t="s">
        <v>13</v>
      </c>
      <c r="F186" s="118"/>
      <c r="G186" s="117" t="s">
        <v>122</v>
      </c>
      <c r="H186" s="119"/>
      <c r="I186" s="119" t="str">
        <f t="shared" si="0"/>
        <v>07,24</v>
      </c>
    </row>
    <row r="187" spans="1:13" ht="19.5" hidden="1" thickBot="1" x14ac:dyDescent="0.3">
      <c r="A187" s="460">
        <f t="shared" si="3"/>
        <v>48</v>
      </c>
      <c r="B187" s="138" t="s">
        <v>121</v>
      </c>
      <c r="C187" s="92" t="s">
        <v>17</v>
      </c>
      <c r="D187" s="93">
        <v>4.7270000000000003</v>
      </c>
      <c r="E187" s="94" t="s">
        <v>13</v>
      </c>
      <c r="F187" s="462" t="s">
        <v>124</v>
      </c>
      <c r="G187" s="94" t="s">
        <v>123</v>
      </c>
      <c r="H187" s="132"/>
      <c r="I187" s="132" t="str">
        <f t="shared" si="0"/>
        <v>07,24</v>
      </c>
    </row>
    <row r="188" spans="1:13" ht="19.5" hidden="1" thickBot="1" x14ac:dyDescent="0.3">
      <c r="A188" s="461"/>
      <c r="B188" s="140" t="s">
        <v>121</v>
      </c>
      <c r="C188" s="134" t="s">
        <v>18</v>
      </c>
      <c r="D188" s="135">
        <v>4.0839999999999996</v>
      </c>
      <c r="E188" s="136" t="s">
        <v>13</v>
      </c>
      <c r="F188" s="463"/>
      <c r="G188" s="136" t="s">
        <v>123</v>
      </c>
      <c r="H188" s="137"/>
      <c r="I188" s="137" t="str">
        <f t="shared" si="0"/>
        <v>07,24</v>
      </c>
    </row>
    <row r="189" spans="1:13" ht="19.5" hidden="1" thickBot="1" x14ac:dyDescent="0.3">
      <c r="A189" s="461"/>
      <c r="B189" s="139" t="s">
        <v>121</v>
      </c>
      <c r="C189" s="96" t="s">
        <v>116</v>
      </c>
      <c r="D189" s="97">
        <v>0.88800000000000001</v>
      </c>
      <c r="E189" s="98" t="s">
        <v>13</v>
      </c>
      <c r="F189" s="474"/>
      <c r="G189" s="98" t="s">
        <v>123</v>
      </c>
      <c r="H189" s="129"/>
      <c r="I189" s="129" t="str">
        <f t="shared" si="0"/>
        <v>07,24</v>
      </c>
    </row>
    <row r="190" spans="1:13" ht="19.5" hidden="1" thickBot="1" x14ac:dyDescent="0.3">
      <c r="A190" s="461"/>
      <c r="B190" s="138" t="s">
        <v>121</v>
      </c>
      <c r="C190" s="92" t="s">
        <v>17</v>
      </c>
      <c r="D190" s="93">
        <v>1.4</v>
      </c>
      <c r="E190" s="94" t="s">
        <v>34</v>
      </c>
      <c r="F190" s="462" t="s">
        <v>125</v>
      </c>
      <c r="G190" s="94" t="s">
        <v>123</v>
      </c>
      <c r="H190" s="132"/>
      <c r="I190" s="132" t="str">
        <f t="shared" si="0"/>
        <v>07,24</v>
      </c>
    </row>
    <row r="191" spans="1:13" ht="19.5" hidden="1" thickBot="1" x14ac:dyDescent="0.3">
      <c r="A191" s="461"/>
      <c r="B191" s="140" t="s">
        <v>121</v>
      </c>
      <c r="C191" s="134" t="s">
        <v>18</v>
      </c>
      <c r="D191" s="135">
        <v>1.3</v>
      </c>
      <c r="E191" s="136" t="s">
        <v>34</v>
      </c>
      <c r="F191" s="463"/>
      <c r="G191" s="136" t="s">
        <v>123</v>
      </c>
      <c r="H191" s="137"/>
      <c r="I191" s="137" t="str">
        <f t="shared" si="0"/>
        <v>07,24</v>
      </c>
    </row>
    <row r="192" spans="1:13" ht="19.5" hidden="1" thickBot="1" x14ac:dyDescent="0.3">
      <c r="A192" s="461"/>
      <c r="B192" s="140" t="s">
        <v>121</v>
      </c>
      <c r="C192" s="134" t="s">
        <v>19</v>
      </c>
      <c r="D192" s="135">
        <v>0.3</v>
      </c>
      <c r="E192" s="136" t="s">
        <v>34</v>
      </c>
      <c r="F192" s="463"/>
      <c r="G192" s="136" t="s">
        <v>123</v>
      </c>
      <c r="H192" s="137"/>
      <c r="I192" s="137" t="str">
        <f t="shared" si="0"/>
        <v>07,24</v>
      </c>
    </row>
    <row r="193" spans="1:9" ht="19.5" hidden="1" thickBot="1" x14ac:dyDescent="0.3">
      <c r="A193" s="461"/>
      <c r="B193" s="140" t="s">
        <v>121</v>
      </c>
      <c r="C193" s="134" t="s">
        <v>17</v>
      </c>
      <c r="D193" s="135">
        <v>1.3680000000000001</v>
      </c>
      <c r="E193" s="136" t="s">
        <v>45</v>
      </c>
      <c r="F193" s="463"/>
      <c r="G193" s="136" t="s">
        <v>123</v>
      </c>
      <c r="H193" s="137"/>
      <c r="I193" s="137" t="str">
        <f t="shared" si="0"/>
        <v>07,24</v>
      </c>
    </row>
    <row r="194" spans="1:9" ht="19.5" hidden="1" thickBot="1" x14ac:dyDescent="0.3">
      <c r="A194" s="461"/>
      <c r="B194" s="140" t="s">
        <v>121</v>
      </c>
      <c r="C194" s="134" t="s">
        <v>18</v>
      </c>
      <c r="D194" s="135">
        <v>1.6559999999999999</v>
      </c>
      <c r="E194" s="136" t="s">
        <v>45</v>
      </c>
      <c r="F194" s="463"/>
      <c r="G194" s="136" t="s">
        <v>123</v>
      </c>
      <c r="H194" s="137"/>
      <c r="I194" s="137" t="str">
        <f t="shared" si="0"/>
        <v>07,24</v>
      </c>
    </row>
    <row r="195" spans="1:9" ht="19.5" hidden="1" thickBot="1" x14ac:dyDescent="0.3">
      <c r="A195" s="473"/>
      <c r="B195" s="139" t="s">
        <v>121</v>
      </c>
      <c r="C195" s="96" t="s">
        <v>19</v>
      </c>
      <c r="D195" s="97">
        <v>0.216</v>
      </c>
      <c r="E195" s="98" t="s">
        <v>45</v>
      </c>
      <c r="F195" s="474"/>
      <c r="G195" s="98" t="s">
        <v>123</v>
      </c>
      <c r="H195" s="129"/>
      <c r="I195" s="129" t="str">
        <f t="shared" si="0"/>
        <v>07,24</v>
      </c>
    </row>
    <row r="196" spans="1:9" ht="19.5" hidden="1" thickBot="1" x14ac:dyDescent="0.3">
      <c r="A196" s="454">
        <f t="shared" si="3"/>
        <v>49</v>
      </c>
      <c r="B196" s="102" t="s">
        <v>126</v>
      </c>
      <c r="C196" s="103" t="s">
        <v>20</v>
      </c>
      <c r="D196" s="104">
        <v>1.365</v>
      </c>
      <c r="E196" s="105" t="s">
        <v>13</v>
      </c>
      <c r="F196" s="106"/>
      <c r="G196" s="105" t="s">
        <v>127</v>
      </c>
      <c r="H196" s="107"/>
      <c r="I196" s="107" t="str">
        <f t="shared" si="0"/>
        <v>07,24</v>
      </c>
    </row>
    <row r="197" spans="1:9" ht="19.5" hidden="1" thickBot="1" x14ac:dyDescent="0.3">
      <c r="A197" s="455"/>
      <c r="B197" s="108" t="s">
        <v>126</v>
      </c>
      <c r="C197" s="109" t="s">
        <v>17</v>
      </c>
      <c r="D197" s="110">
        <v>5.5330000000000004</v>
      </c>
      <c r="E197" s="111" t="s">
        <v>13</v>
      </c>
      <c r="F197" s="112"/>
      <c r="G197" s="111" t="s">
        <v>127</v>
      </c>
      <c r="H197" s="113"/>
      <c r="I197" s="113" t="str">
        <f t="shared" si="0"/>
        <v>07,24</v>
      </c>
    </row>
    <row r="198" spans="1:9" ht="19.5" hidden="1" thickBot="1" x14ac:dyDescent="0.3">
      <c r="A198" s="455"/>
      <c r="B198" s="108" t="s">
        <v>126</v>
      </c>
      <c r="C198" s="109" t="s">
        <v>18</v>
      </c>
      <c r="D198" s="110">
        <v>4.9619999999999997</v>
      </c>
      <c r="E198" s="111" t="s">
        <v>13</v>
      </c>
      <c r="F198" s="112"/>
      <c r="G198" s="111" t="s">
        <v>127</v>
      </c>
      <c r="H198" s="113"/>
      <c r="I198" s="113" t="str">
        <f t="shared" si="0"/>
        <v>07,24</v>
      </c>
    </row>
    <row r="199" spans="1:9" ht="19.5" hidden="1" thickBot="1" x14ac:dyDescent="0.3">
      <c r="A199" s="456"/>
      <c r="B199" s="114" t="s">
        <v>126</v>
      </c>
      <c r="C199" s="115" t="s">
        <v>19</v>
      </c>
      <c r="D199" s="116">
        <v>6.1</v>
      </c>
      <c r="E199" s="117" t="s">
        <v>13</v>
      </c>
      <c r="F199" s="118"/>
      <c r="G199" s="117" t="s">
        <v>127</v>
      </c>
      <c r="H199" s="119"/>
      <c r="I199" s="119" t="str">
        <f t="shared" si="0"/>
        <v>07,24</v>
      </c>
    </row>
    <row r="200" spans="1:9" ht="19.5" hidden="1" thickBot="1" x14ac:dyDescent="0.3">
      <c r="A200" s="460">
        <f t="shared" si="3"/>
        <v>50</v>
      </c>
      <c r="B200" s="91" t="s">
        <v>126</v>
      </c>
      <c r="C200" s="92" t="s">
        <v>17</v>
      </c>
      <c r="D200" s="93">
        <v>6.53</v>
      </c>
      <c r="E200" s="94" t="s">
        <v>13</v>
      </c>
      <c r="F200" s="131"/>
      <c r="G200" s="94" t="s">
        <v>128</v>
      </c>
      <c r="H200" s="132"/>
      <c r="I200" s="132" t="str">
        <f t="shared" si="0"/>
        <v>07,24</v>
      </c>
    </row>
    <row r="201" spans="1:9" ht="19.5" hidden="1" thickBot="1" x14ac:dyDescent="0.3">
      <c r="A201" s="461"/>
      <c r="B201" s="175" t="s">
        <v>126</v>
      </c>
      <c r="C201" s="134" t="s">
        <v>18</v>
      </c>
      <c r="D201" s="135">
        <v>5.9770000000000003</v>
      </c>
      <c r="E201" s="136" t="s">
        <v>13</v>
      </c>
      <c r="F201" s="171"/>
      <c r="G201" s="136" t="s">
        <v>128</v>
      </c>
      <c r="H201" s="137"/>
      <c r="I201" s="137" t="str">
        <f t="shared" si="0"/>
        <v>07,24</v>
      </c>
    </row>
    <row r="202" spans="1:9" ht="19.5" hidden="1" thickBot="1" x14ac:dyDescent="0.3">
      <c r="A202" s="473"/>
      <c r="B202" s="95" t="s">
        <v>126</v>
      </c>
      <c r="C202" s="96" t="s">
        <v>19</v>
      </c>
      <c r="D202" s="97">
        <v>4.5979999999999999</v>
      </c>
      <c r="E202" s="98" t="s">
        <v>13</v>
      </c>
      <c r="F202" s="133"/>
      <c r="G202" s="98" t="s">
        <v>128</v>
      </c>
      <c r="H202" s="129"/>
      <c r="I202" s="129" t="str">
        <f t="shared" si="0"/>
        <v>07,24</v>
      </c>
    </row>
    <row r="203" spans="1:9" ht="19.5" hidden="1" thickBot="1" x14ac:dyDescent="0.3">
      <c r="A203" s="454">
        <f t="shared" si="3"/>
        <v>51</v>
      </c>
      <c r="B203" s="126" t="s">
        <v>126</v>
      </c>
      <c r="C203" s="103" t="s">
        <v>17</v>
      </c>
      <c r="D203" s="104">
        <v>6</v>
      </c>
      <c r="E203" s="105" t="s">
        <v>34</v>
      </c>
      <c r="F203" s="457" t="s">
        <v>129</v>
      </c>
      <c r="G203" s="105" t="s">
        <v>132</v>
      </c>
      <c r="H203" s="496" t="s">
        <v>131</v>
      </c>
      <c r="I203" s="496" t="str">
        <f t="shared" si="0"/>
        <v>07,24</v>
      </c>
    </row>
    <row r="204" spans="1:9" ht="19.5" hidden="1" thickBot="1" x14ac:dyDescent="0.3">
      <c r="A204" s="455"/>
      <c r="B204" s="127" t="s">
        <v>126</v>
      </c>
      <c r="C204" s="109" t="s">
        <v>18</v>
      </c>
      <c r="D204" s="110">
        <v>2.5</v>
      </c>
      <c r="E204" s="111" t="s">
        <v>34</v>
      </c>
      <c r="F204" s="458"/>
      <c r="G204" s="111" t="s">
        <v>132</v>
      </c>
      <c r="H204" s="497"/>
      <c r="I204" s="497" t="str">
        <f t="shared" si="0"/>
        <v>07,24</v>
      </c>
    </row>
    <row r="205" spans="1:9" ht="19.5" hidden="1" thickBot="1" x14ac:dyDescent="0.3">
      <c r="A205" s="455"/>
      <c r="B205" s="128" t="s">
        <v>126</v>
      </c>
      <c r="C205" s="115" t="s">
        <v>19</v>
      </c>
      <c r="D205" s="116">
        <v>2.5</v>
      </c>
      <c r="E205" s="117" t="s">
        <v>34</v>
      </c>
      <c r="F205" s="459"/>
      <c r="G205" s="117" t="s">
        <v>132</v>
      </c>
      <c r="H205" s="497"/>
      <c r="I205" s="497" t="str">
        <f t="shared" si="0"/>
        <v>07,24</v>
      </c>
    </row>
    <row r="206" spans="1:9" ht="19.5" hidden="1" thickBot="1" x14ac:dyDescent="0.3">
      <c r="A206" s="455"/>
      <c r="B206" s="126" t="s">
        <v>126</v>
      </c>
      <c r="C206" s="103" t="s">
        <v>17</v>
      </c>
      <c r="D206" s="104">
        <v>2.16</v>
      </c>
      <c r="E206" s="105" t="s">
        <v>45</v>
      </c>
      <c r="F206" s="457" t="s">
        <v>130</v>
      </c>
      <c r="G206" s="105" t="s">
        <v>132</v>
      </c>
      <c r="H206" s="497"/>
      <c r="I206" s="497" t="str">
        <f t="shared" si="0"/>
        <v>07,24</v>
      </c>
    </row>
    <row r="207" spans="1:9" ht="19.5" hidden="1" thickBot="1" x14ac:dyDescent="0.3">
      <c r="A207" s="456"/>
      <c r="B207" s="128" t="s">
        <v>126</v>
      </c>
      <c r="C207" s="115" t="s">
        <v>18</v>
      </c>
      <c r="D207" s="116">
        <v>1.35</v>
      </c>
      <c r="E207" s="117" t="s">
        <v>45</v>
      </c>
      <c r="F207" s="459"/>
      <c r="G207" s="117" t="s">
        <v>132</v>
      </c>
      <c r="H207" s="500"/>
      <c r="I207" s="500" t="str">
        <f t="shared" si="0"/>
        <v>07,24</v>
      </c>
    </row>
    <row r="208" spans="1:9" ht="19.5" hidden="1" thickBot="1" x14ac:dyDescent="0.3">
      <c r="A208" s="460">
        <f t="shared" si="3"/>
        <v>52</v>
      </c>
      <c r="B208" s="91" t="s">
        <v>133</v>
      </c>
      <c r="C208" s="92" t="s">
        <v>17</v>
      </c>
      <c r="D208" s="93">
        <v>4.9050000000000002</v>
      </c>
      <c r="E208" s="94" t="s">
        <v>13</v>
      </c>
      <c r="F208" s="131"/>
      <c r="G208" s="94" t="s">
        <v>134</v>
      </c>
      <c r="H208" s="132"/>
      <c r="I208" s="132" t="str">
        <f t="shared" si="0"/>
        <v>07,24</v>
      </c>
    </row>
    <row r="209" spans="1:9" ht="19.5" hidden="1" thickBot="1" x14ac:dyDescent="0.3">
      <c r="A209" s="461"/>
      <c r="B209" s="175" t="s">
        <v>133</v>
      </c>
      <c r="C209" s="134" t="s">
        <v>18</v>
      </c>
      <c r="D209" s="135">
        <v>6.508</v>
      </c>
      <c r="E209" s="136" t="s">
        <v>13</v>
      </c>
      <c r="F209" s="171"/>
      <c r="G209" s="136" t="s">
        <v>134</v>
      </c>
      <c r="H209" s="137"/>
      <c r="I209" s="137" t="str">
        <f t="shared" si="0"/>
        <v>07,24</v>
      </c>
    </row>
    <row r="210" spans="1:9" ht="19.5" hidden="1" thickBot="1" x14ac:dyDescent="0.3">
      <c r="A210" s="473"/>
      <c r="B210" s="95" t="s">
        <v>133</v>
      </c>
      <c r="C210" s="96" t="s">
        <v>19</v>
      </c>
      <c r="D210" s="97">
        <v>5.5880000000000001</v>
      </c>
      <c r="E210" s="98" t="s">
        <v>13</v>
      </c>
      <c r="F210" s="133"/>
      <c r="G210" s="98" t="s">
        <v>134</v>
      </c>
      <c r="H210" s="129"/>
      <c r="I210" s="129" t="str">
        <f t="shared" si="0"/>
        <v>07,24</v>
      </c>
    </row>
    <row r="211" spans="1:9" ht="19.5" hidden="1" thickBot="1" x14ac:dyDescent="0.3">
      <c r="A211" s="454">
        <f t="shared" si="3"/>
        <v>53</v>
      </c>
      <c r="B211" s="126" t="s">
        <v>133</v>
      </c>
      <c r="C211" s="103" t="s">
        <v>18</v>
      </c>
      <c r="D211" s="104">
        <v>2.9969999999999999</v>
      </c>
      <c r="E211" s="105" t="s">
        <v>13</v>
      </c>
      <c r="F211" s="457" t="s">
        <v>135</v>
      </c>
      <c r="G211" s="105" t="s">
        <v>137</v>
      </c>
      <c r="H211" s="496" t="s">
        <v>63</v>
      </c>
      <c r="I211" s="496" t="str">
        <f t="shared" si="0"/>
        <v>07,24</v>
      </c>
    </row>
    <row r="212" spans="1:9" ht="19.5" hidden="1" thickBot="1" x14ac:dyDescent="0.3">
      <c r="A212" s="455"/>
      <c r="B212" s="128" t="s">
        <v>133</v>
      </c>
      <c r="C212" s="115" t="s">
        <v>17</v>
      </c>
      <c r="D212" s="116">
        <v>1.4019999999999999</v>
      </c>
      <c r="E212" s="117" t="s">
        <v>13</v>
      </c>
      <c r="F212" s="459"/>
      <c r="G212" s="117" t="s">
        <v>137</v>
      </c>
      <c r="H212" s="497"/>
      <c r="I212" s="497" t="str">
        <f t="shared" si="0"/>
        <v>07,24</v>
      </c>
    </row>
    <row r="213" spans="1:9" ht="30.75" hidden="1" customHeight="1" x14ac:dyDescent="0.3">
      <c r="A213" s="455"/>
      <c r="B213" s="126" t="s">
        <v>133</v>
      </c>
      <c r="C213" s="103" t="s">
        <v>18</v>
      </c>
      <c r="D213" s="104">
        <v>0.5</v>
      </c>
      <c r="E213" s="105" t="s">
        <v>34</v>
      </c>
      <c r="F213" s="457" t="s">
        <v>136</v>
      </c>
      <c r="G213" s="105" t="s">
        <v>137</v>
      </c>
      <c r="H213" s="497"/>
      <c r="I213" s="497" t="str">
        <f t="shared" si="0"/>
        <v>07,24</v>
      </c>
    </row>
    <row r="214" spans="1:9" ht="30.75" hidden="1" customHeight="1" thickBot="1" x14ac:dyDescent="0.3">
      <c r="A214" s="455"/>
      <c r="B214" s="187" t="s">
        <v>133</v>
      </c>
      <c r="C214" s="165" t="s">
        <v>17</v>
      </c>
      <c r="D214" s="166">
        <v>2</v>
      </c>
      <c r="E214" s="167" t="s">
        <v>34</v>
      </c>
      <c r="F214" s="458"/>
      <c r="G214" s="167" t="s">
        <v>137</v>
      </c>
      <c r="H214" s="497"/>
      <c r="I214" s="497" t="str">
        <f t="shared" si="0"/>
        <v>07,24</v>
      </c>
    </row>
    <row r="215" spans="1:9" ht="19.5" hidden="1" thickBot="1" x14ac:dyDescent="0.3">
      <c r="A215" s="460">
        <f t="shared" si="3"/>
        <v>54</v>
      </c>
      <c r="B215" s="91" t="s">
        <v>138</v>
      </c>
      <c r="C215" s="92" t="s">
        <v>18</v>
      </c>
      <c r="D215" s="93">
        <v>4.0019999999999998</v>
      </c>
      <c r="E215" s="94" t="s">
        <v>13</v>
      </c>
      <c r="F215" s="131"/>
      <c r="G215" s="94" t="s">
        <v>139</v>
      </c>
      <c r="H215" s="132"/>
      <c r="I215" s="132" t="str">
        <f t="shared" si="0"/>
        <v>08,24</v>
      </c>
    </row>
    <row r="216" spans="1:9" ht="19.5" hidden="1" thickBot="1" x14ac:dyDescent="0.3">
      <c r="A216" s="461"/>
      <c r="B216" s="175" t="s">
        <v>138</v>
      </c>
      <c r="C216" s="134" t="s">
        <v>17</v>
      </c>
      <c r="D216" s="135">
        <v>12.3</v>
      </c>
      <c r="E216" s="136" t="s">
        <v>13</v>
      </c>
      <c r="F216" s="171"/>
      <c r="G216" s="136" t="s">
        <v>139</v>
      </c>
      <c r="H216" s="137"/>
      <c r="I216" s="137" t="str">
        <f t="shared" si="0"/>
        <v>08,24</v>
      </c>
    </row>
    <row r="217" spans="1:9" ht="19.5" hidden="1" thickBot="1" x14ac:dyDescent="0.3">
      <c r="A217" s="473"/>
      <c r="B217" s="95" t="s">
        <v>138</v>
      </c>
      <c r="C217" s="96" t="s">
        <v>20</v>
      </c>
      <c r="D217" s="97">
        <v>0.85899999999999999</v>
      </c>
      <c r="E217" s="98" t="s">
        <v>13</v>
      </c>
      <c r="F217" s="133"/>
      <c r="G217" s="98" t="s">
        <v>139</v>
      </c>
      <c r="H217" s="129"/>
      <c r="I217" s="129" t="str">
        <f t="shared" ref="I217:I470" si="4">RIGHT(G217,5)</f>
        <v>08,24</v>
      </c>
    </row>
    <row r="218" spans="1:9" ht="19.5" hidden="1" thickBot="1" x14ac:dyDescent="0.3">
      <c r="A218" s="454">
        <f t="shared" si="3"/>
        <v>55</v>
      </c>
      <c r="B218" s="102" t="s">
        <v>138</v>
      </c>
      <c r="C218" s="103" t="s">
        <v>18</v>
      </c>
      <c r="D218" s="104">
        <v>5.1959999999999997</v>
      </c>
      <c r="E218" s="105" t="s">
        <v>13</v>
      </c>
      <c r="F218" s="106"/>
      <c r="G218" s="105" t="s">
        <v>139</v>
      </c>
      <c r="H218" s="107"/>
      <c r="I218" s="107" t="str">
        <f t="shared" si="4"/>
        <v>08,24</v>
      </c>
    </row>
    <row r="219" spans="1:9" ht="19.5" hidden="1" thickBot="1" x14ac:dyDescent="0.3">
      <c r="A219" s="456"/>
      <c r="B219" s="114" t="s">
        <v>138</v>
      </c>
      <c r="C219" s="115" t="s">
        <v>19</v>
      </c>
      <c r="D219" s="116">
        <v>12.106</v>
      </c>
      <c r="E219" s="117" t="s">
        <v>13</v>
      </c>
      <c r="F219" s="118"/>
      <c r="G219" s="117" t="s">
        <v>139</v>
      </c>
      <c r="H219" s="119"/>
      <c r="I219" s="119" t="str">
        <f t="shared" si="4"/>
        <v>08,24</v>
      </c>
    </row>
    <row r="220" spans="1:9" ht="19.5" hidden="1" thickBot="1" x14ac:dyDescent="0.3">
      <c r="A220" s="460">
        <f t="shared" si="3"/>
        <v>56</v>
      </c>
      <c r="B220" s="138" t="s">
        <v>138</v>
      </c>
      <c r="C220" s="92" t="s">
        <v>18</v>
      </c>
      <c r="D220" s="93">
        <v>2.1</v>
      </c>
      <c r="E220" s="94" t="s">
        <v>34</v>
      </c>
      <c r="F220" s="462" t="s">
        <v>141</v>
      </c>
      <c r="G220" s="94" t="s">
        <v>140</v>
      </c>
      <c r="H220" s="493" t="s">
        <v>143</v>
      </c>
      <c r="I220" s="493" t="str">
        <f t="shared" si="4"/>
        <v>08,24</v>
      </c>
    </row>
    <row r="221" spans="1:9" ht="19.5" hidden="1" thickBot="1" x14ac:dyDescent="0.3">
      <c r="A221" s="461"/>
      <c r="B221" s="140" t="s">
        <v>138</v>
      </c>
      <c r="C221" s="134" t="s">
        <v>19</v>
      </c>
      <c r="D221" s="135">
        <v>0.1</v>
      </c>
      <c r="E221" s="136" t="s">
        <v>34</v>
      </c>
      <c r="F221" s="463"/>
      <c r="G221" s="136" t="s">
        <v>140</v>
      </c>
      <c r="H221" s="494"/>
      <c r="I221" s="494" t="str">
        <f t="shared" si="4"/>
        <v>08,24</v>
      </c>
    </row>
    <row r="222" spans="1:9" ht="19.5" hidden="1" thickBot="1" x14ac:dyDescent="0.3">
      <c r="A222" s="461"/>
      <c r="B222" s="139" t="s">
        <v>138</v>
      </c>
      <c r="C222" s="96" t="s">
        <v>17</v>
      </c>
      <c r="D222" s="97">
        <v>3.3</v>
      </c>
      <c r="E222" s="98" t="s">
        <v>34</v>
      </c>
      <c r="F222" s="474"/>
      <c r="G222" s="98" t="s">
        <v>140</v>
      </c>
      <c r="H222" s="494"/>
      <c r="I222" s="494" t="str">
        <f t="shared" si="4"/>
        <v>08,24</v>
      </c>
    </row>
    <row r="223" spans="1:9" ht="19.5" hidden="1" thickBot="1" x14ac:dyDescent="0.3">
      <c r="A223" s="461"/>
      <c r="B223" s="175" t="s">
        <v>138</v>
      </c>
      <c r="C223" s="134" t="s">
        <v>18</v>
      </c>
      <c r="D223" s="135">
        <f>0.00018*2800</f>
        <v>0.504</v>
      </c>
      <c r="E223" s="136" t="s">
        <v>45</v>
      </c>
      <c r="F223" s="463" t="s">
        <v>142</v>
      </c>
      <c r="G223" s="136" t="s">
        <v>140</v>
      </c>
      <c r="H223" s="494"/>
      <c r="I223" s="494" t="str">
        <f t="shared" si="4"/>
        <v>08,24</v>
      </c>
    </row>
    <row r="224" spans="1:9" ht="19.5" hidden="1" thickBot="1" x14ac:dyDescent="0.3">
      <c r="A224" s="461"/>
      <c r="B224" s="175" t="s">
        <v>138</v>
      </c>
      <c r="C224" s="134" t="s">
        <v>19</v>
      </c>
      <c r="D224" s="135">
        <f>0.00018*500</f>
        <v>9.0000000000000011E-2</v>
      </c>
      <c r="E224" s="136" t="s">
        <v>45</v>
      </c>
      <c r="F224" s="463"/>
      <c r="G224" s="136" t="s">
        <v>140</v>
      </c>
      <c r="H224" s="494"/>
      <c r="I224" s="494" t="str">
        <f t="shared" si="4"/>
        <v>08,24</v>
      </c>
    </row>
    <row r="225" spans="1:9" ht="19.5" hidden="1" thickBot="1" x14ac:dyDescent="0.3">
      <c r="A225" s="473"/>
      <c r="B225" s="95" t="s">
        <v>138</v>
      </c>
      <c r="C225" s="96" t="s">
        <v>17</v>
      </c>
      <c r="D225" s="97">
        <f>0.00018*1200</f>
        <v>0.21600000000000003</v>
      </c>
      <c r="E225" s="98" t="s">
        <v>45</v>
      </c>
      <c r="F225" s="474"/>
      <c r="G225" s="98" t="s">
        <v>140</v>
      </c>
      <c r="H225" s="495"/>
      <c r="I225" s="495" t="str">
        <f t="shared" si="4"/>
        <v>08,24</v>
      </c>
    </row>
    <row r="226" spans="1:9" ht="19.5" hidden="1" thickBot="1" x14ac:dyDescent="0.3">
      <c r="A226" s="454">
        <f t="shared" si="3"/>
        <v>57</v>
      </c>
      <c r="B226" s="102" t="s">
        <v>144</v>
      </c>
      <c r="C226" s="103" t="s">
        <v>20</v>
      </c>
      <c r="D226" s="104">
        <v>0.92</v>
      </c>
      <c r="E226" s="105" t="s">
        <v>13</v>
      </c>
      <c r="F226" s="106"/>
      <c r="G226" s="105" t="s">
        <v>145</v>
      </c>
      <c r="H226" s="107"/>
      <c r="I226" s="107" t="str">
        <f t="shared" si="4"/>
        <v>08,24</v>
      </c>
    </row>
    <row r="227" spans="1:9" ht="19.5" hidden="1" thickBot="1" x14ac:dyDescent="0.3">
      <c r="A227" s="455"/>
      <c r="B227" s="108" t="s">
        <v>144</v>
      </c>
      <c r="C227" s="109" t="s">
        <v>17</v>
      </c>
      <c r="D227" s="110">
        <v>5.8929999999999998</v>
      </c>
      <c r="E227" s="111" t="s">
        <v>13</v>
      </c>
      <c r="F227" s="112"/>
      <c r="G227" s="111" t="s">
        <v>145</v>
      </c>
      <c r="H227" s="113"/>
      <c r="I227" s="113" t="str">
        <f t="shared" si="4"/>
        <v>08,24</v>
      </c>
    </row>
    <row r="228" spans="1:9" ht="19.5" hidden="1" thickBot="1" x14ac:dyDescent="0.3">
      <c r="A228" s="455"/>
      <c r="B228" s="108" t="s">
        <v>144</v>
      </c>
      <c r="C228" s="109" t="s">
        <v>18</v>
      </c>
      <c r="D228" s="110">
        <v>5.431</v>
      </c>
      <c r="E228" s="111" t="s">
        <v>13</v>
      </c>
      <c r="F228" s="112"/>
      <c r="G228" s="111" t="s">
        <v>145</v>
      </c>
      <c r="H228" s="113"/>
      <c r="I228" s="113" t="str">
        <f t="shared" si="4"/>
        <v>08,24</v>
      </c>
    </row>
    <row r="229" spans="1:9" ht="19.5" hidden="1" thickBot="1" x14ac:dyDescent="0.3">
      <c r="A229" s="456"/>
      <c r="B229" s="114" t="s">
        <v>144</v>
      </c>
      <c r="C229" s="115" t="s">
        <v>19</v>
      </c>
      <c r="D229" s="116">
        <v>4.827</v>
      </c>
      <c r="E229" s="117" t="s">
        <v>13</v>
      </c>
      <c r="F229" s="118"/>
      <c r="G229" s="117" t="s">
        <v>145</v>
      </c>
      <c r="H229" s="119"/>
      <c r="I229" s="119" t="str">
        <f t="shared" si="4"/>
        <v>08,24</v>
      </c>
    </row>
    <row r="230" spans="1:9" ht="19.5" hidden="1" thickBot="1" x14ac:dyDescent="0.3">
      <c r="A230" s="460">
        <f t="shared" si="3"/>
        <v>58</v>
      </c>
      <c r="B230" s="138" t="s">
        <v>144</v>
      </c>
      <c r="C230" s="92" t="s">
        <v>17</v>
      </c>
      <c r="D230" s="93">
        <v>3.472</v>
      </c>
      <c r="E230" s="94" t="s">
        <v>13</v>
      </c>
      <c r="F230" s="462" t="s">
        <v>124</v>
      </c>
      <c r="G230" s="94" t="s">
        <v>145</v>
      </c>
      <c r="H230" s="132"/>
      <c r="I230" s="132" t="str">
        <f t="shared" si="4"/>
        <v>08,24</v>
      </c>
    </row>
    <row r="231" spans="1:9" ht="19.5" hidden="1" thickBot="1" x14ac:dyDescent="0.3">
      <c r="A231" s="461"/>
      <c r="B231" s="140" t="s">
        <v>144</v>
      </c>
      <c r="C231" s="134" t="s">
        <v>18</v>
      </c>
      <c r="D231" s="135">
        <v>3.0950000000000002</v>
      </c>
      <c r="E231" s="136" t="s">
        <v>13</v>
      </c>
      <c r="F231" s="463"/>
      <c r="G231" s="136" t="s">
        <v>145</v>
      </c>
      <c r="H231" s="137"/>
      <c r="I231" s="137" t="str">
        <f t="shared" si="4"/>
        <v>08,24</v>
      </c>
    </row>
    <row r="232" spans="1:9" ht="19.5" hidden="1" thickBot="1" x14ac:dyDescent="0.3">
      <c r="A232" s="461"/>
      <c r="B232" s="139" t="s">
        <v>144</v>
      </c>
      <c r="C232" s="96" t="s">
        <v>19</v>
      </c>
      <c r="D232" s="97">
        <v>2.7919999999999998</v>
      </c>
      <c r="E232" s="98" t="s">
        <v>13</v>
      </c>
      <c r="F232" s="474"/>
      <c r="G232" s="98" t="s">
        <v>145</v>
      </c>
      <c r="H232" s="129"/>
      <c r="I232" s="129" t="str">
        <f t="shared" si="4"/>
        <v>08,24</v>
      </c>
    </row>
    <row r="233" spans="1:9" ht="19.5" hidden="1" thickBot="1" x14ac:dyDescent="0.3">
      <c r="A233" s="461"/>
      <c r="B233" s="138" t="s">
        <v>144</v>
      </c>
      <c r="C233" s="92" t="s">
        <v>17</v>
      </c>
      <c r="D233" s="93">
        <v>1.7</v>
      </c>
      <c r="E233" s="94" t="s">
        <v>34</v>
      </c>
      <c r="F233" s="462" t="s">
        <v>147</v>
      </c>
      <c r="G233" s="94" t="s">
        <v>146</v>
      </c>
      <c r="H233" s="132"/>
      <c r="I233" s="132" t="str">
        <f t="shared" si="4"/>
        <v>08,24</v>
      </c>
    </row>
    <row r="234" spans="1:9" ht="19.5" hidden="1" thickBot="1" x14ac:dyDescent="0.3">
      <c r="A234" s="461"/>
      <c r="B234" s="140" t="s">
        <v>144</v>
      </c>
      <c r="C234" s="134" t="s">
        <v>18</v>
      </c>
      <c r="D234" s="135">
        <v>0.4</v>
      </c>
      <c r="E234" s="136" t="s">
        <v>34</v>
      </c>
      <c r="F234" s="463"/>
      <c r="G234" s="136" t="s">
        <v>146</v>
      </c>
      <c r="H234" s="137"/>
      <c r="I234" s="137" t="str">
        <f t="shared" si="4"/>
        <v>08,24</v>
      </c>
    </row>
    <row r="235" spans="1:9" ht="19.5" hidden="1" thickBot="1" x14ac:dyDescent="0.3">
      <c r="A235" s="461"/>
      <c r="B235" s="140" t="s">
        <v>144</v>
      </c>
      <c r="C235" s="134" t="s">
        <v>19</v>
      </c>
      <c r="D235" s="135">
        <v>0.8</v>
      </c>
      <c r="E235" s="136" t="s">
        <v>34</v>
      </c>
      <c r="F235" s="463"/>
      <c r="G235" s="136" t="s">
        <v>146</v>
      </c>
      <c r="H235" s="137"/>
      <c r="I235" s="137" t="str">
        <f t="shared" si="4"/>
        <v>08,24</v>
      </c>
    </row>
    <row r="236" spans="1:9" ht="19.5" hidden="1" thickBot="1" x14ac:dyDescent="0.3">
      <c r="A236" s="461"/>
      <c r="B236" s="140" t="s">
        <v>144</v>
      </c>
      <c r="C236" s="134" t="s">
        <v>17</v>
      </c>
      <c r="D236" s="135">
        <v>1.17</v>
      </c>
      <c r="E236" s="136" t="s">
        <v>45</v>
      </c>
      <c r="F236" s="463"/>
      <c r="G236" s="136" t="s">
        <v>146</v>
      </c>
      <c r="H236" s="137"/>
      <c r="I236" s="137" t="str">
        <f t="shared" si="4"/>
        <v>08,24</v>
      </c>
    </row>
    <row r="237" spans="1:9" ht="19.5" hidden="1" thickBot="1" x14ac:dyDescent="0.3">
      <c r="A237" s="473"/>
      <c r="B237" s="139" t="s">
        <v>144</v>
      </c>
      <c r="C237" s="96" t="s">
        <v>19</v>
      </c>
      <c r="D237" s="97">
        <v>0.41399999999999998</v>
      </c>
      <c r="E237" s="98" t="s">
        <v>45</v>
      </c>
      <c r="F237" s="474"/>
      <c r="G237" s="98" t="s">
        <v>146</v>
      </c>
      <c r="H237" s="129"/>
      <c r="I237" s="129" t="str">
        <f t="shared" si="4"/>
        <v>08,24</v>
      </c>
    </row>
    <row r="238" spans="1:9" ht="19.5" hidden="1" thickBot="1" x14ac:dyDescent="0.3">
      <c r="A238" s="454">
        <f t="shared" si="3"/>
        <v>59</v>
      </c>
      <c r="B238" s="102" t="s">
        <v>148</v>
      </c>
      <c r="C238" s="103" t="s">
        <v>18</v>
      </c>
      <c r="D238" s="104">
        <v>5.2949999999999999</v>
      </c>
      <c r="E238" s="105" t="s">
        <v>13</v>
      </c>
      <c r="F238" s="106"/>
      <c r="G238" s="105" t="s">
        <v>149</v>
      </c>
      <c r="H238" s="107"/>
      <c r="I238" s="107" t="str">
        <f t="shared" si="4"/>
        <v>08,24</v>
      </c>
    </row>
    <row r="239" spans="1:9" ht="19.5" hidden="1" thickBot="1" x14ac:dyDescent="0.3">
      <c r="A239" s="455"/>
      <c r="B239" s="108" t="s">
        <v>148</v>
      </c>
      <c r="C239" s="109" t="s">
        <v>19</v>
      </c>
      <c r="D239" s="110">
        <v>5.2939999999999996</v>
      </c>
      <c r="E239" s="111" t="s">
        <v>13</v>
      </c>
      <c r="F239" s="112"/>
      <c r="G239" s="111" t="s">
        <v>149</v>
      </c>
      <c r="H239" s="113"/>
      <c r="I239" s="113" t="str">
        <f t="shared" si="4"/>
        <v>08,24</v>
      </c>
    </row>
    <row r="240" spans="1:9" ht="19.5" hidden="1" thickBot="1" x14ac:dyDescent="0.3">
      <c r="A240" s="456"/>
      <c r="B240" s="114" t="s">
        <v>148</v>
      </c>
      <c r="C240" s="115" t="s">
        <v>17</v>
      </c>
      <c r="D240" s="116">
        <v>6.3520000000000003</v>
      </c>
      <c r="E240" s="117" t="s">
        <v>13</v>
      </c>
      <c r="F240" s="118"/>
      <c r="G240" s="117" t="s">
        <v>149</v>
      </c>
      <c r="H240" s="119"/>
      <c r="I240" s="119" t="str">
        <f t="shared" si="4"/>
        <v>08,24</v>
      </c>
    </row>
    <row r="241" spans="1:9" ht="19.5" hidden="1" thickBot="1" x14ac:dyDescent="0.3">
      <c r="A241" s="460">
        <f t="shared" si="3"/>
        <v>60</v>
      </c>
      <c r="B241" s="138" t="s">
        <v>148</v>
      </c>
      <c r="C241" s="92" t="s">
        <v>18</v>
      </c>
      <c r="D241" s="93">
        <v>1.978</v>
      </c>
      <c r="E241" s="94" t="s">
        <v>13</v>
      </c>
      <c r="F241" s="462" t="s">
        <v>151</v>
      </c>
      <c r="G241" s="94" t="s">
        <v>150</v>
      </c>
      <c r="H241" s="132"/>
      <c r="I241" s="132" t="str">
        <f t="shared" si="4"/>
        <v>08,24</v>
      </c>
    </row>
    <row r="242" spans="1:9" ht="19.5" hidden="1" thickBot="1" x14ac:dyDescent="0.3">
      <c r="A242" s="461"/>
      <c r="B242" s="140" t="s">
        <v>148</v>
      </c>
      <c r="C242" s="134" t="s">
        <v>19</v>
      </c>
      <c r="D242" s="135">
        <v>2.1030000000000002</v>
      </c>
      <c r="E242" s="136" t="s">
        <v>13</v>
      </c>
      <c r="F242" s="463"/>
      <c r="G242" s="136" t="s">
        <v>150</v>
      </c>
      <c r="H242" s="137"/>
      <c r="I242" s="137" t="str">
        <f t="shared" si="4"/>
        <v>08,24</v>
      </c>
    </row>
    <row r="243" spans="1:9" ht="19.5" hidden="1" thickBot="1" x14ac:dyDescent="0.3">
      <c r="A243" s="461"/>
      <c r="B243" s="139" t="s">
        <v>148</v>
      </c>
      <c r="C243" s="96" t="s">
        <v>17</v>
      </c>
      <c r="D243" s="97">
        <v>2.4990000000000001</v>
      </c>
      <c r="E243" s="98" t="s">
        <v>13</v>
      </c>
      <c r="F243" s="474"/>
      <c r="G243" s="98" t="s">
        <v>150</v>
      </c>
      <c r="H243" s="129"/>
      <c r="I243" s="129" t="str">
        <f t="shared" si="4"/>
        <v>08,24</v>
      </c>
    </row>
    <row r="244" spans="1:9" ht="30.75" hidden="1" customHeight="1" x14ac:dyDescent="0.3">
      <c r="A244" s="461"/>
      <c r="B244" s="138" t="s">
        <v>148</v>
      </c>
      <c r="C244" s="92" t="s">
        <v>18</v>
      </c>
      <c r="D244" s="93">
        <v>1.6</v>
      </c>
      <c r="E244" s="94" t="s">
        <v>34</v>
      </c>
      <c r="F244" s="462" t="s">
        <v>152</v>
      </c>
      <c r="G244" s="94" t="s">
        <v>153</v>
      </c>
      <c r="H244" s="132"/>
      <c r="I244" s="132" t="str">
        <f t="shared" si="4"/>
        <v>08,24</v>
      </c>
    </row>
    <row r="245" spans="1:9" ht="30.75" hidden="1" customHeight="1" x14ac:dyDescent="0.3">
      <c r="A245" s="461"/>
      <c r="B245" s="140" t="s">
        <v>148</v>
      </c>
      <c r="C245" s="134" t="s">
        <v>19</v>
      </c>
      <c r="D245" s="135">
        <v>0.7</v>
      </c>
      <c r="E245" s="136" t="s">
        <v>34</v>
      </c>
      <c r="F245" s="463"/>
      <c r="G245" s="136" t="s">
        <v>153</v>
      </c>
      <c r="H245" s="137"/>
      <c r="I245" s="137" t="str">
        <f t="shared" si="4"/>
        <v>08,24</v>
      </c>
    </row>
    <row r="246" spans="1:9" ht="30.75" hidden="1" customHeight="1" thickBot="1" x14ac:dyDescent="0.3">
      <c r="A246" s="473"/>
      <c r="B246" s="139" t="s">
        <v>148</v>
      </c>
      <c r="C246" s="96" t="s">
        <v>17</v>
      </c>
      <c r="D246" s="97">
        <v>4.3</v>
      </c>
      <c r="E246" s="98" t="s">
        <v>34</v>
      </c>
      <c r="F246" s="474"/>
      <c r="G246" s="98" t="s">
        <v>153</v>
      </c>
      <c r="H246" s="129"/>
      <c r="I246" s="129" t="str">
        <f t="shared" si="4"/>
        <v>08,24</v>
      </c>
    </row>
    <row r="247" spans="1:9" ht="19.5" hidden="1" thickBot="1" x14ac:dyDescent="0.3">
      <c r="A247" s="454">
        <f t="shared" ref="A247:A287" si="5">MAX(A246,A245,A244,A243,A242,A241,A240,A239,A238,A237,A236,A235,A234,A233,A232)+1</f>
        <v>61</v>
      </c>
      <c r="B247" s="102" t="s">
        <v>154</v>
      </c>
      <c r="C247" s="103" t="s">
        <v>18</v>
      </c>
      <c r="D247" s="104">
        <v>5.2990000000000004</v>
      </c>
      <c r="E247" s="105" t="s">
        <v>13</v>
      </c>
      <c r="F247" s="106"/>
      <c r="G247" s="105" t="s">
        <v>155</v>
      </c>
      <c r="H247" s="188"/>
      <c r="I247" s="188" t="str">
        <f t="shared" si="4"/>
        <v>08,24</v>
      </c>
    </row>
    <row r="248" spans="1:9" ht="19.5" hidden="1" thickBot="1" x14ac:dyDescent="0.3">
      <c r="A248" s="455"/>
      <c r="B248" s="108" t="s">
        <v>154</v>
      </c>
      <c r="C248" s="109" t="s">
        <v>19</v>
      </c>
      <c r="D248" s="110">
        <v>5.9989999999999997</v>
      </c>
      <c r="E248" s="111" t="s">
        <v>13</v>
      </c>
      <c r="F248" s="112"/>
      <c r="G248" s="111" t="s">
        <v>155</v>
      </c>
      <c r="H248" s="189"/>
      <c r="I248" s="189" t="str">
        <f t="shared" si="4"/>
        <v>08,24</v>
      </c>
    </row>
    <row r="249" spans="1:9" ht="19.5" hidden="1" thickBot="1" x14ac:dyDescent="0.3">
      <c r="A249" s="456"/>
      <c r="B249" s="114" t="s">
        <v>154</v>
      </c>
      <c r="C249" s="115" t="s">
        <v>17</v>
      </c>
      <c r="D249" s="116">
        <v>5.8860000000000001</v>
      </c>
      <c r="E249" s="117" t="s">
        <v>13</v>
      </c>
      <c r="F249" s="118"/>
      <c r="G249" s="117" t="s">
        <v>155</v>
      </c>
      <c r="H249" s="190"/>
      <c r="I249" s="190" t="str">
        <f t="shared" si="4"/>
        <v>08,24</v>
      </c>
    </row>
    <row r="250" spans="1:9" ht="19.5" hidden="1" thickBot="1" x14ac:dyDescent="0.3">
      <c r="A250" s="460">
        <f t="shared" si="5"/>
        <v>62</v>
      </c>
      <c r="B250" s="91" t="s">
        <v>154</v>
      </c>
      <c r="C250" s="92" t="s">
        <v>18</v>
      </c>
      <c r="D250" s="93">
        <v>3.8570000000000002</v>
      </c>
      <c r="E250" s="94" t="s">
        <v>13</v>
      </c>
      <c r="F250" s="462" t="s">
        <v>157</v>
      </c>
      <c r="G250" s="94" t="s">
        <v>156</v>
      </c>
      <c r="H250" s="191"/>
      <c r="I250" s="191" t="str">
        <f t="shared" si="4"/>
        <v>08,24</v>
      </c>
    </row>
    <row r="251" spans="1:9" ht="19.5" hidden="1" thickBot="1" x14ac:dyDescent="0.3">
      <c r="A251" s="461"/>
      <c r="B251" s="175" t="s">
        <v>154</v>
      </c>
      <c r="C251" s="134" t="s">
        <v>19</v>
      </c>
      <c r="D251" s="135">
        <v>4.3109999999999999</v>
      </c>
      <c r="E251" s="136" t="s">
        <v>13</v>
      </c>
      <c r="F251" s="463"/>
      <c r="G251" s="136" t="s">
        <v>156</v>
      </c>
      <c r="H251" s="192"/>
      <c r="I251" s="192" t="str">
        <f t="shared" si="4"/>
        <v>08,24</v>
      </c>
    </row>
    <row r="252" spans="1:9" ht="19.5" hidden="1" thickBot="1" x14ac:dyDescent="0.3">
      <c r="A252" s="473"/>
      <c r="B252" s="95" t="s">
        <v>154</v>
      </c>
      <c r="C252" s="96" t="s">
        <v>17</v>
      </c>
      <c r="D252" s="97">
        <v>4.2939999999999996</v>
      </c>
      <c r="E252" s="98" t="s">
        <v>13</v>
      </c>
      <c r="F252" s="474"/>
      <c r="G252" s="98" t="s">
        <v>156</v>
      </c>
      <c r="H252" s="193"/>
      <c r="I252" s="193" t="str">
        <f t="shared" si="4"/>
        <v>08,24</v>
      </c>
    </row>
    <row r="253" spans="1:9" ht="19.5" hidden="1" thickBot="1" x14ac:dyDescent="0.3">
      <c r="A253" s="454">
        <f t="shared" si="5"/>
        <v>63</v>
      </c>
      <c r="B253" s="126" t="s">
        <v>154</v>
      </c>
      <c r="C253" s="103" t="s">
        <v>18</v>
      </c>
      <c r="D253" s="104">
        <v>3.3</v>
      </c>
      <c r="E253" s="105" t="s">
        <v>34</v>
      </c>
      <c r="F253" s="457" t="s">
        <v>159</v>
      </c>
      <c r="G253" s="105" t="s">
        <v>158</v>
      </c>
      <c r="H253" s="188"/>
      <c r="I253" s="188" t="str">
        <f t="shared" si="4"/>
        <v>08,24</v>
      </c>
    </row>
    <row r="254" spans="1:9" ht="19.5" hidden="1" thickBot="1" x14ac:dyDescent="0.3">
      <c r="A254" s="455"/>
      <c r="B254" s="127" t="s">
        <v>154</v>
      </c>
      <c r="C254" s="109" t="s">
        <v>19</v>
      </c>
      <c r="D254" s="110">
        <v>1.9</v>
      </c>
      <c r="E254" s="111" t="s">
        <v>34</v>
      </c>
      <c r="F254" s="458"/>
      <c r="G254" s="111" t="s">
        <v>158</v>
      </c>
      <c r="H254" s="189"/>
      <c r="I254" s="189" t="str">
        <f t="shared" si="4"/>
        <v>08,24</v>
      </c>
    </row>
    <row r="255" spans="1:9" ht="19.5" hidden="1" thickBot="1" x14ac:dyDescent="0.3">
      <c r="A255" s="455"/>
      <c r="B255" s="128" t="s">
        <v>154</v>
      </c>
      <c r="C255" s="115" t="s">
        <v>17</v>
      </c>
      <c r="D255" s="116">
        <v>6.8</v>
      </c>
      <c r="E255" s="117" t="s">
        <v>34</v>
      </c>
      <c r="F255" s="459"/>
      <c r="G255" s="117" t="s">
        <v>158</v>
      </c>
      <c r="H255" s="190"/>
      <c r="I255" s="190" t="str">
        <f t="shared" si="4"/>
        <v>08,24</v>
      </c>
    </row>
    <row r="256" spans="1:9" ht="37.5" hidden="1" customHeight="1" x14ac:dyDescent="0.3">
      <c r="A256" s="455"/>
      <c r="B256" s="108" t="s">
        <v>154</v>
      </c>
      <c r="C256" s="109" t="s">
        <v>18</v>
      </c>
      <c r="D256" s="110">
        <v>0.9</v>
      </c>
      <c r="E256" s="111" t="s">
        <v>45</v>
      </c>
      <c r="F256" s="457" t="s">
        <v>160</v>
      </c>
      <c r="G256" s="111" t="s">
        <v>158</v>
      </c>
      <c r="H256" s="189"/>
      <c r="I256" s="189" t="str">
        <f t="shared" si="4"/>
        <v>08,24</v>
      </c>
    </row>
    <row r="257" spans="1:9" ht="37.5" hidden="1" customHeight="1" thickBot="1" x14ac:dyDescent="0.3">
      <c r="A257" s="456"/>
      <c r="B257" s="114" t="s">
        <v>154</v>
      </c>
      <c r="C257" s="115" t="s">
        <v>17</v>
      </c>
      <c r="D257" s="116">
        <v>0.99</v>
      </c>
      <c r="E257" s="117" t="s">
        <v>45</v>
      </c>
      <c r="F257" s="459"/>
      <c r="G257" s="117" t="s">
        <v>158</v>
      </c>
      <c r="H257" s="190"/>
      <c r="I257" s="190" t="str">
        <f t="shared" si="4"/>
        <v>08,24</v>
      </c>
    </row>
    <row r="258" spans="1:9" ht="19.5" hidden="1" thickBot="1" x14ac:dyDescent="0.3">
      <c r="A258" s="460">
        <f t="shared" si="5"/>
        <v>64</v>
      </c>
      <c r="B258" s="91" t="s">
        <v>161</v>
      </c>
      <c r="C258" s="92" t="s">
        <v>18</v>
      </c>
      <c r="D258" s="93">
        <v>5.3280000000000003</v>
      </c>
      <c r="E258" s="94" t="s">
        <v>13</v>
      </c>
      <c r="F258" s="131"/>
      <c r="G258" s="94" t="s">
        <v>162</v>
      </c>
      <c r="H258" s="132"/>
      <c r="I258" s="132" t="str">
        <f t="shared" si="4"/>
        <v>08,24</v>
      </c>
    </row>
    <row r="259" spans="1:9" ht="19.5" hidden="1" thickBot="1" x14ac:dyDescent="0.3">
      <c r="A259" s="461"/>
      <c r="B259" s="175" t="s">
        <v>161</v>
      </c>
      <c r="C259" s="134" t="s">
        <v>19</v>
      </c>
      <c r="D259" s="135">
        <v>4.9969999999999999</v>
      </c>
      <c r="E259" s="136" t="s">
        <v>13</v>
      </c>
      <c r="F259" s="171"/>
      <c r="G259" s="136" t="s">
        <v>162</v>
      </c>
      <c r="H259" s="137"/>
      <c r="I259" s="137" t="str">
        <f t="shared" si="4"/>
        <v>08,24</v>
      </c>
    </row>
    <row r="260" spans="1:9" ht="19.5" hidden="1" thickBot="1" x14ac:dyDescent="0.3">
      <c r="A260" s="473"/>
      <c r="B260" s="95" t="s">
        <v>161</v>
      </c>
      <c r="C260" s="96" t="s">
        <v>17</v>
      </c>
      <c r="D260" s="97">
        <v>6.4240000000000004</v>
      </c>
      <c r="E260" s="98" t="s">
        <v>13</v>
      </c>
      <c r="F260" s="133"/>
      <c r="G260" s="98" t="s">
        <v>162</v>
      </c>
      <c r="H260" s="129"/>
      <c r="I260" s="129" t="str">
        <f t="shared" si="4"/>
        <v>08,24</v>
      </c>
    </row>
    <row r="261" spans="1:9" ht="19.5" hidden="1" thickBot="1" x14ac:dyDescent="0.3">
      <c r="A261" s="455">
        <f t="shared" si="5"/>
        <v>65</v>
      </c>
      <c r="B261" s="126" t="s">
        <v>161</v>
      </c>
      <c r="C261" s="103" t="s">
        <v>18</v>
      </c>
      <c r="D261" s="104">
        <v>2.31</v>
      </c>
      <c r="E261" s="105" t="s">
        <v>13</v>
      </c>
      <c r="F261" s="457" t="s">
        <v>108</v>
      </c>
      <c r="G261" s="105" t="s">
        <v>163</v>
      </c>
      <c r="H261" s="107"/>
      <c r="I261" s="107" t="str">
        <f t="shared" si="4"/>
        <v>09,24</v>
      </c>
    </row>
    <row r="262" spans="1:9" ht="19.5" hidden="1" thickBot="1" x14ac:dyDescent="0.3">
      <c r="A262" s="455"/>
      <c r="B262" s="127" t="s">
        <v>161</v>
      </c>
      <c r="C262" s="109" t="s">
        <v>19</v>
      </c>
      <c r="D262" s="110">
        <v>2.2330000000000001</v>
      </c>
      <c r="E262" s="111" t="s">
        <v>13</v>
      </c>
      <c r="F262" s="458"/>
      <c r="G262" s="111" t="s">
        <v>163</v>
      </c>
      <c r="H262" s="113"/>
      <c r="I262" s="113" t="str">
        <f t="shared" si="4"/>
        <v>09,24</v>
      </c>
    </row>
    <row r="263" spans="1:9" ht="19.5" hidden="1" thickBot="1" x14ac:dyDescent="0.3">
      <c r="A263" s="455"/>
      <c r="B263" s="128" t="s">
        <v>161</v>
      </c>
      <c r="C263" s="115" t="s">
        <v>17</v>
      </c>
      <c r="D263" s="116">
        <v>2.8109999999999999</v>
      </c>
      <c r="E263" s="117" t="s">
        <v>13</v>
      </c>
      <c r="F263" s="459"/>
      <c r="G263" s="117" t="s">
        <v>163</v>
      </c>
      <c r="H263" s="119"/>
      <c r="I263" s="119" t="str">
        <f t="shared" si="4"/>
        <v>09,24</v>
      </c>
    </row>
    <row r="264" spans="1:9" ht="26.25" hidden="1" customHeight="1" x14ac:dyDescent="0.3">
      <c r="A264" s="455"/>
      <c r="B264" s="126" t="s">
        <v>161</v>
      </c>
      <c r="C264" s="103" t="s">
        <v>18</v>
      </c>
      <c r="D264" s="104">
        <v>0.9</v>
      </c>
      <c r="E264" s="105" t="s">
        <v>34</v>
      </c>
      <c r="F264" s="457" t="s">
        <v>165</v>
      </c>
      <c r="G264" s="105" t="s">
        <v>163</v>
      </c>
      <c r="H264" s="107"/>
      <c r="I264" s="107" t="str">
        <f t="shared" si="4"/>
        <v>09,24</v>
      </c>
    </row>
    <row r="265" spans="1:9" ht="26.25" hidden="1" customHeight="1" x14ac:dyDescent="0.3">
      <c r="A265" s="455"/>
      <c r="B265" s="127" t="s">
        <v>161</v>
      </c>
      <c r="C265" s="109" t="s">
        <v>19</v>
      </c>
      <c r="D265" s="110">
        <v>1.1000000000000001</v>
      </c>
      <c r="E265" s="111" t="s">
        <v>34</v>
      </c>
      <c r="F265" s="458"/>
      <c r="G265" s="111" t="s">
        <v>163</v>
      </c>
      <c r="H265" s="113"/>
      <c r="I265" s="113" t="str">
        <f t="shared" si="4"/>
        <v>09,24</v>
      </c>
    </row>
    <row r="266" spans="1:9" ht="26.25" hidden="1" customHeight="1" thickBot="1" x14ac:dyDescent="0.3">
      <c r="A266" s="455"/>
      <c r="B266" s="128" t="s">
        <v>161</v>
      </c>
      <c r="C266" s="115" t="s">
        <v>17</v>
      </c>
      <c r="D266" s="116">
        <v>2.5</v>
      </c>
      <c r="E266" s="117" t="s">
        <v>34</v>
      </c>
      <c r="F266" s="459"/>
      <c r="G266" s="117" t="s">
        <v>163</v>
      </c>
      <c r="H266" s="119"/>
      <c r="I266" s="119" t="str">
        <f t="shared" si="4"/>
        <v>09,24</v>
      </c>
    </row>
    <row r="267" spans="1:9" ht="19.5" hidden="1" thickBot="1" x14ac:dyDescent="0.3">
      <c r="A267" s="455"/>
      <c r="B267" s="108" t="s">
        <v>161</v>
      </c>
      <c r="C267" s="109" t="s">
        <v>18</v>
      </c>
      <c r="D267" s="110">
        <v>0.81</v>
      </c>
      <c r="E267" s="111" t="s">
        <v>45</v>
      </c>
      <c r="F267" s="457" t="s">
        <v>164</v>
      </c>
      <c r="G267" s="111" t="s">
        <v>163</v>
      </c>
      <c r="H267" s="113"/>
      <c r="I267" s="113" t="str">
        <f t="shared" si="4"/>
        <v>09,24</v>
      </c>
    </row>
    <row r="268" spans="1:9" ht="19.5" hidden="1" thickBot="1" x14ac:dyDescent="0.3">
      <c r="A268" s="455"/>
      <c r="B268" s="108" t="s">
        <v>161</v>
      </c>
      <c r="C268" s="109" t="s">
        <v>19</v>
      </c>
      <c r="D268" s="110">
        <v>0.09</v>
      </c>
      <c r="E268" s="111" t="s">
        <v>45</v>
      </c>
      <c r="F268" s="458"/>
      <c r="G268" s="111" t="s">
        <v>163</v>
      </c>
      <c r="H268" s="113"/>
      <c r="I268" s="113" t="str">
        <f t="shared" si="4"/>
        <v>09,24</v>
      </c>
    </row>
    <row r="269" spans="1:9" ht="19.5" hidden="1" thickBot="1" x14ac:dyDescent="0.3">
      <c r="A269" s="456"/>
      <c r="B269" s="114" t="s">
        <v>161</v>
      </c>
      <c r="C269" s="115" t="s">
        <v>17</v>
      </c>
      <c r="D269" s="116">
        <v>0.9</v>
      </c>
      <c r="E269" s="117" t="s">
        <v>45</v>
      </c>
      <c r="F269" s="459"/>
      <c r="G269" s="117" t="s">
        <v>163</v>
      </c>
      <c r="H269" s="119"/>
      <c r="I269" s="119" t="str">
        <f t="shared" si="4"/>
        <v>09,24</v>
      </c>
    </row>
    <row r="270" spans="1:9" ht="19.5" hidden="1" thickBot="1" x14ac:dyDescent="0.3">
      <c r="A270" s="460">
        <f t="shared" si="5"/>
        <v>66</v>
      </c>
      <c r="B270" s="91" t="s">
        <v>166</v>
      </c>
      <c r="C270" s="92" t="s">
        <v>18</v>
      </c>
      <c r="D270" s="93">
        <v>3.9319999999999999</v>
      </c>
      <c r="E270" s="94" t="s">
        <v>13</v>
      </c>
      <c r="F270" s="131"/>
      <c r="G270" s="94" t="s">
        <v>167</v>
      </c>
      <c r="H270" s="132"/>
      <c r="I270" s="132" t="str">
        <f t="shared" si="4"/>
        <v>09,24</v>
      </c>
    </row>
    <row r="271" spans="1:9" ht="19.5" hidden="1" thickBot="1" x14ac:dyDescent="0.3">
      <c r="A271" s="461"/>
      <c r="B271" s="175" t="s">
        <v>166</v>
      </c>
      <c r="C271" s="134" t="s">
        <v>19</v>
      </c>
      <c r="D271" s="135">
        <v>5.5919999999999996</v>
      </c>
      <c r="E271" s="136" t="s">
        <v>13</v>
      </c>
      <c r="F271" s="171"/>
      <c r="G271" s="136" t="s">
        <v>167</v>
      </c>
      <c r="H271" s="137"/>
      <c r="I271" s="137" t="str">
        <f t="shared" si="4"/>
        <v>09,24</v>
      </c>
    </row>
    <row r="272" spans="1:9" ht="19.5" hidden="1" thickBot="1" x14ac:dyDescent="0.3">
      <c r="A272" s="473"/>
      <c r="B272" s="95" t="s">
        <v>166</v>
      </c>
      <c r="C272" s="96" t="s">
        <v>17</v>
      </c>
      <c r="D272" s="97">
        <v>7.3140000000000001</v>
      </c>
      <c r="E272" s="98" t="s">
        <v>13</v>
      </c>
      <c r="F272" s="133"/>
      <c r="G272" s="98" t="s">
        <v>167</v>
      </c>
      <c r="H272" s="129"/>
      <c r="I272" s="129" t="str">
        <f t="shared" si="4"/>
        <v>09,24</v>
      </c>
    </row>
    <row r="273" spans="1:9" ht="19.5" hidden="1" thickBot="1" x14ac:dyDescent="0.3">
      <c r="A273" s="454">
        <f t="shared" si="5"/>
        <v>67</v>
      </c>
      <c r="B273" s="126" t="s">
        <v>166</v>
      </c>
      <c r="C273" s="103" t="s">
        <v>18</v>
      </c>
      <c r="D273" s="104">
        <v>1.427</v>
      </c>
      <c r="E273" s="105" t="s">
        <v>13</v>
      </c>
      <c r="F273" s="457" t="s">
        <v>168</v>
      </c>
      <c r="G273" s="105" t="s">
        <v>170</v>
      </c>
      <c r="H273" s="107"/>
      <c r="I273" s="107" t="str">
        <f t="shared" si="4"/>
        <v>09,24</v>
      </c>
    </row>
    <row r="274" spans="1:9" ht="19.5" hidden="1" thickBot="1" x14ac:dyDescent="0.3">
      <c r="A274" s="455"/>
      <c r="B274" s="127" t="s">
        <v>166</v>
      </c>
      <c r="C274" s="109" t="s">
        <v>19</v>
      </c>
      <c r="D274" s="110">
        <v>1.996</v>
      </c>
      <c r="E274" s="111" t="s">
        <v>13</v>
      </c>
      <c r="F274" s="458"/>
      <c r="G274" s="111" t="s">
        <v>170</v>
      </c>
      <c r="H274" s="113"/>
      <c r="I274" s="113" t="str">
        <f t="shared" si="4"/>
        <v>09,24</v>
      </c>
    </row>
    <row r="275" spans="1:9" ht="19.5" hidden="1" thickBot="1" x14ac:dyDescent="0.3">
      <c r="A275" s="455"/>
      <c r="B275" s="128" t="s">
        <v>166</v>
      </c>
      <c r="C275" s="115" t="s">
        <v>17</v>
      </c>
      <c r="D275" s="116">
        <v>2.4140000000000001</v>
      </c>
      <c r="E275" s="117" t="s">
        <v>13</v>
      </c>
      <c r="F275" s="459"/>
      <c r="G275" s="117" t="s">
        <v>170</v>
      </c>
      <c r="H275" s="119"/>
      <c r="I275" s="119" t="str">
        <f t="shared" si="4"/>
        <v>09,24</v>
      </c>
    </row>
    <row r="276" spans="1:9" ht="19.5" hidden="1" thickBot="1" x14ac:dyDescent="0.3">
      <c r="A276" s="455"/>
      <c r="B276" s="126" t="s">
        <v>166</v>
      </c>
      <c r="C276" s="103" t="s">
        <v>18</v>
      </c>
      <c r="D276" s="104">
        <v>2</v>
      </c>
      <c r="E276" s="105" t="s">
        <v>34</v>
      </c>
      <c r="F276" s="457" t="s">
        <v>169</v>
      </c>
      <c r="G276" s="105" t="s">
        <v>170</v>
      </c>
      <c r="H276" s="107"/>
      <c r="I276" s="107" t="str">
        <f t="shared" si="4"/>
        <v>09,24</v>
      </c>
    </row>
    <row r="277" spans="1:9" ht="19.5" hidden="1" thickBot="1" x14ac:dyDescent="0.3">
      <c r="A277" s="455"/>
      <c r="B277" s="127" t="s">
        <v>166</v>
      </c>
      <c r="C277" s="109" t="s">
        <v>19</v>
      </c>
      <c r="D277" s="110">
        <v>1.3</v>
      </c>
      <c r="E277" s="111" t="s">
        <v>34</v>
      </c>
      <c r="F277" s="458"/>
      <c r="G277" s="111" t="s">
        <v>170</v>
      </c>
      <c r="H277" s="113"/>
      <c r="I277" s="113" t="str">
        <f t="shared" si="4"/>
        <v>09,24</v>
      </c>
    </row>
    <row r="278" spans="1:9" ht="19.5" hidden="1" thickBot="1" x14ac:dyDescent="0.3">
      <c r="A278" s="455"/>
      <c r="B278" s="128" t="s">
        <v>166</v>
      </c>
      <c r="C278" s="115" t="s">
        <v>17</v>
      </c>
      <c r="D278" s="116">
        <v>5.3</v>
      </c>
      <c r="E278" s="117" t="s">
        <v>34</v>
      </c>
      <c r="F278" s="459"/>
      <c r="G278" s="117" t="s">
        <v>170</v>
      </c>
      <c r="H278" s="119"/>
      <c r="I278" s="119" t="str">
        <f t="shared" si="4"/>
        <v>09,24</v>
      </c>
    </row>
    <row r="279" spans="1:9" ht="19.5" hidden="1" thickBot="1" x14ac:dyDescent="0.3">
      <c r="A279" s="455"/>
      <c r="B279" s="126" t="s">
        <v>166</v>
      </c>
      <c r="C279" s="103" t="s">
        <v>18</v>
      </c>
      <c r="D279" s="104">
        <f>0.486</f>
        <v>0.48599999999999999</v>
      </c>
      <c r="E279" s="105" t="s">
        <v>45</v>
      </c>
      <c r="F279" s="457" t="s">
        <v>142</v>
      </c>
      <c r="G279" s="105" t="s">
        <v>170</v>
      </c>
      <c r="H279" s="107"/>
      <c r="I279" s="107" t="str">
        <f t="shared" si="4"/>
        <v>09,24</v>
      </c>
    </row>
    <row r="280" spans="1:9" ht="19.5" hidden="1" thickBot="1" x14ac:dyDescent="0.3">
      <c r="A280" s="455"/>
      <c r="B280" s="127" t="s">
        <v>166</v>
      </c>
      <c r="C280" s="109" t="s">
        <v>19</v>
      </c>
      <c r="D280" s="110">
        <f>0.144</f>
        <v>0.14399999999999999</v>
      </c>
      <c r="E280" s="111" t="s">
        <v>45</v>
      </c>
      <c r="F280" s="458"/>
      <c r="G280" s="111" t="s">
        <v>170</v>
      </c>
      <c r="H280" s="113"/>
      <c r="I280" s="113" t="str">
        <f t="shared" si="4"/>
        <v>09,24</v>
      </c>
    </row>
    <row r="281" spans="1:9" ht="19.5" hidden="1" thickBot="1" x14ac:dyDescent="0.3">
      <c r="A281" s="455"/>
      <c r="B281" s="187" t="s">
        <v>166</v>
      </c>
      <c r="C281" s="165" t="s">
        <v>17</v>
      </c>
      <c r="D281" s="166">
        <f>0.27</f>
        <v>0.27</v>
      </c>
      <c r="E281" s="167" t="s">
        <v>45</v>
      </c>
      <c r="F281" s="458"/>
      <c r="G281" s="167" t="s">
        <v>170</v>
      </c>
      <c r="H281" s="163"/>
      <c r="I281" s="163" t="str">
        <f t="shared" si="4"/>
        <v>09,24</v>
      </c>
    </row>
    <row r="282" spans="1:9" ht="19.5" hidden="1" thickBot="1" x14ac:dyDescent="0.3">
      <c r="A282" s="460">
        <f t="shared" si="5"/>
        <v>68</v>
      </c>
      <c r="B282" s="91" t="s">
        <v>171</v>
      </c>
      <c r="C282" s="92" t="s">
        <v>18</v>
      </c>
      <c r="D282" s="93">
        <v>3.5110000000000001</v>
      </c>
      <c r="E282" s="94" t="s">
        <v>13</v>
      </c>
      <c r="F282" s="131"/>
      <c r="G282" s="94" t="s">
        <v>172</v>
      </c>
      <c r="H282" s="132"/>
      <c r="I282" s="132" t="str">
        <f t="shared" si="4"/>
        <v>09,24</v>
      </c>
    </row>
    <row r="283" spans="1:9" ht="19.5" hidden="1" thickBot="1" x14ac:dyDescent="0.3">
      <c r="A283" s="473"/>
      <c r="B283" s="95" t="s">
        <v>171</v>
      </c>
      <c r="C283" s="96" t="s">
        <v>17</v>
      </c>
      <c r="D283" s="97">
        <v>13.406000000000001</v>
      </c>
      <c r="E283" s="98" t="s">
        <v>13</v>
      </c>
      <c r="F283" s="133"/>
      <c r="G283" s="98" t="s">
        <v>172</v>
      </c>
      <c r="H283" s="129"/>
      <c r="I283" s="129" t="str">
        <f t="shared" si="4"/>
        <v>09,24</v>
      </c>
    </row>
    <row r="284" spans="1:9" ht="19.5" hidden="1" thickBot="1" x14ac:dyDescent="0.3">
      <c r="A284" s="454">
        <f t="shared" si="5"/>
        <v>69</v>
      </c>
      <c r="B284" s="102" t="s">
        <v>171</v>
      </c>
      <c r="C284" s="103" t="s">
        <v>18</v>
      </c>
      <c r="D284" s="104">
        <v>4.9020000000000001</v>
      </c>
      <c r="E284" s="105" t="s">
        <v>13</v>
      </c>
      <c r="F284" s="106"/>
      <c r="G284" s="105" t="s">
        <v>172</v>
      </c>
      <c r="H284" s="107"/>
      <c r="I284" s="107" t="str">
        <f t="shared" si="4"/>
        <v>09,24</v>
      </c>
    </row>
    <row r="285" spans="1:9" ht="19.5" hidden="1" thickBot="1" x14ac:dyDescent="0.3">
      <c r="A285" s="455"/>
      <c r="B285" s="108" t="s">
        <v>171</v>
      </c>
      <c r="C285" s="109" t="s">
        <v>19</v>
      </c>
      <c r="D285" s="110">
        <v>10.324</v>
      </c>
      <c r="E285" s="111" t="s">
        <v>13</v>
      </c>
      <c r="F285" s="112"/>
      <c r="G285" s="111" t="s">
        <v>172</v>
      </c>
      <c r="H285" s="113"/>
      <c r="I285" s="113" t="str">
        <f t="shared" si="4"/>
        <v>09,24</v>
      </c>
    </row>
    <row r="286" spans="1:9" ht="19.5" hidden="1" thickBot="1" x14ac:dyDescent="0.3">
      <c r="A286" s="456"/>
      <c r="B286" s="114" t="s">
        <v>171</v>
      </c>
      <c r="C286" s="115" t="s">
        <v>17</v>
      </c>
      <c r="D286" s="116">
        <v>1.6</v>
      </c>
      <c r="E286" s="117" t="s">
        <v>13</v>
      </c>
      <c r="F286" s="118"/>
      <c r="G286" s="117" t="s">
        <v>172</v>
      </c>
      <c r="H286" s="119"/>
      <c r="I286" s="119" t="str">
        <f t="shared" si="4"/>
        <v>09,24</v>
      </c>
    </row>
    <row r="287" spans="1:9" ht="24.95" hidden="1" customHeight="1" x14ac:dyDescent="0.3">
      <c r="A287" s="460">
        <f t="shared" si="5"/>
        <v>70</v>
      </c>
      <c r="B287" s="138" t="s">
        <v>171</v>
      </c>
      <c r="C287" s="92" t="s">
        <v>18</v>
      </c>
      <c r="D287" s="93">
        <v>4.8</v>
      </c>
      <c r="E287" s="94" t="s">
        <v>34</v>
      </c>
      <c r="F287" s="462" t="s">
        <v>174</v>
      </c>
      <c r="G287" s="94" t="s">
        <v>173</v>
      </c>
      <c r="H287" s="132"/>
      <c r="I287" s="132" t="str">
        <f t="shared" si="4"/>
        <v>09,24</v>
      </c>
    </row>
    <row r="288" spans="1:9" ht="24.95" hidden="1" customHeight="1" x14ac:dyDescent="0.3">
      <c r="A288" s="461"/>
      <c r="B288" s="140" t="s">
        <v>171</v>
      </c>
      <c r="C288" s="134" t="s">
        <v>19</v>
      </c>
      <c r="D288" s="135">
        <v>1.9</v>
      </c>
      <c r="E288" s="136" t="s">
        <v>34</v>
      </c>
      <c r="F288" s="463"/>
      <c r="G288" s="136" t="s">
        <v>173</v>
      </c>
      <c r="H288" s="137"/>
      <c r="I288" s="137" t="str">
        <f t="shared" si="4"/>
        <v>09,24</v>
      </c>
    </row>
    <row r="289" spans="1:9" ht="24.95" hidden="1" customHeight="1" thickBot="1" x14ac:dyDescent="0.3">
      <c r="A289" s="461"/>
      <c r="B289" s="139" t="s">
        <v>171</v>
      </c>
      <c r="C289" s="96" t="s">
        <v>17</v>
      </c>
      <c r="D289" s="97">
        <v>6.4</v>
      </c>
      <c r="E289" s="98" t="s">
        <v>34</v>
      </c>
      <c r="F289" s="474"/>
      <c r="G289" s="98" t="s">
        <v>173</v>
      </c>
      <c r="H289" s="129"/>
      <c r="I289" s="129" t="str">
        <f t="shared" si="4"/>
        <v>09,24</v>
      </c>
    </row>
    <row r="290" spans="1:9" ht="19.5" hidden="1" thickBot="1" x14ac:dyDescent="0.3">
      <c r="A290" s="461"/>
      <c r="B290" s="175" t="s">
        <v>171</v>
      </c>
      <c r="C290" s="134" t="s">
        <v>18</v>
      </c>
      <c r="D290" s="135">
        <v>0.27</v>
      </c>
      <c r="E290" s="136" t="s">
        <v>45</v>
      </c>
      <c r="F290" s="463" t="s">
        <v>142</v>
      </c>
      <c r="G290" s="136" t="s">
        <v>173</v>
      </c>
      <c r="H290" s="137"/>
      <c r="I290" s="137" t="str">
        <f t="shared" si="4"/>
        <v>09,24</v>
      </c>
    </row>
    <row r="291" spans="1:9" ht="19.5" hidden="1" thickBot="1" x14ac:dyDescent="0.3">
      <c r="A291" s="473"/>
      <c r="B291" s="95" t="s">
        <v>171</v>
      </c>
      <c r="C291" s="96" t="s">
        <v>17</v>
      </c>
      <c r="D291" s="97">
        <v>0.99</v>
      </c>
      <c r="E291" s="98" t="s">
        <v>45</v>
      </c>
      <c r="F291" s="474"/>
      <c r="G291" s="98" t="s">
        <v>173</v>
      </c>
      <c r="H291" s="129"/>
      <c r="I291" s="129" t="str">
        <f t="shared" si="4"/>
        <v>09,24</v>
      </c>
    </row>
    <row r="292" spans="1:9" ht="19.5" hidden="1" thickBot="1" x14ac:dyDescent="0.3">
      <c r="A292" s="454">
        <f>MAX(A291,,A290,A289,A288,A287,A286,A285,A284,A283,A282,A281,A280,A279,A278)+1</f>
        <v>71</v>
      </c>
      <c r="B292" s="102" t="s">
        <v>175</v>
      </c>
      <c r="C292" s="103" t="s">
        <v>18</v>
      </c>
      <c r="D292" s="104">
        <v>4.6020000000000003</v>
      </c>
      <c r="E292" s="105" t="s">
        <v>13</v>
      </c>
      <c r="F292" s="106"/>
      <c r="G292" s="105" t="s">
        <v>176</v>
      </c>
      <c r="H292" s="107"/>
      <c r="I292" s="107" t="str">
        <f t="shared" si="4"/>
        <v>09,24</v>
      </c>
    </row>
    <row r="293" spans="1:9" ht="19.5" hidden="1" thickBot="1" x14ac:dyDescent="0.3">
      <c r="A293" s="455"/>
      <c r="B293" s="108" t="s">
        <v>175</v>
      </c>
      <c r="C293" s="109" t="s">
        <v>19</v>
      </c>
      <c r="D293" s="110">
        <v>5.7809999999999997</v>
      </c>
      <c r="E293" s="111" t="s">
        <v>13</v>
      </c>
      <c r="F293" s="112"/>
      <c r="G293" s="111" t="s">
        <v>176</v>
      </c>
      <c r="H293" s="113"/>
      <c r="I293" s="113" t="str">
        <f t="shared" si="4"/>
        <v>09,24</v>
      </c>
    </row>
    <row r="294" spans="1:9" ht="19.5" hidden="1" thickBot="1" x14ac:dyDescent="0.3">
      <c r="A294" s="456"/>
      <c r="B294" s="114" t="s">
        <v>175</v>
      </c>
      <c r="C294" s="115" t="s">
        <v>17</v>
      </c>
      <c r="D294" s="116">
        <v>5.774</v>
      </c>
      <c r="E294" s="117" t="s">
        <v>13</v>
      </c>
      <c r="F294" s="118"/>
      <c r="G294" s="117" t="s">
        <v>176</v>
      </c>
      <c r="H294" s="119"/>
      <c r="I294" s="119" t="str">
        <f t="shared" si="4"/>
        <v>09,24</v>
      </c>
    </row>
    <row r="295" spans="1:9" ht="19.5" hidden="1" thickBot="1" x14ac:dyDescent="0.3">
      <c r="A295" s="460">
        <f t="shared" ref="A295:A303" si="6">MAX(A294,,A293,A292,A291,A290,A289,A288,A287,A286,A285,A284,A283,A282,A281)+1</f>
        <v>72</v>
      </c>
      <c r="B295" s="138" t="s">
        <v>175</v>
      </c>
      <c r="C295" s="92" t="s">
        <v>18</v>
      </c>
      <c r="D295" s="93">
        <v>1.276</v>
      </c>
      <c r="E295" s="94" t="s">
        <v>13</v>
      </c>
      <c r="F295" s="462" t="s">
        <v>179</v>
      </c>
      <c r="G295" s="94" t="s">
        <v>177</v>
      </c>
      <c r="H295" s="132"/>
      <c r="I295" s="132" t="str">
        <f t="shared" si="4"/>
        <v>09,24</v>
      </c>
    </row>
    <row r="296" spans="1:9" ht="19.5" hidden="1" thickBot="1" x14ac:dyDescent="0.3">
      <c r="A296" s="461"/>
      <c r="B296" s="140" t="s">
        <v>175</v>
      </c>
      <c r="C296" s="134" t="s">
        <v>19</v>
      </c>
      <c r="D296" s="135">
        <v>3.1030000000000002</v>
      </c>
      <c r="E296" s="136" t="s">
        <v>13</v>
      </c>
      <c r="F296" s="463"/>
      <c r="G296" s="136" t="s">
        <v>177</v>
      </c>
      <c r="H296" s="137"/>
      <c r="I296" s="137" t="str">
        <f t="shared" si="4"/>
        <v>09,24</v>
      </c>
    </row>
    <row r="297" spans="1:9" ht="19.5" hidden="1" thickBot="1" x14ac:dyDescent="0.3">
      <c r="A297" s="461"/>
      <c r="B297" s="139" t="s">
        <v>175</v>
      </c>
      <c r="C297" s="96" t="s">
        <v>17</v>
      </c>
      <c r="D297" s="97">
        <v>1.603</v>
      </c>
      <c r="E297" s="98" t="s">
        <v>13</v>
      </c>
      <c r="F297" s="474"/>
      <c r="G297" s="98" t="s">
        <v>177</v>
      </c>
      <c r="H297" s="129"/>
      <c r="I297" s="129" t="str">
        <f t="shared" si="4"/>
        <v>09,24</v>
      </c>
    </row>
    <row r="298" spans="1:9" ht="19.5" hidden="1" thickBot="1" x14ac:dyDescent="0.3">
      <c r="A298" s="461"/>
      <c r="B298" s="138" t="s">
        <v>175</v>
      </c>
      <c r="C298" s="92" t="s">
        <v>18</v>
      </c>
      <c r="D298" s="93">
        <v>1.9</v>
      </c>
      <c r="E298" s="94" t="s">
        <v>34</v>
      </c>
      <c r="F298" s="462" t="s">
        <v>169</v>
      </c>
      <c r="G298" s="94" t="s">
        <v>177</v>
      </c>
      <c r="H298" s="132"/>
      <c r="I298" s="132" t="str">
        <f t="shared" si="4"/>
        <v>09,24</v>
      </c>
    </row>
    <row r="299" spans="1:9" ht="19.5" hidden="1" thickBot="1" x14ac:dyDescent="0.3">
      <c r="A299" s="461"/>
      <c r="B299" s="140" t="s">
        <v>175</v>
      </c>
      <c r="C299" s="134" t="s">
        <v>19</v>
      </c>
      <c r="D299" s="135">
        <v>1.2</v>
      </c>
      <c r="E299" s="136" t="s">
        <v>34</v>
      </c>
      <c r="F299" s="463"/>
      <c r="G299" s="136" t="s">
        <v>177</v>
      </c>
      <c r="H299" s="137"/>
      <c r="I299" s="137" t="str">
        <f t="shared" si="4"/>
        <v>09,24</v>
      </c>
    </row>
    <row r="300" spans="1:9" ht="19.5" hidden="1" thickBot="1" x14ac:dyDescent="0.3">
      <c r="A300" s="461"/>
      <c r="B300" s="139" t="s">
        <v>175</v>
      </c>
      <c r="C300" s="96" t="s">
        <v>17</v>
      </c>
      <c r="D300" s="97">
        <v>5.2</v>
      </c>
      <c r="E300" s="98" t="s">
        <v>34</v>
      </c>
      <c r="F300" s="474"/>
      <c r="G300" s="98" t="s">
        <v>177</v>
      </c>
      <c r="H300" s="129"/>
      <c r="I300" s="129" t="str">
        <f t="shared" si="4"/>
        <v>09,24</v>
      </c>
    </row>
    <row r="301" spans="1:9" ht="19.5" hidden="1" thickBot="1" x14ac:dyDescent="0.3">
      <c r="A301" s="461"/>
      <c r="B301" s="175" t="s">
        <v>175</v>
      </c>
      <c r="C301" s="134" t="s">
        <v>19</v>
      </c>
      <c r="D301" s="135">
        <v>0.19800000000000001</v>
      </c>
      <c r="E301" s="136" t="s">
        <v>45</v>
      </c>
      <c r="F301" s="463" t="s">
        <v>178</v>
      </c>
      <c r="G301" s="136" t="s">
        <v>177</v>
      </c>
      <c r="H301" s="137"/>
      <c r="I301" s="137" t="str">
        <f t="shared" si="4"/>
        <v>09,24</v>
      </c>
    </row>
    <row r="302" spans="1:9" ht="19.5" hidden="1" thickBot="1" x14ac:dyDescent="0.3">
      <c r="A302" s="461"/>
      <c r="B302" s="141" t="s">
        <v>175</v>
      </c>
      <c r="C302" s="142" t="s">
        <v>17</v>
      </c>
      <c r="D302" s="143">
        <v>0.52200000000000002</v>
      </c>
      <c r="E302" s="144" t="s">
        <v>45</v>
      </c>
      <c r="F302" s="463"/>
      <c r="G302" s="144" t="s">
        <v>177</v>
      </c>
      <c r="H302" s="145"/>
      <c r="I302" s="145" t="str">
        <f t="shared" si="4"/>
        <v>09,24</v>
      </c>
    </row>
    <row r="303" spans="1:9" ht="19.5" hidden="1" thickBot="1" x14ac:dyDescent="0.3">
      <c r="A303" s="454">
        <f t="shared" si="6"/>
        <v>73</v>
      </c>
      <c r="B303" s="102" t="s">
        <v>180</v>
      </c>
      <c r="C303" s="103" t="s">
        <v>18</v>
      </c>
      <c r="D303" s="104">
        <v>3.1850000000000001</v>
      </c>
      <c r="E303" s="105" t="s">
        <v>13</v>
      </c>
      <c r="F303" s="106"/>
      <c r="G303" s="105" t="s">
        <v>181</v>
      </c>
      <c r="H303" s="107"/>
      <c r="I303" s="107" t="str">
        <f t="shared" si="4"/>
        <v>09,24</v>
      </c>
    </row>
    <row r="304" spans="1:9" ht="19.5" hidden="1" thickBot="1" x14ac:dyDescent="0.3">
      <c r="A304" s="456"/>
      <c r="B304" s="114" t="s">
        <v>180</v>
      </c>
      <c r="C304" s="115" t="s">
        <v>17</v>
      </c>
      <c r="D304" s="116">
        <v>13.763999999999999</v>
      </c>
      <c r="E304" s="117" t="s">
        <v>13</v>
      </c>
      <c r="F304" s="118"/>
      <c r="G304" s="117" t="s">
        <v>181</v>
      </c>
      <c r="H304" s="119"/>
      <c r="I304" s="119" t="str">
        <f t="shared" si="4"/>
        <v>09,24</v>
      </c>
    </row>
    <row r="305" spans="1:9" ht="27.95" hidden="1" customHeight="1" x14ac:dyDescent="0.3">
      <c r="A305" s="460">
        <f>MAX(A304,A303,A302,A301,A300,A299,A298,A297,A296,A295,A294,A293,A292,A291)+1</f>
        <v>74</v>
      </c>
      <c r="B305" s="91" t="s">
        <v>180</v>
      </c>
      <c r="C305" s="92" t="s">
        <v>18</v>
      </c>
      <c r="D305" s="93">
        <v>4.2910000000000004</v>
      </c>
      <c r="E305" s="94" t="s">
        <v>13</v>
      </c>
      <c r="F305" s="462" t="s">
        <v>182</v>
      </c>
      <c r="G305" s="94" t="s">
        <v>181</v>
      </c>
      <c r="H305" s="132"/>
      <c r="I305" s="132" t="str">
        <f t="shared" si="4"/>
        <v>09,24</v>
      </c>
    </row>
    <row r="306" spans="1:9" ht="27.95" hidden="1" customHeight="1" thickBot="1" x14ac:dyDescent="0.3">
      <c r="A306" s="473"/>
      <c r="B306" s="95" t="s">
        <v>180</v>
      </c>
      <c r="C306" s="96" t="s">
        <v>19</v>
      </c>
      <c r="D306" s="97">
        <v>11.138</v>
      </c>
      <c r="E306" s="98" t="s">
        <v>13</v>
      </c>
      <c r="F306" s="474"/>
      <c r="G306" s="98" t="s">
        <v>181</v>
      </c>
      <c r="H306" s="129"/>
      <c r="I306" s="129" t="str">
        <f t="shared" si="4"/>
        <v>09,24</v>
      </c>
    </row>
    <row r="307" spans="1:9" ht="19.5" hidden="1" thickBot="1" x14ac:dyDescent="0.3">
      <c r="A307" s="454">
        <f t="shared" ref="A307:A358" si="7">MAX(A306,A305,A304,A303,A302,A301,A300,A299,A298,A297,A296,A295,A294,A293)+1</f>
        <v>75</v>
      </c>
      <c r="B307" s="102" t="s">
        <v>180</v>
      </c>
      <c r="C307" s="103" t="s">
        <v>18</v>
      </c>
      <c r="D307" s="104">
        <v>1.4</v>
      </c>
      <c r="E307" s="105" t="s">
        <v>34</v>
      </c>
      <c r="F307" s="457" t="s">
        <v>63</v>
      </c>
      <c r="G307" s="105" t="s">
        <v>183</v>
      </c>
      <c r="H307" s="107"/>
      <c r="I307" s="107" t="str">
        <f t="shared" si="4"/>
        <v>09,24</v>
      </c>
    </row>
    <row r="308" spans="1:9" ht="19.5" hidden="1" thickBot="1" x14ac:dyDescent="0.3">
      <c r="A308" s="455"/>
      <c r="B308" s="108" t="s">
        <v>180</v>
      </c>
      <c r="C308" s="109" t="s">
        <v>19</v>
      </c>
      <c r="D308" s="110">
        <v>1.4</v>
      </c>
      <c r="E308" s="111" t="s">
        <v>34</v>
      </c>
      <c r="F308" s="458"/>
      <c r="G308" s="111" t="s">
        <v>183</v>
      </c>
      <c r="H308" s="113"/>
      <c r="I308" s="113" t="str">
        <f t="shared" si="4"/>
        <v>09,24</v>
      </c>
    </row>
    <row r="309" spans="1:9" ht="19.5" hidden="1" thickBot="1" x14ac:dyDescent="0.3">
      <c r="A309" s="456"/>
      <c r="B309" s="114" t="s">
        <v>180</v>
      </c>
      <c r="C309" s="115" t="s">
        <v>17</v>
      </c>
      <c r="D309" s="116">
        <v>5.7</v>
      </c>
      <c r="E309" s="117" t="s">
        <v>34</v>
      </c>
      <c r="F309" s="459"/>
      <c r="G309" s="117" t="s">
        <v>183</v>
      </c>
      <c r="H309" s="119"/>
      <c r="I309" s="119" t="str">
        <f t="shared" si="4"/>
        <v>09,24</v>
      </c>
    </row>
    <row r="310" spans="1:9" ht="19.5" hidden="1" thickBot="1" x14ac:dyDescent="0.3">
      <c r="A310" s="460">
        <f t="shared" si="7"/>
        <v>76</v>
      </c>
      <c r="B310" s="91" t="s">
        <v>184</v>
      </c>
      <c r="C310" s="92" t="s">
        <v>18</v>
      </c>
      <c r="D310" s="93">
        <v>1.8169999999999999</v>
      </c>
      <c r="E310" s="94" t="s">
        <v>13</v>
      </c>
      <c r="F310" s="462" t="s">
        <v>185</v>
      </c>
      <c r="G310" s="94" t="s">
        <v>187</v>
      </c>
      <c r="H310" s="132"/>
      <c r="I310" s="132" t="str">
        <f t="shared" si="4"/>
        <v>10,24</v>
      </c>
    </row>
    <row r="311" spans="1:9" ht="19.5" hidden="1" thickBot="1" x14ac:dyDescent="0.3">
      <c r="A311" s="461"/>
      <c r="B311" s="175" t="s">
        <v>184</v>
      </c>
      <c r="C311" s="134" t="s">
        <v>19</v>
      </c>
      <c r="D311" s="135">
        <v>6.8179999999999996</v>
      </c>
      <c r="E311" s="136" t="s">
        <v>13</v>
      </c>
      <c r="F311" s="463"/>
      <c r="G311" s="136" t="s">
        <v>187</v>
      </c>
      <c r="H311" s="137"/>
      <c r="I311" s="137" t="str">
        <f t="shared" si="4"/>
        <v>10,24</v>
      </c>
    </row>
    <row r="312" spans="1:9" ht="19.5" hidden="1" thickBot="1" x14ac:dyDescent="0.3">
      <c r="A312" s="473"/>
      <c r="B312" s="95" t="s">
        <v>184</v>
      </c>
      <c r="C312" s="96" t="s">
        <v>17</v>
      </c>
      <c r="D312" s="97">
        <v>6.3929999999999998</v>
      </c>
      <c r="E312" s="98" t="s">
        <v>13</v>
      </c>
      <c r="F312" s="474"/>
      <c r="G312" s="98" t="s">
        <v>187</v>
      </c>
      <c r="H312" s="129"/>
      <c r="I312" s="129" t="str">
        <f t="shared" si="4"/>
        <v>10,24</v>
      </c>
    </row>
    <row r="313" spans="1:9" ht="19.5" hidden="1" thickBot="1" x14ac:dyDescent="0.3">
      <c r="A313" s="454">
        <f t="shared" si="7"/>
        <v>77</v>
      </c>
      <c r="B313" s="126" t="s">
        <v>184</v>
      </c>
      <c r="C313" s="103" t="s">
        <v>18</v>
      </c>
      <c r="D313" s="104">
        <v>0.69499999999999995</v>
      </c>
      <c r="E313" s="105" t="s">
        <v>13</v>
      </c>
      <c r="F313" s="457" t="s">
        <v>151</v>
      </c>
      <c r="G313" s="105" t="s">
        <v>189</v>
      </c>
      <c r="H313" s="107"/>
      <c r="I313" s="107" t="str">
        <f t="shared" si="4"/>
        <v>10,24</v>
      </c>
    </row>
    <row r="314" spans="1:9" ht="19.5" hidden="1" thickBot="1" x14ac:dyDescent="0.3">
      <c r="A314" s="455"/>
      <c r="B314" s="127" t="s">
        <v>184</v>
      </c>
      <c r="C314" s="109" t="s">
        <v>19</v>
      </c>
      <c r="D314" s="110">
        <v>2.681</v>
      </c>
      <c r="E314" s="111" t="s">
        <v>13</v>
      </c>
      <c r="F314" s="458"/>
      <c r="G314" s="111" t="s">
        <v>189</v>
      </c>
      <c r="H314" s="113"/>
      <c r="I314" s="113" t="str">
        <f t="shared" si="4"/>
        <v>10,24</v>
      </c>
    </row>
    <row r="315" spans="1:9" ht="19.5" hidden="1" thickBot="1" x14ac:dyDescent="0.3">
      <c r="A315" s="455"/>
      <c r="B315" s="128" t="s">
        <v>184</v>
      </c>
      <c r="C315" s="115" t="s">
        <v>17</v>
      </c>
      <c r="D315" s="116">
        <v>3.52</v>
      </c>
      <c r="E315" s="117" t="s">
        <v>13</v>
      </c>
      <c r="F315" s="459"/>
      <c r="G315" s="117" t="s">
        <v>189</v>
      </c>
      <c r="H315" s="119"/>
      <c r="I315" s="119" t="str">
        <f t="shared" si="4"/>
        <v>10,24</v>
      </c>
    </row>
    <row r="316" spans="1:9" ht="19.5" hidden="1" thickBot="1" x14ac:dyDescent="0.3">
      <c r="A316" s="455"/>
      <c r="B316" s="108" t="s">
        <v>184</v>
      </c>
      <c r="C316" s="109" t="s">
        <v>18</v>
      </c>
      <c r="D316" s="110">
        <v>0.5</v>
      </c>
      <c r="E316" s="111" t="s">
        <v>34</v>
      </c>
      <c r="F316" s="458" t="s">
        <v>188</v>
      </c>
      <c r="G316" s="111" t="s">
        <v>189</v>
      </c>
      <c r="H316" s="113"/>
      <c r="I316" s="113" t="str">
        <f t="shared" si="4"/>
        <v>10,24</v>
      </c>
    </row>
    <row r="317" spans="1:9" ht="19.5" hidden="1" thickBot="1" x14ac:dyDescent="0.3">
      <c r="A317" s="455"/>
      <c r="B317" s="108" t="s">
        <v>184</v>
      </c>
      <c r="C317" s="109" t="s">
        <v>19</v>
      </c>
      <c r="D317" s="110">
        <v>2.6</v>
      </c>
      <c r="E317" s="111" t="s">
        <v>34</v>
      </c>
      <c r="F317" s="458"/>
      <c r="G317" s="111" t="s">
        <v>189</v>
      </c>
      <c r="H317" s="113"/>
      <c r="I317" s="113" t="str">
        <f t="shared" si="4"/>
        <v>10,24</v>
      </c>
    </row>
    <row r="318" spans="1:9" ht="19.5" hidden="1" thickBot="1" x14ac:dyDescent="0.3">
      <c r="A318" s="455"/>
      <c r="B318" s="108" t="s">
        <v>184</v>
      </c>
      <c r="C318" s="109" t="s">
        <v>17</v>
      </c>
      <c r="D318" s="110">
        <v>2.8</v>
      </c>
      <c r="E318" s="111" t="s">
        <v>34</v>
      </c>
      <c r="F318" s="458"/>
      <c r="G318" s="111" t="s">
        <v>189</v>
      </c>
      <c r="H318" s="113"/>
      <c r="I318" s="113" t="str">
        <f t="shared" si="4"/>
        <v>10,24</v>
      </c>
    </row>
    <row r="319" spans="1:9" ht="19.5" hidden="1" thickBot="1" x14ac:dyDescent="0.3">
      <c r="A319" s="456"/>
      <c r="B319" s="114" t="s">
        <v>184</v>
      </c>
      <c r="C319" s="115" t="s">
        <v>186</v>
      </c>
      <c r="D319" s="116">
        <v>2.2000000000000002</v>
      </c>
      <c r="E319" s="117" t="s">
        <v>34</v>
      </c>
      <c r="F319" s="459"/>
      <c r="G319" s="117" t="s">
        <v>189</v>
      </c>
      <c r="H319" s="119"/>
      <c r="I319" s="119" t="str">
        <f t="shared" si="4"/>
        <v>10,24</v>
      </c>
    </row>
    <row r="320" spans="1:9" ht="19.5" hidden="1" thickBot="1" x14ac:dyDescent="0.3">
      <c r="A320" s="460">
        <f t="shared" si="7"/>
        <v>78</v>
      </c>
      <c r="B320" s="91" t="s">
        <v>190</v>
      </c>
      <c r="C320" s="92" t="s">
        <v>18</v>
      </c>
      <c r="D320" s="93">
        <v>1.506</v>
      </c>
      <c r="E320" s="94" t="s">
        <v>13</v>
      </c>
      <c r="F320" s="462" t="s">
        <v>192</v>
      </c>
      <c r="G320" s="94" t="s">
        <v>191</v>
      </c>
      <c r="H320" s="132"/>
      <c r="I320" s="132" t="str">
        <f t="shared" si="4"/>
        <v>10,24</v>
      </c>
    </row>
    <row r="321" spans="1:9" ht="19.5" hidden="1" thickBot="1" x14ac:dyDescent="0.3">
      <c r="A321" s="461"/>
      <c r="B321" s="175" t="s">
        <v>190</v>
      </c>
      <c r="C321" s="134" t="s">
        <v>19</v>
      </c>
      <c r="D321" s="135">
        <v>5.4580000000000002</v>
      </c>
      <c r="E321" s="136" t="s">
        <v>13</v>
      </c>
      <c r="F321" s="463"/>
      <c r="G321" s="136" t="s">
        <v>191</v>
      </c>
      <c r="H321" s="137"/>
      <c r="I321" s="137" t="str">
        <f t="shared" si="4"/>
        <v>10,24</v>
      </c>
    </row>
    <row r="322" spans="1:9" ht="19.5" hidden="1" thickBot="1" x14ac:dyDescent="0.3">
      <c r="A322" s="461"/>
      <c r="B322" s="141" t="s">
        <v>190</v>
      </c>
      <c r="C322" s="142" t="s">
        <v>17</v>
      </c>
      <c r="D322" s="143">
        <v>8.1110000000000007</v>
      </c>
      <c r="E322" s="144" t="s">
        <v>13</v>
      </c>
      <c r="F322" s="463"/>
      <c r="G322" s="144" t="s">
        <v>191</v>
      </c>
      <c r="H322" s="145"/>
      <c r="I322" s="145" t="str">
        <f t="shared" si="4"/>
        <v>10,24</v>
      </c>
    </row>
    <row r="323" spans="1:9" ht="19.5" hidden="1" thickBot="1" x14ac:dyDescent="0.3">
      <c r="A323" s="454">
        <f t="shared" si="7"/>
        <v>79</v>
      </c>
      <c r="B323" s="102" t="s">
        <v>194</v>
      </c>
      <c r="C323" s="103" t="s">
        <v>18</v>
      </c>
      <c r="D323" s="104">
        <v>4.3780000000000001</v>
      </c>
      <c r="E323" s="105" t="s">
        <v>13</v>
      </c>
      <c r="F323" s="457" t="s">
        <v>193</v>
      </c>
      <c r="G323" s="105" t="s">
        <v>195</v>
      </c>
      <c r="H323" s="107"/>
      <c r="I323" s="107" t="str">
        <f t="shared" si="4"/>
        <v>10,24</v>
      </c>
    </row>
    <row r="324" spans="1:9" ht="19.5" hidden="1" thickBot="1" x14ac:dyDescent="0.3">
      <c r="A324" s="455"/>
      <c r="B324" s="108" t="s">
        <v>194</v>
      </c>
      <c r="C324" s="109" t="s">
        <v>19</v>
      </c>
      <c r="D324" s="110">
        <v>4.7679999999999998</v>
      </c>
      <c r="E324" s="111" t="s">
        <v>13</v>
      </c>
      <c r="F324" s="458"/>
      <c r="G324" s="111" t="s">
        <v>195</v>
      </c>
      <c r="H324" s="113"/>
      <c r="I324" s="113" t="str">
        <f t="shared" si="4"/>
        <v>10,24</v>
      </c>
    </row>
    <row r="325" spans="1:9" ht="19.5" hidden="1" thickBot="1" x14ac:dyDescent="0.3">
      <c r="A325" s="456"/>
      <c r="B325" s="114" t="s">
        <v>194</v>
      </c>
      <c r="C325" s="115" t="s">
        <v>17</v>
      </c>
      <c r="D325" s="116">
        <v>5.899</v>
      </c>
      <c r="E325" s="117" t="s">
        <v>13</v>
      </c>
      <c r="F325" s="459"/>
      <c r="G325" s="117" t="s">
        <v>195</v>
      </c>
      <c r="H325" s="119"/>
      <c r="I325" s="119" t="str">
        <f t="shared" si="4"/>
        <v>10,24</v>
      </c>
    </row>
    <row r="326" spans="1:9" ht="42.75" hidden="1" customHeight="1" x14ac:dyDescent="0.3">
      <c r="A326" s="460">
        <f t="shared" si="7"/>
        <v>80</v>
      </c>
      <c r="B326" s="91" t="s">
        <v>194</v>
      </c>
      <c r="C326" s="92" t="s">
        <v>18</v>
      </c>
      <c r="D326" s="93">
        <v>4.0629999999999997</v>
      </c>
      <c r="E326" s="94" t="s">
        <v>13</v>
      </c>
      <c r="F326" s="462" t="s">
        <v>197</v>
      </c>
      <c r="G326" s="94" t="s">
        <v>196</v>
      </c>
      <c r="H326" s="132"/>
      <c r="I326" s="132" t="str">
        <f t="shared" si="4"/>
        <v>10,24</v>
      </c>
    </row>
    <row r="327" spans="1:9" ht="42.75" hidden="1" customHeight="1" x14ac:dyDescent="0.3">
      <c r="A327" s="461"/>
      <c r="B327" s="175" t="s">
        <v>194</v>
      </c>
      <c r="C327" s="134" t="s">
        <v>19</v>
      </c>
      <c r="D327" s="135">
        <v>4.4580000000000002</v>
      </c>
      <c r="E327" s="136" t="s">
        <v>13</v>
      </c>
      <c r="F327" s="463"/>
      <c r="G327" s="136" t="s">
        <v>196</v>
      </c>
      <c r="H327" s="137"/>
      <c r="I327" s="137" t="str">
        <f t="shared" si="4"/>
        <v>10,24</v>
      </c>
    </row>
    <row r="328" spans="1:9" ht="42.75" hidden="1" customHeight="1" thickBot="1" x14ac:dyDescent="0.3">
      <c r="A328" s="473"/>
      <c r="B328" s="95" t="s">
        <v>194</v>
      </c>
      <c r="C328" s="96" t="s">
        <v>17</v>
      </c>
      <c r="D328" s="97">
        <v>5.4989999999999997</v>
      </c>
      <c r="E328" s="98" t="s">
        <v>13</v>
      </c>
      <c r="F328" s="474"/>
      <c r="G328" s="98" t="s">
        <v>196</v>
      </c>
      <c r="H328" s="129"/>
      <c r="I328" s="129" t="str">
        <f t="shared" si="4"/>
        <v>10,24</v>
      </c>
    </row>
    <row r="329" spans="1:9" ht="19.5" hidden="1" thickBot="1" x14ac:dyDescent="0.3">
      <c r="A329" s="454">
        <f t="shared" si="7"/>
        <v>81</v>
      </c>
      <c r="B329" s="102" t="s">
        <v>194</v>
      </c>
      <c r="C329" s="103" t="s">
        <v>18</v>
      </c>
      <c r="D329" s="104">
        <v>1.7</v>
      </c>
      <c r="E329" s="105" t="s">
        <v>34</v>
      </c>
      <c r="F329" s="457" t="s">
        <v>72</v>
      </c>
      <c r="G329" s="105" t="s">
        <v>198</v>
      </c>
      <c r="H329" s="496" t="s">
        <v>63</v>
      </c>
      <c r="I329" s="185" t="str">
        <f t="shared" si="4"/>
        <v>10,24</v>
      </c>
    </row>
    <row r="330" spans="1:9" ht="19.5" hidden="1" thickBot="1" x14ac:dyDescent="0.3">
      <c r="A330" s="455"/>
      <c r="B330" s="108" t="s">
        <v>194</v>
      </c>
      <c r="C330" s="109" t="s">
        <v>19</v>
      </c>
      <c r="D330" s="110">
        <f>0.4+0.05</f>
        <v>0.45</v>
      </c>
      <c r="E330" s="111" t="s">
        <v>34</v>
      </c>
      <c r="F330" s="458"/>
      <c r="G330" s="111" t="s">
        <v>198</v>
      </c>
      <c r="H330" s="497"/>
      <c r="I330" s="186" t="str">
        <f t="shared" si="4"/>
        <v>10,24</v>
      </c>
    </row>
    <row r="331" spans="1:9" ht="19.5" hidden="1" thickBot="1" x14ac:dyDescent="0.3">
      <c r="A331" s="455"/>
      <c r="B331" s="108" t="s">
        <v>194</v>
      </c>
      <c r="C331" s="109" t="s">
        <v>17</v>
      </c>
      <c r="D331" s="110">
        <f>3.7+1.1</f>
        <v>4.8000000000000007</v>
      </c>
      <c r="E331" s="111" t="s">
        <v>34</v>
      </c>
      <c r="F331" s="458"/>
      <c r="G331" s="111" t="s">
        <v>198</v>
      </c>
      <c r="H331" s="497"/>
      <c r="I331" s="186" t="str">
        <f t="shared" si="4"/>
        <v>10,24</v>
      </c>
    </row>
    <row r="332" spans="1:9" ht="19.5" hidden="1" thickBot="1" x14ac:dyDescent="0.3">
      <c r="A332" s="455"/>
      <c r="B332" s="108" t="s">
        <v>194</v>
      </c>
      <c r="C332" s="109" t="s">
        <v>116</v>
      </c>
      <c r="D332" s="110">
        <f>0.55+0.05</f>
        <v>0.60000000000000009</v>
      </c>
      <c r="E332" s="111" t="s">
        <v>34</v>
      </c>
      <c r="F332" s="499"/>
      <c r="G332" s="111" t="s">
        <v>198</v>
      </c>
      <c r="H332" s="497"/>
      <c r="I332" s="186" t="str">
        <f t="shared" si="4"/>
        <v>10,24</v>
      </c>
    </row>
    <row r="333" spans="1:9" ht="19.5" hidden="1" thickBot="1" x14ac:dyDescent="0.3">
      <c r="A333" s="455"/>
      <c r="B333" s="108" t="s">
        <v>194</v>
      </c>
      <c r="C333" s="109" t="s">
        <v>19</v>
      </c>
      <c r="D333" s="110">
        <v>0.1</v>
      </c>
      <c r="E333" s="111" t="s">
        <v>45</v>
      </c>
      <c r="F333" s="498" t="s">
        <v>178</v>
      </c>
      <c r="G333" s="111" t="s">
        <v>198</v>
      </c>
      <c r="H333" s="497"/>
      <c r="I333" s="186" t="str">
        <f t="shared" si="4"/>
        <v>10,24</v>
      </c>
    </row>
    <row r="334" spans="1:9" ht="19.5" hidden="1" thickBot="1" x14ac:dyDescent="0.3">
      <c r="A334" s="455"/>
      <c r="B334" s="164" t="s">
        <v>194</v>
      </c>
      <c r="C334" s="165" t="s">
        <v>17</v>
      </c>
      <c r="D334" s="166">
        <v>0.5</v>
      </c>
      <c r="E334" s="167" t="s">
        <v>45</v>
      </c>
      <c r="F334" s="458"/>
      <c r="G334" s="167" t="s">
        <v>198</v>
      </c>
      <c r="H334" s="497"/>
      <c r="I334" s="200" t="str">
        <f t="shared" si="4"/>
        <v>10,24</v>
      </c>
    </row>
    <row r="335" spans="1:9" ht="19.5" hidden="1" thickBot="1" x14ac:dyDescent="0.3">
      <c r="A335" s="460">
        <f t="shared" si="7"/>
        <v>82</v>
      </c>
      <c r="B335" s="91" t="s">
        <v>199</v>
      </c>
      <c r="C335" s="92" t="s">
        <v>18</v>
      </c>
      <c r="D335" s="93">
        <v>3.9169999999999998</v>
      </c>
      <c r="E335" s="94" t="s">
        <v>13</v>
      </c>
      <c r="F335" s="462" t="s">
        <v>201</v>
      </c>
      <c r="G335" s="94" t="s">
        <v>200</v>
      </c>
      <c r="H335" s="132"/>
      <c r="I335" s="183" t="str">
        <f t="shared" si="4"/>
        <v>10,24</v>
      </c>
    </row>
    <row r="336" spans="1:9" ht="19.5" hidden="1" thickBot="1" x14ac:dyDescent="0.3">
      <c r="A336" s="461"/>
      <c r="B336" s="175" t="s">
        <v>199</v>
      </c>
      <c r="C336" s="134" t="s">
        <v>19</v>
      </c>
      <c r="D336" s="135">
        <v>7.31</v>
      </c>
      <c r="E336" s="136" t="s">
        <v>13</v>
      </c>
      <c r="F336" s="463"/>
      <c r="G336" s="136" t="s">
        <v>200</v>
      </c>
      <c r="H336" s="137"/>
      <c r="I336" s="184" t="str">
        <f t="shared" si="4"/>
        <v>10,24</v>
      </c>
    </row>
    <row r="337" spans="1:9" ht="19.5" hidden="1" thickBot="1" x14ac:dyDescent="0.3">
      <c r="A337" s="473"/>
      <c r="B337" s="95" t="s">
        <v>199</v>
      </c>
      <c r="C337" s="96" t="s">
        <v>17</v>
      </c>
      <c r="D337" s="97">
        <v>3.492</v>
      </c>
      <c r="E337" s="98" t="s">
        <v>13</v>
      </c>
      <c r="F337" s="474"/>
      <c r="G337" s="98" t="s">
        <v>200</v>
      </c>
      <c r="H337" s="129"/>
      <c r="I337" s="182" t="str">
        <f t="shared" si="4"/>
        <v>10,24</v>
      </c>
    </row>
    <row r="338" spans="1:9" ht="19.5" hidden="1" thickBot="1" x14ac:dyDescent="0.3">
      <c r="A338" s="454">
        <f t="shared" si="7"/>
        <v>83</v>
      </c>
      <c r="B338" s="102" t="s">
        <v>199</v>
      </c>
      <c r="C338" s="103" t="s">
        <v>18</v>
      </c>
      <c r="D338" s="104">
        <v>4.4029999999999996</v>
      </c>
      <c r="E338" s="105" t="s">
        <v>13</v>
      </c>
      <c r="F338" s="106"/>
      <c r="G338" s="105" t="s">
        <v>205</v>
      </c>
      <c r="H338" s="107"/>
      <c r="I338" s="185" t="str">
        <f t="shared" si="4"/>
        <v>10,24</v>
      </c>
    </row>
    <row r="339" spans="1:9" ht="19.5" hidden="1" thickBot="1" x14ac:dyDescent="0.3">
      <c r="A339" s="455"/>
      <c r="B339" s="108" t="s">
        <v>199</v>
      </c>
      <c r="C339" s="109" t="s">
        <v>19</v>
      </c>
      <c r="D339" s="110">
        <v>8.5009999999999994</v>
      </c>
      <c r="E339" s="111" t="s">
        <v>13</v>
      </c>
      <c r="F339" s="112"/>
      <c r="G339" s="111" t="s">
        <v>205</v>
      </c>
      <c r="H339" s="113"/>
      <c r="I339" s="186" t="str">
        <f t="shared" si="4"/>
        <v>10,24</v>
      </c>
    </row>
    <row r="340" spans="1:9" ht="19.5" hidden="1" thickBot="1" x14ac:dyDescent="0.3">
      <c r="A340" s="456"/>
      <c r="B340" s="114" t="s">
        <v>199</v>
      </c>
      <c r="C340" s="115" t="s">
        <v>17</v>
      </c>
      <c r="D340" s="116">
        <v>4.1020000000000003</v>
      </c>
      <c r="E340" s="117" t="s">
        <v>13</v>
      </c>
      <c r="F340" s="118"/>
      <c r="G340" s="117" t="s">
        <v>205</v>
      </c>
      <c r="H340" s="119"/>
      <c r="I340" s="181" t="str">
        <f t="shared" si="4"/>
        <v>10,24</v>
      </c>
    </row>
    <row r="341" spans="1:9" ht="19.5" hidden="1" thickBot="1" x14ac:dyDescent="0.3">
      <c r="A341" s="460">
        <f t="shared" si="7"/>
        <v>84</v>
      </c>
      <c r="B341" s="91" t="s">
        <v>199</v>
      </c>
      <c r="C341" s="92" t="s">
        <v>18</v>
      </c>
      <c r="D341" s="93">
        <v>1.6</v>
      </c>
      <c r="E341" s="94" t="s">
        <v>34</v>
      </c>
      <c r="F341" s="462" t="s">
        <v>151</v>
      </c>
      <c r="G341" s="194" t="s">
        <v>205</v>
      </c>
      <c r="H341" s="431" t="s">
        <v>63</v>
      </c>
      <c r="I341" s="183" t="str">
        <f t="shared" si="4"/>
        <v>10,24</v>
      </c>
    </row>
    <row r="342" spans="1:9" ht="19.5" hidden="1" thickBot="1" x14ac:dyDescent="0.3">
      <c r="A342" s="461"/>
      <c r="B342" s="175" t="s">
        <v>199</v>
      </c>
      <c r="C342" s="134" t="s">
        <v>19</v>
      </c>
      <c r="D342" s="135">
        <v>1.3</v>
      </c>
      <c r="E342" s="136" t="s">
        <v>34</v>
      </c>
      <c r="F342" s="463"/>
      <c r="G342" s="195" t="s">
        <v>205</v>
      </c>
      <c r="H342" s="432"/>
      <c r="I342" s="184" t="str">
        <f t="shared" si="4"/>
        <v>10,24</v>
      </c>
    </row>
    <row r="343" spans="1:9" ht="19.5" hidden="1" thickBot="1" x14ac:dyDescent="0.3">
      <c r="A343" s="461"/>
      <c r="B343" s="95" t="s">
        <v>199</v>
      </c>
      <c r="C343" s="96" t="s">
        <v>17</v>
      </c>
      <c r="D343" s="97">
        <v>4.8</v>
      </c>
      <c r="E343" s="98" t="s">
        <v>34</v>
      </c>
      <c r="F343" s="474"/>
      <c r="G343" s="196" t="s">
        <v>205</v>
      </c>
      <c r="H343" s="432"/>
      <c r="I343" s="182" t="str">
        <f t="shared" si="4"/>
        <v>10,24</v>
      </c>
    </row>
    <row r="344" spans="1:9" ht="19.5" hidden="1" thickBot="1" x14ac:dyDescent="0.3">
      <c r="A344" s="461"/>
      <c r="B344" s="91" t="s">
        <v>199</v>
      </c>
      <c r="C344" s="92" t="s">
        <v>18</v>
      </c>
      <c r="D344" s="93">
        <v>0.18</v>
      </c>
      <c r="E344" s="94" t="s">
        <v>45</v>
      </c>
      <c r="F344" s="462" t="s">
        <v>202</v>
      </c>
      <c r="G344" s="194" t="s">
        <v>205</v>
      </c>
      <c r="H344" s="432"/>
      <c r="I344" s="183" t="str">
        <f t="shared" si="4"/>
        <v>10,24</v>
      </c>
    </row>
    <row r="345" spans="1:9" ht="19.5" hidden="1" thickBot="1" x14ac:dyDescent="0.3">
      <c r="A345" s="461"/>
      <c r="B345" s="175" t="s">
        <v>199</v>
      </c>
      <c r="C345" s="134" t="s">
        <v>19</v>
      </c>
      <c r="D345" s="135">
        <v>0.18</v>
      </c>
      <c r="E345" s="136" t="s">
        <v>45</v>
      </c>
      <c r="F345" s="463"/>
      <c r="G345" s="195" t="s">
        <v>205</v>
      </c>
      <c r="H345" s="432"/>
      <c r="I345" s="184" t="str">
        <f t="shared" si="4"/>
        <v>10,24</v>
      </c>
    </row>
    <row r="346" spans="1:9" ht="19.5" hidden="1" thickBot="1" x14ac:dyDescent="0.3">
      <c r="A346" s="473"/>
      <c r="B346" s="95" t="s">
        <v>199</v>
      </c>
      <c r="C346" s="96" t="s">
        <v>17</v>
      </c>
      <c r="D346" s="97">
        <v>0.27</v>
      </c>
      <c r="E346" s="98" t="s">
        <v>45</v>
      </c>
      <c r="F346" s="474"/>
      <c r="G346" s="196" t="s">
        <v>205</v>
      </c>
      <c r="H346" s="433"/>
      <c r="I346" s="182" t="str">
        <f t="shared" si="4"/>
        <v>10,24</v>
      </c>
    </row>
    <row r="347" spans="1:9" ht="19.5" hidden="1" thickBot="1" x14ac:dyDescent="0.3">
      <c r="A347" s="454">
        <f t="shared" si="7"/>
        <v>85</v>
      </c>
      <c r="B347" s="102" t="s">
        <v>203</v>
      </c>
      <c r="C347" s="103" t="s">
        <v>18</v>
      </c>
      <c r="D347" s="104">
        <v>3.2829999999999999</v>
      </c>
      <c r="E347" s="105" t="s">
        <v>13</v>
      </c>
      <c r="F347" s="457" t="s">
        <v>201</v>
      </c>
      <c r="G347" s="105" t="s">
        <v>204</v>
      </c>
      <c r="H347" s="107"/>
      <c r="I347" s="185" t="str">
        <f t="shared" si="4"/>
        <v>11,24</v>
      </c>
    </row>
    <row r="348" spans="1:9" ht="19.5" hidden="1" thickBot="1" x14ac:dyDescent="0.3">
      <c r="A348" s="455"/>
      <c r="B348" s="108" t="s">
        <v>203</v>
      </c>
      <c r="C348" s="109" t="s">
        <v>19</v>
      </c>
      <c r="D348" s="110">
        <v>4.8360000000000003</v>
      </c>
      <c r="E348" s="111" t="s">
        <v>13</v>
      </c>
      <c r="F348" s="458"/>
      <c r="G348" s="111" t="s">
        <v>204</v>
      </c>
      <c r="H348" s="113"/>
      <c r="I348" s="186" t="str">
        <f t="shared" si="4"/>
        <v>11,24</v>
      </c>
    </row>
    <row r="349" spans="1:9" ht="19.5" hidden="1" thickBot="1" x14ac:dyDescent="0.3">
      <c r="A349" s="455"/>
      <c r="B349" s="108" t="s">
        <v>203</v>
      </c>
      <c r="C349" s="109" t="s">
        <v>116</v>
      </c>
      <c r="D349" s="110">
        <v>1.357</v>
      </c>
      <c r="E349" s="111" t="s">
        <v>13</v>
      </c>
      <c r="F349" s="458"/>
      <c r="G349" s="111" t="s">
        <v>204</v>
      </c>
      <c r="H349" s="113"/>
      <c r="I349" s="186" t="str">
        <f t="shared" si="4"/>
        <v>11,24</v>
      </c>
    </row>
    <row r="350" spans="1:9" ht="19.5" hidden="1" thickBot="1" x14ac:dyDescent="0.3">
      <c r="A350" s="456"/>
      <c r="B350" s="114" t="s">
        <v>203</v>
      </c>
      <c r="C350" s="115" t="s">
        <v>17</v>
      </c>
      <c r="D350" s="116">
        <v>5.3650000000000002</v>
      </c>
      <c r="E350" s="117" t="s">
        <v>13</v>
      </c>
      <c r="F350" s="459"/>
      <c r="G350" s="117" t="s">
        <v>204</v>
      </c>
      <c r="H350" s="119"/>
      <c r="I350" s="181" t="str">
        <f t="shared" si="4"/>
        <v>11,24</v>
      </c>
    </row>
    <row r="351" spans="1:9" ht="19.5" hidden="1" thickBot="1" x14ac:dyDescent="0.3">
      <c r="A351" s="460">
        <f t="shared" si="7"/>
        <v>86</v>
      </c>
      <c r="B351" s="138" t="s">
        <v>203</v>
      </c>
      <c r="C351" s="92" t="s">
        <v>18</v>
      </c>
      <c r="D351" s="93">
        <v>1.6</v>
      </c>
      <c r="E351" s="94" t="s">
        <v>34</v>
      </c>
      <c r="F351" s="131"/>
      <c r="G351" s="94" t="s">
        <v>206</v>
      </c>
      <c r="H351" s="493" t="s">
        <v>63</v>
      </c>
      <c r="I351" s="183" t="str">
        <f t="shared" si="4"/>
        <v>11,24</v>
      </c>
    </row>
    <row r="352" spans="1:9" ht="19.5" hidden="1" thickBot="1" x14ac:dyDescent="0.3">
      <c r="A352" s="461"/>
      <c r="B352" s="140" t="s">
        <v>203</v>
      </c>
      <c r="C352" s="134" t="s">
        <v>19</v>
      </c>
      <c r="D352" s="135">
        <v>1.3</v>
      </c>
      <c r="E352" s="136" t="s">
        <v>34</v>
      </c>
      <c r="F352" s="171"/>
      <c r="G352" s="136" t="s">
        <v>206</v>
      </c>
      <c r="H352" s="494"/>
      <c r="I352" s="184" t="str">
        <f t="shared" si="4"/>
        <v>11,24</v>
      </c>
    </row>
    <row r="353" spans="1:9" ht="19.5" hidden="1" thickBot="1" x14ac:dyDescent="0.3">
      <c r="A353" s="461"/>
      <c r="B353" s="140" t="s">
        <v>203</v>
      </c>
      <c r="C353" s="134" t="s">
        <v>116</v>
      </c>
      <c r="D353" s="135">
        <v>0.6</v>
      </c>
      <c r="E353" s="136" t="s">
        <v>34</v>
      </c>
      <c r="F353" s="171"/>
      <c r="G353" s="136" t="s">
        <v>206</v>
      </c>
      <c r="H353" s="494"/>
      <c r="I353" s="184" t="str">
        <f t="shared" si="4"/>
        <v>11,24</v>
      </c>
    </row>
    <row r="354" spans="1:9" ht="19.5" hidden="1" thickBot="1" x14ac:dyDescent="0.3">
      <c r="A354" s="461"/>
      <c r="B354" s="139" t="s">
        <v>203</v>
      </c>
      <c r="C354" s="96" t="s">
        <v>17</v>
      </c>
      <c r="D354" s="97">
        <v>3.5</v>
      </c>
      <c r="E354" s="98" t="s">
        <v>34</v>
      </c>
      <c r="F354" s="133"/>
      <c r="G354" s="98" t="s">
        <v>206</v>
      </c>
      <c r="H354" s="494"/>
      <c r="I354" s="182" t="str">
        <f t="shared" si="4"/>
        <v>11,24</v>
      </c>
    </row>
    <row r="355" spans="1:9" ht="19.5" hidden="1" thickBot="1" x14ac:dyDescent="0.3">
      <c r="A355" s="461"/>
      <c r="B355" s="138" t="s">
        <v>203</v>
      </c>
      <c r="C355" s="92" t="s">
        <v>18</v>
      </c>
      <c r="D355" s="93">
        <v>0.59399999999999997</v>
      </c>
      <c r="E355" s="94" t="s">
        <v>45</v>
      </c>
      <c r="F355" s="131"/>
      <c r="G355" s="94" t="s">
        <v>206</v>
      </c>
      <c r="H355" s="494"/>
      <c r="I355" s="183" t="str">
        <f t="shared" si="4"/>
        <v>11,24</v>
      </c>
    </row>
    <row r="356" spans="1:9" ht="19.5" hidden="1" thickBot="1" x14ac:dyDescent="0.3">
      <c r="A356" s="461"/>
      <c r="B356" s="140" t="s">
        <v>203</v>
      </c>
      <c r="C356" s="134" t="s">
        <v>19</v>
      </c>
      <c r="D356" s="135">
        <v>0.18</v>
      </c>
      <c r="E356" s="136" t="s">
        <v>45</v>
      </c>
      <c r="F356" s="171"/>
      <c r="G356" s="136" t="s">
        <v>206</v>
      </c>
      <c r="H356" s="494"/>
      <c r="I356" s="184" t="str">
        <f t="shared" si="4"/>
        <v>11,24</v>
      </c>
    </row>
    <row r="357" spans="1:9" ht="19.5" hidden="1" thickBot="1" x14ac:dyDescent="0.3">
      <c r="A357" s="473"/>
      <c r="B357" s="139" t="s">
        <v>203</v>
      </c>
      <c r="C357" s="96" t="s">
        <v>17</v>
      </c>
      <c r="D357" s="97">
        <v>0.57599999999999996</v>
      </c>
      <c r="E357" s="98" t="s">
        <v>45</v>
      </c>
      <c r="F357" s="133"/>
      <c r="G357" s="98" t="s">
        <v>206</v>
      </c>
      <c r="H357" s="495"/>
      <c r="I357" s="182" t="str">
        <f t="shared" si="4"/>
        <v>11,24</v>
      </c>
    </row>
    <row r="358" spans="1:9" ht="19.5" hidden="1" thickBot="1" x14ac:dyDescent="0.3">
      <c r="A358" s="454">
        <f t="shared" si="7"/>
        <v>87</v>
      </c>
      <c r="B358" s="102" t="s">
        <v>207</v>
      </c>
      <c r="C358" s="103" t="s">
        <v>18</v>
      </c>
      <c r="D358" s="104">
        <v>5.66</v>
      </c>
      <c r="E358" s="105" t="s">
        <v>13</v>
      </c>
      <c r="F358" s="457" t="s">
        <v>209</v>
      </c>
      <c r="G358" s="105" t="s">
        <v>208</v>
      </c>
      <c r="H358" s="107"/>
      <c r="I358" s="185" t="str">
        <f t="shared" si="4"/>
        <v>11,24</v>
      </c>
    </row>
    <row r="359" spans="1:9" ht="19.5" hidden="1" thickBot="1" x14ac:dyDescent="0.3">
      <c r="A359" s="455"/>
      <c r="B359" s="108" t="s">
        <v>207</v>
      </c>
      <c r="C359" s="109" t="s">
        <v>19</v>
      </c>
      <c r="D359" s="110">
        <v>3.3809999999999998</v>
      </c>
      <c r="E359" s="111" t="s">
        <v>13</v>
      </c>
      <c r="F359" s="458"/>
      <c r="G359" s="111" t="s">
        <v>208</v>
      </c>
      <c r="H359" s="113"/>
      <c r="I359" s="186" t="str">
        <f t="shared" si="4"/>
        <v>11,24</v>
      </c>
    </row>
    <row r="360" spans="1:9" ht="19.5" hidden="1" thickBot="1" x14ac:dyDescent="0.3">
      <c r="A360" s="455"/>
      <c r="B360" s="108" t="s">
        <v>207</v>
      </c>
      <c r="C360" s="109" t="s">
        <v>116</v>
      </c>
      <c r="D360" s="110">
        <v>1.9079999999999999</v>
      </c>
      <c r="E360" s="111" t="s">
        <v>13</v>
      </c>
      <c r="F360" s="458"/>
      <c r="G360" s="111" t="s">
        <v>208</v>
      </c>
      <c r="H360" s="113"/>
      <c r="I360" s="186" t="str">
        <f t="shared" si="4"/>
        <v>11,24</v>
      </c>
    </row>
    <row r="361" spans="1:9" ht="19.5" hidden="1" thickBot="1" x14ac:dyDescent="0.3">
      <c r="A361" s="456"/>
      <c r="B361" s="114" t="s">
        <v>207</v>
      </c>
      <c r="C361" s="115" t="s">
        <v>17</v>
      </c>
      <c r="D361" s="116">
        <v>3.0619999999999998</v>
      </c>
      <c r="E361" s="117" t="s">
        <v>13</v>
      </c>
      <c r="F361" s="459"/>
      <c r="G361" s="117" t="s">
        <v>208</v>
      </c>
      <c r="H361" s="119"/>
      <c r="I361" s="181" t="str">
        <f t="shared" si="4"/>
        <v>11,24</v>
      </c>
    </row>
    <row r="362" spans="1:9" ht="19.5" hidden="1" thickBot="1" x14ac:dyDescent="0.3">
      <c r="A362" s="460">
        <f>MAX(A361,A360,A359,A358,A357,A356,A355,A354,A353,A352,A351,A350,A349,A348)+1</f>
        <v>88</v>
      </c>
      <c r="B362" s="198" t="s">
        <v>207</v>
      </c>
      <c r="C362" s="92" t="s">
        <v>18</v>
      </c>
      <c r="D362" s="93">
        <v>3.0049999999999999</v>
      </c>
      <c r="E362" s="94" t="s">
        <v>13</v>
      </c>
      <c r="F362" s="462" t="s">
        <v>68</v>
      </c>
      <c r="G362" s="94" t="s">
        <v>210</v>
      </c>
      <c r="H362" s="132"/>
      <c r="I362" s="183" t="str">
        <f t="shared" si="4"/>
        <v>11,24</v>
      </c>
    </row>
    <row r="363" spans="1:9" ht="19.5" hidden="1" thickBot="1" x14ac:dyDescent="0.3">
      <c r="A363" s="461"/>
      <c r="B363" s="151" t="s">
        <v>207</v>
      </c>
      <c r="C363" s="197" t="s">
        <v>19</v>
      </c>
      <c r="D363" s="135">
        <v>1.796</v>
      </c>
      <c r="E363" s="136" t="s">
        <v>13</v>
      </c>
      <c r="F363" s="463"/>
      <c r="G363" s="136" t="s">
        <v>210</v>
      </c>
      <c r="H363" s="137"/>
      <c r="I363" s="184" t="str">
        <f t="shared" si="4"/>
        <v>11,24</v>
      </c>
    </row>
    <row r="364" spans="1:9" ht="19.5" hidden="1" thickBot="1" x14ac:dyDescent="0.3">
      <c r="A364" s="461"/>
      <c r="B364" s="153" t="s">
        <v>207</v>
      </c>
      <c r="C364" s="199" t="s">
        <v>17</v>
      </c>
      <c r="D364" s="97">
        <v>1.623</v>
      </c>
      <c r="E364" s="98" t="s">
        <v>13</v>
      </c>
      <c r="F364" s="474"/>
      <c r="G364" s="98" t="s">
        <v>210</v>
      </c>
      <c r="H364" s="129"/>
      <c r="I364" s="182" t="str">
        <f t="shared" si="4"/>
        <v>11,24</v>
      </c>
    </row>
    <row r="365" spans="1:9" ht="19.5" hidden="1" thickBot="1" x14ac:dyDescent="0.3">
      <c r="A365" s="461"/>
      <c r="B365" s="175" t="s">
        <v>207</v>
      </c>
      <c r="C365" s="134" t="s">
        <v>18</v>
      </c>
      <c r="D365" s="135">
        <f>1+0.05</f>
        <v>1.05</v>
      </c>
      <c r="E365" s="136" t="s">
        <v>34</v>
      </c>
      <c r="F365" s="462" t="s">
        <v>211</v>
      </c>
      <c r="G365" s="136" t="s">
        <v>210</v>
      </c>
      <c r="H365" s="137"/>
      <c r="I365" s="184" t="str">
        <f t="shared" si="4"/>
        <v>11,24</v>
      </c>
    </row>
    <row r="366" spans="1:9" ht="19.5" hidden="1" thickBot="1" x14ac:dyDescent="0.3">
      <c r="A366" s="461"/>
      <c r="B366" s="175" t="s">
        <v>207</v>
      </c>
      <c r="C366" s="134" t="s">
        <v>19</v>
      </c>
      <c r="D366" s="135">
        <f>1.4+0.13</f>
        <v>1.5299999999999998</v>
      </c>
      <c r="E366" s="136" t="s">
        <v>34</v>
      </c>
      <c r="F366" s="463"/>
      <c r="G366" s="136" t="s">
        <v>210</v>
      </c>
      <c r="H366" s="137"/>
      <c r="I366" s="184" t="str">
        <f t="shared" si="4"/>
        <v>11,24</v>
      </c>
    </row>
    <row r="367" spans="1:9" ht="19.5" hidden="1" thickBot="1" x14ac:dyDescent="0.3">
      <c r="A367" s="461"/>
      <c r="B367" s="175" t="s">
        <v>207</v>
      </c>
      <c r="C367" s="134" t="s">
        <v>116</v>
      </c>
      <c r="D367" s="135">
        <f>0.7+0.07</f>
        <v>0.77</v>
      </c>
      <c r="E367" s="136" t="s">
        <v>34</v>
      </c>
      <c r="F367" s="463"/>
      <c r="G367" s="136" t="s">
        <v>210</v>
      </c>
      <c r="H367" s="137"/>
      <c r="I367" s="184" t="str">
        <f t="shared" si="4"/>
        <v>11,24</v>
      </c>
    </row>
    <row r="368" spans="1:9" ht="19.5" hidden="1" thickBot="1" x14ac:dyDescent="0.3">
      <c r="A368" s="461"/>
      <c r="B368" s="175" t="s">
        <v>207</v>
      </c>
      <c r="C368" s="134" t="s">
        <v>17</v>
      </c>
      <c r="D368" s="135">
        <f>1.4+0.45</f>
        <v>1.8499999999999999</v>
      </c>
      <c r="E368" s="136" t="s">
        <v>34</v>
      </c>
      <c r="F368" s="463"/>
      <c r="G368" s="136" t="s">
        <v>210</v>
      </c>
      <c r="H368" s="137"/>
      <c r="I368" s="184" t="str">
        <f t="shared" si="4"/>
        <v>11,24</v>
      </c>
    </row>
    <row r="369" spans="1:9" ht="19.5" hidden="1" thickBot="1" x14ac:dyDescent="0.3">
      <c r="A369" s="461"/>
      <c r="B369" s="175" t="s">
        <v>207</v>
      </c>
      <c r="C369" s="134" t="s">
        <v>18</v>
      </c>
      <c r="D369" s="135">
        <v>0.30599999999999999</v>
      </c>
      <c r="E369" s="136" t="s">
        <v>45</v>
      </c>
      <c r="F369" s="463"/>
      <c r="G369" s="136" t="s">
        <v>210</v>
      </c>
      <c r="H369" s="137"/>
      <c r="I369" s="184" t="str">
        <f t="shared" si="4"/>
        <v>11,24</v>
      </c>
    </row>
    <row r="370" spans="1:9" ht="19.5" hidden="1" thickBot="1" x14ac:dyDescent="0.3">
      <c r="A370" s="461"/>
      <c r="B370" s="175" t="s">
        <v>207</v>
      </c>
      <c r="C370" s="134" t="s">
        <v>19</v>
      </c>
      <c r="D370" s="135">
        <v>5.3999999999999999E-2</v>
      </c>
      <c r="E370" s="136" t="s">
        <v>45</v>
      </c>
      <c r="F370" s="463"/>
      <c r="G370" s="136" t="s">
        <v>210</v>
      </c>
      <c r="H370" s="137"/>
      <c r="I370" s="184" t="str">
        <f t="shared" si="4"/>
        <v>11,24</v>
      </c>
    </row>
    <row r="371" spans="1:9" ht="19.5" hidden="1" thickBot="1" x14ac:dyDescent="0.3">
      <c r="A371" s="473"/>
      <c r="B371" s="95" t="s">
        <v>207</v>
      </c>
      <c r="C371" s="96" t="s">
        <v>17</v>
      </c>
      <c r="D371" s="97">
        <v>2.214</v>
      </c>
      <c r="E371" s="98" t="s">
        <v>45</v>
      </c>
      <c r="F371" s="474"/>
      <c r="G371" s="98" t="s">
        <v>210</v>
      </c>
      <c r="H371" s="129"/>
      <c r="I371" s="182" t="str">
        <f t="shared" si="4"/>
        <v>11,24</v>
      </c>
    </row>
    <row r="372" spans="1:9" ht="19.5" hidden="1" thickBot="1" x14ac:dyDescent="0.3">
      <c r="A372" s="454">
        <f>MAX(A371,A370,A369,A368,A367,A366,A365,A364,A363,A362,A361,A360,A359,A358)+1</f>
        <v>89</v>
      </c>
      <c r="B372" s="102" t="s">
        <v>212</v>
      </c>
      <c r="C372" s="103" t="s">
        <v>18</v>
      </c>
      <c r="D372" s="104">
        <v>1.52</v>
      </c>
      <c r="E372" s="105" t="s">
        <v>13</v>
      </c>
      <c r="F372" s="457" t="s">
        <v>214</v>
      </c>
      <c r="G372" s="105" t="s">
        <v>213</v>
      </c>
      <c r="H372" s="107"/>
      <c r="I372" s="107" t="str">
        <f t="shared" si="4"/>
        <v>11,24</v>
      </c>
    </row>
    <row r="373" spans="1:9" ht="19.5" hidden="1" thickBot="1" x14ac:dyDescent="0.3">
      <c r="A373" s="455"/>
      <c r="B373" s="108" t="s">
        <v>212</v>
      </c>
      <c r="C373" s="109" t="s">
        <v>19</v>
      </c>
      <c r="D373" s="110">
        <v>4.7610000000000001</v>
      </c>
      <c r="E373" s="111" t="s">
        <v>13</v>
      </c>
      <c r="F373" s="458"/>
      <c r="G373" s="111" t="s">
        <v>213</v>
      </c>
      <c r="H373" s="113"/>
      <c r="I373" s="113" t="str">
        <f t="shared" si="4"/>
        <v>11,24</v>
      </c>
    </row>
    <row r="374" spans="1:9" ht="19.5" hidden="1" thickBot="1" x14ac:dyDescent="0.3">
      <c r="A374" s="456"/>
      <c r="B374" s="114" t="s">
        <v>212</v>
      </c>
      <c r="C374" s="115" t="s">
        <v>17</v>
      </c>
      <c r="D374" s="116">
        <v>9.2210000000000001</v>
      </c>
      <c r="E374" s="117" t="s">
        <v>13</v>
      </c>
      <c r="F374" s="459"/>
      <c r="G374" s="117" t="s">
        <v>213</v>
      </c>
      <c r="H374" s="119"/>
      <c r="I374" s="119" t="str">
        <f t="shared" si="4"/>
        <v>11,24</v>
      </c>
    </row>
    <row r="375" spans="1:9" ht="19.5" hidden="1" thickBot="1" x14ac:dyDescent="0.3">
      <c r="A375" s="461">
        <f t="shared" ref="A375:A393" si="8">MAX(A374,A373,A372,A371,A370,A369,A368,A367,A366,A365,A364,A363,A362,A361)+1</f>
        <v>90</v>
      </c>
      <c r="B375" s="175" t="s">
        <v>212</v>
      </c>
      <c r="C375" s="134" t="s">
        <v>18</v>
      </c>
      <c r="D375" s="135">
        <v>0.73099999999999998</v>
      </c>
      <c r="E375" s="136" t="s">
        <v>13</v>
      </c>
      <c r="F375" s="462" t="s">
        <v>108</v>
      </c>
      <c r="G375" s="136" t="s">
        <v>215</v>
      </c>
      <c r="H375" s="137"/>
      <c r="I375" s="137" t="str">
        <f t="shared" si="4"/>
        <v>11,24</v>
      </c>
    </row>
    <row r="376" spans="1:9" ht="19.5" hidden="1" thickBot="1" x14ac:dyDescent="0.3">
      <c r="A376" s="461"/>
      <c r="B376" s="175" t="s">
        <v>212</v>
      </c>
      <c r="C376" s="134" t="s">
        <v>19</v>
      </c>
      <c r="D376" s="135">
        <v>2.2890000000000001</v>
      </c>
      <c r="E376" s="136" t="s">
        <v>13</v>
      </c>
      <c r="F376" s="463"/>
      <c r="G376" s="136" t="s">
        <v>215</v>
      </c>
      <c r="H376" s="137"/>
      <c r="I376" s="137" t="str">
        <f t="shared" si="4"/>
        <v>11,24</v>
      </c>
    </row>
    <row r="377" spans="1:9" ht="19.5" hidden="1" thickBot="1" x14ac:dyDescent="0.3">
      <c r="A377" s="461"/>
      <c r="B377" s="95" t="s">
        <v>212</v>
      </c>
      <c r="C377" s="96" t="s">
        <v>17</v>
      </c>
      <c r="D377" s="97">
        <v>4.4290000000000003</v>
      </c>
      <c r="E377" s="98" t="s">
        <v>13</v>
      </c>
      <c r="F377" s="474"/>
      <c r="G377" s="98" t="s">
        <v>215</v>
      </c>
      <c r="H377" s="129"/>
      <c r="I377" s="129" t="str">
        <f t="shared" si="4"/>
        <v>11,24</v>
      </c>
    </row>
    <row r="378" spans="1:9" ht="19.5" hidden="1" thickBot="1" x14ac:dyDescent="0.3">
      <c r="A378" s="461"/>
      <c r="B378" s="175" t="s">
        <v>212</v>
      </c>
      <c r="C378" s="134" t="s">
        <v>18</v>
      </c>
      <c r="D378" s="135">
        <v>0.5</v>
      </c>
      <c r="E378" s="136" t="s">
        <v>34</v>
      </c>
      <c r="F378" s="462" t="s">
        <v>216</v>
      </c>
      <c r="G378" s="136" t="s">
        <v>215</v>
      </c>
      <c r="H378" s="137"/>
      <c r="I378" s="137" t="str">
        <f t="shared" si="4"/>
        <v>11,24</v>
      </c>
    </row>
    <row r="379" spans="1:9" ht="19.5" hidden="1" thickBot="1" x14ac:dyDescent="0.3">
      <c r="A379" s="461"/>
      <c r="B379" s="175" t="s">
        <v>212</v>
      </c>
      <c r="C379" s="134" t="s">
        <v>19</v>
      </c>
      <c r="D379" s="135">
        <v>0.2</v>
      </c>
      <c r="E379" s="136" t="s">
        <v>34</v>
      </c>
      <c r="F379" s="463"/>
      <c r="G379" s="136" t="s">
        <v>215</v>
      </c>
      <c r="H379" s="137"/>
      <c r="I379" s="137" t="str">
        <f t="shared" si="4"/>
        <v>11,24</v>
      </c>
    </row>
    <row r="380" spans="1:9" ht="19.5" hidden="1" thickBot="1" x14ac:dyDescent="0.3">
      <c r="A380" s="461"/>
      <c r="B380" s="175" t="s">
        <v>212</v>
      </c>
      <c r="C380" s="134" t="s">
        <v>116</v>
      </c>
      <c r="D380" s="135">
        <v>0.7</v>
      </c>
      <c r="E380" s="136" t="s">
        <v>34</v>
      </c>
      <c r="F380" s="463"/>
      <c r="G380" s="136" t="s">
        <v>215</v>
      </c>
      <c r="H380" s="137"/>
      <c r="I380" s="137" t="str">
        <f t="shared" si="4"/>
        <v>11,24</v>
      </c>
    </row>
    <row r="381" spans="1:9" ht="19.5" hidden="1" thickBot="1" x14ac:dyDescent="0.3">
      <c r="A381" s="461"/>
      <c r="B381" s="175" t="s">
        <v>212</v>
      </c>
      <c r="C381" s="134" t="s">
        <v>17</v>
      </c>
      <c r="D381" s="135">
        <v>2</v>
      </c>
      <c r="E381" s="136" t="s">
        <v>34</v>
      </c>
      <c r="F381" s="463"/>
      <c r="G381" s="136" t="s">
        <v>215</v>
      </c>
      <c r="H381" s="137"/>
      <c r="I381" s="137" t="str">
        <f t="shared" si="4"/>
        <v>11,24</v>
      </c>
    </row>
    <row r="382" spans="1:9" ht="19.5" hidden="1" thickBot="1" x14ac:dyDescent="0.3">
      <c r="A382" s="461"/>
      <c r="B382" s="175" t="s">
        <v>212</v>
      </c>
      <c r="C382" s="134" t="s">
        <v>18</v>
      </c>
      <c r="D382" s="135">
        <v>1.278</v>
      </c>
      <c r="E382" s="136" t="s">
        <v>45</v>
      </c>
      <c r="F382" s="463"/>
      <c r="G382" s="136" t="s">
        <v>215</v>
      </c>
      <c r="H382" s="137"/>
      <c r="I382" s="137" t="str">
        <f t="shared" si="4"/>
        <v>11,24</v>
      </c>
    </row>
    <row r="383" spans="1:9" ht="19.5" hidden="1" thickBot="1" x14ac:dyDescent="0.3">
      <c r="A383" s="461"/>
      <c r="B383" s="175" t="s">
        <v>212</v>
      </c>
      <c r="C383" s="134" t="s">
        <v>19</v>
      </c>
      <c r="D383" s="135">
        <v>0.30599999999999999</v>
      </c>
      <c r="E383" s="136" t="s">
        <v>45</v>
      </c>
      <c r="F383" s="463"/>
      <c r="G383" s="136" t="s">
        <v>215</v>
      </c>
      <c r="H383" s="137"/>
      <c r="I383" s="137" t="str">
        <f t="shared" si="4"/>
        <v>11,24</v>
      </c>
    </row>
    <row r="384" spans="1:9" ht="19.5" hidden="1" thickBot="1" x14ac:dyDescent="0.3">
      <c r="A384" s="461"/>
      <c r="B384" s="141" t="s">
        <v>212</v>
      </c>
      <c r="C384" s="142" t="s">
        <v>17</v>
      </c>
      <c r="D384" s="143">
        <v>1.3859999999999999</v>
      </c>
      <c r="E384" s="144" t="s">
        <v>45</v>
      </c>
      <c r="F384" s="463"/>
      <c r="G384" s="144" t="s">
        <v>215</v>
      </c>
      <c r="H384" s="145"/>
      <c r="I384" s="145" t="str">
        <f t="shared" si="4"/>
        <v>11,24</v>
      </c>
    </row>
    <row r="385" spans="1:9" ht="19.5" hidden="1" thickBot="1" x14ac:dyDescent="0.3">
      <c r="A385" s="454">
        <f t="shared" si="8"/>
        <v>91</v>
      </c>
      <c r="B385" s="102" t="s">
        <v>217</v>
      </c>
      <c r="C385" s="103" t="s">
        <v>18</v>
      </c>
      <c r="D385" s="104">
        <v>5.117</v>
      </c>
      <c r="E385" s="105" t="s">
        <v>13</v>
      </c>
      <c r="F385" s="457" t="s">
        <v>219</v>
      </c>
      <c r="G385" s="105" t="s">
        <v>218</v>
      </c>
      <c r="H385" s="107"/>
      <c r="I385" s="107" t="str">
        <f t="shared" si="4"/>
        <v>11,24</v>
      </c>
    </row>
    <row r="386" spans="1:9" ht="19.5" hidden="1" thickBot="1" x14ac:dyDescent="0.3">
      <c r="A386" s="455"/>
      <c r="B386" s="108" t="s">
        <v>217</v>
      </c>
      <c r="C386" s="109" t="s">
        <v>19</v>
      </c>
      <c r="D386" s="110">
        <v>3.6480000000000001</v>
      </c>
      <c r="E386" s="111" t="s">
        <v>13</v>
      </c>
      <c r="F386" s="458"/>
      <c r="G386" s="111" t="s">
        <v>218</v>
      </c>
      <c r="H386" s="113"/>
      <c r="I386" s="113" t="str">
        <f t="shared" si="4"/>
        <v>11,24</v>
      </c>
    </row>
    <row r="387" spans="1:9" ht="19.5" hidden="1" thickBot="1" x14ac:dyDescent="0.3">
      <c r="A387" s="455"/>
      <c r="B387" s="108" t="s">
        <v>217</v>
      </c>
      <c r="C387" s="109" t="s">
        <v>116</v>
      </c>
      <c r="D387" s="110">
        <v>1.7310000000000001</v>
      </c>
      <c r="E387" s="111" t="s">
        <v>13</v>
      </c>
      <c r="F387" s="458"/>
      <c r="G387" s="111" t="s">
        <v>218</v>
      </c>
      <c r="H387" s="113"/>
      <c r="I387" s="113" t="str">
        <f t="shared" si="4"/>
        <v>11,24</v>
      </c>
    </row>
    <row r="388" spans="1:9" ht="19.5" hidden="1" thickBot="1" x14ac:dyDescent="0.3">
      <c r="A388" s="456"/>
      <c r="B388" s="114" t="s">
        <v>217</v>
      </c>
      <c r="C388" s="115" t="s">
        <v>17</v>
      </c>
      <c r="D388" s="116">
        <v>3.1</v>
      </c>
      <c r="E388" s="117" t="s">
        <v>13</v>
      </c>
      <c r="F388" s="459"/>
      <c r="G388" s="117" t="s">
        <v>218</v>
      </c>
      <c r="H388" s="119"/>
      <c r="I388" s="119" t="str">
        <f t="shared" si="4"/>
        <v>11,24</v>
      </c>
    </row>
    <row r="389" spans="1:9" ht="19.5" hidden="1" thickBot="1" x14ac:dyDescent="0.3">
      <c r="A389" s="460">
        <f t="shared" si="8"/>
        <v>92</v>
      </c>
      <c r="B389" s="91" t="s">
        <v>217</v>
      </c>
      <c r="C389" s="92" t="s">
        <v>18</v>
      </c>
      <c r="D389" s="93">
        <v>5.726</v>
      </c>
      <c r="E389" s="94" t="s">
        <v>13</v>
      </c>
      <c r="F389" s="131"/>
      <c r="G389" s="94" t="s">
        <v>220</v>
      </c>
      <c r="H389" s="132"/>
      <c r="I389" s="132" t="str">
        <f t="shared" si="4"/>
        <v>11,24</v>
      </c>
    </row>
    <row r="390" spans="1:9" ht="19.5" hidden="1" thickBot="1" x14ac:dyDescent="0.3">
      <c r="A390" s="461"/>
      <c r="B390" s="175" t="s">
        <v>217</v>
      </c>
      <c r="C390" s="134" t="s">
        <v>19</v>
      </c>
      <c r="D390" s="135">
        <v>4.3049999999999997</v>
      </c>
      <c r="E390" s="136" t="s">
        <v>13</v>
      </c>
      <c r="F390" s="171"/>
      <c r="G390" s="136" t="s">
        <v>220</v>
      </c>
      <c r="H390" s="137"/>
      <c r="I390" s="137" t="str">
        <f t="shared" si="4"/>
        <v>11,24</v>
      </c>
    </row>
    <row r="391" spans="1:9" ht="19.5" hidden="1" thickBot="1" x14ac:dyDescent="0.3">
      <c r="A391" s="461"/>
      <c r="B391" s="175" t="s">
        <v>217</v>
      </c>
      <c r="C391" s="134" t="s">
        <v>116</v>
      </c>
      <c r="D391" s="135">
        <v>1.895</v>
      </c>
      <c r="E391" s="136" t="s">
        <v>13</v>
      </c>
      <c r="F391" s="171"/>
      <c r="G391" s="136" t="s">
        <v>220</v>
      </c>
      <c r="H391" s="137"/>
      <c r="I391" s="137" t="str">
        <f t="shared" si="4"/>
        <v>11,24</v>
      </c>
    </row>
    <row r="392" spans="1:9" ht="19.5" hidden="1" thickBot="1" x14ac:dyDescent="0.3">
      <c r="A392" s="473"/>
      <c r="B392" s="95" t="s">
        <v>217</v>
      </c>
      <c r="C392" s="96" t="s">
        <v>17</v>
      </c>
      <c r="D392" s="97">
        <v>4.8849999999999998</v>
      </c>
      <c r="E392" s="98" t="s">
        <v>13</v>
      </c>
      <c r="F392" s="133"/>
      <c r="G392" s="98" t="s">
        <v>220</v>
      </c>
      <c r="H392" s="129"/>
      <c r="I392" s="129" t="str">
        <f t="shared" si="4"/>
        <v>11,24</v>
      </c>
    </row>
    <row r="393" spans="1:9" ht="19.5" hidden="1" thickBot="1" x14ac:dyDescent="0.3">
      <c r="A393" s="454">
        <f t="shared" si="8"/>
        <v>93</v>
      </c>
      <c r="B393" s="102" t="s">
        <v>217</v>
      </c>
      <c r="C393" s="103" t="s">
        <v>18</v>
      </c>
      <c r="D393" s="104">
        <v>3.4430000000000001</v>
      </c>
      <c r="E393" s="105" t="s">
        <v>13</v>
      </c>
      <c r="F393" s="457" t="s">
        <v>76</v>
      </c>
      <c r="G393" s="105" t="s">
        <v>220</v>
      </c>
      <c r="H393" s="107"/>
      <c r="I393" s="107" t="str">
        <f t="shared" si="4"/>
        <v>11,24</v>
      </c>
    </row>
    <row r="394" spans="1:9" ht="19.5" hidden="1" thickBot="1" x14ac:dyDescent="0.3">
      <c r="A394" s="455"/>
      <c r="B394" s="108" t="s">
        <v>217</v>
      </c>
      <c r="C394" s="109" t="s">
        <v>19</v>
      </c>
      <c r="D394" s="110">
        <v>3.7280000000000002</v>
      </c>
      <c r="E394" s="111" t="s">
        <v>13</v>
      </c>
      <c r="F394" s="458"/>
      <c r="G394" s="111" t="s">
        <v>220</v>
      </c>
      <c r="H394" s="113"/>
      <c r="I394" s="113" t="str">
        <f t="shared" si="4"/>
        <v>11,24</v>
      </c>
    </row>
    <row r="395" spans="1:9" ht="19.5" hidden="1" thickBot="1" x14ac:dyDescent="0.3">
      <c r="A395" s="455"/>
      <c r="B395" s="114" t="s">
        <v>217</v>
      </c>
      <c r="C395" s="115" t="s">
        <v>17</v>
      </c>
      <c r="D395" s="116">
        <v>3.13</v>
      </c>
      <c r="E395" s="117" t="s">
        <v>13</v>
      </c>
      <c r="F395" s="459"/>
      <c r="G395" s="117" t="s">
        <v>220</v>
      </c>
      <c r="H395" s="119"/>
      <c r="I395" s="119" t="str">
        <f t="shared" si="4"/>
        <v>11,24</v>
      </c>
    </row>
    <row r="396" spans="1:9" ht="19.5" hidden="1" thickBot="1" x14ac:dyDescent="0.3">
      <c r="A396" s="455"/>
      <c r="B396" s="108" t="s">
        <v>217</v>
      </c>
      <c r="C396" s="109" t="s">
        <v>18</v>
      </c>
      <c r="D396" s="110">
        <v>0.7</v>
      </c>
      <c r="E396" s="111" t="s">
        <v>34</v>
      </c>
      <c r="F396" s="457" t="s">
        <v>221</v>
      </c>
      <c r="G396" s="111" t="s">
        <v>220</v>
      </c>
      <c r="H396" s="113"/>
      <c r="I396" s="113" t="str">
        <f t="shared" si="4"/>
        <v>11,24</v>
      </c>
    </row>
    <row r="397" spans="1:9" ht="19.5" hidden="1" thickBot="1" x14ac:dyDescent="0.3">
      <c r="A397" s="455"/>
      <c r="B397" s="108" t="s">
        <v>217</v>
      </c>
      <c r="C397" s="109" t="s">
        <v>19</v>
      </c>
      <c r="D397" s="110">
        <v>0.25</v>
      </c>
      <c r="E397" s="111" t="s">
        <v>34</v>
      </c>
      <c r="F397" s="458"/>
      <c r="G397" s="111" t="s">
        <v>220</v>
      </c>
      <c r="H397" s="113"/>
      <c r="I397" s="113" t="str">
        <f t="shared" si="4"/>
        <v>11,24</v>
      </c>
    </row>
    <row r="398" spans="1:9" ht="19.5" hidden="1" thickBot="1" x14ac:dyDescent="0.3">
      <c r="A398" s="455"/>
      <c r="B398" s="108" t="s">
        <v>217</v>
      </c>
      <c r="C398" s="109" t="s">
        <v>17</v>
      </c>
      <c r="D398" s="110">
        <v>1.5</v>
      </c>
      <c r="E398" s="111" t="s">
        <v>34</v>
      </c>
      <c r="F398" s="458"/>
      <c r="G398" s="111" t="s">
        <v>220</v>
      </c>
      <c r="H398" s="113"/>
      <c r="I398" s="113" t="str">
        <f t="shared" si="4"/>
        <v>11,24</v>
      </c>
    </row>
    <row r="399" spans="1:9" ht="19.5" hidden="1" thickBot="1" x14ac:dyDescent="0.3">
      <c r="A399" s="455"/>
      <c r="B399" s="201" t="s">
        <v>220</v>
      </c>
      <c r="C399" s="109" t="s">
        <v>116</v>
      </c>
      <c r="D399" s="110">
        <v>0.7</v>
      </c>
      <c r="E399" s="111" t="s">
        <v>34</v>
      </c>
      <c r="F399" s="458"/>
      <c r="G399" s="111" t="s">
        <v>220</v>
      </c>
      <c r="H399" s="202" t="s">
        <v>222</v>
      </c>
      <c r="I399" s="189" t="str">
        <f t="shared" si="4"/>
        <v>11,24</v>
      </c>
    </row>
    <row r="400" spans="1:9" ht="19.5" hidden="1" thickBot="1" x14ac:dyDescent="0.3">
      <c r="A400" s="455"/>
      <c r="B400" s="108" t="s">
        <v>217</v>
      </c>
      <c r="C400" s="109" t="s">
        <v>18</v>
      </c>
      <c r="D400" s="110">
        <v>0.216</v>
      </c>
      <c r="E400" s="111" t="s">
        <v>45</v>
      </c>
      <c r="F400" s="458"/>
      <c r="G400" s="111" t="s">
        <v>220</v>
      </c>
      <c r="H400" s="113"/>
      <c r="I400" s="113" t="str">
        <f t="shared" si="4"/>
        <v>11,24</v>
      </c>
    </row>
    <row r="401" spans="1:9" ht="19.5" hidden="1" thickBot="1" x14ac:dyDescent="0.3">
      <c r="A401" s="456"/>
      <c r="B401" s="114" t="s">
        <v>217</v>
      </c>
      <c r="C401" s="115" t="s">
        <v>19</v>
      </c>
      <c r="D401" s="116">
        <v>0.19800000000000001</v>
      </c>
      <c r="E401" s="117" t="s">
        <v>45</v>
      </c>
      <c r="F401" s="459"/>
      <c r="G401" s="117" t="s">
        <v>220</v>
      </c>
      <c r="H401" s="119"/>
      <c r="I401" s="119" t="str">
        <f t="shared" si="4"/>
        <v>11,24</v>
      </c>
    </row>
    <row r="402" spans="1:9" ht="19.5" hidden="1" thickBot="1" x14ac:dyDescent="0.3">
      <c r="A402" s="460">
        <f>MAX(A401,A400,A399,A398,A397,A396,A395,A394,A393,A392,A391,A390,A389,A388)+1</f>
        <v>94</v>
      </c>
      <c r="B402" s="91" t="s">
        <v>223</v>
      </c>
      <c r="C402" s="92" t="s">
        <v>18</v>
      </c>
      <c r="D402" s="93">
        <v>2.5289999999999999</v>
      </c>
      <c r="E402" s="94" t="s">
        <v>13</v>
      </c>
      <c r="F402" s="462" t="s">
        <v>225</v>
      </c>
      <c r="G402" s="94" t="s">
        <v>224</v>
      </c>
      <c r="H402" s="132"/>
      <c r="I402" s="132" t="str">
        <f t="shared" si="4"/>
        <v>11,24</v>
      </c>
    </row>
    <row r="403" spans="1:9" ht="19.5" hidden="1" thickBot="1" x14ac:dyDescent="0.3">
      <c r="A403" s="461"/>
      <c r="B403" s="175" t="s">
        <v>223</v>
      </c>
      <c r="C403" s="134" t="s">
        <v>19</v>
      </c>
      <c r="D403" s="135">
        <v>5.7489999999999997</v>
      </c>
      <c r="E403" s="136" t="s">
        <v>13</v>
      </c>
      <c r="F403" s="463"/>
      <c r="G403" s="136" t="s">
        <v>224</v>
      </c>
      <c r="H403" s="137"/>
      <c r="I403" s="137" t="str">
        <f t="shared" si="4"/>
        <v>11,24</v>
      </c>
    </row>
    <row r="404" spans="1:9" ht="19.5" hidden="1" thickBot="1" x14ac:dyDescent="0.3">
      <c r="A404" s="461"/>
      <c r="B404" s="175" t="s">
        <v>223</v>
      </c>
      <c r="C404" s="134" t="s">
        <v>116</v>
      </c>
      <c r="D404" s="135">
        <v>0.46899999999999997</v>
      </c>
      <c r="E404" s="136" t="s">
        <v>13</v>
      </c>
      <c r="F404" s="463"/>
      <c r="G404" s="136" t="s">
        <v>224</v>
      </c>
      <c r="H404" s="137"/>
      <c r="I404" s="137" t="str">
        <f t="shared" si="4"/>
        <v>11,24</v>
      </c>
    </row>
    <row r="405" spans="1:9" ht="19.5" hidden="1" thickBot="1" x14ac:dyDescent="0.3">
      <c r="A405" s="473"/>
      <c r="B405" s="95" t="s">
        <v>223</v>
      </c>
      <c r="C405" s="96" t="s">
        <v>17</v>
      </c>
      <c r="D405" s="97">
        <v>5.2350000000000003</v>
      </c>
      <c r="E405" s="98" t="s">
        <v>13</v>
      </c>
      <c r="F405" s="474"/>
      <c r="G405" s="98" t="s">
        <v>224</v>
      </c>
      <c r="H405" s="129"/>
      <c r="I405" s="129" t="str">
        <f t="shared" si="4"/>
        <v>11,24</v>
      </c>
    </row>
    <row r="406" spans="1:9" ht="19.5" hidden="1" thickBot="1" x14ac:dyDescent="0.3">
      <c r="A406" s="455">
        <f t="shared" ref="A406:A469" si="9">MAX(A405,A404,A403,A402,A401,A400,A399,A398,A397,A396,A395,A394,A393,A392)+1</f>
        <v>95</v>
      </c>
      <c r="B406" s="126" t="s">
        <v>223</v>
      </c>
      <c r="C406" s="103" t="s">
        <v>18</v>
      </c>
      <c r="D406" s="104">
        <v>1.4279999999999999</v>
      </c>
      <c r="E406" s="105" t="s">
        <v>13</v>
      </c>
      <c r="F406" s="457" t="s">
        <v>108</v>
      </c>
      <c r="G406" s="105" t="s">
        <v>226</v>
      </c>
      <c r="H406" s="107"/>
      <c r="I406" s="107" t="str">
        <f t="shared" si="4"/>
        <v>12,24</v>
      </c>
    </row>
    <row r="407" spans="1:9" ht="19.5" hidden="1" thickBot="1" x14ac:dyDescent="0.3">
      <c r="A407" s="455"/>
      <c r="B407" s="127" t="s">
        <v>223</v>
      </c>
      <c r="C407" s="109" t="s">
        <v>19</v>
      </c>
      <c r="D407" s="110">
        <v>3.2</v>
      </c>
      <c r="E407" s="111" t="s">
        <v>13</v>
      </c>
      <c r="F407" s="458"/>
      <c r="G407" s="111" t="s">
        <v>226</v>
      </c>
      <c r="H407" s="113"/>
      <c r="I407" s="113" t="str">
        <f t="shared" si="4"/>
        <v>12,24</v>
      </c>
    </row>
    <row r="408" spans="1:9" ht="19.5" hidden="1" thickBot="1" x14ac:dyDescent="0.3">
      <c r="A408" s="455"/>
      <c r="B408" s="128" t="s">
        <v>223</v>
      </c>
      <c r="C408" s="115" t="s">
        <v>17</v>
      </c>
      <c r="D408" s="116">
        <v>2.9209999999999998</v>
      </c>
      <c r="E408" s="117" t="s">
        <v>13</v>
      </c>
      <c r="F408" s="459"/>
      <c r="G408" s="117" t="s">
        <v>226</v>
      </c>
      <c r="H408" s="119"/>
      <c r="I408" s="119" t="str">
        <f t="shared" si="4"/>
        <v>12,24</v>
      </c>
    </row>
    <row r="409" spans="1:9" ht="19.5" hidden="1" thickBot="1" x14ac:dyDescent="0.3">
      <c r="A409" s="455"/>
      <c r="B409" s="126" t="s">
        <v>223</v>
      </c>
      <c r="C409" s="103" t="s">
        <v>18</v>
      </c>
      <c r="D409" s="104">
        <v>2.34</v>
      </c>
      <c r="E409" s="105" t="s">
        <v>34</v>
      </c>
      <c r="F409" s="457" t="s">
        <v>227</v>
      </c>
      <c r="G409" s="105" t="s">
        <v>226</v>
      </c>
      <c r="H409" s="107"/>
      <c r="I409" s="107" t="str">
        <f t="shared" si="4"/>
        <v>12,24</v>
      </c>
    </row>
    <row r="410" spans="1:9" ht="19.5" hidden="1" thickBot="1" x14ac:dyDescent="0.3">
      <c r="A410" s="455"/>
      <c r="B410" s="127" t="s">
        <v>223</v>
      </c>
      <c r="C410" s="109" t="s">
        <v>19</v>
      </c>
      <c r="D410" s="110">
        <v>0.62</v>
      </c>
      <c r="E410" s="111" t="s">
        <v>34</v>
      </c>
      <c r="F410" s="458"/>
      <c r="G410" s="111" t="s">
        <v>226</v>
      </c>
      <c r="H410" s="113"/>
      <c r="I410" s="113" t="str">
        <f t="shared" si="4"/>
        <v>12,24</v>
      </c>
    </row>
    <row r="411" spans="1:9" ht="19.5" hidden="1" thickBot="1" x14ac:dyDescent="0.3">
      <c r="A411" s="455"/>
      <c r="B411" s="127" t="s">
        <v>223</v>
      </c>
      <c r="C411" s="109" t="s">
        <v>17</v>
      </c>
      <c r="D411" s="110">
        <v>1.46</v>
      </c>
      <c r="E411" s="111" t="s">
        <v>34</v>
      </c>
      <c r="F411" s="458"/>
      <c r="G411" s="111" t="s">
        <v>226</v>
      </c>
      <c r="H411" s="113"/>
      <c r="I411" s="113" t="str">
        <f t="shared" si="4"/>
        <v>12,24</v>
      </c>
    </row>
    <row r="412" spans="1:9" ht="19.5" hidden="1" thickBot="1" x14ac:dyDescent="0.3">
      <c r="A412" s="455"/>
      <c r="B412" s="127" t="s">
        <v>223</v>
      </c>
      <c r="C412" s="109" t="s">
        <v>186</v>
      </c>
      <c r="D412" s="110">
        <v>1.6</v>
      </c>
      <c r="E412" s="111" t="s">
        <v>34</v>
      </c>
      <c r="F412" s="458"/>
      <c r="G412" s="111" t="s">
        <v>226</v>
      </c>
      <c r="H412" s="113"/>
      <c r="I412" s="113" t="str">
        <f t="shared" si="4"/>
        <v>12,24</v>
      </c>
    </row>
    <row r="413" spans="1:9" ht="19.5" hidden="1" thickBot="1" x14ac:dyDescent="0.3">
      <c r="A413" s="455"/>
      <c r="B413" s="127" t="s">
        <v>223</v>
      </c>
      <c r="C413" s="109" t="s">
        <v>18</v>
      </c>
      <c r="D413" s="110">
        <v>0.28799999999999998</v>
      </c>
      <c r="E413" s="111" t="s">
        <v>45</v>
      </c>
      <c r="F413" s="458"/>
      <c r="G413" s="111" t="s">
        <v>226</v>
      </c>
      <c r="H413" s="113"/>
      <c r="I413" s="113" t="str">
        <f t="shared" si="4"/>
        <v>12,24</v>
      </c>
    </row>
    <row r="414" spans="1:9" ht="19.5" hidden="1" thickBot="1" x14ac:dyDescent="0.3">
      <c r="A414" s="455"/>
      <c r="B414" s="127" t="s">
        <v>223</v>
      </c>
      <c r="C414" s="109" t="s">
        <v>19</v>
      </c>
      <c r="D414" s="110">
        <v>0.09</v>
      </c>
      <c r="E414" s="111" t="s">
        <v>45</v>
      </c>
      <c r="F414" s="458"/>
      <c r="G414" s="111" t="s">
        <v>226</v>
      </c>
      <c r="H414" s="113"/>
      <c r="I414" s="113" t="str">
        <f t="shared" si="4"/>
        <v>12,24</v>
      </c>
    </row>
    <row r="415" spans="1:9" ht="19.5" hidden="1" thickBot="1" x14ac:dyDescent="0.3">
      <c r="A415" s="456"/>
      <c r="B415" s="128" t="s">
        <v>223</v>
      </c>
      <c r="C415" s="115" t="s">
        <v>17</v>
      </c>
      <c r="D415" s="116">
        <v>0.72</v>
      </c>
      <c r="E415" s="117" t="s">
        <v>45</v>
      </c>
      <c r="F415" s="459"/>
      <c r="G415" s="117" t="s">
        <v>226</v>
      </c>
      <c r="H415" s="119"/>
      <c r="I415" s="119" t="str">
        <f t="shared" si="4"/>
        <v>12,24</v>
      </c>
    </row>
    <row r="416" spans="1:9" ht="19.5" hidden="1" thickBot="1" x14ac:dyDescent="0.3">
      <c r="A416" s="460">
        <f t="shared" si="9"/>
        <v>96</v>
      </c>
      <c r="B416" s="91" t="s">
        <v>228</v>
      </c>
      <c r="C416" s="92" t="s">
        <v>18</v>
      </c>
      <c r="D416" s="93">
        <v>2.0219999999999998</v>
      </c>
      <c r="E416" s="94" t="s">
        <v>13</v>
      </c>
      <c r="F416" s="462" t="s">
        <v>230</v>
      </c>
      <c r="G416" s="94" t="s">
        <v>229</v>
      </c>
      <c r="H416" s="132"/>
      <c r="I416" s="132" t="str">
        <f t="shared" si="4"/>
        <v>12,24</v>
      </c>
    </row>
    <row r="417" spans="1:9" ht="19.5" hidden="1" thickBot="1" x14ac:dyDescent="0.3">
      <c r="A417" s="461"/>
      <c r="B417" s="175" t="s">
        <v>228</v>
      </c>
      <c r="C417" s="134" t="s">
        <v>19</v>
      </c>
      <c r="D417" s="135">
        <v>5.1020000000000003</v>
      </c>
      <c r="E417" s="136" t="s">
        <v>13</v>
      </c>
      <c r="F417" s="463"/>
      <c r="G417" s="136" t="s">
        <v>229</v>
      </c>
      <c r="H417" s="137"/>
      <c r="I417" s="137" t="str">
        <f t="shared" si="4"/>
        <v>12,24</v>
      </c>
    </row>
    <row r="418" spans="1:9" ht="19.5" hidden="1" thickBot="1" x14ac:dyDescent="0.3">
      <c r="A418" s="473"/>
      <c r="B418" s="95" t="s">
        <v>228</v>
      </c>
      <c r="C418" s="96" t="s">
        <v>17</v>
      </c>
      <c r="D418" s="97">
        <v>6.47</v>
      </c>
      <c r="E418" s="98" t="s">
        <v>13</v>
      </c>
      <c r="F418" s="474"/>
      <c r="G418" s="98" t="s">
        <v>229</v>
      </c>
      <c r="H418" s="129"/>
      <c r="I418" s="129" t="str">
        <f t="shared" si="4"/>
        <v>12,24</v>
      </c>
    </row>
    <row r="419" spans="1:9" ht="19.5" hidden="1" thickBot="1" x14ac:dyDescent="0.3">
      <c r="A419" s="454">
        <f t="shared" si="9"/>
        <v>97</v>
      </c>
      <c r="B419" s="126" t="s">
        <v>228</v>
      </c>
      <c r="C419" s="103" t="s">
        <v>18</v>
      </c>
      <c r="D419" s="104">
        <v>1.1819999999999999</v>
      </c>
      <c r="E419" s="105" t="s">
        <v>13</v>
      </c>
      <c r="F419" s="457" t="s">
        <v>72</v>
      </c>
      <c r="G419" s="105" t="s">
        <v>231</v>
      </c>
      <c r="H419" s="107"/>
      <c r="I419" s="107" t="str">
        <f t="shared" si="4"/>
        <v>12,24</v>
      </c>
    </row>
    <row r="420" spans="1:9" ht="19.5" hidden="1" thickBot="1" x14ac:dyDescent="0.3">
      <c r="A420" s="455"/>
      <c r="B420" s="127" t="s">
        <v>228</v>
      </c>
      <c r="C420" s="109" t="s">
        <v>19</v>
      </c>
      <c r="D420" s="110">
        <v>2.9630000000000001</v>
      </c>
      <c r="E420" s="111" t="s">
        <v>13</v>
      </c>
      <c r="F420" s="458"/>
      <c r="G420" s="111" t="s">
        <v>231</v>
      </c>
      <c r="H420" s="113"/>
      <c r="I420" s="113" t="str">
        <f t="shared" si="4"/>
        <v>12,24</v>
      </c>
    </row>
    <row r="421" spans="1:9" ht="19.5" hidden="1" thickBot="1" x14ac:dyDescent="0.3">
      <c r="A421" s="455"/>
      <c r="B421" s="128" t="s">
        <v>228</v>
      </c>
      <c r="C421" s="115" t="s">
        <v>17</v>
      </c>
      <c r="D421" s="116">
        <v>3.7589999999999999</v>
      </c>
      <c r="E421" s="117" t="s">
        <v>13</v>
      </c>
      <c r="F421" s="459"/>
      <c r="G421" s="117" t="s">
        <v>231</v>
      </c>
      <c r="H421" s="119"/>
      <c r="I421" s="119" t="str">
        <f t="shared" si="4"/>
        <v>12,24</v>
      </c>
    </row>
    <row r="422" spans="1:9" ht="19.5" hidden="1" thickBot="1" x14ac:dyDescent="0.3">
      <c r="A422" s="455"/>
      <c r="B422" s="108" t="s">
        <v>228</v>
      </c>
      <c r="C422" s="109" t="s">
        <v>18</v>
      </c>
      <c r="D422" s="110">
        <v>1.3</v>
      </c>
      <c r="E422" s="111" t="s">
        <v>34</v>
      </c>
      <c r="F422" s="457" t="s">
        <v>232</v>
      </c>
      <c r="G422" s="111" t="s">
        <v>231</v>
      </c>
      <c r="H422" s="113"/>
      <c r="I422" s="113" t="str">
        <f t="shared" si="4"/>
        <v>12,24</v>
      </c>
    </row>
    <row r="423" spans="1:9" ht="19.5" hidden="1" thickBot="1" x14ac:dyDescent="0.3">
      <c r="A423" s="455"/>
      <c r="B423" s="108" t="s">
        <v>228</v>
      </c>
      <c r="C423" s="109" t="s">
        <v>19</v>
      </c>
      <c r="D423" s="110">
        <v>0.4</v>
      </c>
      <c r="E423" s="111" t="s">
        <v>34</v>
      </c>
      <c r="F423" s="458"/>
      <c r="G423" s="111" t="s">
        <v>231</v>
      </c>
      <c r="H423" s="113"/>
      <c r="I423" s="113" t="str">
        <f t="shared" si="4"/>
        <v>12,24</v>
      </c>
    </row>
    <row r="424" spans="1:9" ht="19.5" hidden="1" thickBot="1" x14ac:dyDescent="0.3">
      <c r="A424" s="455"/>
      <c r="B424" s="108" t="s">
        <v>228</v>
      </c>
      <c r="C424" s="109" t="s">
        <v>116</v>
      </c>
      <c r="D424" s="110">
        <v>1</v>
      </c>
      <c r="E424" s="111" t="s">
        <v>34</v>
      </c>
      <c r="F424" s="458"/>
      <c r="G424" s="111" t="s">
        <v>231</v>
      </c>
      <c r="H424" s="113"/>
      <c r="I424" s="113" t="str">
        <f t="shared" si="4"/>
        <v>12,24</v>
      </c>
    </row>
    <row r="425" spans="1:9" ht="19.5" hidden="1" thickBot="1" x14ac:dyDescent="0.3">
      <c r="A425" s="455"/>
      <c r="B425" s="108" t="s">
        <v>228</v>
      </c>
      <c r="C425" s="109" t="s">
        <v>17</v>
      </c>
      <c r="D425" s="110">
        <v>3.1</v>
      </c>
      <c r="E425" s="111" t="s">
        <v>34</v>
      </c>
      <c r="F425" s="458"/>
      <c r="G425" s="111" t="s">
        <v>231</v>
      </c>
      <c r="H425" s="113"/>
      <c r="I425" s="113" t="str">
        <f t="shared" si="4"/>
        <v>12,24</v>
      </c>
    </row>
    <row r="426" spans="1:9" ht="19.5" hidden="1" thickBot="1" x14ac:dyDescent="0.3">
      <c r="A426" s="455"/>
      <c r="B426" s="108" t="s">
        <v>228</v>
      </c>
      <c r="C426" s="109" t="s">
        <v>18</v>
      </c>
      <c r="D426" s="110">
        <v>0.45</v>
      </c>
      <c r="E426" s="111" t="s">
        <v>45</v>
      </c>
      <c r="F426" s="458"/>
      <c r="G426" s="111" t="s">
        <v>231</v>
      </c>
      <c r="H426" s="113"/>
      <c r="I426" s="113" t="str">
        <f t="shared" si="4"/>
        <v>12,24</v>
      </c>
    </row>
    <row r="427" spans="1:9" ht="19.5" hidden="1" thickBot="1" x14ac:dyDescent="0.3">
      <c r="A427" s="455"/>
      <c r="B427" s="108" t="s">
        <v>228</v>
      </c>
      <c r="C427" s="109" t="s">
        <v>19</v>
      </c>
      <c r="D427" s="110">
        <v>0.05</v>
      </c>
      <c r="E427" s="111" t="s">
        <v>45</v>
      </c>
      <c r="F427" s="458"/>
      <c r="G427" s="111" t="s">
        <v>231</v>
      </c>
      <c r="H427" s="113"/>
      <c r="I427" s="113" t="str">
        <f t="shared" si="4"/>
        <v>12,24</v>
      </c>
    </row>
    <row r="428" spans="1:9" ht="19.5" hidden="1" thickBot="1" x14ac:dyDescent="0.3">
      <c r="A428" s="456"/>
      <c r="B428" s="114" t="s">
        <v>228</v>
      </c>
      <c r="C428" s="115" t="s">
        <v>17</v>
      </c>
      <c r="D428" s="116">
        <v>1.1339999999999999</v>
      </c>
      <c r="E428" s="117" t="s">
        <v>45</v>
      </c>
      <c r="F428" s="459"/>
      <c r="G428" s="117" t="s">
        <v>231</v>
      </c>
      <c r="H428" s="119"/>
      <c r="I428" s="119" t="str">
        <f t="shared" si="4"/>
        <v>12,24</v>
      </c>
    </row>
    <row r="429" spans="1:9" ht="19.5" hidden="1" thickBot="1" x14ac:dyDescent="0.3">
      <c r="A429" s="460">
        <f t="shared" si="9"/>
        <v>98</v>
      </c>
      <c r="B429" s="91" t="s">
        <v>233</v>
      </c>
      <c r="C429" s="92" t="s">
        <v>18</v>
      </c>
      <c r="D429" s="93">
        <v>4.72</v>
      </c>
      <c r="E429" s="94" t="s">
        <v>13</v>
      </c>
      <c r="F429" s="462" t="s">
        <v>235</v>
      </c>
      <c r="G429" s="94" t="s">
        <v>234</v>
      </c>
      <c r="H429" s="132"/>
      <c r="I429" s="132" t="str">
        <f t="shared" si="4"/>
        <v>12,24</v>
      </c>
    </row>
    <row r="430" spans="1:9" ht="19.5" hidden="1" thickBot="1" x14ac:dyDescent="0.3">
      <c r="A430" s="461"/>
      <c r="B430" s="175" t="s">
        <v>233</v>
      </c>
      <c r="C430" s="134" t="s">
        <v>19</v>
      </c>
      <c r="D430" s="135">
        <v>3.7490000000000001</v>
      </c>
      <c r="E430" s="136" t="s">
        <v>13</v>
      </c>
      <c r="F430" s="463"/>
      <c r="G430" s="136" t="s">
        <v>234</v>
      </c>
      <c r="H430" s="137"/>
      <c r="I430" s="137" t="str">
        <f t="shared" si="4"/>
        <v>12,24</v>
      </c>
    </row>
    <row r="431" spans="1:9" ht="19.5" hidden="1" thickBot="1" x14ac:dyDescent="0.3">
      <c r="A431" s="461"/>
      <c r="B431" s="175" t="s">
        <v>233</v>
      </c>
      <c r="C431" s="134" t="s">
        <v>116</v>
      </c>
      <c r="D431" s="135">
        <v>0.44</v>
      </c>
      <c r="E431" s="136" t="s">
        <v>13</v>
      </c>
      <c r="F431" s="463"/>
      <c r="G431" s="136" t="s">
        <v>234</v>
      </c>
      <c r="H431" s="137"/>
      <c r="I431" s="137" t="str">
        <f t="shared" si="4"/>
        <v>12,24</v>
      </c>
    </row>
    <row r="432" spans="1:9" ht="19.5" hidden="1" thickBot="1" x14ac:dyDescent="0.3">
      <c r="A432" s="473"/>
      <c r="B432" s="95" t="s">
        <v>233</v>
      </c>
      <c r="C432" s="96" t="s">
        <v>17</v>
      </c>
      <c r="D432" s="97">
        <v>4.43</v>
      </c>
      <c r="E432" s="98" t="s">
        <v>13</v>
      </c>
      <c r="F432" s="474"/>
      <c r="G432" s="98" t="s">
        <v>234</v>
      </c>
      <c r="H432" s="129"/>
      <c r="I432" s="129" t="str">
        <f t="shared" si="4"/>
        <v>12,24</v>
      </c>
    </row>
    <row r="433" spans="1:9" ht="19.5" hidden="1" thickBot="1" x14ac:dyDescent="0.3">
      <c r="A433" s="454">
        <f t="shared" si="9"/>
        <v>99</v>
      </c>
      <c r="B433" s="126" t="s">
        <v>233</v>
      </c>
      <c r="C433" s="103" t="s">
        <v>18</v>
      </c>
      <c r="D433" s="104">
        <v>4.3310000000000004</v>
      </c>
      <c r="E433" s="105" t="s">
        <v>13</v>
      </c>
      <c r="F433" s="457" t="s">
        <v>159</v>
      </c>
      <c r="G433" s="105" t="s">
        <v>236</v>
      </c>
      <c r="H433" s="107"/>
      <c r="I433" s="107" t="str">
        <f t="shared" si="4"/>
        <v>12,24</v>
      </c>
    </row>
    <row r="434" spans="1:9" ht="19.5" hidden="1" thickBot="1" x14ac:dyDescent="0.3">
      <c r="A434" s="455"/>
      <c r="B434" s="127" t="s">
        <v>233</v>
      </c>
      <c r="C434" s="109" t="s">
        <v>19</v>
      </c>
      <c r="D434" s="110">
        <v>3.4319999999999999</v>
      </c>
      <c r="E434" s="111" t="s">
        <v>13</v>
      </c>
      <c r="F434" s="458"/>
      <c r="G434" s="111" t="s">
        <v>236</v>
      </c>
      <c r="H434" s="113"/>
      <c r="I434" s="113" t="str">
        <f t="shared" si="4"/>
        <v>12,24</v>
      </c>
    </row>
    <row r="435" spans="1:9" ht="19.5" hidden="1" thickBot="1" x14ac:dyDescent="0.3">
      <c r="A435" s="455"/>
      <c r="B435" s="128" t="s">
        <v>233</v>
      </c>
      <c r="C435" s="115" t="s">
        <v>17</v>
      </c>
      <c r="D435" s="116">
        <v>4.0579999999999998</v>
      </c>
      <c r="E435" s="117" t="s">
        <v>13</v>
      </c>
      <c r="F435" s="459"/>
      <c r="G435" s="117" t="s">
        <v>236</v>
      </c>
      <c r="H435" s="119"/>
      <c r="I435" s="119" t="str">
        <f t="shared" si="4"/>
        <v>12,24</v>
      </c>
    </row>
    <row r="436" spans="1:9" ht="19.5" hidden="1" thickBot="1" x14ac:dyDescent="0.3">
      <c r="A436" s="455"/>
      <c r="B436" s="108" t="s">
        <v>233</v>
      </c>
      <c r="C436" s="109" t="s">
        <v>18</v>
      </c>
      <c r="D436" s="110">
        <v>0.85</v>
      </c>
      <c r="E436" s="111" t="s">
        <v>34</v>
      </c>
      <c r="F436" s="458" t="s">
        <v>237</v>
      </c>
      <c r="G436" s="111" t="s">
        <v>236</v>
      </c>
      <c r="H436" s="113"/>
      <c r="I436" s="113" t="str">
        <f t="shared" si="4"/>
        <v>12,24</v>
      </c>
    </row>
    <row r="437" spans="1:9" ht="19.5" hidden="1" thickBot="1" x14ac:dyDescent="0.3">
      <c r="A437" s="455"/>
      <c r="B437" s="108" t="s">
        <v>233</v>
      </c>
      <c r="C437" s="109" t="s">
        <v>19</v>
      </c>
      <c r="D437" s="110">
        <v>0.1</v>
      </c>
      <c r="E437" s="111" t="s">
        <v>34</v>
      </c>
      <c r="F437" s="458"/>
      <c r="G437" s="111" t="s">
        <v>236</v>
      </c>
      <c r="H437" s="113"/>
      <c r="I437" s="113" t="str">
        <f t="shared" si="4"/>
        <v>12,24</v>
      </c>
    </row>
    <row r="438" spans="1:9" ht="19.5" hidden="1" thickBot="1" x14ac:dyDescent="0.3">
      <c r="A438" s="455"/>
      <c r="B438" s="108" t="s">
        <v>233</v>
      </c>
      <c r="C438" s="109" t="s">
        <v>17</v>
      </c>
      <c r="D438" s="110">
        <v>1.2</v>
      </c>
      <c r="E438" s="111" t="s">
        <v>34</v>
      </c>
      <c r="F438" s="458"/>
      <c r="G438" s="111" t="s">
        <v>236</v>
      </c>
      <c r="H438" s="113"/>
      <c r="I438" s="113" t="str">
        <f t="shared" si="4"/>
        <v>12,24</v>
      </c>
    </row>
    <row r="439" spans="1:9" ht="19.5" hidden="1" thickBot="1" x14ac:dyDescent="0.3">
      <c r="A439" s="455"/>
      <c r="B439" s="108" t="s">
        <v>233</v>
      </c>
      <c r="C439" s="109" t="s">
        <v>18</v>
      </c>
      <c r="D439" s="110">
        <v>0.41399999999999998</v>
      </c>
      <c r="E439" s="111" t="s">
        <v>45</v>
      </c>
      <c r="F439" s="458"/>
      <c r="G439" s="111" t="s">
        <v>236</v>
      </c>
      <c r="H439" s="113"/>
      <c r="I439" s="113" t="str">
        <f t="shared" si="4"/>
        <v>12,24</v>
      </c>
    </row>
    <row r="440" spans="1:9" ht="19.5" hidden="1" thickBot="1" x14ac:dyDescent="0.3">
      <c r="A440" s="455"/>
      <c r="B440" s="108" t="s">
        <v>233</v>
      </c>
      <c r="C440" s="109" t="s">
        <v>19</v>
      </c>
      <c r="D440" s="110">
        <v>0.126</v>
      </c>
      <c r="E440" s="111" t="s">
        <v>45</v>
      </c>
      <c r="F440" s="458"/>
      <c r="G440" s="111" t="s">
        <v>236</v>
      </c>
      <c r="H440" s="113"/>
      <c r="I440" s="113" t="str">
        <f t="shared" si="4"/>
        <v>12,24</v>
      </c>
    </row>
    <row r="441" spans="1:9" ht="19.5" hidden="1" thickBot="1" x14ac:dyDescent="0.3">
      <c r="A441" s="456"/>
      <c r="B441" s="114" t="s">
        <v>233</v>
      </c>
      <c r="C441" s="115" t="s">
        <v>17</v>
      </c>
      <c r="D441" s="116">
        <v>0.36</v>
      </c>
      <c r="E441" s="117" t="s">
        <v>45</v>
      </c>
      <c r="F441" s="459"/>
      <c r="G441" s="117" t="s">
        <v>236</v>
      </c>
      <c r="H441" s="119"/>
      <c r="I441" s="119" t="str">
        <f t="shared" si="4"/>
        <v>12,24</v>
      </c>
    </row>
    <row r="442" spans="1:9" ht="19.5" hidden="1" thickBot="1" x14ac:dyDescent="0.3">
      <c r="A442" s="460">
        <f t="shared" si="9"/>
        <v>100</v>
      </c>
      <c r="B442" s="91" t="s">
        <v>238</v>
      </c>
      <c r="C442" s="92" t="s">
        <v>18</v>
      </c>
      <c r="D442" s="93">
        <v>5.3529999999999998</v>
      </c>
      <c r="E442" s="94" t="s">
        <v>13</v>
      </c>
      <c r="F442" s="131"/>
      <c r="G442" s="94" t="s">
        <v>239</v>
      </c>
      <c r="H442" s="132"/>
      <c r="I442" s="132" t="str">
        <f t="shared" si="4"/>
        <v>12,24</v>
      </c>
    </row>
    <row r="443" spans="1:9" ht="19.5" hidden="1" thickBot="1" x14ac:dyDescent="0.3">
      <c r="A443" s="461"/>
      <c r="B443" s="175" t="s">
        <v>238</v>
      </c>
      <c r="C443" s="134" t="s">
        <v>19</v>
      </c>
      <c r="D443" s="135">
        <v>8.0350000000000001</v>
      </c>
      <c r="E443" s="136" t="s">
        <v>13</v>
      </c>
      <c r="F443" s="171"/>
      <c r="G443" s="136" t="s">
        <v>239</v>
      </c>
      <c r="H443" s="137"/>
      <c r="I443" s="137" t="str">
        <f t="shared" si="4"/>
        <v>12,24</v>
      </c>
    </row>
    <row r="444" spans="1:9" ht="19.5" hidden="1" thickBot="1" x14ac:dyDescent="0.3">
      <c r="A444" s="473"/>
      <c r="B444" s="95" t="s">
        <v>238</v>
      </c>
      <c r="C444" s="96" t="s">
        <v>17</v>
      </c>
      <c r="D444" s="97">
        <v>3.3090000000000002</v>
      </c>
      <c r="E444" s="98" t="s">
        <v>13</v>
      </c>
      <c r="F444" s="133"/>
      <c r="G444" s="98" t="s">
        <v>239</v>
      </c>
      <c r="H444" s="129"/>
      <c r="I444" s="129" t="str">
        <f t="shared" si="4"/>
        <v>12,24</v>
      </c>
    </row>
    <row r="445" spans="1:9" ht="19.5" hidden="1" thickBot="1" x14ac:dyDescent="0.3">
      <c r="A445" s="454">
        <f t="shared" si="9"/>
        <v>101</v>
      </c>
      <c r="B445" s="126" t="s">
        <v>238</v>
      </c>
      <c r="C445" s="103" t="s">
        <v>18</v>
      </c>
      <c r="D445" s="104">
        <v>0.98</v>
      </c>
      <c r="E445" s="105" t="s">
        <v>13</v>
      </c>
      <c r="F445" s="457" t="s">
        <v>65</v>
      </c>
      <c r="G445" s="105" t="s">
        <v>240</v>
      </c>
      <c r="H445" s="107"/>
      <c r="I445" s="107" t="str">
        <f t="shared" si="4"/>
        <v>12,24</v>
      </c>
    </row>
    <row r="446" spans="1:9" ht="19.5" hidden="1" thickBot="1" x14ac:dyDescent="0.3">
      <c r="A446" s="455"/>
      <c r="B446" s="127" t="s">
        <v>238</v>
      </c>
      <c r="C446" s="109" t="s">
        <v>19</v>
      </c>
      <c r="D446" s="110">
        <v>1.47</v>
      </c>
      <c r="E446" s="111" t="s">
        <v>13</v>
      </c>
      <c r="F446" s="458"/>
      <c r="G446" s="111" t="s">
        <v>240</v>
      </c>
      <c r="H446" s="113"/>
      <c r="I446" s="113" t="str">
        <f t="shared" si="4"/>
        <v>12,24</v>
      </c>
    </row>
    <row r="447" spans="1:9" ht="19.5" hidden="1" thickBot="1" x14ac:dyDescent="0.3">
      <c r="A447" s="455"/>
      <c r="B447" s="127" t="s">
        <v>238</v>
      </c>
      <c r="C447" s="109" t="s">
        <v>116</v>
      </c>
      <c r="D447" s="110">
        <v>1.8049999999999999</v>
      </c>
      <c r="E447" s="111" t="s">
        <v>13</v>
      </c>
      <c r="F447" s="458"/>
      <c r="G447" s="111" t="s">
        <v>240</v>
      </c>
      <c r="H447" s="113"/>
      <c r="I447" s="113" t="str">
        <f t="shared" si="4"/>
        <v>12,24</v>
      </c>
    </row>
    <row r="448" spans="1:9" ht="18.75" hidden="1" customHeight="1" thickBot="1" x14ac:dyDescent="0.3">
      <c r="A448" s="455"/>
      <c r="B448" s="128" t="s">
        <v>238</v>
      </c>
      <c r="C448" s="115" t="s">
        <v>17</v>
      </c>
      <c r="D448" s="116">
        <v>0.61</v>
      </c>
      <c r="E448" s="117" t="s">
        <v>13</v>
      </c>
      <c r="F448" s="459"/>
      <c r="G448" s="117" t="s">
        <v>240</v>
      </c>
      <c r="H448" s="119"/>
      <c r="I448" s="119" t="str">
        <f t="shared" si="4"/>
        <v>12,24</v>
      </c>
    </row>
    <row r="449" spans="1:9" ht="19.5" hidden="1" thickBot="1" x14ac:dyDescent="0.3">
      <c r="A449" s="455"/>
      <c r="B449" s="126" t="s">
        <v>238</v>
      </c>
      <c r="C449" s="103" t="s">
        <v>18</v>
      </c>
      <c r="D449" s="104">
        <v>1.65</v>
      </c>
      <c r="E449" s="105" t="s">
        <v>34</v>
      </c>
      <c r="F449" s="457" t="s">
        <v>241</v>
      </c>
      <c r="G449" s="105" t="s">
        <v>240</v>
      </c>
      <c r="H449" s="107"/>
      <c r="I449" s="107" t="str">
        <f t="shared" si="4"/>
        <v>12,24</v>
      </c>
    </row>
    <row r="450" spans="1:9" ht="18.75" hidden="1" customHeight="1" x14ac:dyDescent="0.3">
      <c r="A450" s="455"/>
      <c r="B450" s="127" t="s">
        <v>238</v>
      </c>
      <c r="C450" s="109" t="s">
        <v>19</v>
      </c>
      <c r="D450" s="110">
        <v>0.21</v>
      </c>
      <c r="E450" s="111" t="s">
        <v>34</v>
      </c>
      <c r="F450" s="458"/>
      <c r="G450" s="111" t="s">
        <v>240</v>
      </c>
      <c r="H450" s="113"/>
      <c r="I450" s="113" t="str">
        <f t="shared" si="4"/>
        <v>12,24</v>
      </c>
    </row>
    <row r="451" spans="1:9" ht="19.5" hidden="1" thickBot="1" x14ac:dyDescent="0.3">
      <c r="A451" s="455"/>
      <c r="B451" s="127" t="s">
        <v>238</v>
      </c>
      <c r="C451" s="109" t="s">
        <v>116</v>
      </c>
      <c r="D451" s="110">
        <v>0.3</v>
      </c>
      <c r="E451" s="111" t="s">
        <v>34</v>
      </c>
      <c r="F451" s="458"/>
      <c r="G451" s="111" t="s">
        <v>240</v>
      </c>
      <c r="H451" s="113"/>
      <c r="I451" s="113" t="str">
        <f t="shared" si="4"/>
        <v>12,24</v>
      </c>
    </row>
    <row r="452" spans="1:9" ht="19.5" hidden="1" thickBot="1" x14ac:dyDescent="0.3">
      <c r="A452" s="455"/>
      <c r="B452" s="127" t="s">
        <v>238</v>
      </c>
      <c r="C452" s="109" t="s">
        <v>17</v>
      </c>
      <c r="D452" s="110">
        <v>4.24</v>
      </c>
      <c r="E452" s="111" t="s">
        <v>34</v>
      </c>
      <c r="F452" s="458"/>
      <c r="G452" s="111" t="s">
        <v>240</v>
      </c>
      <c r="H452" s="113"/>
      <c r="I452" s="113" t="str">
        <f t="shared" si="4"/>
        <v>12,24</v>
      </c>
    </row>
    <row r="453" spans="1:9" ht="19.5" hidden="1" thickBot="1" x14ac:dyDescent="0.3">
      <c r="A453" s="455"/>
      <c r="B453" s="127" t="s">
        <v>238</v>
      </c>
      <c r="C453" s="109" t="s">
        <v>18</v>
      </c>
      <c r="D453" s="110">
        <v>0.63</v>
      </c>
      <c r="E453" s="111" t="s">
        <v>45</v>
      </c>
      <c r="F453" s="458"/>
      <c r="G453" s="111" t="s">
        <v>240</v>
      </c>
      <c r="H453" s="113"/>
      <c r="I453" s="113" t="str">
        <f t="shared" si="4"/>
        <v>12,24</v>
      </c>
    </row>
    <row r="454" spans="1:9" ht="19.5" hidden="1" thickBot="1" x14ac:dyDescent="0.3">
      <c r="A454" s="455"/>
      <c r="B454" s="127" t="s">
        <v>238</v>
      </c>
      <c r="C454" s="109" t="s">
        <v>19</v>
      </c>
      <c r="D454" s="110">
        <v>0.09</v>
      </c>
      <c r="E454" s="111" t="s">
        <v>45</v>
      </c>
      <c r="F454" s="458"/>
      <c r="G454" s="111" t="s">
        <v>240</v>
      </c>
      <c r="H454" s="113"/>
      <c r="I454" s="113" t="str">
        <f t="shared" si="4"/>
        <v>12,24</v>
      </c>
    </row>
    <row r="455" spans="1:9" ht="19.5" hidden="1" thickBot="1" x14ac:dyDescent="0.3">
      <c r="A455" s="456"/>
      <c r="B455" s="128" t="s">
        <v>238</v>
      </c>
      <c r="C455" s="115" t="s">
        <v>17</v>
      </c>
      <c r="D455" s="116">
        <v>1.224</v>
      </c>
      <c r="E455" s="117" t="s">
        <v>45</v>
      </c>
      <c r="F455" s="459"/>
      <c r="G455" s="117" t="s">
        <v>240</v>
      </c>
      <c r="H455" s="119"/>
      <c r="I455" s="119" t="str">
        <f t="shared" si="4"/>
        <v>12,24</v>
      </c>
    </row>
    <row r="456" spans="1:9" ht="19.5" hidden="1" thickBot="1" x14ac:dyDescent="0.3">
      <c r="A456" s="460">
        <f t="shared" si="9"/>
        <v>102</v>
      </c>
      <c r="B456" s="138" t="s">
        <v>242</v>
      </c>
      <c r="C456" s="92" t="s">
        <v>18</v>
      </c>
      <c r="D456" s="93">
        <v>2.4390000000000001</v>
      </c>
      <c r="E456" s="94" t="s">
        <v>13</v>
      </c>
      <c r="F456" s="462" t="s">
        <v>244</v>
      </c>
      <c r="G456" s="94" t="s">
        <v>243</v>
      </c>
      <c r="H456" s="132"/>
      <c r="I456" s="132" t="str">
        <f t="shared" si="4"/>
        <v>12,24</v>
      </c>
    </row>
    <row r="457" spans="1:9" ht="19.5" hidden="1" thickBot="1" x14ac:dyDescent="0.3">
      <c r="A457" s="461"/>
      <c r="B457" s="140" t="s">
        <v>242</v>
      </c>
      <c r="C457" s="134" t="s">
        <v>19</v>
      </c>
      <c r="D457" s="135">
        <v>5.52</v>
      </c>
      <c r="E457" s="136" t="s">
        <v>13</v>
      </c>
      <c r="F457" s="463"/>
      <c r="G457" s="136" t="s">
        <v>243</v>
      </c>
      <c r="H457" s="137"/>
      <c r="I457" s="137" t="str">
        <f t="shared" si="4"/>
        <v>12,24</v>
      </c>
    </row>
    <row r="458" spans="1:9" ht="19.5" hidden="1" thickBot="1" x14ac:dyDescent="0.3">
      <c r="A458" s="461"/>
      <c r="B458" s="140" t="s">
        <v>242</v>
      </c>
      <c r="C458" s="134" t="s">
        <v>116</v>
      </c>
      <c r="D458" s="135">
        <v>1.05</v>
      </c>
      <c r="E458" s="136" t="s">
        <v>13</v>
      </c>
      <c r="F458" s="463"/>
      <c r="G458" s="136" t="s">
        <v>243</v>
      </c>
      <c r="H458" s="137"/>
      <c r="I458" s="137" t="str">
        <f t="shared" si="4"/>
        <v>12,24</v>
      </c>
    </row>
    <row r="459" spans="1:9" ht="19.5" hidden="1" thickBot="1" x14ac:dyDescent="0.3">
      <c r="A459" s="461"/>
      <c r="B459" s="139" t="s">
        <v>242</v>
      </c>
      <c r="C459" s="96" t="s">
        <v>17</v>
      </c>
      <c r="D459" s="97">
        <v>5.1970000000000001</v>
      </c>
      <c r="E459" s="98" t="s">
        <v>13</v>
      </c>
      <c r="F459" s="474"/>
      <c r="G459" s="98" t="s">
        <v>243</v>
      </c>
      <c r="H459" s="129"/>
      <c r="I459" s="129" t="str">
        <f t="shared" si="4"/>
        <v>12,24</v>
      </c>
    </row>
    <row r="460" spans="1:9" ht="19.5" hidden="1" thickBot="1" x14ac:dyDescent="0.3">
      <c r="A460" s="461"/>
      <c r="B460" s="203" t="s">
        <v>242</v>
      </c>
      <c r="C460" s="204" t="s">
        <v>18</v>
      </c>
      <c r="D460" s="205">
        <v>0.22</v>
      </c>
      <c r="E460" s="206" t="s">
        <v>34</v>
      </c>
      <c r="F460" s="490" t="s">
        <v>84</v>
      </c>
      <c r="G460" s="206" t="s">
        <v>243</v>
      </c>
      <c r="H460" s="137"/>
      <c r="I460" s="137" t="str">
        <f t="shared" si="4"/>
        <v>12,24</v>
      </c>
    </row>
    <row r="461" spans="1:9" ht="19.5" hidden="1" thickBot="1" x14ac:dyDescent="0.3">
      <c r="A461" s="461"/>
      <c r="B461" s="203" t="s">
        <v>242</v>
      </c>
      <c r="C461" s="204" t="s">
        <v>19</v>
      </c>
      <c r="D461" s="205">
        <v>0.34</v>
      </c>
      <c r="E461" s="206" t="s">
        <v>34</v>
      </c>
      <c r="F461" s="491"/>
      <c r="G461" s="206" t="s">
        <v>243</v>
      </c>
      <c r="H461" s="137"/>
      <c r="I461" s="137" t="str">
        <f t="shared" si="4"/>
        <v>12,24</v>
      </c>
    </row>
    <row r="462" spans="1:9" ht="19.5" hidden="1" thickBot="1" x14ac:dyDescent="0.3">
      <c r="A462" s="461"/>
      <c r="B462" s="203" t="s">
        <v>242</v>
      </c>
      <c r="C462" s="204" t="s">
        <v>17</v>
      </c>
      <c r="D462" s="205">
        <v>0.96</v>
      </c>
      <c r="E462" s="206" t="s">
        <v>34</v>
      </c>
      <c r="F462" s="491"/>
      <c r="G462" s="206" t="s">
        <v>243</v>
      </c>
      <c r="H462" s="137"/>
      <c r="I462" s="137" t="str">
        <f t="shared" si="4"/>
        <v>12,24</v>
      </c>
    </row>
    <row r="463" spans="1:9" ht="19.5" hidden="1" thickBot="1" x14ac:dyDescent="0.3">
      <c r="A463" s="461"/>
      <c r="B463" s="203" t="s">
        <v>242</v>
      </c>
      <c r="C463" s="204" t="s">
        <v>18</v>
      </c>
      <c r="D463" s="205">
        <v>0.30599999999999999</v>
      </c>
      <c r="E463" s="206" t="s">
        <v>45</v>
      </c>
      <c r="F463" s="491"/>
      <c r="G463" s="206" t="s">
        <v>243</v>
      </c>
      <c r="H463" s="137"/>
      <c r="I463" s="137" t="str">
        <f t="shared" si="4"/>
        <v>12,24</v>
      </c>
    </row>
    <row r="464" spans="1:9" ht="19.5" hidden="1" thickBot="1" x14ac:dyDescent="0.3">
      <c r="A464" s="461"/>
      <c r="B464" s="203" t="s">
        <v>242</v>
      </c>
      <c r="C464" s="204" t="s">
        <v>19</v>
      </c>
      <c r="D464" s="205">
        <v>7.1999999999999995E-2</v>
      </c>
      <c r="E464" s="206" t="s">
        <v>45</v>
      </c>
      <c r="F464" s="491"/>
      <c r="G464" s="206" t="s">
        <v>243</v>
      </c>
      <c r="H464" s="137"/>
      <c r="I464" s="137" t="str">
        <f t="shared" si="4"/>
        <v>12,24</v>
      </c>
    </row>
    <row r="465" spans="1:9" ht="19.5" hidden="1" thickBot="1" x14ac:dyDescent="0.3">
      <c r="A465" s="473"/>
      <c r="B465" s="207" t="s">
        <v>242</v>
      </c>
      <c r="C465" s="208" t="s">
        <v>17</v>
      </c>
      <c r="D465" s="209">
        <v>0.16200000000000001</v>
      </c>
      <c r="E465" s="210" t="s">
        <v>45</v>
      </c>
      <c r="F465" s="492"/>
      <c r="G465" s="210" t="s">
        <v>243</v>
      </c>
      <c r="H465" s="129"/>
      <c r="I465" s="129" t="str">
        <f t="shared" si="4"/>
        <v>12,24</v>
      </c>
    </row>
    <row r="466" spans="1:9" ht="19.5" hidden="1" thickBot="1" x14ac:dyDescent="0.3">
      <c r="A466" s="454">
        <f t="shared" si="9"/>
        <v>103</v>
      </c>
      <c r="B466" s="102" t="s">
        <v>245</v>
      </c>
      <c r="C466" s="103" t="s">
        <v>18</v>
      </c>
      <c r="D466" s="104">
        <v>3.3839999999999999</v>
      </c>
      <c r="E466" s="105" t="s">
        <v>13</v>
      </c>
      <c r="F466" s="457" t="s">
        <v>219</v>
      </c>
      <c r="G466" s="105" t="s">
        <v>246</v>
      </c>
      <c r="H466" s="107"/>
      <c r="I466" s="107" t="str">
        <f t="shared" si="4"/>
        <v>01,25</v>
      </c>
    </row>
    <row r="467" spans="1:9" ht="19.5" hidden="1" thickBot="1" x14ac:dyDescent="0.3">
      <c r="A467" s="455"/>
      <c r="B467" s="108" t="s">
        <v>245</v>
      </c>
      <c r="C467" s="109" t="s">
        <v>19</v>
      </c>
      <c r="D467" s="110">
        <v>5.0129999999999999</v>
      </c>
      <c r="E467" s="111" t="s">
        <v>13</v>
      </c>
      <c r="F467" s="458"/>
      <c r="G467" s="111" t="s">
        <v>246</v>
      </c>
      <c r="H467" s="113"/>
      <c r="I467" s="113" t="str">
        <f t="shared" si="4"/>
        <v>01,25</v>
      </c>
    </row>
    <row r="468" spans="1:9" ht="19.5" hidden="1" thickBot="1" x14ac:dyDescent="0.3">
      <c r="A468" s="456"/>
      <c r="B468" s="114" t="s">
        <v>245</v>
      </c>
      <c r="C468" s="115" t="s">
        <v>17</v>
      </c>
      <c r="D468" s="116">
        <v>5.2939999999999996</v>
      </c>
      <c r="E468" s="117" t="s">
        <v>13</v>
      </c>
      <c r="F468" s="459"/>
      <c r="G468" s="117" t="s">
        <v>246</v>
      </c>
      <c r="H468" s="119"/>
      <c r="I468" s="119" t="str">
        <f t="shared" si="4"/>
        <v>01,25</v>
      </c>
    </row>
    <row r="469" spans="1:9" ht="19.5" hidden="1" thickBot="1" x14ac:dyDescent="0.3">
      <c r="A469" s="461">
        <f t="shared" si="9"/>
        <v>104</v>
      </c>
      <c r="B469" s="175" t="s">
        <v>245</v>
      </c>
      <c r="C469" s="134" t="s">
        <v>18</v>
      </c>
      <c r="D469" s="135">
        <v>4.0030000000000001</v>
      </c>
      <c r="E469" s="136" t="s">
        <v>13</v>
      </c>
      <c r="F469" s="171"/>
      <c r="G469" s="136" t="s">
        <v>247</v>
      </c>
      <c r="H469" s="137"/>
      <c r="I469" s="137" t="str">
        <f t="shared" si="4"/>
        <v>01,25</v>
      </c>
    </row>
    <row r="470" spans="1:9" ht="19.5" hidden="1" thickBot="1" x14ac:dyDescent="0.3">
      <c r="A470" s="461"/>
      <c r="B470" s="175" t="s">
        <v>245</v>
      </c>
      <c r="C470" s="134" t="s">
        <v>19</v>
      </c>
      <c r="D470" s="135">
        <v>5.944</v>
      </c>
      <c r="E470" s="136" t="s">
        <v>13</v>
      </c>
      <c r="F470" s="171"/>
      <c r="G470" s="136" t="s">
        <v>247</v>
      </c>
      <c r="H470" s="137"/>
      <c r="I470" s="137" t="str">
        <f t="shared" si="4"/>
        <v>01,25</v>
      </c>
    </row>
    <row r="471" spans="1:9" ht="19.5" hidden="1" thickBot="1" x14ac:dyDescent="0.3">
      <c r="A471" s="461"/>
      <c r="B471" s="175" t="s">
        <v>245</v>
      </c>
      <c r="C471" s="134" t="s">
        <v>116</v>
      </c>
      <c r="D471" s="135">
        <v>0.77400000000000002</v>
      </c>
      <c r="E471" s="136" t="s">
        <v>13</v>
      </c>
      <c r="F471" s="171"/>
      <c r="G471" s="136" t="s">
        <v>247</v>
      </c>
      <c r="H471" s="137"/>
      <c r="I471" s="137" t="str">
        <f t="shared" ref="I471:I725" si="10">RIGHT(G471,5)</f>
        <v>01,25</v>
      </c>
    </row>
    <row r="472" spans="1:9" ht="19.5" hidden="1" thickBot="1" x14ac:dyDescent="0.3">
      <c r="A472" s="473"/>
      <c r="B472" s="95" t="s">
        <v>245</v>
      </c>
      <c r="C472" s="96" t="s">
        <v>17</v>
      </c>
      <c r="D472" s="97">
        <v>6.2720000000000002</v>
      </c>
      <c r="E472" s="98" t="s">
        <v>13</v>
      </c>
      <c r="F472" s="133"/>
      <c r="G472" s="98" t="s">
        <v>247</v>
      </c>
      <c r="H472" s="129"/>
      <c r="I472" s="129" t="str">
        <f t="shared" si="10"/>
        <v>01,25</v>
      </c>
    </row>
    <row r="473" spans="1:9" ht="19.5" hidden="1" thickBot="1" x14ac:dyDescent="0.3">
      <c r="A473" s="454">
        <f t="shared" ref="A473:A533" si="11">MAX(A472,A471,A470,A469,A468,A467,A466,A465,A464,A463,A462,A461,A460,A459)+1</f>
        <v>105</v>
      </c>
      <c r="B473" s="102" t="s">
        <v>248</v>
      </c>
      <c r="C473" s="103" t="s">
        <v>18</v>
      </c>
      <c r="D473" s="104">
        <v>4.1319999999999997</v>
      </c>
      <c r="E473" s="105" t="s">
        <v>13</v>
      </c>
      <c r="F473" s="457" t="s">
        <v>235</v>
      </c>
      <c r="G473" s="105" t="s">
        <v>249</v>
      </c>
      <c r="H473" s="107"/>
      <c r="I473" s="107" t="str">
        <f t="shared" si="10"/>
        <v>01,25</v>
      </c>
    </row>
    <row r="474" spans="1:9" ht="19.5" hidden="1" thickBot="1" x14ac:dyDescent="0.3">
      <c r="A474" s="455"/>
      <c r="B474" s="108" t="s">
        <v>248</v>
      </c>
      <c r="C474" s="109" t="s">
        <v>19</v>
      </c>
      <c r="D474" s="110">
        <v>4.3849999999999998</v>
      </c>
      <c r="E474" s="111" t="s">
        <v>13</v>
      </c>
      <c r="F474" s="458"/>
      <c r="G474" s="111" t="s">
        <v>249</v>
      </c>
      <c r="H474" s="113"/>
      <c r="I474" s="113" t="str">
        <f t="shared" si="10"/>
        <v>01,25</v>
      </c>
    </row>
    <row r="475" spans="1:9" ht="19.5" hidden="1" thickBot="1" x14ac:dyDescent="0.3">
      <c r="A475" s="455"/>
      <c r="B475" s="108" t="s">
        <v>248</v>
      </c>
      <c r="C475" s="109" t="s">
        <v>116</v>
      </c>
      <c r="D475" s="110">
        <v>0.56499999999999995</v>
      </c>
      <c r="E475" s="111" t="s">
        <v>13</v>
      </c>
      <c r="F475" s="458"/>
      <c r="G475" s="111" t="s">
        <v>249</v>
      </c>
      <c r="H475" s="113"/>
      <c r="I475" s="113" t="str">
        <f t="shared" si="10"/>
        <v>01,25</v>
      </c>
    </row>
    <row r="476" spans="1:9" ht="19.5" hidden="1" thickBot="1" x14ac:dyDescent="0.3">
      <c r="A476" s="456"/>
      <c r="B476" s="114" t="s">
        <v>248</v>
      </c>
      <c r="C476" s="115" t="s">
        <v>17</v>
      </c>
      <c r="D476" s="116">
        <v>4.4249999999999998</v>
      </c>
      <c r="E476" s="117" t="s">
        <v>13</v>
      </c>
      <c r="F476" s="459"/>
      <c r="G476" s="117" t="s">
        <v>249</v>
      </c>
      <c r="H476" s="119"/>
      <c r="I476" s="119" t="str">
        <f t="shared" si="10"/>
        <v>01,25</v>
      </c>
    </row>
    <row r="477" spans="1:9" ht="22.5" hidden="1" customHeight="1" x14ac:dyDescent="0.3">
      <c r="A477" s="488">
        <f t="shared" si="11"/>
        <v>106</v>
      </c>
      <c r="B477" s="94" t="s">
        <v>250</v>
      </c>
      <c r="C477" s="92" t="s">
        <v>18</v>
      </c>
      <c r="D477" s="93">
        <v>1.67</v>
      </c>
      <c r="E477" s="94" t="s">
        <v>34</v>
      </c>
      <c r="F477" s="462" t="s">
        <v>252</v>
      </c>
      <c r="G477" s="94" t="s">
        <v>251</v>
      </c>
      <c r="H477" s="132"/>
      <c r="I477" s="132" t="str">
        <f t="shared" si="10"/>
        <v>01,25</v>
      </c>
    </row>
    <row r="478" spans="1:9" ht="22.5" hidden="1" customHeight="1" x14ac:dyDescent="0.3">
      <c r="A478" s="489"/>
      <c r="B478" s="136" t="s">
        <v>250</v>
      </c>
      <c r="C478" s="134" t="s">
        <v>19</v>
      </c>
      <c r="D478" s="135">
        <v>0.69</v>
      </c>
      <c r="E478" s="136" t="s">
        <v>34</v>
      </c>
      <c r="F478" s="463"/>
      <c r="G478" s="136" t="s">
        <v>251</v>
      </c>
      <c r="H478" s="137"/>
      <c r="I478" s="137" t="str">
        <f t="shared" si="10"/>
        <v>01,25</v>
      </c>
    </row>
    <row r="479" spans="1:9" ht="22.5" hidden="1" customHeight="1" x14ac:dyDescent="0.3">
      <c r="A479" s="489"/>
      <c r="B479" s="136" t="s">
        <v>250</v>
      </c>
      <c r="C479" s="134" t="s">
        <v>17</v>
      </c>
      <c r="D479" s="135">
        <v>2.37</v>
      </c>
      <c r="E479" s="136" t="s">
        <v>34</v>
      </c>
      <c r="F479" s="463"/>
      <c r="G479" s="136" t="s">
        <v>251</v>
      </c>
      <c r="H479" s="137"/>
      <c r="I479" s="137" t="str">
        <f t="shared" si="10"/>
        <v>01,25</v>
      </c>
    </row>
    <row r="480" spans="1:9" ht="22.5" hidden="1" customHeight="1" x14ac:dyDescent="0.3">
      <c r="A480" s="489"/>
      <c r="B480" s="136" t="s">
        <v>250</v>
      </c>
      <c r="C480" s="134" t="s">
        <v>18</v>
      </c>
      <c r="D480" s="211">
        <v>1.7999999999999999E-2</v>
      </c>
      <c r="E480" s="136" t="s">
        <v>45</v>
      </c>
      <c r="F480" s="463"/>
      <c r="G480" s="136" t="s">
        <v>251</v>
      </c>
      <c r="H480" s="137"/>
      <c r="I480" s="137" t="str">
        <f t="shared" si="10"/>
        <v>01,25</v>
      </c>
    </row>
    <row r="481" spans="1:9" ht="22.5" hidden="1" customHeight="1" x14ac:dyDescent="0.3">
      <c r="A481" s="489"/>
      <c r="B481" s="136" t="s">
        <v>250</v>
      </c>
      <c r="C481" s="134" t="s">
        <v>19</v>
      </c>
      <c r="D481" s="211">
        <v>1.7999999999999999E-2</v>
      </c>
      <c r="E481" s="136" t="s">
        <v>45</v>
      </c>
      <c r="F481" s="463"/>
      <c r="G481" s="136" t="s">
        <v>251</v>
      </c>
      <c r="H481" s="137"/>
      <c r="I481" s="137" t="str">
        <f t="shared" si="10"/>
        <v>01,25</v>
      </c>
    </row>
    <row r="482" spans="1:9" ht="22.5" hidden="1" customHeight="1" thickBot="1" x14ac:dyDescent="0.3">
      <c r="A482" s="489"/>
      <c r="B482" s="144" t="s">
        <v>250</v>
      </c>
      <c r="C482" s="142" t="s">
        <v>17</v>
      </c>
      <c r="D482" s="143">
        <v>0.39600000000000002</v>
      </c>
      <c r="E482" s="144" t="s">
        <v>45</v>
      </c>
      <c r="F482" s="463"/>
      <c r="G482" s="144" t="s">
        <v>251</v>
      </c>
      <c r="H482" s="145"/>
      <c r="I482" s="145" t="str">
        <f t="shared" si="10"/>
        <v>01,25</v>
      </c>
    </row>
    <row r="483" spans="1:9" ht="19.5" hidden="1" thickBot="1" x14ac:dyDescent="0.3">
      <c r="A483" s="454">
        <f t="shared" si="11"/>
        <v>107</v>
      </c>
      <c r="B483" s="102" t="s">
        <v>253</v>
      </c>
      <c r="C483" s="103" t="s">
        <v>18</v>
      </c>
      <c r="D483" s="104">
        <v>2.9950000000000001</v>
      </c>
      <c r="E483" s="105" t="s">
        <v>13</v>
      </c>
      <c r="F483" s="457" t="s">
        <v>255</v>
      </c>
      <c r="G483" s="105" t="s">
        <v>254</v>
      </c>
      <c r="H483" s="107"/>
      <c r="I483" s="107" t="str">
        <f t="shared" si="10"/>
        <v>01,25</v>
      </c>
    </row>
    <row r="484" spans="1:9" ht="19.5" hidden="1" thickBot="1" x14ac:dyDescent="0.3">
      <c r="A484" s="455"/>
      <c r="B484" s="108" t="s">
        <v>253</v>
      </c>
      <c r="C484" s="109" t="s">
        <v>19</v>
      </c>
      <c r="D484" s="110">
        <v>5.8490000000000002</v>
      </c>
      <c r="E484" s="111" t="s">
        <v>13</v>
      </c>
      <c r="F484" s="458"/>
      <c r="G484" s="111" t="s">
        <v>254</v>
      </c>
      <c r="H484" s="113"/>
      <c r="I484" s="113" t="str">
        <f t="shared" si="10"/>
        <v>01,25</v>
      </c>
    </row>
    <row r="485" spans="1:9" ht="19.5" hidden="1" thickBot="1" x14ac:dyDescent="0.3">
      <c r="A485" s="456"/>
      <c r="B485" s="114" t="s">
        <v>253</v>
      </c>
      <c r="C485" s="115" t="s">
        <v>17</v>
      </c>
      <c r="D485" s="116">
        <v>5.0960000000000001</v>
      </c>
      <c r="E485" s="117" t="s">
        <v>13</v>
      </c>
      <c r="F485" s="459"/>
      <c r="G485" s="117" t="s">
        <v>254</v>
      </c>
      <c r="H485" s="119"/>
      <c r="I485" s="119" t="str">
        <f t="shared" si="10"/>
        <v>01,25</v>
      </c>
    </row>
    <row r="486" spans="1:9" ht="19.5" hidden="1" thickBot="1" x14ac:dyDescent="0.3">
      <c r="A486" s="460">
        <f t="shared" si="11"/>
        <v>108</v>
      </c>
      <c r="B486" s="91" t="s">
        <v>253</v>
      </c>
      <c r="C486" s="92" t="s">
        <v>18</v>
      </c>
      <c r="D486" s="93">
        <v>3.3809999999999998</v>
      </c>
      <c r="E486" s="94" t="s">
        <v>13</v>
      </c>
      <c r="F486" s="131"/>
      <c r="G486" s="94" t="s">
        <v>256</v>
      </c>
      <c r="H486" s="132"/>
      <c r="I486" s="132" t="str">
        <f t="shared" si="10"/>
        <v>01,25</v>
      </c>
    </row>
    <row r="487" spans="1:9" ht="19.5" hidden="1" thickBot="1" x14ac:dyDescent="0.3">
      <c r="A487" s="461"/>
      <c r="B487" s="175" t="s">
        <v>253</v>
      </c>
      <c r="C487" s="134" t="s">
        <v>19</v>
      </c>
      <c r="D487" s="135">
        <v>6.57</v>
      </c>
      <c r="E487" s="136" t="s">
        <v>13</v>
      </c>
      <c r="F487" s="171"/>
      <c r="G487" s="136" t="s">
        <v>256</v>
      </c>
      <c r="H487" s="137"/>
      <c r="I487" s="137" t="str">
        <f t="shared" si="10"/>
        <v>01,25</v>
      </c>
    </row>
    <row r="488" spans="1:9" ht="19.5" hidden="1" thickBot="1" x14ac:dyDescent="0.3">
      <c r="A488" s="461"/>
      <c r="B488" s="175" t="s">
        <v>253</v>
      </c>
      <c r="C488" s="134" t="s">
        <v>116</v>
      </c>
      <c r="D488" s="135">
        <v>1.331</v>
      </c>
      <c r="E488" s="136" t="s">
        <v>13</v>
      </c>
      <c r="F488" s="171"/>
      <c r="G488" s="136" t="s">
        <v>256</v>
      </c>
      <c r="H488" s="137"/>
      <c r="I488" s="137" t="str">
        <f t="shared" si="10"/>
        <v>01,25</v>
      </c>
    </row>
    <row r="489" spans="1:9" ht="19.5" hidden="1" thickBot="1" x14ac:dyDescent="0.3">
      <c r="A489" s="473"/>
      <c r="B489" s="95" t="s">
        <v>253</v>
      </c>
      <c r="C489" s="96" t="s">
        <v>17</v>
      </c>
      <c r="D489" s="97">
        <v>5.742</v>
      </c>
      <c r="E489" s="98" t="s">
        <v>13</v>
      </c>
      <c r="F489" s="133"/>
      <c r="G489" s="98" t="s">
        <v>256</v>
      </c>
      <c r="H489" s="129"/>
      <c r="I489" s="129" t="str">
        <f t="shared" si="10"/>
        <v>01,25</v>
      </c>
    </row>
    <row r="490" spans="1:9" ht="19.5" hidden="1" thickBot="1" x14ac:dyDescent="0.3">
      <c r="A490" s="454">
        <f t="shared" si="11"/>
        <v>109</v>
      </c>
      <c r="B490" s="102" t="s">
        <v>253</v>
      </c>
      <c r="C490" s="103" t="s">
        <v>18</v>
      </c>
      <c r="D490" s="104">
        <v>1.28</v>
      </c>
      <c r="E490" s="105" t="s">
        <v>34</v>
      </c>
      <c r="F490" s="457" t="s">
        <v>257</v>
      </c>
      <c r="G490" s="105" t="s">
        <v>256</v>
      </c>
      <c r="H490" s="107"/>
      <c r="I490" s="107" t="str">
        <f t="shared" si="10"/>
        <v>01,25</v>
      </c>
    </row>
    <row r="491" spans="1:9" ht="19.5" hidden="1" thickBot="1" x14ac:dyDescent="0.3">
      <c r="A491" s="455"/>
      <c r="B491" s="108" t="s">
        <v>253</v>
      </c>
      <c r="C491" s="109" t="s">
        <v>19</v>
      </c>
      <c r="D491" s="110">
        <v>0.8</v>
      </c>
      <c r="E491" s="111" t="s">
        <v>34</v>
      </c>
      <c r="F491" s="458"/>
      <c r="G491" s="111" t="s">
        <v>256</v>
      </c>
      <c r="H491" s="113"/>
      <c r="I491" s="113" t="str">
        <f t="shared" si="10"/>
        <v>01,25</v>
      </c>
    </row>
    <row r="492" spans="1:9" ht="19.5" hidden="1" thickBot="1" x14ac:dyDescent="0.3">
      <c r="A492" s="455"/>
      <c r="B492" s="108" t="s">
        <v>253</v>
      </c>
      <c r="C492" s="109" t="s">
        <v>17</v>
      </c>
      <c r="D492" s="110">
        <v>3.27</v>
      </c>
      <c r="E492" s="111" t="s">
        <v>34</v>
      </c>
      <c r="F492" s="458"/>
      <c r="G492" s="111" t="s">
        <v>256</v>
      </c>
      <c r="H492" s="113"/>
      <c r="I492" s="113" t="str">
        <f t="shared" si="10"/>
        <v>01,25</v>
      </c>
    </row>
    <row r="493" spans="1:9" ht="19.5" hidden="1" thickBot="1" x14ac:dyDescent="0.3">
      <c r="A493" s="455"/>
      <c r="B493" s="108" t="s">
        <v>253</v>
      </c>
      <c r="C493" s="109" t="s">
        <v>18</v>
      </c>
      <c r="D493" s="110">
        <v>0.46800000000000003</v>
      </c>
      <c r="E493" s="111" t="s">
        <v>45</v>
      </c>
      <c r="F493" s="458"/>
      <c r="G493" s="111" t="s">
        <v>256</v>
      </c>
      <c r="H493" s="113"/>
      <c r="I493" s="113" t="str">
        <f t="shared" si="10"/>
        <v>01,25</v>
      </c>
    </row>
    <row r="494" spans="1:9" ht="19.5" hidden="1" thickBot="1" x14ac:dyDescent="0.3">
      <c r="A494" s="455"/>
      <c r="B494" s="108" t="s">
        <v>253</v>
      </c>
      <c r="C494" s="109" t="s">
        <v>19</v>
      </c>
      <c r="D494" s="110">
        <v>0.41399999999999998</v>
      </c>
      <c r="E494" s="111" t="s">
        <v>45</v>
      </c>
      <c r="F494" s="458"/>
      <c r="G494" s="111" t="s">
        <v>256</v>
      </c>
      <c r="H494" s="113"/>
      <c r="I494" s="113" t="str">
        <f t="shared" si="10"/>
        <v>01,25</v>
      </c>
    </row>
    <row r="495" spans="1:9" ht="19.5" hidden="1" thickBot="1" x14ac:dyDescent="0.3">
      <c r="A495" s="455"/>
      <c r="B495" s="164" t="s">
        <v>253</v>
      </c>
      <c r="C495" s="165" t="s">
        <v>17</v>
      </c>
      <c r="D495" s="166">
        <v>0.91800000000000004</v>
      </c>
      <c r="E495" s="167" t="s">
        <v>45</v>
      </c>
      <c r="F495" s="458"/>
      <c r="G495" s="167" t="s">
        <v>256</v>
      </c>
      <c r="H495" s="163"/>
      <c r="I495" s="163" t="str">
        <f t="shared" si="10"/>
        <v>01,25</v>
      </c>
    </row>
    <row r="496" spans="1:9" ht="19.5" hidden="1" thickBot="1" x14ac:dyDescent="0.3">
      <c r="A496" s="460">
        <f t="shared" si="11"/>
        <v>110</v>
      </c>
      <c r="B496" s="91" t="s">
        <v>258</v>
      </c>
      <c r="C496" s="92" t="s">
        <v>18</v>
      </c>
      <c r="D496" s="93">
        <v>4.18</v>
      </c>
      <c r="E496" s="94" t="s">
        <v>13</v>
      </c>
      <c r="F496" s="462" t="s">
        <v>260</v>
      </c>
      <c r="G496" s="94" t="s">
        <v>259</v>
      </c>
      <c r="H496" s="132"/>
      <c r="I496" s="132" t="str">
        <f t="shared" si="10"/>
        <v>01,25</v>
      </c>
    </row>
    <row r="497" spans="1:9" ht="19.5" hidden="1" thickBot="1" x14ac:dyDescent="0.3">
      <c r="A497" s="461"/>
      <c r="B497" s="175" t="s">
        <v>258</v>
      </c>
      <c r="C497" s="134" t="s">
        <v>19</v>
      </c>
      <c r="D497" s="135">
        <v>4.6070000000000002</v>
      </c>
      <c r="E497" s="136" t="s">
        <v>13</v>
      </c>
      <c r="F497" s="463"/>
      <c r="G497" s="136" t="s">
        <v>259</v>
      </c>
      <c r="H497" s="137"/>
      <c r="I497" s="137" t="str">
        <f t="shared" si="10"/>
        <v>01,25</v>
      </c>
    </row>
    <row r="498" spans="1:9" ht="19.5" hidden="1" thickBot="1" x14ac:dyDescent="0.3">
      <c r="A498" s="473"/>
      <c r="B498" s="95" t="s">
        <v>258</v>
      </c>
      <c r="C498" s="96" t="s">
        <v>17</v>
      </c>
      <c r="D498" s="97">
        <v>5.4109999999999996</v>
      </c>
      <c r="E498" s="98" t="s">
        <v>13</v>
      </c>
      <c r="F498" s="474"/>
      <c r="G498" s="98" t="s">
        <v>259</v>
      </c>
      <c r="H498" s="129"/>
      <c r="I498" s="129" t="str">
        <f t="shared" si="10"/>
        <v>01,25</v>
      </c>
    </row>
    <row r="499" spans="1:9" ht="19.5" hidden="1" thickBot="1" x14ac:dyDescent="0.3">
      <c r="A499" s="454">
        <f t="shared" si="11"/>
        <v>111</v>
      </c>
      <c r="B499" s="102" t="s">
        <v>258</v>
      </c>
      <c r="C499" s="103" t="s">
        <v>18</v>
      </c>
      <c r="D499" s="104">
        <v>4.7619999999999996</v>
      </c>
      <c r="E499" s="105" t="s">
        <v>13</v>
      </c>
      <c r="F499" s="106"/>
      <c r="G499" s="105" t="s">
        <v>261</v>
      </c>
      <c r="H499" s="107"/>
      <c r="I499" s="107" t="str">
        <f t="shared" si="10"/>
        <v>01,25</v>
      </c>
    </row>
    <row r="500" spans="1:9" ht="19.5" hidden="1" thickBot="1" x14ac:dyDescent="0.3">
      <c r="A500" s="455"/>
      <c r="B500" s="108" t="s">
        <v>258</v>
      </c>
      <c r="C500" s="109" t="s">
        <v>19</v>
      </c>
      <c r="D500" s="110">
        <v>5.242</v>
      </c>
      <c r="E500" s="111" t="s">
        <v>13</v>
      </c>
      <c r="F500" s="112"/>
      <c r="G500" s="111" t="s">
        <v>261</v>
      </c>
      <c r="H500" s="113"/>
      <c r="I500" s="113" t="str">
        <f t="shared" si="10"/>
        <v>01,25</v>
      </c>
    </row>
    <row r="501" spans="1:9" ht="19.5" hidden="1" thickBot="1" x14ac:dyDescent="0.3">
      <c r="A501" s="455"/>
      <c r="B501" s="108" t="s">
        <v>258</v>
      </c>
      <c r="C501" s="109" t="s">
        <v>116</v>
      </c>
      <c r="D501" s="110">
        <v>0.69699999999999995</v>
      </c>
      <c r="E501" s="111" t="s">
        <v>13</v>
      </c>
      <c r="F501" s="112"/>
      <c r="G501" s="111" t="s">
        <v>261</v>
      </c>
      <c r="H501" s="113"/>
      <c r="I501" s="113" t="str">
        <f t="shared" si="10"/>
        <v>01,25</v>
      </c>
    </row>
    <row r="502" spans="1:9" ht="19.5" hidden="1" thickBot="1" x14ac:dyDescent="0.3">
      <c r="A502" s="456"/>
      <c r="B502" s="114" t="s">
        <v>258</v>
      </c>
      <c r="C502" s="115" t="s">
        <v>17</v>
      </c>
      <c r="D502" s="116">
        <v>6.1609999999999996</v>
      </c>
      <c r="E502" s="117" t="s">
        <v>13</v>
      </c>
      <c r="F502" s="118"/>
      <c r="G502" s="117" t="s">
        <v>261</v>
      </c>
      <c r="H502" s="119"/>
      <c r="I502" s="119" t="str">
        <f t="shared" si="10"/>
        <v>01,25</v>
      </c>
    </row>
    <row r="503" spans="1:9" ht="19.5" hidden="1" thickBot="1" x14ac:dyDescent="0.3">
      <c r="A503" s="460">
        <f t="shared" si="11"/>
        <v>112</v>
      </c>
      <c r="B503" s="91" t="s">
        <v>258</v>
      </c>
      <c r="C503" s="92" t="s">
        <v>18</v>
      </c>
      <c r="D503" s="93">
        <v>0.65</v>
      </c>
      <c r="E503" s="94" t="s">
        <v>34</v>
      </c>
      <c r="F503" s="462" t="s">
        <v>262</v>
      </c>
      <c r="G503" s="94" t="s">
        <v>261</v>
      </c>
      <c r="H503" s="132"/>
      <c r="I503" s="132" t="str">
        <f t="shared" si="10"/>
        <v>01,25</v>
      </c>
    </row>
    <row r="504" spans="1:9" ht="19.5" hidden="1" thickBot="1" x14ac:dyDescent="0.3">
      <c r="A504" s="461"/>
      <c r="B504" s="175" t="s">
        <v>258</v>
      </c>
      <c r="C504" s="134" t="s">
        <v>19</v>
      </c>
      <c r="D504" s="135">
        <v>0.59</v>
      </c>
      <c r="E504" s="136" t="s">
        <v>34</v>
      </c>
      <c r="F504" s="463"/>
      <c r="G504" s="136" t="s">
        <v>261</v>
      </c>
      <c r="H504" s="137"/>
      <c r="I504" s="137" t="str">
        <f t="shared" si="10"/>
        <v>01,25</v>
      </c>
    </row>
    <row r="505" spans="1:9" ht="19.5" hidden="1" thickBot="1" x14ac:dyDescent="0.3">
      <c r="A505" s="461"/>
      <c r="B505" s="175" t="s">
        <v>258</v>
      </c>
      <c r="C505" s="134" t="s">
        <v>116</v>
      </c>
      <c r="D505" s="135">
        <v>0.49</v>
      </c>
      <c r="E505" s="136" t="s">
        <v>34</v>
      </c>
      <c r="F505" s="463"/>
      <c r="G505" s="136" t="s">
        <v>261</v>
      </c>
      <c r="H505" s="137"/>
      <c r="I505" s="137" t="str">
        <f t="shared" si="10"/>
        <v>01,25</v>
      </c>
    </row>
    <row r="506" spans="1:9" ht="19.5" hidden="1" thickBot="1" x14ac:dyDescent="0.3">
      <c r="A506" s="461"/>
      <c r="B506" s="175" t="s">
        <v>258</v>
      </c>
      <c r="C506" s="134" t="s">
        <v>17</v>
      </c>
      <c r="D506" s="135">
        <v>1.1599999999999999</v>
      </c>
      <c r="E506" s="136" t="s">
        <v>34</v>
      </c>
      <c r="F506" s="463"/>
      <c r="G506" s="136" t="s">
        <v>261</v>
      </c>
      <c r="H506" s="137"/>
      <c r="I506" s="137" t="str">
        <f t="shared" si="10"/>
        <v>01,25</v>
      </c>
    </row>
    <row r="507" spans="1:9" ht="19.5" hidden="1" thickBot="1" x14ac:dyDescent="0.3">
      <c r="A507" s="461"/>
      <c r="B507" s="175" t="s">
        <v>258</v>
      </c>
      <c r="C507" s="134" t="s">
        <v>18</v>
      </c>
      <c r="D507" s="135">
        <v>1.35</v>
      </c>
      <c r="E507" s="136" t="s">
        <v>45</v>
      </c>
      <c r="F507" s="463"/>
      <c r="G507" s="136" t="s">
        <v>261</v>
      </c>
      <c r="H507" s="137"/>
      <c r="I507" s="137" t="str">
        <f t="shared" si="10"/>
        <v>01,25</v>
      </c>
    </row>
    <row r="508" spans="1:9" ht="19.5" hidden="1" thickBot="1" x14ac:dyDescent="0.3">
      <c r="A508" s="461"/>
      <c r="B508" s="175" t="s">
        <v>258</v>
      </c>
      <c r="C508" s="134" t="s">
        <v>19</v>
      </c>
      <c r="D508" s="135">
        <v>0.16200000000000001</v>
      </c>
      <c r="E508" s="136" t="s">
        <v>45</v>
      </c>
      <c r="F508" s="463"/>
      <c r="G508" s="136" t="s">
        <v>261</v>
      </c>
      <c r="H508" s="137"/>
      <c r="I508" s="137" t="str">
        <f t="shared" si="10"/>
        <v>01,25</v>
      </c>
    </row>
    <row r="509" spans="1:9" ht="19.5" hidden="1" thickBot="1" x14ac:dyDescent="0.3">
      <c r="A509" s="473"/>
      <c r="B509" s="95" t="s">
        <v>258</v>
      </c>
      <c r="C509" s="96" t="s">
        <v>17</v>
      </c>
      <c r="D509" s="97">
        <v>1.026</v>
      </c>
      <c r="E509" s="98" t="s">
        <v>45</v>
      </c>
      <c r="F509" s="474"/>
      <c r="G509" s="98" t="s">
        <v>261</v>
      </c>
      <c r="H509" s="129"/>
      <c r="I509" s="129" t="str">
        <f t="shared" si="10"/>
        <v>01,25</v>
      </c>
    </row>
    <row r="510" spans="1:9" ht="19.5" hidden="1" thickBot="1" x14ac:dyDescent="0.3">
      <c r="A510" s="454">
        <f t="shared" si="11"/>
        <v>113</v>
      </c>
      <c r="B510" s="102" t="s">
        <v>263</v>
      </c>
      <c r="C510" s="103" t="s">
        <v>18</v>
      </c>
      <c r="D510" s="104">
        <v>2.58</v>
      </c>
      <c r="E510" s="105" t="s">
        <v>13</v>
      </c>
      <c r="F510" s="457" t="s">
        <v>225</v>
      </c>
      <c r="G510" s="105" t="s">
        <v>264</v>
      </c>
      <c r="H510" s="107"/>
      <c r="I510" s="107" t="str">
        <f t="shared" si="10"/>
        <v>02,25</v>
      </c>
    </row>
    <row r="511" spans="1:9" ht="19.5" hidden="1" thickBot="1" x14ac:dyDescent="0.3">
      <c r="A511" s="455"/>
      <c r="B511" s="108" t="s">
        <v>263</v>
      </c>
      <c r="C511" s="109" t="s">
        <v>19</v>
      </c>
      <c r="D511" s="110">
        <v>6.5510000000000002</v>
      </c>
      <c r="E511" s="111" t="s">
        <v>13</v>
      </c>
      <c r="F511" s="458"/>
      <c r="G511" s="111" t="s">
        <v>264</v>
      </c>
      <c r="H511" s="113"/>
      <c r="I511" s="113" t="str">
        <f t="shared" si="10"/>
        <v>02,25</v>
      </c>
    </row>
    <row r="512" spans="1:9" ht="19.5" hidden="1" thickBot="1" x14ac:dyDescent="0.3">
      <c r="A512" s="455"/>
      <c r="B512" s="108" t="s">
        <v>263</v>
      </c>
      <c r="C512" s="109" t="s">
        <v>116</v>
      </c>
      <c r="D512" s="110">
        <v>1.667</v>
      </c>
      <c r="E512" s="111" t="s">
        <v>13</v>
      </c>
      <c r="F512" s="458"/>
      <c r="G512" s="111" t="s">
        <v>264</v>
      </c>
      <c r="H512" s="113"/>
      <c r="I512" s="113" t="str">
        <f t="shared" si="10"/>
        <v>02,25</v>
      </c>
    </row>
    <row r="513" spans="1:9" ht="19.5" hidden="1" thickBot="1" x14ac:dyDescent="0.3">
      <c r="A513" s="456"/>
      <c r="B513" s="114" t="s">
        <v>263</v>
      </c>
      <c r="C513" s="115" t="s">
        <v>17</v>
      </c>
      <c r="D513" s="116">
        <v>3.0310000000000001</v>
      </c>
      <c r="E513" s="117" t="s">
        <v>13</v>
      </c>
      <c r="F513" s="459"/>
      <c r="G513" s="117" t="s">
        <v>264</v>
      </c>
      <c r="H513" s="119"/>
      <c r="I513" s="119" t="str">
        <f t="shared" si="10"/>
        <v>02,25</v>
      </c>
    </row>
    <row r="514" spans="1:9" ht="19.5" hidden="1" thickBot="1" x14ac:dyDescent="0.3">
      <c r="A514" s="460">
        <f t="shared" si="11"/>
        <v>114</v>
      </c>
      <c r="B514" s="138" t="s">
        <v>263</v>
      </c>
      <c r="C514" s="92" t="s">
        <v>18</v>
      </c>
      <c r="D514" s="93">
        <v>2.0190000000000001</v>
      </c>
      <c r="E514" s="94" t="s">
        <v>13</v>
      </c>
      <c r="F514" s="462" t="s">
        <v>124</v>
      </c>
      <c r="G514" s="94" t="s">
        <v>265</v>
      </c>
      <c r="H514" s="132"/>
      <c r="I514" s="132" t="str">
        <f t="shared" si="10"/>
        <v>02,25</v>
      </c>
    </row>
    <row r="515" spans="1:9" ht="19.5" hidden="1" thickBot="1" x14ac:dyDescent="0.3">
      <c r="A515" s="461"/>
      <c r="B515" s="140" t="s">
        <v>263</v>
      </c>
      <c r="C515" s="134" t="s">
        <v>19</v>
      </c>
      <c r="D515" s="135">
        <v>5.0750000000000002</v>
      </c>
      <c r="E515" s="136" t="s">
        <v>13</v>
      </c>
      <c r="F515" s="463"/>
      <c r="G515" s="136" t="s">
        <v>265</v>
      </c>
      <c r="H515" s="137"/>
      <c r="I515" s="137" t="str">
        <f t="shared" si="10"/>
        <v>02,25</v>
      </c>
    </row>
    <row r="516" spans="1:9" ht="19.5" hidden="1" thickBot="1" x14ac:dyDescent="0.3">
      <c r="A516" s="461"/>
      <c r="B516" s="139" t="s">
        <v>263</v>
      </c>
      <c r="C516" s="96" t="s">
        <v>17</v>
      </c>
      <c r="D516" s="97">
        <v>2.36</v>
      </c>
      <c r="E516" s="98" t="s">
        <v>13</v>
      </c>
      <c r="F516" s="474"/>
      <c r="G516" s="98" t="s">
        <v>265</v>
      </c>
      <c r="H516" s="129"/>
      <c r="I516" s="129" t="str">
        <f t="shared" si="10"/>
        <v>02,25</v>
      </c>
    </row>
    <row r="517" spans="1:9" ht="19.5" hidden="1" thickBot="1" x14ac:dyDescent="0.3">
      <c r="A517" s="461"/>
      <c r="B517" s="175" t="s">
        <v>263</v>
      </c>
      <c r="C517" s="134" t="s">
        <v>18</v>
      </c>
      <c r="D517" s="135">
        <v>0.94</v>
      </c>
      <c r="E517" s="136" t="s">
        <v>34</v>
      </c>
      <c r="F517" s="463" t="s">
        <v>266</v>
      </c>
      <c r="G517" s="136" t="s">
        <v>265</v>
      </c>
      <c r="H517" s="137"/>
      <c r="I517" s="137" t="str">
        <f t="shared" si="10"/>
        <v>02,25</v>
      </c>
    </row>
    <row r="518" spans="1:9" ht="19.5" hidden="1" thickBot="1" x14ac:dyDescent="0.3">
      <c r="A518" s="461"/>
      <c r="B518" s="175" t="s">
        <v>263</v>
      </c>
      <c r="C518" s="134" t="s">
        <v>19</v>
      </c>
      <c r="D518" s="135">
        <v>0.31</v>
      </c>
      <c r="E518" s="136" t="s">
        <v>34</v>
      </c>
      <c r="F518" s="463"/>
      <c r="G518" s="136" t="s">
        <v>265</v>
      </c>
      <c r="H518" s="137"/>
      <c r="I518" s="137" t="str">
        <f t="shared" si="10"/>
        <v>02,25</v>
      </c>
    </row>
    <row r="519" spans="1:9" ht="19.5" hidden="1" thickBot="1" x14ac:dyDescent="0.3">
      <c r="A519" s="461"/>
      <c r="B519" s="175" t="s">
        <v>263</v>
      </c>
      <c r="C519" s="134" t="s">
        <v>17</v>
      </c>
      <c r="D519" s="135">
        <v>2.9</v>
      </c>
      <c r="E519" s="136" t="s">
        <v>34</v>
      </c>
      <c r="F519" s="463"/>
      <c r="G519" s="136" t="s">
        <v>265</v>
      </c>
      <c r="H519" s="137"/>
      <c r="I519" s="137" t="str">
        <f t="shared" si="10"/>
        <v>02,25</v>
      </c>
    </row>
    <row r="520" spans="1:9" ht="19.5" hidden="1" thickBot="1" x14ac:dyDescent="0.3">
      <c r="A520" s="473"/>
      <c r="B520" s="95" t="s">
        <v>263</v>
      </c>
      <c r="C520" s="96" t="s">
        <v>17</v>
      </c>
      <c r="D520" s="97">
        <v>0.9</v>
      </c>
      <c r="E520" s="98" t="s">
        <v>45</v>
      </c>
      <c r="F520" s="474"/>
      <c r="G520" s="98" t="s">
        <v>265</v>
      </c>
      <c r="H520" s="129"/>
      <c r="I520" s="129" t="str">
        <f t="shared" si="10"/>
        <v>02,25</v>
      </c>
    </row>
    <row r="521" spans="1:9" ht="19.5" hidden="1" thickBot="1" x14ac:dyDescent="0.3">
      <c r="A521" s="454">
        <f t="shared" si="11"/>
        <v>115</v>
      </c>
      <c r="B521" s="102" t="s">
        <v>267</v>
      </c>
      <c r="C521" s="103" t="s">
        <v>18</v>
      </c>
      <c r="D521" s="104">
        <v>3.4590000000000001</v>
      </c>
      <c r="E521" s="105" t="s">
        <v>13</v>
      </c>
      <c r="F521" s="457" t="s">
        <v>260</v>
      </c>
      <c r="G521" s="105" t="s">
        <v>268</v>
      </c>
      <c r="H521" s="107"/>
      <c r="I521" s="107" t="str">
        <f t="shared" si="10"/>
        <v>02,25</v>
      </c>
    </row>
    <row r="522" spans="1:9" ht="19.5" hidden="1" thickBot="1" x14ac:dyDescent="0.3">
      <c r="A522" s="455"/>
      <c r="B522" s="108" t="s">
        <v>267</v>
      </c>
      <c r="C522" s="109" t="s">
        <v>19</v>
      </c>
      <c r="D522" s="110">
        <v>6.0839999999999996</v>
      </c>
      <c r="E522" s="111" t="s">
        <v>13</v>
      </c>
      <c r="F522" s="458"/>
      <c r="G522" s="111" t="s">
        <v>268</v>
      </c>
      <c r="H522" s="113"/>
      <c r="I522" s="113" t="str">
        <f t="shared" si="10"/>
        <v>02,25</v>
      </c>
    </row>
    <row r="523" spans="1:9" ht="19.5" hidden="1" thickBot="1" x14ac:dyDescent="0.3">
      <c r="A523" s="455"/>
      <c r="B523" s="108" t="s">
        <v>267</v>
      </c>
      <c r="C523" s="109" t="s">
        <v>116</v>
      </c>
      <c r="D523" s="110">
        <v>1.121</v>
      </c>
      <c r="E523" s="111" t="s">
        <v>13</v>
      </c>
      <c r="F523" s="458"/>
      <c r="G523" s="111" t="s">
        <v>268</v>
      </c>
      <c r="H523" s="113"/>
      <c r="I523" s="113" t="str">
        <f t="shared" si="10"/>
        <v>02,25</v>
      </c>
    </row>
    <row r="524" spans="1:9" ht="19.5" hidden="1" thickBot="1" x14ac:dyDescent="0.3">
      <c r="A524" s="456"/>
      <c r="B524" s="114" t="s">
        <v>267</v>
      </c>
      <c r="C524" s="115" t="s">
        <v>17</v>
      </c>
      <c r="D524" s="116">
        <v>3.74</v>
      </c>
      <c r="E524" s="117" t="s">
        <v>13</v>
      </c>
      <c r="F524" s="459"/>
      <c r="G524" s="117" t="s">
        <v>268</v>
      </c>
      <c r="H524" s="119"/>
      <c r="I524" s="119" t="str">
        <f t="shared" si="10"/>
        <v>02,25</v>
      </c>
    </row>
    <row r="525" spans="1:9" ht="19.5" hidden="1" thickBot="1" x14ac:dyDescent="0.3">
      <c r="A525" s="460">
        <f t="shared" si="11"/>
        <v>116</v>
      </c>
      <c r="B525" s="138" t="s">
        <v>267</v>
      </c>
      <c r="C525" s="92" t="s">
        <v>18</v>
      </c>
      <c r="D525" s="93">
        <v>1.32</v>
      </c>
      <c r="E525" s="94" t="s">
        <v>13</v>
      </c>
      <c r="F525" s="462" t="s">
        <v>270</v>
      </c>
      <c r="G525" s="94" t="s">
        <v>269</v>
      </c>
      <c r="H525" s="132"/>
      <c r="I525" s="132" t="str">
        <f t="shared" si="10"/>
        <v>02,25</v>
      </c>
    </row>
    <row r="526" spans="1:9" ht="19.5" hidden="1" thickBot="1" x14ac:dyDescent="0.3">
      <c r="A526" s="461"/>
      <c r="B526" s="140" t="s">
        <v>267</v>
      </c>
      <c r="C526" s="134" t="s">
        <v>19</v>
      </c>
      <c r="D526" s="135">
        <v>2.323</v>
      </c>
      <c r="E526" s="136" t="s">
        <v>13</v>
      </c>
      <c r="F526" s="463"/>
      <c r="G526" s="136" t="s">
        <v>269</v>
      </c>
      <c r="H526" s="137"/>
      <c r="I526" s="137" t="str">
        <f t="shared" si="10"/>
        <v>02,25</v>
      </c>
    </row>
    <row r="527" spans="1:9" ht="19.5" hidden="1" thickBot="1" x14ac:dyDescent="0.3">
      <c r="A527" s="461"/>
      <c r="B527" s="139" t="s">
        <v>267</v>
      </c>
      <c r="C527" s="96" t="s">
        <v>17</v>
      </c>
      <c r="D527" s="97">
        <v>1.4350000000000001</v>
      </c>
      <c r="E527" s="98" t="s">
        <v>13</v>
      </c>
      <c r="F527" s="474"/>
      <c r="G527" s="98" t="s">
        <v>269</v>
      </c>
      <c r="H527" s="129"/>
      <c r="I527" s="129" t="str">
        <f t="shared" si="10"/>
        <v>02,25</v>
      </c>
    </row>
    <row r="528" spans="1:9" ht="19.5" hidden="1" thickBot="1" x14ac:dyDescent="0.3">
      <c r="A528" s="461"/>
      <c r="B528" s="175" t="s">
        <v>267</v>
      </c>
      <c r="C528" s="134" t="s">
        <v>18</v>
      </c>
      <c r="D528" s="135">
        <v>0.66</v>
      </c>
      <c r="E528" s="136" t="s">
        <v>34</v>
      </c>
      <c r="F528" s="463" t="s">
        <v>271</v>
      </c>
      <c r="G528" s="136" t="s">
        <v>269</v>
      </c>
      <c r="H528" s="137"/>
      <c r="I528" s="137" t="str">
        <f t="shared" si="10"/>
        <v>02,25</v>
      </c>
    </row>
    <row r="529" spans="1:9" ht="19.5" hidden="1" thickBot="1" x14ac:dyDescent="0.3">
      <c r="A529" s="461"/>
      <c r="B529" s="175" t="s">
        <v>267</v>
      </c>
      <c r="C529" s="134" t="s">
        <v>19</v>
      </c>
      <c r="D529" s="135">
        <v>0.76</v>
      </c>
      <c r="E529" s="136" t="s">
        <v>34</v>
      </c>
      <c r="F529" s="463"/>
      <c r="G529" s="136" t="s">
        <v>269</v>
      </c>
      <c r="H529" s="137"/>
      <c r="I529" s="137" t="str">
        <f t="shared" si="10"/>
        <v>02,25</v>
      </c>
    </row>
    <row r="530" spans="1:9" ht="19.5" hidden="1" thickBot="1" x14ac:dyDescent="0.3">
      <c r="A530" s="461"/>
      <c r="B530" s="175" t="s">
        <v>267</v>
      </c>
      <c r="C530" s="134" t="s">
        <v>17</v>
      </c>
      <c r="D530" s="135">
        <v>1.1200000000000001</v>
      </c>
      <c r="E530" s="136" t="s">
        <v>34</v>
      </c>
      <c r="F530" s="463"/>
      <c r="G530" s="136" t="s">
        <v>269</v>
      </c>
      <c r="H530" s="137"/>
      <c r="I530" s="137" t="str">
        <f t="shared" si="10"/>
        <v>02,25</v>
      </c>
    </row>
    <row r="531" spans="1:9" ht="19.5" hidden="1" thickBot="1" x14ac:dyDescent="0.3">
      <c r="A531" s="461"/>
      <c r="B531" s="175" t="s">
        <v>267</v>
      </c>
      <c r="C531" s="134" t="s">
        <v>18</v>
      </c>
      <c r="D531" s="135">
        <v>0.108</v>
      </c>
      <c r="E531" s="136" t="s">
        <v>45</v>
      </c>
      <c r="F531" s="463"/>
      <c r="G531" s="136" t="s">
        <v>269</v>
      </c>
      <c r="H531" s="137"/>
      <c r="I531" s="137" t="str">
        <f t="shared" si="10"/>
        <v>02,25</v>
      </c>
    </row>
    <row r="532" spans="1:9" ht="19.5" hidden="1" thickBot="1" x14ac:dyDescent="0.3">
      <c r="A532" s="473"/>
      <c r="B532" s="95" t="s">
        <v>267</v>
      </c>
      <c r="C532" s="96" t="s">
        <v>19</v>
      </c>
      <c r="D532" s="97">
        <v>0.18</v>
      </c>
      <c r="E532" s="98" t="s">
        <v>45</v>
      </c>
      <c r="F532" s="474"/>
      <c r="G532" s="98" t="s">
        <v>269</v>
      </c>
      <c r="H532" s="129"/>
      <c r="I532" s="129" t="str">
        <f t="shared" si="10"/>
        <v>02,25</v>
      </c>
    </row>
    <row r="533" spans="1:9" ht="19.5" hidden="1" thickBot="1" x14ac:dyDescent="0.3">
      <c r="A533" s="454">
        <f t="shared" si="11"/>
        <v>117</v>
      </c>
      <c r="B533" s="102" t="s">
        <v>272</v>
      </c>
      <c r="C533" s="103" t="s">
        <v>18</v>
      </c>
      <c r="D533" s="104">
        <v>3.2629999999999999</v>
      </c>
      <c r="E533" s="105" t="s">
        <v>13</v>
      </c>
      <c r="F533" s="457" t="s">
        <v>275</v>
      </c>
      <c r="G533" s="105" t="s">
        <v>273</v>
      </c>
      <c r="H533" s="107"/>
      <c r="I533" s="107" t="str">
        <f t="shared" si="10"/>
        <v>02,25</v>
      </c>
    </row>
    <row r="534" spans="1:9" ht="19.5" hidden="1" thickBot="1" x14ac:dyDescent="0.3">
      <c r="A534" s="455"/>
      <c r="B534" s="108" t="s">
        <v>272</v>
      </c>
      <c r="C534" s="109" t="s">
        <v>19</v>
      </c>
      <c r="D534" s="110">
        <v>4.593</v>
      </c>
      <c r="E534" s="111" t="s">
        <v>13</v>
      </c>
      <c r="F534" s="458"/>
      <c r="G534" s="111" t="s">
        <v>273</v>
      </c>
      <c r="H534" s="113"/>
      <c r="I534" s="113" t="str">
        <f t="shared" si="10"/>
        <v>02,25</v>
      </c>
    </row>
    <row r="535" spans="1:9" ht="19.5" hidden="1" thickBot="1" x14ac:dyDescent="0.3">
      <c r="A535" s="455"/>
      <c r="B535" s="108" t="s">
        <v>272</v>
      </c>
      <c r="C535" s="109" t="s">
        <v>116</v>
      </c>
      <c r="D535" s="110">
        <v>1.167</v>
      </c>
      <c r="E535" s="111" t="s">
        <v>13</v>
      </c>
      <c r="F535" s="458"/>
      <c r="G535" s="111" t="s">
        <v>273</v>
      </c>
      <c r="H535" s="113"/>
      <c r="I535" s="113" t="str">
        <f t="shared" si="10"/>
        <v>02,25</v>
      </c>
    </row>
    <row r="536" spans="1:9" ht="19.5" hidden="1" thickBot="1" x14ac:dyDescent="0.3">
      <c r="A536" s="456"/>
      <c r="B536" s="114" t="s">
        <v>272</v>
      </c>
      <c r="C536" s="115" t="s">
        <v>17</v>
      </c>
      <c r="D536" s="116">
        <v>6.1589999999999998</v>
      </c>
      <c r="E536" s="117" t="s">
        <v>13</v>
      </c>
      <c r="F536" s="459"/>
      <c r="G536" s="117" t="s">
        <v>273</v>
      </c>
      <c r="H536" s="119"/>
      <c r="I536" s="119" t="str">
        <f t="shared" si="10"/>
        <v>02,25</v>
      </c>
    </row>
    <row r="537" spans="1:9" ht="19.5" hidden="1" thickBot="1" x14ac:dyDescent="0.3">
      <c r="A537" s="461">
        <f t="shared" ref="A537:A593" si="12">MAX(A536,A535,A534,A533,A532,A531,A530,A529,A528,A527,A526,A525,A524,A523)+1</f>
        <v>118</v>
      </c>
      <c r="B537" s="138" t="s">
        <v>272</v>
      </c>
      <c r="C537" s="92" t="s">
        <v>18</v>
      </c>
      <c r="D537" s="93">
        <v>2.9449999999999998</v>
      </c>
      <c r="E537" s="94" t="s">
        <v>13</v>
      </c>
      <c r="F537" s="462" t="s">
        <v>94</v>
      </c>
      <c r="G537" s="94" t="s">
        <v>274</v>
      </c>
      <c r="H537" s="132"/>
      <c r="I537" s="132" t="str">
        <f t="shared" si="10"/>
        <v>02,25</v>
      </c>
    </row>
    <row r="538" spans="1:9" ht="19.5" hidden="1" thickBot="1" x14ac:dyDescent="0.3">
      <c r="A538" s="461"/>
      <c r="B538" s="140" t="s">
        <v>272</v>
      </c>
      <c r="C538" s="134" t="s">
        <v>19</v>
      </c>
      <c r="D538" s="135">
        <v>4.1550000000000002</v>
      </c>
      <c r="E538" s="136" t="s">
        <v>13</v>
      </c>
      <c r="F538" s="463"/>
      <c r="G538" s="136" t="s">
        <v>274</v>
      </c>
      <c r="H538" s="137"/>
      <c r="I538" s="137" t="str">
        <f t="shared" si="10"/>
        <v>02,25</v>
      </c>
    </row>
    <row r="539" spans="1:9" ht="19.5" hidden="1" thickBot="1" x14ac:dyDescent="0.3">
      <c r="A539" s="461"/>
      <c r="B539" s="139" t="s">
        <v>272</v>
      </c>
      <c r="C539" s="96" t="s">
        <v>17</v>
      </c>
      <c r="D539" s="97">
        <v>5.5510000000000002</v>
      </c>
      <c r="E539" s="98" t="s">
        <v>13</v>
      </c>
      <c r="F539" s="474"/>
      <c r="G539" s="98" t="s">
        <v>274</v>
      </c>
      <c r="H539" s="129"/>
      <c r="I539" s="129" t="str">
        <f t="shared" si="10"/>
        <v>02,25</v>
      </c>
    </row>
    <row r="540" spans="1:9" ht="19.5" hidden="1" thickBot="1" x14ac:dyDescent="0.3">
      <c r="A540" s="461"/>
      <c r="B540" s="175" t="s">
        <v>272</v>
      </c>
      <c r="C540" s="134" t="s">
        <v>18</v>
      </c>
      <c r="D540" s="135">
        <v>0.78</v>
      </c>
      <c r="E540" s="136" t="s">
        <v>34</v>
      </c>
      <c r="F540" s="463" t="s">
        <v>102</v>
      </c>
      <c r="G540" s="136" t="s">
        <v>274</v>
      </c>
      <c r="H540" s="137"/>
      <c r="I540" s="137" t="str">
        <f t="shared" si="10"/>
        <v>02,25</v>
      </c>
    </row>
    <row r="541" spans="1:9" ht="19.5" hidden="1" thickBot="1" x14ac:dyDescent="0.3">
      <c r="A541" s="461"/>
      <c r="B541" s="175" t="s">
        <v>272</v>
      </c>
      <c r="C541" s="134" t="s">
        <v>19</v>
      </c>
      <c r="D541" s="135">
        <v>0.14000000000000001</v>
      </c>
      <c r="E541" s="136" t="s">
        <v>34</v>
      </c>
      <c r="F541" s="463"/>
      <c r="G541" s="136" t="s">
        <v>274</v>
      </c>
      <c r="H541" s="137"/>
      <c r="I541" s="137" t="str">
        <f t="shared" si="10"/>
        <v>02,25</v>
      </c>
    </row>
    <row r="542" spans="1:9" ht="19.5" hidden="1" thickBot="1" x14ac:dyDescent="0.3">
      <c r="A542" s="461"/>
      <c r="B542" s="175" t="s">
        <v>272</v>
      </c>
      <c r="C542" s="134" t="s">
        <v>17</v>
      </c>
      <c r="D542" s="135">
        <v>1.1299999999999999</v>
      </c>
      <c r="E542" s="136" t="s">
        <v>34</v>
      </c>
      <c r="F542" s="463"/>
      <c r="G542" s="136" t="s">
        <v>274</v>
      </c>
      <c r="H542" s="137"/>
      <c r="I542" s="137" t="str">
        <f t="shared" si="10"/>
        <v>02,25</v>
      </c>
    </row>
    <row r="543" spans="1:9" ht="19.5" hidden="1" thickBot="1" x14ac:dyDescent="0.3">
      <c r="A543" s="461"/>
      <c r="B543" s="175" t="s">
        <v>272</v>
      </c>
      <c r="C543" s="134" t="s">
        <v>18</v>
      </c>
      <c r="D543" s="135">
        <v>0.45</v>
      </c>
      <c r="E543" s="136" t="s">
        <v>45</v>
      </c>
      <c r="F543" s="463"/>
      <c r="G543" s="136" t="s">
        <v>274</v>
      </c>
      <c r="H543" s="137"/>
      <c r="I543" s="137" t="str">
        <f t="shared" si="10"/>
        <v>02,25</v>
      </c>
    </row>
    <row r="544" spans="1:9" ht="19.5" hidden="1" thickBot="1" x14ac:dyDescent="0.3">
      <c r="A544" s="461"/>
      <c r="B544" s="141" t="s">
        <v>272</v>
      </c>
      <c r="C544" s="142" t="s">
        <v>17</v>
      </c>
      <c r="D544" s="143">
        <v>0.81</v>
      </c>
      <c r="E544" s="144" t="s">
        <v>45</v>
      </c>
      <c r="F544" s="463"/>
      <c r="G544" s="144" t="s">
        <v>274</v>
      </c>
      <c r="H544" s="145"/>
      <c r="I544" s="145" t="str">
        <f t="shared" si="10"/>
        <v>02,25</v>
      </c>
    </row>
    <row r="545" spans="1:9" ht="37.5" hidden="1" customHeight="1" x14ac:dyDescent="0.3">
      <c r="A545" s="454">
        <f t="shared" si="12"/>
        <v>119</v>
      </c>
      <c r="B545" s="102" t="s">
        <v>276</v>
      </c>
      <c r="C545" s="103" t="s">
        <v>19</v>
      </c>
      <c r="D545" s="104">
        <v>4.8970000000000002</v>
      </c>
      <c r="E545" s="105" t="s">
        <v>13</v>
      </c>
      <c r="F545" s="486" t="s">
        <v>279</v>
      </c>
      <c r="G545" s="105" t="s">
        <v>278</v>
      </c>
      <c r="H545" s="107"/>
      <c r="I545" s="107" t="str">
        <f t="shared" si="10"/>
        <v>02,25</v>
      </c>
    </row>
    <row r="546" spans="1:9" ht="37.5" hidden="1" customHeight="1" thickBot="1" x14ac:dyDescent="0.3">
      <c r="A546" s="456"/>
      <c r="B546" s="114" t="s">
        <v>276</v>
      </c>
      <c r="C546" s="115" t="s">
        <v>277</v>
      </c>
      <c r="D546" s="116">
        <v>7.3150000000000004</v>
      </c>
      <c r="E546" s="117" t="s">
        <v>13</v>
      </c>
      <c r="F546" s="487"/>
      <c r="G546" s="117" t="s">
        <v>278</v>
      </c>
      <c r="H546" s="119"/>
      <c r="I546" s="119" t="str">
        <f t="shared" si="10"/>
        <v>02,25</v>
      </c>
    </row>
    <row r="547" spans="1:9" ht="19.5" hidden="1" thickBot="1" x14ac:dyDescent="0.3">
      <c r="A547" s="460">
        <f t="shared" si="12"/>
        <v>120</v>
      </c>
      <c r="B547" s="91" t="s">
        <v>276</v>
      </c>
      <c r="C547" s="92" t="s">
        <v>18</v>
      </c>
      <c r="D547" s="93">
        <v>4.601</v>
      </c>
      <c r="E547" s="94" t="s">
        <v>13</v>
      </c>
      <c r="F547" s="131"/>
      <c r="G547" s="94" t="s">
        <v>278</v>
      </c>
      <c r="H547" s="132"/>
      <c r="I547" s="132" t="str">
        <f t="shared" si="10"/>
        <v>02,25</v>
      </c>
    </row>
    <row r="548" spans="1:9" ht="19.5" hidden="1" thickBot="1" x14ac:dyDescent="0.3">
      <c r="A548" s="461"/>
      <c r="B548" s="175" t="s">
        <v>276</v>
      </c>
      <c r="C548" s="134" t="s">
        <v>19</v>
      </c>
      <c r="D548" s="135">
        <v>5.0220000000000002</v>
      </c>
      <c r="E548" s="136" t="s">
        <v>13</v>
      </c>
      <c r="F548" s="171"/>
      <c r="G548" s="136" t="s">
        <v>278</v>
      </c>
      <c r="H548" s="137"/>
      <c r="I548" s="137" t="str">
        <f t="shared" si="10"/>
        <v>02,25</v>
      </c>
    </row>
    <row r="549" spans="1:9" ht="19.5" hidden="1" thickBot="1" x14ac:dyDescent="0.3">
      <c r="A549" s="473"/>
      <c r="B549" s="95" t="s">
        <v>276</v>
      </c>
      <c r="C549" s="96" t="s">
        <v>17</v>
      </c>
      <c r="D549" s="97">
        <v>7.2729999999999997</v>
      </c>
      <c r="E549" s="98" t="s">
        <v>13</v>
      </c>
      <c r="F549" s="133"/>
      <c r="G549" s="98" t="s">
        <v>278</v>
      </c>
      <c r="H549" s="129"/>
      <c r="I549" s="129" t="str">
        <f t="shared" si="10"/>
        <v>02,25</v>
      </c>
    </row>
    <row r="550" spans="1:9" ht="19.5" hidden="1" thickBot="1" x14ac:dyDescent="0.3">
      <c r="A550" s="454">
        <f t="shared" si="12"/>
        <v>121</v>
      </c>
      <c r="B550" s="126" t="s">
        <v>276</v>
      </c>
      <c r="C550" s="103" t="s">
        <v>18</v>
      </c>
      <c r="D550" s="104">
        <v>1.722</v>
      </c>
      <c r="E550" s="105" t="s">
        <v>13</v>
      </c>
      <c r="F550" s="457" t="s">
        <v>281</v>
      </c>
      <c r="G550" s="105" t="s">
        <v>280</v>
      </c>
      <c r="H550" s="107"/>
      <c r="I550" s="107" t="str">
        <f t="shared" si="10"/>
        <v>02,25</v>
      </c>
    </row>
    <row r="551" spans="1:9" ht="19.5" hidden="1" thickBot="1" x14ac:dyDescent="0.3">
      <c r="A551" s="455"/>
      <c r="B551" s="127" t="s">
        <v>276</v>
      </c>
      <c r="C551" s="109" t="s">
        <v>19</v>
      </c>
      <c r="D551" s="110">
        <v>3.7010000000000001</v>
      </c>
      <c r="E551" s="111" t="s">
        <v>13</v>
      </c>
      <c r="F551" s="458"/>
      <c r="G551" s="111" t="s">
        <v>280</v>
      </c>
      <c r="H551" s="113"/>
      <c r="I551" s="113" t="str">
        <f t="shared" si="10"/>
        <v>02,25</v>
      </c>
    </row>
    <row r="552" spans="1:9" ht="19.5" hidden="1" thickBot="1" x14ac:dyDescent="0.3">
      <c r="A552" s="455"/>
      <c r="B552" s="127" t="s">
        <v>276</v>
      </c>
      <c r="C552" s="109" t="s">
        <v>116</v>
      </c>
      <c r="D552" s="110">
        <v>2.2810000000000001</v>
      </c>
      <c r="E552" s="111" t="s">
        <v>13</v>
      </c>
      <c r="F552" s="458"/>
      <c r="G552" s="111" t="s">
        <v>280</v>
      </c>
      <c r="H552" s="113"/>
      <c r="I552" s="113" t="str">
        <f t="shared" si="10"/>
        <v>02,25</v>
      </c>
    </row>
    <row r="553" spans="1:9" ht="19.5" hidden="1" thickBot="1" x14ac:dyDescent="0.3">
      <c r="A553" s="455"/>
      <c r="B553" s="128" t="s">
        <v>276</v>
      </c>
      <c r="C553" s="115" t="s">
        <v>17</v>
      </c>
      <c r="D553" s="116">
        <v>2.71</v>
      </c>
      <c r="E553" s="117" t="s">
        <v>13</v>
      </c>
      <c r="F553" s="459"/>
      <c r="G553" s="117" t="s">
        <v>280</v>
      </c>
      <c r="H553" s="119"/>
      <c r="I553" s="119" t="str">
        <f t="shared" si="10"/>
        <v>02,25</v>
      </c>
    </row>
    <row r="554" spans="1:9" ht="19.5" hidden="1" thickBot="1" x14ac:dyDescent="0.3">
      <c r="A554" s="455"/>
      <c r="B554" s="108" t="s">
        <v>276</v>
      </c>
      <c r="C554" s="109" t="s">
        <v>18</v>
      </c>
      <c r="D554" s="110">
        <v>0.57999999999999996</v>
      </c>
      <c r="E554" s="111" t="s">
        <v>34</v>
      </c>
      <c r="F554" s="457" t="s">
        <v>282</v>
      </c>
      <c r="G554" s="111" t="s">
        <v>280</v>
      </c>
      <c r="H554" s="113"/>
      <c r="I554" s="113" t="str">
        <f t="shared" si="10"/>
        <v>02,25</v>
      </c>
    </row>
    <row r="555" spans="1:9" ht="19.5" hidden="1" thickBot="1" x14ac:dyDescent="0.3">
      <c r="A555" s="455"/>
      <c r="B555" s="108" t="s">
        <v>276</v>
      </c>
      <c r="C555" s="109" t="s">
        <v>19</v>
      </c>
      <c r="D555" s="110">
        <v>0.35</v>
      </c>
      <c r="E555" s="111" t="s">
        <v>34</v>
      </c>
      <c r="F555" s="458"/>
      <c r="G555" s="111" t="s">
        <v>280</v>
      </c>
      <c r="H555" s="113"/>
      <c r="I555" s="113" t="str">
        <f t="shared" si="10"/>
        <v>02,25</v>
      </c>
    </row>
    <row r="556" spans="1:9" ht="19.5" hidden="1" thickBot="1" x14ac:dyDescent="0.3">
      <c r="A556" s="455"/>
      <c r="B556" s="108" t="s">
        <v>276</v>
      </c>
      <c r="C556" s="109" t="s">
        <v>116</v>
      </c>
      <c r="D556" s="110">
        <v>0.13</v>
      </c>
      <c r="E556" s="111" t="s">
        <v>34</v>
      </c>
      <c r="F556" s="458"/>
      <c r="G556" s="111" t="s">
        <v>280</v>
      </c>
      <c r="H556" s="113"/>
      <c r="I556" s="113" t="str">
        <f t="shared" si="10"/>
        <v>02,25</v>
      </c>
    </row>
    <row r="557" spans="1:9" ht="19.5" hidden="1" thickBot="1" x14ac:dyDescent="0.3">
      <c r="A557" s="455"/>
      <c r="B557" s="108" t="s">
        <v>276</v>
      </c>
      <c r="C557" s="109" t="s">
        <v>17</v>
      </c>
      <c r="D557" s="110">
        <v>2.79</v>
      </c>
      <c r="E557" s="111" t="s">
        <v>34</v>
      </c>
      <c r="F557" s="458"/>
      <c r="G557" s="111" t="s">
        <v>280</v>
      </c>
      <c r="H557" s="113"/>
      <c r="I557" s="113" t="str">
        <f t="shared" si="10"/>
        <v>02,25</v>
      </c>
    </row>
    <row r="558" spans="1:9" ht="19.5" hidden="1" thickBot="1" x14ac:dyDescent="0.3">
      <c r="A558" s="455"/>
      <c r="B558" s="108" t="s">
        <v>276</v>
      </c>
      <c r="C558" s="109" t="s">
        <v>18</v>
      </c>
      <c r="D558" s="110">
        <v>0.41399999999999998</v>
      </c>
      <c r="E558" s="111" t="s">
        <v>45</v>
      </c>
      <c r="F558" s="458"/>
      <c r="G558" s="111" t="s">
        <v>280</v>
      </c>
      <c r="H558" s="113"/>
      <c r="I558" s="113" t="str">
        <f t="shared" si="10"/>
        <v>02,25</v>
      </c>
    </row>
    <row r="559" spans="1:9" ht="19.5" hidden="1" thickBot="1" x14ac:dyDescent="0.3">
      <c r="A559" s="455"/>
      <c r="B559" s="108" t="s">
        <v>276</v>
      </c>
      <c r="C559" s="109" t="s">
        <v>19</v>
      </c>
      <c r="D559" s="212">
        <v>5.3999999999999999E-2</v>
      </c>
      <c r="E559" s="111" t="s">
        <v>45</v>
      </c>
      <c r="F559" s="458"/>
      <c r="G559" s="111" t="s">
        <v>280</v>
      </c>
      <c r="H559" s="113"/>
      <c r="I559" s="113" t="str">
        <f t="shared" si="10"/>
        <v>02,25</v>
      </c>
    </row>
    <row r="560" spans="1:9" ht="19.5" hidden="1" thickBot="1" x14ac:dyDescent="0.3">
      <c r="A560" s="455"/>
      <c r="B560" s="108" t="s">
        <v>276</v>
      </c>
      <c r="C560" s="109" t="s">
        <v>116</v>
      </c>
      <c r="D560" s="212">
        <v>3.5999999999999997E-2</v>
      </c>
      <c r="E560" s="111" t="s">
        <v>45</v>
      </c>
      <c r="F560" s="458"/>
      <c r="G560" s="111" t="s">
        <v>280</v>
      </c>
      <c r="H560" s="113"/>
      <c r="I560" s="113" t="str">
        <f t="shared" si="10"/>
        <v>02,25</v>
      </c>
    </row>
    <row r="561" spans="1:9" ht="19.5" hidden="1" thickBot="1" x14ac:dyDescent="0.3">
      <c r="A561" s="456"/>
      <c r="B561" s="114" t="s">
        <v>276</v>
      </c>
      <c r="C561" s="115" t="s">
        <v>17</v>
      </c>
      <c r="D561" s="116">
        <v>0.216</v>
      </c>
      <c r="E561" s="117" t="s">
        <v>45</v>
      </c>
      <c r="F561" s="459"/>
      <c r="G561" s="117" t="s">
        <v>280</v>
      </c>
      <c r="H561" s="119"/>
      <c r="I561" s="119" t="str">
        <f t="shared" si="10"/>
        <v>02,25</v>
      </c>
    </row>
    <row r="562" spans="1:9" ht="19.5" hidden="1" thickBot="1" x14ac:dyDescent="0.3">
      <c r="A562" s="460">
        <f t="shared" si="12"/>
        <v>122</v>
      </c>
      <c r="B562" s="91" t="s">
        <v>283</v>
      </c>
      <c r="C562" s="92" t="s">
        <v>18</v>
      </c>
      <c r="D562" s="93">
        <v>1.611</v>
      </c>
      <c r="E562" s="94" t="s">
        <v>13</v>
      </c>
      <c r="F562" s="462" t="s">
        <v>285</v>
      </c>
      <c r="G562" s="94" t="s">
        <v>284</v>
      </c>
      <c r="H562" s="132"/>
      <c r="I562" s="132" t="str">
        <f t="shared" si="10"/>
        <v>03,25</v>
      </c>
    </row>
    <row r="563" spans="1:9" ht="19.5" hidden="1" thickBot="1" x14ac:dyDescent="0.3">
      <c r="A563" s="461"/>
      <c r="B563" s="175" t="s">
        <v>283</v>
      </c>
      <c r="C563" s="134" t="s">
        <v>19</v>
      </c>
      <c r="D563" s="135">
        <v>5.7690000000000001</v>
      </c>
      <c r="E563" s="136" t="s">
        <v>13</v>
      </c>
      <c r="F563" s="463"/>
      <c r="G563" s="136" t="s">
        <v>284</v>
      </c>
      <c r="H563" s="137"/>
      <c r="I563" s="137" t="str">
        <f t="shared" si="10"/>
        <v>03,25</v>
      </c>
    </row>
    <row r="564" spans="1:9" ht="19.5" hidden="1" thickBot="1" x14ac:dyDescent="0.3">
      <c r="A564" s="473"/>
      <c r="B564" s="95" t="s">
        <v>283</v>
      </c>
      <c r="C564" s="96" t="s">
        <v>17</v>
      </c>
      <c r="D564" s="97">
        <v>5.9139999999999997</v>
      </c>
      <c r="E564" s="98" t="s">
        <v>13</v>
      </c>
      <c r="F564" s="474"/>
      <c r="G564" s="98" t="s">
        <v>284</v>
      </c>
      <c r="H564" s="129"/>
      <c r="I564" s="129" t="str">
        <f t="shared" si="10"/>
        <v>03,25</v>
      </c>
    </row>
    <row r="565" spans="1:9" ht="19.5" hidden="1" thickBot="1" x14ac:dyDescent="0.3">
      <c r="A565" s="454">
        <f t="shared" si="12"/>
        <v>123</v>
      </c>
      <c r="B565" s="126" t="s">
        <v>283</v>
      </c>
      <c r="C565" s="103" t="s">
        <v>18</v>
      </c>
      <c r="D565" s="104">
        <v>0.96399999999999997</v>
      </c>
      <c r="E565" s="105" t="s">
        <v>13</v>
      </c>
      <c r="F565" s="457" t="s">
        <v>113</v>
      </c>
      <c r="G565" s="105" t="s">
        <v>286</v>
      </c>
      <c r="H565" s="107"/>
      <c r="I565" s="107" t="str">
        <f t="shared" si="10"/>
        <v>03,25</v>
      </c>
    </row>
    <row r="566" spans="1:9" ht="19.5" hidden="1" thickBot="1" x14ac:dyDescent="0.3">
      <c r="A566" s="455"/>
      <c r="B566" s="127" t="s">
        <v>283</v>
      </c>
      <c r="C566" s="109" t="s">
        <v>19</v>
      </c>
      <c r="D566" s="110">
        <v>3.4209999999999998</v>
      </c>
      <c r="E566" s="111" t="s">
        <v>13</v>
      </c>
      <c r="F566" s="458"/>
      <c r="G566" s="111" t="s">
        <v>286</v>
      </c>
      <c r="H566" s="113"/>
      <c r="I566" s="113" t="str">
        <f t="shared" si="10"/>
        <v>03,25</v>
      </c>
    </row>
    <row r="567" spans="1:9" ht="19.5" hidden="1" thickBot="1" x14ac:dyDescent="0.3">
      <c r="A567" s="455"/>
      <c r="B567" s="127" t="s">
        <v>283</v>
      </c>
      <c r="C567" s="109" t="s">
        <v>116</v>
      </c>
      <c r="D567" s="110">
        <v>1.2909999999999999</v>
      </c>
      <c r="E567" s="111" t="s">
        <v>13</v>
      </c>
      <c r="F567" s="458"/>
      <c r="G567" s="111" t="s">
        <v>286</v>
      </c>
      <c r="H567" s="113"/>
      <c r="I567" s="113" t="str">
        <f t="shared" si="10"/>
        <v>03,25</v>
      </c>
    </row>
    <row r="568" spans="1:9" ht="19.5" hidden="1" thickBot="1" x14ac:dyDescent="0.3">
      <c r="A568" s="455"/>
      <c r="B568" s="128" t="s">
        <v>283</v>
      </c>
      <c r="C568" s="115" t="s">
        <v>17</v>
      </c>
      <c r="D568" s="116">
        <v>3.51</v>
      </c>
      <c r="E568" s="117" t="s">
        <v>13</v>
      </c>
      <c r="F568" s="459"/>
      <c r="G568" s="117" t="s">
        <v>286</v>
      </c>
      <c r="H568" s="119"/>
      <c r="I568" s="119" t="str">
        <f t="shared" si="10"/>
        <v>03,25</v>
      </c>
    </row>
    <row r="569" spans="1:9" ht="19.5" hidden="1" thickBot="1" x14ac:dyDescent="0.3">
      <c r="A569" s="455"/>
      <c r="B569" s="108" t="s">
        <v>283</v>
      </c>
      <c r="C569" s="109" t="s">
        <v>18</v>
      </c>
      <c r="D569" s="110">
        <f>1.34+0.1</f>
        <v>1.4400000000000002</v>
      </c>
      <c r="E569" s="111" t="s">
        <v>34</v>
      </c>
      <c r="F569" s="457" t="s">
        <v>287</v>
      </c>
      <c r="G569" s="111" t="s">
        <v>286</v>
      </c>
      <c r="H569" s="113"/>
      <c r="I569" s="113" t="str">
        <f t="shared" si="10"/>
        <v>03,25</v>
      </c>
    </row>
    <row r="570" spans="1:9" ht="19.5" hidden="1" thickBot="1" x14ac:dyDescent="0.3">
      <c r="A570" s="455"/>
      <c r="B570" s="108" t="s">
        <v>283</v>
      </c>
      <c r="C570" s="109" t="s">
        <v>19</v>
      </c>
      <c r="D570" s="110">
        <f>0.68+0.03</f>
        <v>0.71000000000000008</v>
      </c>
      <c r="E570" s="111" t="s">
        <v>34</v>
      </c>
      <c r="F570" s="458"/>
      <c r="G570" s="111" t="s">
        <v>286</v>
      </c>
      <c r="H570" s="113"/>
      <c r="I570" s="113" t="str">
        <f t="shared" si="10"/>
        <v>03,25</v>
      </c>
    </row>
    <row r="571" spans="1:9" ht="19.5" hidden="1" thickBot="1" x14ac:dyDescent="0.3">
      <c r="A571" s="455"/>
      <c r="B571" s="108" t="s">
        <v>283</v>
      </c>
      <c r="C571" s="109" t="s">
        <v>116</v>
      </c>
      <c r="D571" s="110">
        <v>0.12</v>
      </c>
      <c r="E571" s="111" t="s">
        <v>34</v>
      </c>
      <c r="F571" s="458"/>
      <c r="G571" s="111" t="s">
        <v>286</v>
      </c>
      <c r="H571" s="113"/>
      <c r="I571" s="113" t="str">
        <f t="shared" si="10"/>
        <v>03,25</v>
      </c>
    </row>
    <row r="572" spans="1:9" ht="19.5" hidden="1" thickBot="1" x14ac:dyDescent="0.3">
      <c r="A572" s="455"/>
      <c r="B572" s="108" t="s">
        <v>283</v>
      </c>
      <c r="C572" s="109" t="s">
        <v>17</v>
      </c>
      <c r="D572" s="110">
        <f>2.69+0.15</f>
        <v>2.84</v>
      </c>
      <c r="E572" s="111" t="s">
        <v>34</v>
      </c>
      <c r="F572" s="458"/>
      <c r="G572" s="111" t="s">
        <v>286</v>
      </c>
      <c r="H572" s="113"/>
      <c r="I572" s="113" t="str">
        <f t="shared" si="10"/>
        <v>03,25</v>
      </c>
    </row>
    <row r="573" spans="1:9" ht="19.5" hidden="1" thickBot="1" x14ac:dyDescent="0.3">
      <c r="A573" s="455"/>
      <c r="B573" s="108" t="s">
        <v>283</v>
      </c>
      <c r="C573" s="109" t="s">
        <v>19</v>
      </c>
      <c r="D573" s="110">
        <v>7.1999999999999995E-2</v>
      </c>
      <c r="E573" s="111" t="s">
        <v>45</v>
      </c>
      <c r="F573" s="458"/>
      <c r="G573" s="111" t="s">
        <v>286</v>
      </c>
      <c r="H573" s="113"/>
      <c r="I573" s="113" t="str">
        <f t="shared" si="10"/>
        <v>03,25</v>
      </c>
    </row>
    <row r="574" spans="1:9" ht="19.5" hidden="1" thickBot="1" x14ac:dyDescent="0.3">
      <c r="A574" s="456"/>
      <c r="B574" s="114" t="s">
        <v>283</v>
      </c>
      <c r="C574" s="115" t="s">
        <v>17</v>
      </c>
      <c r="D574" s="116">
        <v>0.82799999999999996</v>
      </c>
      <c r="E574" s="117" t="s">
        <v>45</v>
      </c>
      <c r="F574" s="459"/>
      <c r="G574" s="117" t="s">
        <v>286</v>
      </c>
      <c r="H574" s="119"/>
      <c r="I574" s="119" t="str">
        <f t="shared" si="10"/>
        <v>03,25</v>
      </c>
    </row>
    <row r="575" spans="1:9" ht="19.5" hidden="1" thickBot="1" x14ac:dyDescent="0.3">
      <c r="A575" s="460">
        <f t="shared" si="12"/>
        <v>124</v>
      </c>
      <c r="B575" s="91" t="s">
        <v>290</v>
      </c>
      <c r="C575" s="92" t="s">
        <v>18</v>
      </c>
      <c r="D575" s="93">
        <v>3.4910000000000001</v>
      </c>
      <c r="E575" s="94" t="s">
        <v>13</v>
      </c>
      <c r="F575" s="462" t="s">
        <v>292</v>
      </c>
      <c r="G575" s="94" t="s">
        <v>291</v>
      </c>
      <c r="H575" s="132"/>
      <c r="I575" s="132" t="str">
        <f t="shared" si="10"/>
        <v>03,25</v>
      </c>
    </row>
    <row r="576" spans="1:9" ht="19.5" hidden="1" thickBot="1" x14ac:dyDescent="0.3">
      <c r="A576" s="461"/>
      <c r="B576" s="175" t="s">
        <v>290</v>
      </c>
      <c r="C576" s="134" t="s">
        <v>19</v>
      </c>
      <c r="D576" s="135">
        <v>1.9770000000000001</v>
      </c>
      <c r="E576" s="136" t="s">
        <v>13</v>
      </c>
      <c r="F576" s="463"/>
      <c r="G576" s="136" t="s">
        <v>291</v>
      </c>
      <c r="H576" s="137"/>
      <c r="I576" s="137" t="str">
        <f t="shared" si="10"/>
        <v>03,25</v>
      </c>
    </row>
    <row r="577" spans="1:9" ht="19.5" hidden="1" thickBot="1" x14ac:dyDescent="0.3">
      <c r="A577" s="461"/>
      <c r="B577" s="175" t="s">
        <v>290</v>
      </c>
      <c r="C577" s="134" t="s">
        <v>17</v>
      </c>
      <c r="D577" s="135">
        <v>4.2439999999999998</v>
      </c>
      <c r="E577" s="136" t="s">
        <v>13</v>
      </c>
      <c r="F577" s="463"/>
      <c r="G577" s="136" t="s">
        <v>291</v>
      </c>
      <c r="H577" s="137"/>
      <c r="I577" s="137" t="str">
        <f t="shared" si="10"/>
        <v>03,25</v>
      </c>
    </row>
    <row r="578" spans="1:9" ht="19.5" hidden="1" thickBot="1" x14ac:dyDescent="0.3">
      <c r="A578" s="473"/>
      <c r="B578" s="95" t="s">
        <v>290</v>
      </c>
      <c r="C578" s="96" t="s">
        <v>277</v>
      </c>
      <c r="D578" s="97">
        <v>5.9829999999999997</v>
      </c>
      <c r="E578" s="98" t="s">
        <v>13</v>
      </c>
      <c r="F578" s="474"/>
      <c r="G578" s="98" t="s">
        <v>291</v>
      </c>
      <c r="H578" s="129"/>
      <c r="I578" s="129" t="str">
        <f t="shared" si="10"/>
        <v>03,25</v>
      </c>
    </row>
    <row r="579" spans="1:9" ht="36" hidden="1" customHeight="1" x14ac:dyDescent="0.3">
      <c r="A579" s="454">
        <f t="shared" si="12"/>
        <v>125</v>
      </c>
      <c r="B579" s="102" t="s">
        <v>290</v>
      </c>
      <c r="C579" s="103" t="s">
        <v>18</v>
      </c>
      <c r="D579" s="104">
        <v>1.9890000000000001</v>
      </c>
      <c r="E579" s="105" t="s">
        <v>13</v>
      </c>
      <c r="F579" s="457" t="s">
        <v>299</v>
      </c>
      <c r="G579" s="105" t="s">
        <v>293</v>
      </c>
      <c r="H579" s="107"/>
      <c r="I579" s="107" t="str">
        <f t="shared" si="10"/>
        <v>03,25</v>
      </c>
    </row>
    <row r="580" spans="1:9" ht="36" hidden="1" customHeight="1" x14ac:dyDescent="0.3">
      <c r="A580" s="455"/>
      <c r="B580" s="108" t="s">
        <v>290</v>
      </c>
      <c r="C580" s="109" t="s">
        <v>116</v>
      </c>
      <c r="D580" s="110">
        <v>1.64</v>
      </c>
      <c r="E580" s="111" t="s">
        <v>13</v>
      </c>
      <c r="F580" s="458"/>
      <c r="G580" s="111" t="s">
        <v>293</v>
      </c>
      <c r="H580" s="113"/>
      <c r="I580" s="113" t="str">
        <f t="shared" si="10"/>
        <v>03,25</v>
      </c>
    </row>
    <row r="581" spans="1:9" ht="36" hidden="1" customHeight="1" thickBot="1" x14ac:dyDescent="0.3">
      <c r="A581" s="455"/>
      <c r="B581" s="164" t="s">
        <v>290</v>
      </c>
      <c r="C581" s="165" t="s">
        <v>17</v>
      </c>
      <c r="D581" s="166">
        <v>2.42</v>
      </c>
      <c r="E581" s="167" t="s">
        <v>13</v>
      </c>
      <c r="F581" s="458"/>
      <c r="G581" s="167" t="s">
        <v>293</v>
      </c>
      <c r="H581" s="163"/>
      <c r="I581" s="163" t="str">
        <f t="shared" si="10"/>
        <v>03,25</v>
      </c>
    </row>
    <row r="582" spans="1:9" ht="19.5" hidden="1" thickBot="1" x14ac:dyDescent="0.3">
      <c r="A582" s="455"/>
      <c r="B582" s="126" t="s">
        <v>290</v>
      </c>
      <c r="C582" s="103" t="s">
        <v>18</v>
      </c>
      <c r="D582" s="104">
        <v>2.66</v>
      </c>
      <c r="E582" s="105" t="s">
        <v>34</v>
      </c>
      <c r="F582" s="457" t="s">
        <v>294</v>
      </c>
      <c r="G582" s="105" t="s">
        <v>293</v>
      </c>
      <c r="H582" s="107"/>
      <c r="I582" s="107" t="str">
        <f t="shared" si="10"/>
        <v>03,25</v>
      </c>
    </row>
    <row r="583" spans="1:9" ht="19.5" hidden="1" thickBot="1" x14ac:dyDescent="0.3">
      <c r="A583" s="455"/>
      <c r="B583" s="127" t="s">
        <v>290</v>
      </c>
      <c r="C583" s="109" t="s">
        <v>19</v>
      </c>
      <c r="D583" s="110">
        <v>0.37</v>
      </c>
      <c r="E583" s="111" t="s">
        <v>34</v>
      </c>
      <c r="F583" s="458"/>
      <c r="G583" s="111" t="s">
        <v>293</v>
      </c>
      <c r="H583" s="113"/>
      <c r="I583" s="113" t="str">
        <f t="shared" si="10"/>
        <v>03,25</v>
      </c>
    </row>
    <row r="584" spans="1:9" ht="19.5" hidden="1" thickBot="1" x14ac:dyDescent="0.3">
      <c r="A584" s="455"/>
      <c r="B584" s="127" t="s">
        <v>290</v>
      </c>
      <c r="C584" s="109" t="s">
        <v>116</v>
      </c>
      <c r="D584" s="110">
        <v>0.3</v>
      </c>
      <c r="E584" s="111" t="s">
        <v>34</v>
      </c>
      <c r="F584" s="458"/>
      <c r="G584" s="111" t="s">
        <v>293</v>
      </c>
      <c r="H584" s="113"/>
      <c r="I584" s="113" t="str">
        <f t="shared" si="10"/>
        <v>03,25</v>
      </c>
    </row>
    <row r="585" spans="1:9" ht="19.5" hidden="1" thickBot="1" x14ac:dyDescent="0.3">
      <c r="A585" s="455"/>
      <c r="B585" s="127" t="s">
        <v>290</v>
      </c>
      <c r="C585" s="109" t="s">
        <v>17</v>
      </c>
      <c r="D585" s="110">
        <v>3.16</v>
      </c>
      <c r="E585" s="111" t="s">
        <v>34</v>
      </c>
      <c r="F585" s="458"/>
      <c r="G585" s="111" t="s">
        <v>293</v>
      </c>
      <c r="H585" s="113"/>
      <c r="I585" s="113" t="str">
        <f t="shared" si="10"/>
        <v>03,25</v>
      </c>
    </row>
    <row r="586" spans="1:9" ht="19.5" hidden="1" thickBot="1" x14ac:dyDescent="0.3">
      <c r="A586" s="455"/>
      <c r="B586" s="127" t="s">
        <v>290</v>
      </c>
      <c r="C586" s="109" t="s">
        <v>18</v>
      </c>
      <c r="D586" s="110">
        <v>0.68400000000000005</v>
      </c>
      <c r="E586" s="111" t="s">
        <v>45</v>
      </c>
      <c r="F586" s="458"/>
      <c r="G586" s="111" t="s">
        <v>293</v>
      </c>
      <c r="H586" s="113"/>
      <c r="I586" s="113" t="str">
        <f t="shared" si="10"/>
        <v>03,25</v>
      </c>
    </row>
    <row r="587" spans="1:9" ht="19.5" hidden="1" thickBot="1" x14ac:dyDescent="0.3">
      <c r="A587" s="455"/>
      <c r="B587" s="127" t="s">
        <v>290</v>
      </c>
      <c r="C587" s="109" t="s">
        <v>19</v>
      </c>
      <c r="D587" s="110">
        <v>0.108</v>
      </c>
      <c r="E587" s="111" t="s">
        <v>45</v>
      </c>
      <c r="F587" s="458"/>
      <c r="G587" s="111" t="s">
        <v>293</v>
      </c>
      <c r="H587" s="113"/>
      <c r="I587" s="113" t="str">
        <f t="shared" si="10"/>
        <v>03,25</v>
      </c>
    </row>
    <row r="588" spans="1:9" ht="19.5" hidden="1" thickBot="1" x14ac:dyDescent="0.3">
      <c r="A588" s="455"/>
      <c r="B588" s="127" t="s">
        <v>290</v>
      </c>
      <c r="C588" s="109" t="s">
        <v>116</v>
      </c>
      <c r="D588" s="110">
        <v>5.3999999999999999E-2</v>
      </c>
      <c r="E588" s="111" t="s">
        <v>45</v>
      </c>
      <c r="F588" s="458"/>
      <c r="G588" s="111" t="s">
        <v>293</v>
      </c>
      <c r="H588" s="113"/>
      <c r="I588" s="113" t="str">
        <f t="shared" si="10"/>
        <v>03,25</v>
      </c>
    </row>
    <row r="589" spans="1:9" ht="19.5" hidden="1" thickBot="1" x14ac:dyDescent="0.3">
      <c r="A589" s="456"/>
      <c r="B589" s="128" t="s">
        <v>290</v>
      </c>
      <c r="C589" s="115" t="s">
        <v>17</v>
      </c>
      <c r="D589" s="116">
        <v>0.52200000000000002</v>
      </c>
      <c r="E589" s="117" t="s">
        <v>45</v>
      </c>
      <c r="F589" s="459"/>
      <c r="G589" s="117" t="s">
        <v>293</v>
      </c>
      <c r="H589" s="119"/>
      <c r="I589" s="119" t="str">
        <f t="shared" si="10"/>
        <v>03,25</v>
      </c>
    </row>
    <row r="590" spans="1:9" ht="19.5" hidden="1" thickBot="1" x14ac:dyDescent="0.3">
      <c r="A590" s="460">
        <f t="shared" si="12"/>
        <v>126</v>
      </c>
      <c r="B590" s="91" t="s">
        <v>295</v>
      </c>
      <c r="C590" s="92" t="s">
        <v>18</v>
      </c>
      <c r="D590" s="93">
        <v>3.298</v>
      </c>
      <c r="E590" s="94" t="s">
        <v>13</v>
      </c>
      <c r="F590" s="462" t="s">
        <v>297</v>
      </c>
      <c r="G590" s="94" t="s">
        <v>296</v>
      </c>
      <c r="H590" s="132"/>
      <c r="I590" s="132" t="str">
        <f t="shared" si="10"/>
        <v>03,25</v>
      </c>
    </row>
    <row r="591" spans="1:9" ht="19.5" hidden="1" thickBot="1" x14ac:dyDescent="0.3">
      <c r="A591" s="461"/>
      <c r="B591" s="175" t="s">
        <v>295</v>
      </c>
      <c r="C591" s="134" t="s">
        <v>19</v>
      </c>
      <c r="D591" s="135">
        <v>9.0289999999999999</v>
      </c>
      <c r="E591" s="136" t="s">
        <v>13</v>
      </c>
      <c r="F591" s="463"/>
      <c r="G591" s="136" t="s">
        <v>296</v>
      </c>
      <c r="H591" s="137"/>
      <c r="I591" s="137" t="str">
        <f t="shared" si="10"/>
        <v>03,25</v>
      </c>
    </row>
    <row r="592" spans="1:9" ht="19.5" hidden="1" thickBot="1" x14ac:dyDescent="0.3">
      <c r="A592" s="473"/>
      <c r="B592" s="95" t="s">
        <v>295</v>
      </c>
      <c r="C592" s="96" t="s">
        <v>116</v>
      </c>
      <c r="D592" s="97">
        <v>2.29</v>
      </c>
      <c r="E592" s="98" t="s">
        <v>13</v>
      </c>
      <c r="F592" s="474"/>
      <c r="G592" s="98" t="s">
        <v>296</v>
      </c>
      <c r="H592" s="129"/>
      <c r="I592" s="129" t="str">
        <f t="shared" si="10"/>
        <v>03,25</v>
      </c>
    </row>
    <row r="593" spans="1:9" ht="47.25" hidden="1" customHeight="1" x14ac:dyDescent="0.3">
      <c r="A593" s="454">
        <f t="shared" si="12"/>
        <v>127</v>
      </c>
      <c r="B593" s="126" t="s">
        <v>295</v>
      </c>
      <c r="C593" s="103" t="s">
        <v>19</v>
      </c>
      <c r="D593" s="104">
        <v>5.43</v>
      </c>
      <c r="E593" s="105" t="s">
        <v>13</v>
      </c>
      <c r="F593" s="457" t="s">
        <v>300</v>
      </c>
      <c r="G593" s="105" t="s">
        <v>298</v>
      </c>
      <c r="H593" s="107"/>
      <c r="I593" s="107" t="str">
        <f t="shared" si="10"/>
        <v>03,25</v>
      </c>
    </row>
    <row r="594" spans="1:9" ht="47.25" hidden="1" customHeight="1" thickBot="1" x14ac:dyDescent="0.3">
      <c r="A594" s="455"/>
      <c r="B594" s="128" t="s">
        <v>295</v>
      </c>
      <c r="C594" s="115" t="s">
        <v>17</v>
      </c>
      <c r="D594" s="116">
        <v>1.3160000000000001</v>
      </c>
      <c r="E594" s="117" t="s">
        <v>13</v>
      </c>
      <c r="F594" s="459"/>
      <c r="G594" s="117" t="s">
        <v>298</v>
      </c>
      <c r="H594" s="119"/>
      <c r="I594" s="119" t="str">
        <f t="shared" si="10"/>
        <v>03,25</v>
      </c>
    </row>
    <row r="595" spans="1:9" ht="19.5" hidden="1" thickBot="1" x14ac:dyDescent="0.3">
      <c r="A595" s="455"/>
      <c r="B595" s="108" t="s">
        <v>295</v>
      </c>
      <c r="C595" s="109" t="s">
        <v>18</v>
      </c>
      <c r="D595" s="110">
        <v>0.56000000000000005</v>
      </c>
      <c r="E595" s="111" t="s">
        <v>34</v>
      </c>
      <c r="F595" s="458" t="s">
        <v>301</v>
      </c>
      <c r="G595" s="111" t="s">
        <v>298</v>
      </c>
      <c r="H595" s="113"/>
      <c r="I595" s="113" t="str">
        <f t="shared" si="10"/>
        <v>03,25</v>
      </c>
    </row>
    <row r="596" spans="1:9" ht="19.5" hidden="1" thickBot="1" x14ac:dyDescent="0.3">
      <c r="A596" s="455"/>
      <c r="B596" s="108" t="s">
        <v>295</v>
      </c>
      <c r="C596" s="109" t="s">
        <v>19</v>
      </c>
      <c r="D596" s="110">
        <v>0.79</v>
      </c>
      <c r="E596" s="111" t="s">
        <v>34</v>
      </c>
      <c r="F596" s="458"/>
      <c r="G596" s="111" t="s">
        <v>298</v>
      </c>
      <c r="H596" s="113"/>
      <c r="I596" s="113" t="str">
        <f t="shared" si="10"/>
        <v>03,25</v>
      </c>
    </row>
    <row r="597" spans="1:9" ht="19.5" hidden="1" thickBot="1" x14ac:dyDescent="0.3">
      <c r="A597" s="455"/>
      <c r="B597" s="108" t="s">
        <v>295</v>
      </c>
      <c r="C597" s="109" t="s">
        <v>116</v>
      </c>
      <c r="D597" s="110">
        <v>0.2</v>
      </c>
      <c r="E597" s="111" t="s">
        <v>34</v>
      </c>
      <c r="F597" s="458"/>
      <c r="G597" s="111" t="s">
        <v>298</v>
      </c>
      <c r="H597" s="113"/>
      <c r="I597" s="113" t="str">
        <f t="shared" si="10"/>
        <v>03,25</v>
      </c>
    </row>
    <row r="598" spans="1:9" ht="19.5" hidden="1" thickBot="1" x14ac:dyDescent="0.3">
      <c r="A598" s="455"/>
      <c r="B598" s="108" t="s">
        <v>295</v>
      </c>
      <c r="C598" s="109" t="s">
        <v>17</v>
      </c>
      <c r="D598" s="110">
        <v>2.67</v>
      </c>
      <c r="E598" s="111" t="s">
        <v>34</v>
      </c>
      <c r="F598" s="458"/>
      <c r="G598" s="111" t="s">
        <v>298</v>
      </c>
      <c r="H598" s="113"/>
      <c r="I598" s="113" t="str">
        <f t="shared" si="10"/>
        <v>03,25</v>
      </c>
    </row>
    <row r="599" spans="1:9" ht="19.5" hidden="1" thickBot="1" x14ac:dyDescent="0.3">
      <c r="A599" s="455"/>
      <c r="B599" s="108" t="s">
        <v>295</v>
      </c>
      <c r="C599" s="109" t="s">
        <v>18</v>
      </c>
      <c r="D599" s="110">
        <v>0.216</v>
      </c>
      <c r="E599" s="111" t="s">
        <v>45</v>
      </c>
      <c r="F599" s="458"/>
      <c r="G599" s="111" t="s">
        <v>298</v>
      </c>
      <c r="H599" s="113"/>
      <c r="I599" s="113" t="str">
        <f t="shared" si="10"/>
        <v>03,25</v>
      </c>
    </row>
    <row r="600" spans="1:9" ht="19.5" hidden="1" thickBot="1" x14ac:dyDescent="0.3">
      <c r="A600" s="455"/>
      <c r="B600" s="108" t="s">
        <v>295</v>
      </c>
      <c r="C600" s="109" t="s">
        <v>19</v>
      </c>
      <c r="D600" s="110">
        <v>0.108</v>
      </c>
      <c r="E600" s="111" t="s">
        <v>45</v>
      </c>
      <c r="F600" s="458"/>
      <c r="G600" s="111" t="s">
        <v>298</v>
      </c>
      <c r="H600" s="113"/>
      <c r="I600" s="113" t="str">
        <f t="shared" si="10"/>
        <v>03,25</v>
      </c>
    </row>
    <row r="601" spans="1:9" ht="19.5" hidden="1" thickBot="1" x14ac:dyDescent="0.3">
      <c r="A601" s="455"/>
      <c r="B601" s="108" t="s">
        <v>295</v>
      </c>
      <c r="C601" s="109" t="s">
        <v>116</v>
      </c>
      <c r="D601" s="212">
        <v>3.5999999999999997E-2</v>
      </c>
      <c r="E601" s="111" t="s">
        <v>45</v>
      </c>
      <c r="F601" s="458"/>
      <c r="G601" s="111" t="s">
        <v>298</v>
      </c>
      <c r="H601" s="113"/>
      <c r="I601" s="113" t="str">
        <f t="shared" si="10"/>
        <v>03,25</v>
      </c>
    </row>
    <row r="602" spans="1:9" ht="19.5" hidden="1" thickBot="1" x14ac:dyDescent="0.3">
      <c r="A602" s="456"/>
      <c r="B602" s="114" t="s">
        <v>295</v>
      </c>
      <c r="C602" s="115" t="s">
        <v>17</v>
      </c>
      <c r="D602" s="116">
        <v>1.3320000000000001</v>
      </c>
      <c r="E602" s="117" t="s">
        <v>45</v>
      </c>
      <c r="F602" s="459"/>
      <c r="G602" s="117" t="s">
        <v>298</v>
      </c>
      <c r="H602" s="119"/>
      <c r="I602" s="119" t="str">
        <f t="shared" si="10"/>
        <v>03,25</v>
      </c>
    </row>
    <row r="603" spans="1:9" ht="19.5" hidden="1" thickBot="1" x14ac:dyDescent="0.3">
      <c r="A603" s="460">
        <f t="shared" ref="A603:A621" si="13">MAX(A602,A601,A600,A599,A598,A597,A596,A595,A594,A593,A592,A591,A590,A589)+1</f>
        <v>128</v>
      </c>
      <c r="B603" s="91" t="s">
        <v>302</v>
      </c>
      <c r="C603" s="92" t="s">
        <v>18</v>
      </c>
      <c r="D603" s="93">
        <v>2.5659999999999998</v>
      </c>
      <c r="E603" s="94" t="s">
        <v>13</v>
      </c>
      <c r="F603" s="462" t="s">
        <v>304</v>
      </c>
      <c r="G603" s="94" t="s">
        <v>303</v>
      </c>
      <c r="H603" s="132"/>
      <c r="I603" s="132" t="str">
        <f t="shared" si="10"/>
        <v>03,25</v>
      </c>
    </row>
    <row r="604" spans="1:9" ht="19.5" hidden="1" thickBot="1" x14ac:dyDescent="0.3">
      <c r="A604" s="461"/>
      <c r="B604" s="175" t="s">
        <v>302</v>
      </c>
      <c r="C604" s="134" t="s">
        <v>19</v>
      </c>
      <c r="D604" s="135">
        <v>2.8660000000000001</v>
      </c>
      <c r="E604" s="136" t="s">
        <v>13</v>
      </c>
      <c r="F604" s="463"/>
      <c r="G604" s="136" t="s">
        <v>303</v>
      </c>
      <c r="H604" s="137"/>
      <c r="I604" s="137" t="str">
        <f t="shared" si="10"/>
        <v>03,25</v>
      </c>
    </row>
    <row r="605" spans="1:9" ht="19.5" hidden="1" thickBot="1" x14ac:dyDescent="0.3">
      <c r="A605" s="461"/>
      <c r="B605" s="175" t="s">
        <v>302</v>
      </c>
      <c r="C605" s="134" t="s">
        <v>116</v>
      </c>
      <c r="D605" s="135">
        <v>1.355</v>
      </c>
      <c r="E605" s="136" t="s">
        <v>13</v>
      </c>
      <c r="F605" s="463"/>
      <c r="G605" s="136" t="s">
        <v>303</v>
      </c>
      <c r="H605" s="137"/>
      <c r="I605" s="137" t="str">
        <f t="shared" si="10"/>
        <v>03,25</v>
      </c>
    </row>
    <row r="606" spans="1:9" ht="19.5" hidden="1" thickBot="1" x14ac:dyDescent="0.3">
      <c r="A606" s="461"/>
      <c r="B606" s="175" t="s">
        <v>302</v>
      </c>
      <c r="C606" s="134" t="s">
        <v>17</v>
      </c>
      <c r="D606" s="135">
        <v>5.5819999999999999</v>
      </c>
      <c r="E606" s="136" t="s">
        <v>13</v>
      </c>
      <c r="F606" s="463"/>
      <c r="G606" s="136" t="s">
        <v>303</v>
      </c>
      <c r="H606" s="137"/>
      <c r="I606" s="137" t="str">
        <f t="shared" si="10"/>
        <v>03,25</v>
      </c>
    </row>
    <row r="607" spans="1:9" ht="19.5" hidden="1" thickBot="1" x14ac:dyDescent="0.3">
      <c r="A607" s="473"/>
      <c r="B607" s="95" t="s">
        <v>302</v>
      </c>
      <c r="C607" s="96" t="s">
        <v>277</v>
      </c>
      <c r="D607" s="97">
        <v>2.2949999999999999</v>
      </c>
      <c r="E607" s="98" t="s">
        <v>13</v>
      </c>
      <c r="F607" s="474"/>
      <c r="G607" s="98" t="s">
        <v>303</v>
      </c>
      <c r="H607" s="129"/>
      <c r="I607" s="129" t="str">
        <f t="shared" si="10"/>
        <v>03,25</v>
      </c>
    </row>
    <row r="608" spans="1:9" ht="33" hidden="1" customHeight="1" x14ac:dyDescent="0.3">
      <c r="A608" s="454">
        <f t="shared" si="13"/>
        <v>129</v>
      </c>
      <c r="B608" s="102" t="s">
        <v>302</v>
      </c>
      <c r="C608" s="103" t="s">
        <v>18</v>
      </c>
      <c r="D608" s="104">
        <v>0.55000000000000004</v>
      </c>
      <c r="E608" s="105" t="s">
        <v>34</v>
      </c>
      <c r="F608" s="457" t="s">
        <v>306</v>
      </c>
      <c r="G608" s="105" t="s">
        <v>305</v>
      </c>
      <c r="H608" s="107"/>
      <c r="I608" s="107" t="str">
        <f t="shared" si="10"/>
        <v>03,25</v>
      </c>
    </row>
    <row r="609" spans="1:9" ht="33" hidden="1" customHeight="1" x14ac:dyDescent="0.3">
      <c r="A609" s="455"/>
      <c r="B609" s="108" t="s">
        <v>302</v>
      </c>
      <c r="C609" s="109" t="s">
        <v>19</v>
      </c>
      <c r="D609" s="110">
        <v>0.8</v>
      </c>
      <c r="E609" s="111" t="s">
        <v>34</v>
      </c>
      <c r="F609" s="458"/>
      <c r="G609" s="111" t="s">
        <v>305</v>
      </c>
      <c r="H609" s="113"/>
      <c r="I609" s="113" t="str">
        <f t="shared" si="10"/>
        <v>03,25</v>
      </c>
    </row>
    <row r="610" spans="1:9" ht="33" hidden="1" customHeight="1" x14ac:dyDescent="0.3">
      <c r="A610" s="455"/>
      <c r="B610" s="108" t="s">
        <v>302</v>
      </c>
      <c r="C610" s="109" t="s">
        <v>116</v>
      </c>
      <c r="D610" s="110">
        <v>0.46</v>
      </c>
      <c r="E610" s="111" t="s">
        <v>34</v>
      </c>
      <c r="F610" s="458"/>
      <c r="G610" s="111" t="s">
        <v>305</v>
      </c>
      <c r="H610" s="113"/>
      <c r="I610" s="113" t="str">
        <f t="shared" si="10"/>
        <v>03,25</v>
      </c>
    </row>
    <row r="611" spans="1:9" ht="33" hidden="1" customHeight="1" thickBot="1" x14ac:dyDescent="0.3">
      <c r="A611" s="455"/>
      <c r="B611" s="164" t="s">
        <v>302</v>
      </c>
      <c r="C611" s="165" t="s">
        <v>17</v>
      </c>
      <c r="D611" s="166">
        <v>1.26</v>
      </c>
      <c r="E611" s="167" t="s">
        <v>34</v>
      </c>
      <c r="F611" s="458"/>
      <c r="G611" s="167" t="s">
        <v>305</v>
      </c>
      <c r="H611" s="163"/>
      <c r="I611" s="163" t="str">
        <f t="shared" si="10"/>
        <v>03,25</v>
      </c>
    </row>
    <row r="612" spans="1:9" ht="19.5" hidden="1" thickBot="1" x14ac:dyDescent="0.3">
      <c r="A612" s="460">
        <f t="shared" si="13"/>
        <v>130</v>
      </c>
      <c r="B612" s="91" t="s">
        <v>307</v>
      </c>
      <c r="C612" s="92" t="s">
        <v>18</v>
      </c>
      <c r="D612" s="93">
        <v>2.9649999999999999</v>
      </c>
      <c r="E612" s="94" t="s">
        <v>13</v>
      </c>
      <c r="F612" s="462" t="s">
        <v>309</v>
      </c>
      <c r="G612" s="94" t="s">
        <v>308</v>
      </c>
      <c r="H612" s="132"/>
      <c r="I612" s="132" t="str">
        <f t="shared" si="10"/>
        <v>03,25</v>
      </c>
    </row>
    <row r="613" spans="1:9" ht="19.5" hidden="1" thickBot="1" x14ac:dyDescent="0.3">
      <c r="A613" s="461"/>
      <c r="B613" s="175" t="s">
        <v>307</v>
      </c>
      <c r="C613" s="134" t="s">
        <v>19</v>
      </c>
      <c r="D613" s="135">
        <v>4.7939999999999996</v>
      </c>
      <c r="E613" s="136" t="s">
        <v>13</v>
      </c>
      <c r="F613" s="463"/>
      <c r="G613" s="136" t="s">
        <v>308</v>
      </c>
      <c r="H613" s="137"/>
      <c r="I613" s="137" t="str">
        <f t="shared" si="10"/>
        <v>03,25</v>
      </c>
    </row>
    <row r="614" spans="1:9" ht="19.5" hidden="1" thickBot="1" x14ac:dyDescent="0.3">
      <c r="A614" s="461"/>
      <c r="B614" s="175" t="s">
        <v>307</v>
      </c>
      <c r="C614" s="134" t="s">
        <v>116</v>
      </c>
      <c r="D614" s="135">
        <v>1.7709999999999999</v>
      </c>
      <c r="E614" s="136" t="s">
        <v>13</v>
      </c>
      <c r="F614" s="463"/>
      <c r="G614" s="136" t="s">
        <v>308</v>
      </c>
      <c r="H614" s="137"/>
      <c r="I614" s="137" t="str">
        <f t="shared" si="10"/>
        <v>03,25</v>
      </c>
    </row>
    <row r="615" spans="1:9" ht="19.5" hidden="1" thickBot="1" x14ac:dyDescent="0.3">
      <c r="A615" s="473"/>
      <c r="B615" s="95" t="s">
        <v>307</v>
      </c>
      <c r="C615" s="96" t="s">
        <v>17</v>
      </c>
      <c r="D615" s="97">
        <v>4.9909999999999997</v>
      </c>
      <c r="E615" s="98" t="s">
        <v>13</v>
      </c>
      <c r="F615" s="474"/>
      <c r="G615" s="98" t="s">
        <v>308</v>
      </c>
      <c r="H615" s="129"/>
      <c r="I615" s="129" t="str">
        <f t="shared" si="10"/>
        <v>03,25</v>
      </c>
    </row>
    <row r="616" spans="1:9" ht="18.75" hidden="1" customHeight="1" x14ac:dyDescent="0.3">
      <c r="A616" s="454">
        <f t="shared" si="13"/>
        <v>131</v>
      </c>
      <c r="B616" s="102" t="s">
        <v>307</v>
      </c>
      <c r="C616" s="103" t="s">
        <v>18</v>
      </c>
      <c r="D616" s="104">
        <v>1.87</v>
      </c>
      <c r="E616" s="105" t="s">
        <v>13</v>
      </c>
      <c r="F616" s="457" t="s">
        <v>311</v>
      </c>
      <c r="G616" s="105" t="s">
        <v>310</v>
      </c>
      <c r="H616" s="107"/>
      <c r="I616" s="107" t="str">
        <f t="shared" si="10"/>
        <v>03,25</v>
      </c>
    </row>
    <row r="617" spans="1:9" ht="19.5" hidden="1" thickBot="1" x14ac:dyDescent="0.3">
      <c r="A617" s="455"/>
      <c r="B617" s="108" t="s">
        <v>307</v>
      </c>
      <c r="C617" s="109" t="s">
        <v>19</v>
      </c>
      <c r="D617" s="110">
        <v>3.02</v>
      </c>
      <c r="E617" s="111" t="s">
        <v>13</v>
      </c>
      <c r="F617" s="458"/>
      <c r="G617" s="111" t="s">
        <v>310</v>
      </c>
      <c r="H617" s="113"/>
      <c r="I617" s="113" t="str">
        <f t="shared" si="10"/>
        <v>03,25</v>
      </c>
    </row>
    <row r="618" spans="1:9" ht="19.5" hidden="1" thickBot="1" x14ac:dyDescent="0.3">
      <c r="A618" s="455"/>
      <c r="B618" s="108" t="s">
        <v>307</v>
      </c>
      <c r="C618" s="109" t="s">
        <v>116</v>
      </c>
      <c r="D618" s="110">
        <v>1.1200000000000001</v>
      </c>
      <c r="E618" s="111" t="s">
        <v>13</v>
      </c>
      <c r="F618" s="458"/>
      <c r="G618" s="111" t="s">
        <v>310</v>
      </c>
      <c r="H618" s="113"/>
      <c r="I618" s="113" t="str">
        <f t="shared" si="10"/>
        <v>03,25</v>
      </c>
    </row>
    <row r="619" spans="1:9" ht="19.5" hidden="1" thickBot="1" x14ac:dyDescent="0.3">
      <c r="A619" s="455"/>
      <c r="B619" s="108" t="s">
        <v>307</v>
      </c>
      <c r="C619" s="109" t="s">
        <v>17</v>
      </c>
      <c r="D619" s="110">
        <v>3.1579999999999999</v>
      </c>
      <c r="E619" s="111" t="s">
        <v>13</v>
      </c>
      <c r="F619" s="458"/>
      <c r="G619" s="111" t="s">
        <v>310</v>
      </c>
      <c r="H619" s="113"/>
      <c r="I619" s="113" t="str">
        <f t="shared" si="10"/>
        <v>03,25</v>
      </c>
    </row>
    <row r="620" spans="1:9" ht="19.5" hidden="1" thickBot="1" x14ac:dyDescent="0.3">
      <c r="A620" s="456"/>
      <c r="B620" s="114" t="s">
        <v>307</v>
      </c>
      <c r="C620" s="115" t="s">
        <v>277</v>
      </c>
      <c r="D620" s="116">
        <v>6.5410000000000004</v>
      </c>
      <c r="E620" s="117" t="s">
        <v>13</v>
      </c>
      <c r="F620" s="459"/>
      <c r="G620" s="117" t="s">
        <v>310</v>
      </c>
      <c r="H620" s="119"/>
      <c r="I620" s="119" t="str">
        <f t="shared" si="10"/>
        <v>03,25</v>
      </c>
    </row>
    <row r="621" spans="1:9" ht="23.25" hidden="1" customHeight="1" x14ac:dyDescent="0.3">
      <c r="A621" s="460">
        <f t="shared" si="13"/>
        <v>132</v>
      </c>
      <c r="B621" s="91" t="s">
        <v>307</v>
      </c>
      <c r="C621" s="92" t="s">
        <v>18</v>
      </c>
      <c r="D621" s="93">
        <v>0.21</v>
      </c>
      <c r="E621" s="94" t="s">
        <v>34</v>
      </c>
      <c r="F621" s="462" t="s">
        <v>312</v>
      </c>
      <c r="G621" s="94" t="s">
        <v>310</v>
      </c>
      <c r="H621" s="132"/>
      <c r="I621" s="132" t="str">
        <f t="shared" si="10"/>
        <v>03,25</v>
      </c>
    </row>
    <row r="622" spans="1:9" ht="23.25" hidden="1" customHeight="1" x14ac:dyDescent="0.3">
      <c r="A622" s="461"/>
      <c r="B622" s="175" t="s">
        <v>307</v>
      </c>
      <c r="C622" s="134" t="s">
        <v>19</v>
      </c>
      <c r="D622" s="135">
        <v>0.35</v>
      </c>
      <c r="E622" s="136" t="s">
        <v>34</v>
      </c>
      <c r="F622" s="463"/>
      <c r="G622" s="136" t="s">
        <v>310</v>
      </c>
      <c r="H622" s="137"/>
      <c r="I622" s="137" t="str">
        <f t="shared" si="10"/>
        <v>03,25</v>
      </c>
    </row>
    <row r="623" spans="1:9" ht="23.25" hidden="1" customHeight="1" x14ac:dyDescent="0.3">
      <c r="A623" s="461"/>
      <c r="B623" s="175" t="s">
        <v>307</v>
      </c>
      <c r="C623" s="134" t="s">
        <v>116</v>
      </c>
      <c r="D623" s="135">
        <v>0.17</v>
      </c>
      <c r="E623" s="136" t="s">
        <v>34</v>
      </c>
      <c r="F623" s="463"/>
      <c r="G623" s="136" t="s">
        <v>310</v>
      </c>
      <c r="H623" s="137"/>
      <c r="I623" s="137" t="str">
        <f t="shared" si="10"/>
        <v>03,25</v>
      </c>
    </row>
    <row r="624" spans="1:9" ht="23.25" hidden="1" customHeight="1" x14ac:dyDescent="0.3">
      <c r="A624" s="461"/>
      <c r="B624" s="175" t="s">
        <v>307</v>
      </c>
      <c r="C624" s="134" t="s">
        <v>17</v>
      </c>
      <c r="D624" s="135">
        <v>2.31</v>
      </c>
      <c r="E624" s="136" t="s">
        <v>34</v>
      </c>
      <c r="F624" s="463"/>
      <c r="G624" s="136" t="s">
        <v>310</v>
      </c>
      <c r="H624" s="137"/>
      <c r="I624" s="137" t="str">
        <f t="shared" si="10"/>
        <v>03,25</v>
      </c>
    </row>
    <row r="625" spans="1:9" ht="23.25" hidden="1" customHeight="1" x14ac:dyDescent="0.3">
      <c r="A625" s="461"/>
      <c r="B625" s="175" t="s">
        <v>307</v>
      </c>
      <c r="C625" s="134" t="s">
        <v>18</v>
      </c>
      <c r="D625" s="135">
        <v>0.46800000000000003</v>
      </c>
      <c r="E625" s="136" t="s">
        <v>45</v>
      </c>
      <c r="F625" s="463"/>
      <c r="G625" s="136" t="s">
        <v>310</v>
      </c>
      <c r="H625" s="137"/>
      <c r="I625" s="137" t="str">
        <f t="shared" si="10"/>
        <v>03,25</v>
      </c>
    </row>
    <row r="626" spans="1:9" ht="23.25" hidden="1" customHeight="1" x14ac:dyDescent="0.3">
      <c r="A626" s="461"/>
      <c r="B626" s="175" t="s">
        <v>307</v>
      </c>
      <c r="C626" s="134" t="s">
        <v>116</v>
      </c>
      <c r="D626" s="135">
        <v>0.09</v>
      </c>
      <c r="E626" s="136" t="s">
        <v>45</v>
      </c>
      <c r="F626" s="463"/>
      <c r="G626" s="136" t="s">
        <v>310</v>
      </c>
      <c r="H626" s="137"/>
      <c r="I626" s="137" t="str">
        <f t="shared" si="10"/>
        <v>03,25</v>
      </c>
    </row>
    <row r="627" spans="1:9" ht="23.25" hidden="1" customHeight="1" thickBot="1" x14ac:dyDescent="0.3">
      <c r="A627" s="473"/>
      <c r="B627" s="95" t="s">
        <v>307</v>
      </c>
      <c r="C627" s="96" t="s">
        <v>17</v>
      </c>
      <c r="D627" s="97">
        <v>0.16200000000000001</v>
      </c>
      <c r="E627" s="98" t="s">
        <v>45</v>
      </c>
      <c r="F627" s="474"/>
      <c r="G627" s="98" t="s">
        <v>310</v>
      </c>
      <c r="H627" s="129"/>
      <c r="I627" s="129" t="str">
        <f t="shared" si="10"/>
        <v>03,25</v>
      </c>
    </row>
    <row r="628" spans="1:9" ht="19.5" hidden="1" thickBot="1" x14ac:dyDescent="0.3">
      <c r="A628" s="454">
        <f>MAX(A610:A627)+1</f>
        <v>133</v>
      </c>
      <c r="B628" s="102" t="s">
        <v>313</v>
      </c>
      <c r="C628" s="103" t="s">
        <v>18</v>
      </c>
      <c r="D628" s="104">
        <v>2.871</v>
      </c>
      <c r="E628" s="105" t="s">
        <v>13</v>
      </c>
      <c r="F628" s="457" t="s">
        <v>315</v>
      </c>
      <c r="G628" s="105" t="s">
        <v>314</v>
      </c>
      <c r="H628" s="107"/>
      <c r="I628" s="107" t="str">
        <f t="shared" si="10"/>
        <v>04,25</v>
      </c>
    </row>
    <row r="629" spans="1:9" ht="19.5" hidden="1" thickBot="1" x14ac:dyDescent="0.3">
      <c r="A629" s="455"/>
      <c r="B629" s="108" t="s">
        <v>313</v>
      </c>
      <c r="C629" s="109" t="s">
        <v>19</v>
      </c>
      <c r="D629" s="110">
        <v>6.9429999999999996</v>
      </c>
      <c r="E629" s="111" t="s">
        <v>13</v>
      </c>
      <c r="F629" s="458"/>
      <c r="G629" s="111" t="s">
        <v>314</v>
      </c>
      <c r="H629" s="113"/>
      <c r="I629" s="113" t="str">
        <f t="shared" si="10"/>
        <v>04,25</v>
      </c>
    </row>
    <row r="630" spans="1:9" ht="19.5" hidden="1" thickBot="1" x14ac:dyDescent="0.3">
      <c r="A630" s="455"/>
      <c r="B630" s="108" t="s">
        <v>313</v>
      </c>
      <c r="C630" s="109" t="s">
        <v>116</v>
      </c>
      <c r="D630" s="110">
        <v>1.1739999999999999</v>
      </c>
      <c r="E630" s="111" t="s">
        <v>13</v>
      </c>
      <c r="F630" s="458"/>
      <c r="G630" s="111" t="s">
        <v>314</v>
      </c>
      <c r="H630" s="113"/>
      <c r="I630" s="113" t="str">
        <f t="shared" si="10"/>
        <v>04,25</v>
      </c>
    </row>
    <row r="631" spans="1:9" ht="19.5" hidden="1" thickBot="1" x14ac:dyDescent="0.3">
      <c r="A631" s="456"/>
      <c r="B631" s="114" t="s">
        <v>313</v>
      </c>
      <c r="C631" s="115" t="s">
        <v>17</v>
      </c>
      <c r="D631" s="116">
        <v>3.85</v>
      </c>
      <c r="E631" s="117" t="s">
        <v>13</v>
      </c>
      <c r="F631" s="459"/>
      <c r="G631" s="117" t="s">
        <v>314</v>
      </c>
      <c r="H631" s="119"/>
      <c r="I631" s="119" t="str">
        <f t="shared" si="10"/>
        <v>04,25</v>
      </c>
    </row>
    <row r="632" spans="1:9" ht="19.5" hidden="1" thickBot="1" x14ac:dyDescent="0.3">
      <c r="A632" s="460">
        <f t="shared" ref="A632" si="14">MAX(A614:A631)+1</f>
        <v>134</v>
      </c>
      <c r="B632" s="138" t="s">
        <v>313</v>
      </c>
      <c r="C632" s="92" t="s">
        <v>18</v>
      </c>
      <c r="D632" s="93">
        <v>0.97299999999999998</v>
      </c>
      <c r="E632" s="94" t="s">
        <v>13</v>
      </c>
      <c r="F632" s="462" t="s">
        <v>317</v>
      </c>
      <c r="G632" s="94" t="s">
        <v>316</v>
      </c>
      <c r="H632" s="132"/>
      <c r="I632" s="132" t="str">
        <f t="shared" si="10"/>
        <v>04,25</v>
      </c>
    </row>
    <row r="633" spans="1:9" ht="19.5" hidden="1" thickBot="1" x14ac:dyDescent="0.3">
      <c r="A633" s="461"/>
      <c r="B633" s="140" t="s">
        <v>313</v>
      </c>
      <c r="C633" s="134" t="s">
        <v>19</v>
      </c>
      <c r="D633" s="135">
        <v>2.3319999999999999</v>
      </c>
      <c r="E633" s="136" t="s">
        <v>13</v>
      </c>
      <c r="F633" s="463"/>
      <c r="G633" s="136" t="s">
        <v>316</v>
      </c>
      <c r="H633" s="137"/>
      <c r="I633" s="137" t="str">
        <f t="shared" si="10"/>
        <v>04,25</v>
      </c>
    </row>
    <row r="634" spans="1:9" ht="19.5" hidden="1" thickBot="1" x14ac:dyDescent="0.3">
      <c r="A634" s="461"/>
      <c r="B634" s="140" t="s">
        <v>313</v>
      </c>
      <c r="C634" s="134" t="s">
        <v>116</v>
      </c>
      <c r="D634" s="135">
        <v>0.4</v>
      </c>
      <c r="E634" s="136" t="s">
        <v>13</v>
      </c>
      <c r="F634" s="463"/>
      <c r="G634" s="136" t="s">
        <v>316</v>
      </c>
      <c r="H634" s="137"/>
      <c r="I634" s="137" t="str">
        <f t="shared" si="10"/>
        <v>04,25</v>
      </c>
    </row>
    <row r="635" spans="1:9" ht="19.5" hidden="1" thickBot="1" x14ac:dyDescent="0.3">
      <c r="A635" s="461"/>
      <c r="B635" s="140" t="s">
        <v>313</v>
      </c>
      <c r="C635" s="134" t="s">
        <v>17</v>
      </c>
      <c r="D635" s="135">
        <v>1.3029999999999999</v>
      </c>
      <c r="E635" s="136" t="s">
        <v>13</v>
      </c>
      <c r="F635" s="463"/>
      <c r="G635" s="136" t="s">
        <v>316</v>
      </c>
      <c r="H635" s="137"/>
      <c r="I635" s="137" t="str">
        <f t="shared" si="10"/>
        <v>04,25</v>
      </c>
    </row>
    <row r="636" spans="1:9" ht="19.5" hidden="1" thickBot="1" x14ac:dyDescent="0.3">
      <c r="A636" s="461"/>
      <c r="B636" s="139" t="s">
        <v>313</v>
      </c>
      <c r="C636" s="96" t="s">
        <v>277</v>
      </c>
      <c r="D636" s="97">
        <v>7.7949999999999999</v>
      </c>
      <c r="E636" s="98" t="s">
        <v>13</v>
      </c>
      <c r="F636" s="474"/>
      <c r="G636" s="98" t="s">
        <v>316</v>
      </c>
      <c r="H636" s="129"/>
      <c r="I636" s="129" t="str">
        <f t="shared" si="10"/>
        <v>04,25</v>
      </c>
    </row>
    <row r="637" spans="1:9" ht="33" hidden="1" customHeight="1" x14ac:dyDescent="0.3">
      <c r="A637" s="461"/>
      <c r="B637" s="175" t="s">
        <v>313</v>
      </c>
      <c r="C637" s="134" t="s">
        <v>18</v>
      </c>
      <c r="D637" s="135">
        <v>0.1</v>
      </c>
      <c r="E637" s="136" t="s">
        <v>34</v>
      </c>
      <c r="F637" s="463" t="s">
        <v>318</v>
      </c>
      <c r="G637" s="136" t="s">
        <v>316</v>
      </c>
      <c r="H637" s="137"/>
      <c r="I637" s="137" t="str">
        <f t="shared" si="10"/>
        <v>04,25</v>
      </c>
    </row>
    <row r="638" spans="1:9" ht="33" hidden="1" customHeight="1" x14ac:dyDescent="0.3">
      <c r="A638" s="461"/>
      <c r="B638" s="175" t="s">
        <v>313</v>
      </c>
      <c r="C638" s="134" t="s">
        <v>19</v>
      </c>
      <c r="D638" s="135">
        <v>0.45</v>
      </c>
      <c r="E638" s="136" t="s">
        <v>34</v>
      </c>
      <c r="F638" s="463"/>
      <c r="G638" s="136" t="s">
        <v>316</v>
      </c>
      <c r="H638" s="137"/>
      <c r="I638" s="137" t="str">
        <f t="shared" si="10"/>
        <v>04,25</v>
      </c>
    </row>
    <row r="639" spans="1:9" ht="33" hidden="1" customHeight="1" x14ac:dyDescent="0.3">
      <c r="A639" s="461"/>
      <c r="B639" s="175" t="s">
        <v>313</v>
      </c>
      <c r="C639" s="134" t="s">
        <v>116</v>
      </c>
      <c r="D639" s="135">
        <v>0.19</v>
      </c>
      <c r="E639" s="136" t="s">
        <v>34</v>
      </c>
      <c r="F639" s="463"/>
      <c r="G639" s="136" t="s">
        <v>316</v>
      </c>
      <c r="H639" s="137"/>
      <c r="I639" s="137" t="str">
        <f t="shared" si="10"/>
        <v>04,25</v>
      </c>
    </row>
    <row r="640" spans="1:9" ht="33" hidden="1" customHeight="1" thickBot="1" x14ac:dyDescent="0.3">
      <c r="A640" s="461"/>
      <c r="B640" s="141" t="s">
        <v>313</v>
      </c>
      <c r="C640" s="142" t="s">
        <v>17</v>
      </c>
      <c r="D640" s="143">
        <v>0.37</v>
      </c>
      <c r="E640" s="144" t="s">
        <v>34</v>
      </c>
      <c r="F640" s="463"/>
      <c r="G640" s="144" t="s">
        <v>316</v>
      </c>
      <c r="H640" s="145"/>
      <c r="I640" s="145" t="str">
        <f t="shared" si="10"/>
        <v>04,25</v>
      </c>
    </row>
    <row r="641" spans="1:9" ht="19.5" hidden="1" thickBot="1" x14ac:dyDescent="0.3">
      <c r="A641" s="454">
        <f t="shared" ref="A641:A702" si="15">MAX(A623:A640)+1</f>
        <v>135</v>
      </c>
      <c r="B641" s="102" t="s">
        <v>321</v>
      </c>
      <c r="C641" s="103" t="s">
        <v>18</v>
      </c>
      <c r="D641" s="104">
        <v>1.9410000000000001</v>
      </c>
      <c r="E641" s="105" t="s">
        <v>13</v>
      </c>
      <c r="F641" s="457" t="s">
        <v>323</v>
      </c>
      <c r="G641" s="105" t="s">
        <v>322</v>
      </c>
      <c r="H641" s="107"/>
      <c r="I641" s="107" t="str">
        <f t="shared" si="10"/>
        <v>04,25</v>
      </c>
    </row>
    <row r="642" spans="1:9" ht="19.5" hidden="1" thickBot="1" x14ac:dyDescent="0.3">
      <c r="A642" s="455"/>
      <c r="B642" s="108" t="s">
        <v>321</v>
      </c>
      <c r="C642" s="109" t="s">
        <v>19</v>
      </c>
      <c r="D642" s="110">
        <v>3.7829999999999999</v>
      </c>
      <c r="E642" s="111" t="s">
        <v>13</v>
      </c>
      <c r="F642" s="458"/>
      <c r="G642" s="111" t="s">
        <v>322</v>
      </c>
      <c r="H642" s="113"/>
      <c r="I642" s="113" t="str">
        <f t="shared" si="10"/>
        <v>04,25</v>
      </c>
    </row>
    <row r="643" spans="1:9" ht="19.5" hidden="1" thickBot="1" x14ac:dyDescent="0.3">
      <c r="A643" s="455"/>
      <c r="B643" s="108" t="s">
        <v>321</v>
      </c>
      <c r="C643" s="109" t="s">
        <v>116</v>
      </c>
      <c r="D643" s="110">
        <v>1.7450000000000001</v>
      </c>
      <c r="E643" s="111" t="s">
        <v>13</v>
      </c>
      <c r="F643" s="458"/>
      <c r="G643" s="111" t="s">
        <v>322</v>
      </c>
      <c r="H643" s="113"/>
      <c r="I643" s="113" t="str">
        <f t="shared" si="10"/>
        <v>04,25</v>
      </c>
    </row>
    <row r="644" spans="1:9" ht="19.5" hidden="1" thickBot="1" x14ac:dyDescent="0.3">
      <c r="A644" s="455"/>
      <c r="B644" s="108" t="s">
        <v>321</v>
      </c>
      <c r="C644" s="109" t="s">
        <v>17</v>
      </c>
      <c r="D644" s="110">
        <v>4.6609999999999996</v>
      </c>
      <c r="E644" s="111" t="s">
        <v>13</v>
      </c>
      <c r="F644" s="458"/>
      <c r="G644" s="111" t="s">
        <v>322</v>
      </c>
      <c r="H644" s="113"/>
      <c r="I644" s="113" t="str">
        <f t="shared" si="10"/>
        <v>04,25</v>
      </c>
    </row>
    <row r="645" spans="1:9" ht="19.5" hidden="1" thickBot="1" x14ac:dyDescent="0.3">
      <c r="A645" s="456"/>
      <c r="B645" s="114" t="s">
        <v>321</v>
      </c>
      <c r="C645" s="115" t="s">
        <v>319</v>
      </c>
      <c r="D645" s="116">
        <v>2.0019999999999998</v>
      </c>
      <c r="E645" s="117" t="s">
        <v>13</v>
      </c>
      <c r="F645" s="459"/>
      <c r="G645" s="117" t="s">
        <v>322</v>
      </c>
      <c r="H645" s="119" t="s">
        <v>320</v>
      </c>
      <c r="I645" s="119" t="str">
        <f t="shared" si="10"/>
        <v>04,25</v>
      </c>
    </row>
    <row r="646" spans="1:9" ht="19.5" hidden="1" thickBot="1" x14ac:dyDescent="0.3">
      <c r="A646" s="460">
        <f t="shared" si="15"/>
        <v>136</v>
      </c>
      <c r="B646" s="91" t="s">
        <v>321</v>
      </c>
      <c r="C646" s="92" t="s">
        <v>18</v>
      </c>
      <c r="D646" s="93">
        <v>1.599</v>
      </c>
      <c r="E646" s="94" t="s">
        <v>13</v>
      </c>
      <c r="F646" s="462" t="s">
        <v>311</v>
      </c>
      <c r="G646" s="94" t="s">
        <v>324</v>
      </c>
      <c r="H646" s="132"/>
      <c r="I646" s="132" t="str">
        <f t="shared" si="10"/>
        <v>04,25</v>
      </c>
    </row>
    <row r="647" spans="1:9" ht="19.5" hidden="1" thickBot="1" x14ac:dyDescent="0.3">
      <c r="A647" s="461"/>
      <c r="B647" s="175" t="s">
        <v>321</v>
      </c>
      <c r="C647" s="134" t="s">
        <v>19</v>
      </c>
      <c r="D647" s="135">
        <v>3.1440000000000001</v>
      </c>
      <c r="E647" s="136" t="s">
        <v>13</v>
      </c>
      <c r="F647" s="463"/>
      <c r="G647" s="136" t="s">
        <v>324</v>
      </c>
      <c r="H647" s="137"/>
      <c r="I647" s="137" t="str">
        <f t="shared" si="10"/>
        <v>04,25</v>
      </c>
    </row>
    <row r="648" spans="1:9" ht="19.5" hidden="1" thickBot="1" x14ac:dyDescent="0.3">
      <c r="A648" s="461"/>
      <c r="B648" s="175" t="s">
        <v>321</v>
      </c>
      <c r="C648" s="134" t="s">
        <v>17</v>
      </c>
      <c r="D648" s="135">
        <v>3.86</v>
      </c>
      <c r="E648" s="136" t="s">
        <v>13</v>
      </c>
      <c r="F648" s="463"/>
      <c r="G648" s="136" t="s">
        <v>324</v>
      </c>
      <c r="H648" s="137"/>
      <c r="I648" s="137" t="str">
        <f t="shared" si="10"/>
        <v>04,25</v>
      </c>
    </row>
    <row r="649" spans="1:9" ht="19.5" hidden="1" thickBot="1" x14ac:dyDescent="0.3">
      <c r="A649" s="473"/>
      <c r="B649" s="95" t="s">
        <v>321</v>
      </c>
      <c r="C649" s="96" t="s">
        <v>277</v>
      </c>
      <c r="D649" s="97">
        <v>6.9210000000000003</v>
      </c>
      <c r="E649" s="98" t="s">
        <v>13</v>
      </c>
      <c r="F649" s="474"/>
      <c r="G649" s="98" t="s">
        <v>324</v>
      </c>
      <c r="H649" s="129"/>
      <c r="I649" s="129" t="str">
        <f t="shared" si="10"/>
        <v>04,25</v>
      </c>
    </row>
    <row r="650" spans="1:9" ht="19.5" hidden="1" thickBot="1" x14ac:dyDescent="0.3">
      <c r="A650" s="454">
        <f t="shared" si="15"/>
        <v>137</v>
      </c>
      <c r="B650" s="102" t="s">
        <v>321</v>
      </c>
      <c r="C650" s="103" t="s">
        <v>18</v>
      </c>
      <c r="D650" s="104">
        <v>0.77</v>
      </c>
      <c r="E650" s="105" t="s">
        <v>34</v>
      </c>
      <c r="F650" s="457" t="s">
        <v>325</v>
      </c>
      <c r="G650" s="105" t="s">
        <v>324</v>
      </c>
      <c r="H650" s="107"/>
      <c r="I650" s="107" t="str">
        <f t="shared" si="10"/>
        <v>04,25</v>
      </c>
    </row>
    <row r="651" spans="1:9" ht="19.5" hidden="1" thickBot="1" x14ac:dyDescent="0.3">
      <c r="A651" s="455"/>
      <c r="B651" s="108" t="s">
        <v>321</v>
      </c>
      <c r="C651" s="109" t="s">
        <v>19</v>
      </c>
      <c r="D651" s="110">
        <v>0.56999999999999995</v>
      </c>
      <c r="E651" s="111" t="s">
        <v>34</v>
      </c>
      <c r="F651" s="458"/>
      <c r="G651" s="111" t="s">
        <v>324</v>
      </c>
      <c r="H651" s="113"/>
      <c r="I651" s="113" t="str">
        <f t="shared" si="10"/>
        <v>04,25</v>
      </c>
    </row>
    <row r="652" spans="1:9" ht="19.5" hidden="1" thickBot="1" x14ac:dyDescent="0.3">
      <c r="A652" s="455"/>
      <c r="B652" s="108" t="s">
        <v>321</v>
      </c>
      <c r="C652" s="109" t="s">
        <v>116</v>
      </c>
      <c r="D652" s="110">
        <v>0.06</v>
      </c>
      <c r="E652" s="111" t="s">
        <v>34</v>
      </c>
      <c r="F652" s="458"/>
      <c r="G652" s="111" t="s">
        <v>324</v>
      </c>
      <c r="H652" s="113"/>
      <c r="I652" s="113" t="str">
        <f t="shared" si="10"/>
        <v>04,25</v>
      </c>
    </row>
    <row r="653" spans="1:9" ht="19.5" hidden="1" thickBot="1" x14ac:dyDescent="0.3">
      <c r="A653" s="455"/>
      <c r="B653" s="108" t="s">
        <v>321</v>
      </c>
      <c r="C653" s="109" t="s">
        <v>17</v>
      </c>
      <c r="D653" s="110">
        <v>1.06</v>
      </c>
      <c r="E653" s="111" t="s">
        <v>34</v>
      </c>
      <c r="F653" s="458"/>
      <c r="G653" s="111" t="s">
        <v>324</v>
      </c>
      <c r="H653" s="113"/>
      <c r="I653" s="113" t="str">
        <f t="shared" si="10"/>
        <v>04,25</v>
      </c>
    </row>
    <row r="654" spans="1:9" ht="19.5" hidden="1" thickBot="1" x14ac:dyDescent="0.3">
      <c r="A654" s="455"/>
      <c r="B654" s="108" t="s">
        <v>321</v>
      </c>
      <c r="C654" s="109" t="s">
        <v>18</v>
      </c>
      <c r="D654" s="110">
        <v>0.34200000000000003</v>
      </c>
      <c r="E654" s="111" t="s">
        <v>45</v>
      </c>
      <c r="F654" s="458"/>
      <c r="G654" s="111" t="s">
        <v>324</v>
      </c>
      <c r="H654" s="113"/>
      <c r="I654" s="113" t="str">
        <f t="shared" si="10"/>
        <v>04,25</v>
      </c>
    </row>
    <row r="655" spans="1:9" ht="19.5" hidden="1" thickBot="1" x14ac:dyDescent="0.3">
      <c r="A655" s="455"/>
      <c r="B655" s="164" t="s">
        <v>321</v>
      </c>
      <c r="C655" s="165" t="s">
        <v>17</v>
      </c>
      <c r="D655" s="166">
        <v>0.81</v>
      </c>
      <c r="E655" s="167" t="s">
        <v>45</v>
      </c>
      <c r="F655" s="458"/>
      <c r="G655" s="167" t="s">
        <v>324</v>
      </c>
      <c r="H655" s="163"/>
      <c r="I655" s="163" t="str">
        <f t="shared" si="10"/>
        <v>04,25</v>
      </c>
    </row>
    <row r="656" spans="1:9" ht="19.5" hidden="1" thickBot="1" x14ac:dyDescent="0.3">
      <c r="A656" s="460">
        <f t="shared" si="15"/>
        <v>138</v>
      </c>
      <c r="B656" s="91" t="s">
        <v>326</v>
      </c>
      <c r="C656" s="92" t="s">
        <v>18</v>
      </c>
      <c r="D656" s="93">
        <v>3.8069999999999999</v>
      </c>
      <c r="E656" s="94" t="s">
        <v>13</v>
      </c>
      <c r="F656" s="462" t="s">
        <v>328</v>
      </c>
      <c r="G656" s="94" t="s">
        <v>327</v>
      </c>
      <c r="H656" s="132"/>
      <c r="I656" s="132" t="str">
        <f t="shared" si="10"/>
        <v>04,25</v>
      </c>
    </row>
    <row r="657" spans="1:9" ht="19.5" hidden="1" thickBot="1" x14ac:dyDescent="0.3">
      <c r="A657" s="461"/>
      <c r="B657" s="175" t="s">
        <v>326</v>
      </c>
      <c r="C657" s="134" t="s">
        <v>19</v>
      </c>
      <c r="D657" s="135">
        <v>3.3010000000000002</v>
      </c>
      <c r="E657" s="136" t="s">
        <v>13</v>
      </c>
      <c r="F657" s="463"/>
      <c r="G657" s="136" t="s">
        <v>327</v>
      </c>
      <c r="H657" s="137"/>
      <c r="I657" s="137" t="str">
        <f t="shared" si="10"/>
        <v>04,25</v>
      </c>
    </row>
    <row r="658" spans="1:9" ht="19.5" hidden="1" thickBot="1" x14ac:dyDescent="0.3">
      <c r="A658" s="461"/>
      <c r="B658" s="175" t="s">
        <v>326</v>
      </c>
      <c r="C658" s="134" t="s">
        <v>116</v>
      </c>
      <c r="D658" s="135">
        <v>1.82</v>
      </c>
      <c r="E658" s="136" t="s">
        <v>13</v>
      </c>
      <c r="F658" s="463"/>
      <c r="G658" s="136" t="s">
        <v>327</v>
      </c>
      <c r="H658" s="137"/>
      <c r="I658" s="137" t="str">
        <f t="shared" si="10"/>
        <v>04,25</v>
      </c>
    </row>
    <row r="659" spans="1:9" ht="19.5" hidden="1" thickBot="1" x14ac:dyDescent="0.3">
      <c r="A659" s="473"/>
      <c r="B659" s="95" t="s">
        <v>326</v>
      </c>
      <c r="C659" s="96" t="s">
        <v>17</v>
      </c>
      <c r="D659" s="97">
        <v>4.7009999999999996</v>
      </c>
      <c r="E659" s="98" t="s">
        <v>13</v>
      </c>
      <c r="F659" s="474"/>
      <c r="G659" s="98" t="s">
        <v>327</v>
      </c>
      <c r="H659" s="129"/>
      <c r="I659" s="129" t="str">
        <f t="shared" si="10"/>
        <v>04,25</v>
      </c>
    </row>
    <row r="660" spans="1:9" ht="19.5" hidden="1" thickBot="1" x14ac:dyDescent="0.3">
      <c r="A660" s="454">
        <f t="shared" si="15"/>
        <v>139</v>
      </c>
      <c r="B660" s="102" t="s">
        <v>326</v>
      </c>
      <c r="C660" s="103" t="s">
        <v>18</v>
      </c>
      <c r="D660" s="104">
        <v>1</v>
      </c>
      <c r="E660" s="105" t="s">
        <v>13</v>
      </c>
      <c r="F660" s="457" t="s">
        <v>330</v>
      </c>
      <c r="G660" s="105" t="s">
        <v>329</v>
      </c>
      <c r="H660" s="107"/>
      <c r="I660" s="107" t="str">
        <f t="shared" si="10"/>
        <v>04,25</v>
      </c>
    </row>
    <row r="661" spans="1:9" ht="19.5" hidden="1" thickBot="1" x14ac:dyDescent="0.3">
      <c r="A661" s="455"/>
      <c r="B661" s="108" t="s">
        <v>326</v>
      </c>
      <c r="C661" s="109" t="s">
        <v>19</v>
      </c>
      <c r="D661" s="110">
        <v>2.7789999999999999</v>
      </c>
      <c r="E661" s="111" t="s">
        <v>13</v>
      </c>
      <c r="F661" s="458"/>
      <c r="G661" s="111" t="s">
        <v>329</v>
      </c>
      <c r="H661" s="113"/>
      <c r="I661" s="113" t="str">
        <f t="shared" si="10"/>
        <v>04,25</v>
      </c>
    </row>
    <row r="662" spans="1:9" ht="19.5" hidden="1" thickBot="1" x14ac:dyDescent="0.3">
      <c r="A662" s="455"/>
      <c r="B662" s="108" t="s">
        <v>326</v>
      </c>
      <c r="C662" s="109" t="s">
        <v>116</v>
      </c>
      <c r="D662" s="110">
        <v>1.655</v>
      </c>
      <c r="E662" s="111" t="s">
        <v>13</v>
      </c>
      <c r="F662" s="458"/>
      <c r="G662" s="111" t="s">
        <v>329</v>
      </c>
      <c r="H662" s="113"/>
      <c r="I662" s="113" t="str">
        <f t="shared" si="10"/>
        <v>04,25</v>
      </c>
    </row>
    <row r="663" spans="1:9" ht="19.5" hidden="1" thickBot="1" x14ac:dyDescent="0.3">
      <c r="A663" s="455"/>
      <c r="B663" s="108" t="s">
        <v>326</v>
      </c>
      <c r="C663" s="109" t="s">
        <v>17</v>
      </c>
      <c r="D663" s="110">
        <v>1.6060000000000001</v>
      </c>
      <c r="E663" s="111" t="s">
        <v>13</v>
      </c>
      <c r="F663" s="458"/>
      <c r="G663" s="111" t="s">
        <v>329</v>
      </c>
      <c r="H663" s="113"/>
      <c r="I663" s="113" t="str">
        <f t="shared" si="10"/>
        <v>04,25</v>
      </c>
    </row>
    <row r="664" spans="1:9" ht="19.5" hidden="1" thickBot="1" x14ac:dyDescent="0.3">
      <c r="A664" s="456"/>
      <c r="B664" s="114" t="s">
        <v>326</v>
      </c>
      <c r="C664" s="115" t="s">
        <v>277</v>
      </c>
      <c r="D664" s="116">
        <v>7.9340000000000002</v>
      </c>
      <c r="E664" s="117" t="s">
        <v>13</v>
      </c>
      <c r="F664" s="459"/>
      <c r="G664" s="117" t="s">
        <v>329</v>
      </c>
      <c r="H664" s="119"/>
      <c r="I664" s="119" t="str">
        <f t="shared" si="10"/>
        <v>04,25</v>
      </c>
    </row>
    <row r="665" spans="1:9" ht="19.5" hidden="1" thickBot="1" x14ac:dyDescent="0.3">
      <c r="A665" s="460">
        <f t="shared" si="15"/>
        <v>140</v>
      </c>
      <c r="B665" s="138" t="s">
        <v>326</v>
      </c>
      <c r="C665" s="92" t="s">
        <v>18</v>
      </c>
      <c r="D665" s="93">
        <v>2.5209999999999999</v>
      </c>
      <c r="E665" s="94" t="s">
        <v>13</v>
      </c>
      <c r="F665" s="462" t="s">
        <v>332</v>
      </c>
      <c r="G665" s="94" t="s">
        <v>329</v>
      </c>
      <c r="H665" s="132"/>
      <c r="I665" s="132" t="str">
        <f t="shared" si="10"/>
        <v>04,25</v>
      </c>
    </row>
    <row r="666" spans="1:9" ht="19.5" hidden="1" thickBot="1" x14ac:dyDescent="0.3">
      <c r="A666" s="461"/>
      <c r="B666" s="139" t="s">
        <v>326</v>
      </c>
      <c r="C666" s="96" t="s">
        <v>17</v>
      </c>
      <c r="D666" s="97">
        <v>2.95</v>
      </c>
      <c r="E666" s="98" t="s">
        <v>13</v>
      </c>
      <c r="F666" s="474"/>
      <c r="G666" s="98" t="s">
        <v>329</v>
      </c>
      <c r="H666" s="129"/>
      <c r="I666" s="129" t="str">
        <f t="shared" si="10"/>
        <v>04,25</v>
      </c>
    </row>
    <row r="667" spans="1:9" ht="19.5" hidden="1" thickBot="1" x14ac:dyDescent="0.3">
      <c r="A667" s="461"/>
      <c r="B667" s="175" t="s">
        <v>326</v>
      </c>
      <c r="C667" s="134" t="s">
        <v>18</v>
      </c>
      <c r="D667" s="135">
        <v>0.56000000000000005</v>
      </c>
      <c r="E667" s="136" t="s">
        <v>34</v>
      </c>
      <c r="F667" s="463" t="s">
        <v>331</v>
      </c>
      <c r="G667" s="136" t="s">
        <v>329</v>
      </c>
      <c r="H667" s="137"/>
      <c r="I667" s="137" t="str">
        <f t="shared" si="10"/>
        <v>04,25</v>
      </c>
    </row>
    <row r="668" spans="1:9" ht="19.5" hidden="1" thickBot="1" x14ac:dyDescent="0.3">
      <c r="A668" s="461"/>
      <c r="B668" s="175" t="s">
        <v>326</v>
      </c>
      <c r="C668" s="134" t="s">
        <v>19</v>
      </c>
      <c r="D668" s="135">
        <v>0.43</v>
      </c>
      <c r="E668" s="136" t="s">
        <v>34</v>
      </c>
      <c r="F668" s="463"/>
      <c r="G668" s="136" t="s">
        <v>329</v>
      </c>
      <c r="H668" s="137"/>
      <c r="I668" s="137" t="str">
        <f t="shared" si="10"/>
        <v>04,25</v>
      </c>
    </row>
    <row r="669" spans="1:9" ht="19.5" hidden="1" thickBot="1" x14ac:dyDescent="0.3">
      <c r="A669" s="461"/>
      <c r="B669" s="175" t="s">
        <v>326</v>
      </c>
      <c r="C669" s="134" t="s">
        <v>17</v>
      </c>
      <c r="D669" s="135">
        <v>2.71</v>
      </c>
      <c r="E669" s="136" t="s">
        <v>34</v>
      </c>
      <c r="F669" s="463"/>
      <c r="G669" s="136" t="s">
        <v>329</v>
      </c>
      <c r="H669" s="137"/>
      <c r="I669" s="137" t="str">
        <f t="shared" si="10"/>
        <v>04,25</v>
      </c>
    </row>
    <row r="670" spans="1:9" ht="19.5" hidden="1" thickBot="1" x14ac:dyDescent="0.3">
      <c r="A670" s="461"/>
      <c r="B670" s="175" t="s">
        <v>326</v>
      </c>
      <c r="C670" s="134" t="s">
        <v>18</v>
      </c>
      <c r="D670" s="135">
        <v>0.63</v>
      </c>
      <c r="E670" s="136" t="s">
        <v>45</v>
      </c>
      <c r="F670" s="463"/>
      <c r="G670" s="136" t="s">
        <v>329</v>
      </c>
      <c r="H670" s="137"/>
      <c r="I670" s="137" t="str">
        <f t="shared" si="10"/>
        <v>04,25</v>
      </c>
    </row>
    <row r="671" spans="1:9" ht="19.5" hidden="1" thickBot="1" x14ac:dyDescent="0.3">
      <c r="A671" s="461"/>
      <c r="B671" s="175" t="s">
        <v>326</v>
      </c>
      <c r="C671" s="134" t="s">
        <v>19</v>
      </c>
      <c r="D671" s="135">
        <v>0.09</v>
      </c>
      <c r="E671" s="136" t="s">
        <v>45</v>
      </c>
      <c r="F671" s="463"/>
      <c r="G671" s="136" t="s">
        <v>329</v>
      </c>
      <c r="H671" s="137"/>
      <c r="I671" s="137" t="str">
        <f t="shared" si="10"/>
        <v>04,25</v>
      </c>
    </row>
    <row r="672" spans="1:9" ht="19.5" hidden="1" thickBot="1" x14ac:dyDescent="0.3">
      <c r="A672" s="473"/>
      <c r="B672" s="95" t="s">
        <v>326</v>
      </c>
      <c r="C672" s="96" t="s">
        <v>17</v>
      </c>
      <c r="D672" s="97">
        <v>0.72</v>
      </c>
      <c r="E672" s="98" t="s">
        <v>45</v>
      </c>
      <c r="F672" s="474"/>
      <c r="G672" s="98" t="s">
        <v>329</v>
      </c>
      <c r="H672" s="129"/>
      <c r="I672" s="129" t="str">
        <f t="shared" si="10"/>
        <v>04,25</v>
      </c>
    </row>
    <row r="673" spans="1:9" ht="19.5" hidden="1" thickBot="1" x14ac:dyDescent="0.3">
      <c r="A673" s="454">
        <f t="shared" si="15"/>
        <v>141</v>
      </c>
      <c r="B673" s="102" t="s">
        <v>333</v>
      </c>
      <c r="C673" s="103" t="s">
        <v>18</v>
      </c>
      <c r="D673" s="104">
        <v>1.29</v>
      </c>
      <c r="E673" s="105" t="s">
        <v>13</v>
      </c>
      <c r="F673" s="106"/>
      <c r="G673" s="105" t="s">
        <v>334</v>
      </c>
      <c r="H673" s="107"/>
      <c r="I673" s="107" t="str">
        <f t="shared" si="10"/>
        <v>04,25</v>
      </c>
    </row>
    <row r="674" spans="1:9" ht="19.5" hidden="1" thickBot="1" x14ac:dyDescent="0.3">
      <c r="A674" s="455"/>
      <c r="B674" s="108" t="s">
        <v>333</v>
      </c>
      <c r="C674" s="109" t="s">
        <v>19</v>
      </c>
      <c r="D674" s="110">
        <v>6.9349999999999996</v>
      </c>
      <c r="E674" s="111" t="s">
        <v>13</v>
      </c>
      <c r="F674" s="112"/>
      <c r="G674" s="111" t="s">
        <v>334</v>
      </c>
      <c r="H674" s="113"/>
      <c r="I674" s="113" t="str">
        <f t="shared" si="10"/>
        <v>04,25</v>
      </c>
    </row>
    <row r="675" spans="1:9" ht="19.5" hidden="1" thickBot="1" x14ac:dyDescent="0.3">
      <c r="A675" s="455"/>
      <c r="B675" s="108" t="s">
        <v>333</v>
      </c>
      <c r="C675" s="109" t="s">
        <v>116</v>
      </c>
      <c r="D675" s="110">
        <v>0.68500000000000005</v>
      </c>
      <c r="E675" s="111" t="s">
        <v>13</v>
      </c>
      <c r="F675" s="112"/>
      <c r="G675" s="111" t="s">
        <v>334</v>
      </c>
      <c r="H675" s="113"/>
      <c r="I675" s="113" t="str">
        <f t="shared" si="10"/>
        <v>04,25</v>
      </c>
    </row>
    <row r="676" spans="1:9" ht="19.5" hidden="1" thickBot="1" x14ac:dyDescent="0.3">
      <c r="A676" s="455"/>
      <c r="B676" s="108" t="s">
        <v>333</v>
      </c>
      <c r="C676" s="109" t="s">
        <v>17</v>
      </c>
      <c r="D676" s="110">
        <v>6.1020000000000003</v>
      </c>
      <c r="E676" s="111" t="s">
        <v>13</v>
      </c>
      <c r="F676" s="112"/>
      <c r="G676" s="111" t="s">
        <v>334</v>
      </c>
      <c r="H676" s="113"/>
      <c r="I676" s="113" t="str">
        <f t="shared" si="10"/>
        <v>04,25</v>
      </c>
    </row>
    <row r="677" spans="1:9" ht="19.5" hidden="1" thickBot="1" x14ac:dyDescent="0.3">
      <c r="A677" s="456"/>
      <c r="B677" s="114" t="s">
        <v>333</v>
      </c>
      <c r="C677" s="115" t="s">
        <v>319</v>
      </c>
      <c r="D677" s="116">
        <v>1.5049999999999999</v>
      </c>
      <c r="E677" s="117" t="s">
        <v>13</v>
      </c>
      <c r="F677" s="118"/>
      <c r="G677" s="117" t="s">
        <v>334</v>
      </c>
      <c r="H677" s="119"/>
      <c r="I677" s="119" t="str">
        <f t="shared" si="10"/>
        <v>04,25</v>
      </c>
    </row>
    <row r="678" spans="1:9" ht="25.5" hidden="1" customHeight="1" x14ac:dyDescent="0.3">
      <c r="A678" s="460">
        <f t="shared" si="15"/>
        <v>142</v>
      </c>
      <c r="B678" s="138" t="s">
        <v>333</v>
      </c>
      <c r="C678" s="92" t="s">
        <v>19</v>
      </c>
      <c r="D678" s="93">
        <v>1.59</v>
      </c>
      <c r="E678" s="94" t="s">
        <v>13</v>
      </c>
      <c r="F678" s="462" t="s">
        <v>335</v>
      </c>
      <c r="G678" s="94" t="s">
        <v>336</v>
      </c>
      <c r="H678" s="132"/>
      <c r="I678" s="132" t="str">
        <f t="shared" si="10"/>
        <v>04,25</v>
      </c>
    </row>
    <row r="679" spans="1:9" ht="25.5" hidden="1" customHeight="1" x14ac:dyDescent="0.3">
      <c r="A679" s="461"/>
      <c r="B679" s="140" t="s">
        <v>333</v>
      </c>
      <c r="C679" s="134" t="s">
        <v>17</v>
      </c>
      <c r="D679" s="135">
        <v>1.0029999999999999</v>
      </c>
      <c r="E679" s="136" t="s">
        <v>13</v>
      </c>
      <c r="F679" s="463"/>
      <c r="G679" s="136" t="s">
        <v>336</v>
      </c>
      <c r="H679" s="137"/>
      <c r="I679" s="137" t="str">
        <f t="shared" si="10"/>
        <v>04,25</v>
      </c>
    </row>
    <row r="680" spans="1:9" ht="25.5" hidden="1" customHeight="1" thickBot="1" x14ac:dyDescent="0.3">
      <c r="A680" s="461"/>
      <c r="B680" s="139" t="s">
        <v>333</v>
      </c>
      <c r="C680" s="96" t="s">
        <v>277</v>
      </c>
      <c r="D680" s="97">
        <v>6.8940000000000001</v>
      </c>
      <c r="E680" s="98" t="s">
        <v>13</v>
      </c>
      <c r="F680" s="474"/>
      <c r="G680" s="98" t="s">
        <v>336</v>
      </c>
      <c r="H680" s="129"/>
      <c r="I680" s="129" t="str">
        <f t="shared" si="10"/>
        <v>04,25</v>
      </c>
    </row>
    <row r="681" spans="1:9" ht="19.5" hidden="1" thickBot="1" x14ac:dyDescent="0.3">
      <c r="A681" s="461"/>
      <c r="B681" s="175" t="s">
        <v>333</v>
      </c>
      <c r="C681" s="134" t="s">
        <v>18</v>
      </c>
      <c r="D681" s="135">
        <v>0.47</v>
      </c>
      <c r="E681" s="136" t="s">
        <v>34</v>
      </c>
      <c r="F681" s="463" t="s">
        <v>337</v>
      </c>
      <c r="G681" s="136" t="s">
        <v>336</v>
      </c>
      <c r="H681" s="137"/>
      <c r="I681" s="137" t="str">
        <f t="shared" si="10"/>
        <v>04,25</v>
      </c>
    </row>
    <row r="682" spans="1:9" ht="19.5" hidden="1" thickBot="1" x14ac:dyDescent="0.3">
      <c r="A682" s="461"/>
      <c r="B682" s="175" t="s">
        <v>333</v>
      </c>
      <c r="C682" s="134" t="s">
        <v>19</v>
      </c>
      <c r="D682" s="135">
        <v>7.0000000000000007E-2</v>
      </c>
      <c r="E682" s="136" t="s">
        <v>34</v>
      </c>
      <c r="F682" s="463"/>
      <c r="G682" s="136" t="s">
        <v>336</v>
      </c>
      <c r="H682" s="137"/>
      <c r="I682" s="137" t="str">
        <f t="shared" si="10"/>
        <v>04,25</v>
      </c>
    </row>
    <row r="683" spans="1:9" ht="19.5" hidden="1" thickBot="1" x14ac:dyDescent="0.3">
      <c r="A683" s="461"/>
      <c r="B683" s="175" t="s">
        <v>333</v>
      </c>
      <c r="C683" s="134" t="s">
        <v>17</v>
      </c>
      <c r="D683" s="135">
        <v>3.05</v>
      </c>
      <c r="E683" s="136" t="s">
        <v>34</v>
      </c>
      <c r="F683" s="463"/>
      <c r="G683" s="136" t="s">
        <v>336</v>
      </c>
      <c r="H683" s="137"/>
      <c r="I683" s="137" t="str">
        <f t="shared" si="10"/>
        <v>04,25</v>
      </c>
    </row>
    <row r="684" spans="1:9" ht="19.5" hidden="1" thickBot="1" x14ac:dyDescent="0.3">
      <c r="A684" s="461"/>
      <c r="B684" s="175" t="s">
        <v>333</v>
      </c>
      <c r="C684" s="134" t="s">
        <v>18</v>
      </c>
      <c r="D684" s="135">
        <v>0.09</v>
      </c>
      <c r="E684" s="136" t="s">
        <v>45</v>
      </c>
      <c r="F684" s="463"/>
      <c r="G684" s="136" t="s">
        <v>336</v>
      </c>
      <c r="H684" s="137"/>
      <c r="I684" s="137" t="str">
        <f t="shared" si="10"/>
        <v>04,25</v>
      </c>
    </row>
    <row r="685" spans="1:9" ht="19.5" hidden="1" thickBot="1" x14ac:dyDescent="0.3">
      <c r="A685" s="473"/>
      <c r="B685" s="95" t="s">
        <v>333</v>
      </c>
      <c r="C685" s="96" t="s">
        <v>17</v>
      </c>
      <c r="D685" s="97">
        <v>0.72</v>
      </c>
      <c r="E685" s="98" t="s">
        <v>45</v>
      </c>
      <c r="F685" s="474"/>
      <c r="G685" s="98" t="s">
        <v>336</v>
      </c>
      <c r="H685" s="129"/>
      <c r="I685" s="129" t="str">
        <f t="shared" si="10"/>
        <v>04,25</v>
      </c>
    </row>
    <row r="686" spans="1:9" ht="19.5" hidden="1" thickBot="1" x14ac:dyDescent="0.3">
      <c r="A686" s="454">
        <f t="shared" si="15"/>
        <v>143</v>
      </c>
      <c r="B686" s="102" t="s">
        <v>336</v>
      </c>
      <c r="C686" s="103" t="s">
        <v>18</v>
      </c>
      <c r="D686" s="104">
        <v>2.3359999999999999</v>
      </c>
      <c r="E686" s="105" t="s">
        <v>13</v>
      </c>
      <c r="F686" s="457" t="s">
        <v>339</v>
      </c>
      <c r="G686" s="105" t="s">
        <v>338</v>
      </c>
      <c r="H686" s="107"/>
      <c r="I686" s="107" t="str">
        <f t="shared" si="10"/>
        <v>05,25</v>
      </c>
    </row>
    <row r="687" spans="1:9" ht="19.5" hidden="1" thickBot="1" x14ac:dyDescent="0.3">
      <c r="A687" s="455"/>
      <c r="B687" s="108" t="s">
        <v>336</v>
      </c>
      <c r="C687" s="109" t="s">
        <v>19</v>
      </c>
      <c r="D687" s="110">
        <v>7.6310000000000002</v>
      </c>
      <c r="E687" s="111" t="s">
        <v>13</v>
      </c>
      <c r="F687" s="458"/>
      <c r="G687" s="111" t="s">
        <v>338</v>
      </c>
      <c r="H687" s="113"/>
      <c r="I687" s="113" t="str">
        <f t="shared" si="10"/>
        <v>05,25</v>
      </c>
    </row>
    <row r="688" spans="1:9" ht="19.5" hidden="1" thickBot="1" x14ac:dyDescent="0.3">
      <c r="A688" s="455"/>
      <c r="B688" s="108" t="s">
        <v>336</v>
      </c>
      <c r="C688" s="109" t="s">
        <v>116</v>
      </c>
      <c r="D688" s="110">
        <v>1.5189999999999999</v>
      </c>
      <c r="E688" s="111" t="s">
        <v>13</v>
      </c>
      <c r="F688" s="458"/>
      <c r="G688" s="111" t="s">
        <v>338</v>
      </c>
      <c r="H688" s="113"/>
      <c r="I688" s="113" t="str">
        <f t="shared" si="10"/>
        <v>05,25</v>
      </c>
    </row>
    <row r="689" spans="1:9" ht="19.5" hidden="1" thickBot="1" x14ac:dyDescent="0.3">
      <c r="A689" s="456"/>
      <c r="B689" s="114" t="s">
        <v>336</v>
      </c>
      <c r="C689" s="115" t="s">
        <v>17</v>
      </c>
      <c r="D689" s="116">
        <v>1.996</v>
      </c>
      <c r="E689" s="117" t="s">
        <v>13</v>
      </c>
      <c r="F689" s="459"/>
      <c r="G689" s="117" t="s">
        <v>338</v>
      </c>
      <c r="H689" s="119"/>
      <c r="I689" s="119" t="str">
        <f t="shared" si="10"/>
        <v>05,25</v>
      </c>
    </row>
    <row r="690" spans="1:9" ht="132" hidden="1" thickBot="1" x14ac:dyDescent="0.3">
      <c r="A690" s="120">
        <f t="shared" si="15"/>
        <v>144</v>
      </c>
      <c r="B690" s="121" t="s">
        <v>340</v>
      </c>
      <c r="C690" s="122" t="s">
        <v>277</v>
      </c>
      <c r="D690" s="123">
        <v>4.6970000000000001</v>
      </c>
      <c r="E690" s="124" t="s">
        <v>13</v>
      </c>
      <c r="F690" s="130" t="s">
        <v>342</v>
      </c>
      <c r="G690" s="124" t="s">
        <v>341</v>
      </c>
      <c r="H690" s="125"/>
      <c r="I690" s="125" t="str">
        <f t="shared" si="10"/>
        <v>05,25</v>
      </c>
    </row>
    <row r="691" spans="1:9" ht="19.5" hidden="1" thickBot="1" x14ac:dyDescent="0.3">
      <c r="A691" s="454">
        <f t="shared" si="15"/>
        <v>145</v>
      </c>
      <c r="B691" s="102" t="s">
        <v>341</v>
      </c>
      <c r="C691" s="103" t="s">
        <v>18</v>
      </c>
      <c r="D691" s="104">
        <v>4.1109999999999998</v>
      </c>
      <c r="E691" s="105" t="s">
        <v>13</v>
      </c>
      <c r="F691" s="457" t="s">
        <v>309</v>
      </c>
      <c r="G691" s="105" t="s">
        <v>343</v>
      </c>
      <c r="H691" s="107"/>
      <c r="I691" s="107" t="str">
        <f t="shared" si="10"/>
        <v>05,25</v>
      </c>
    </row>
    <row r="692" spans="1:9" ht="19.5" hidden="1" thickBot="1" x14ac:dyDescent="0.3">
      <c r="A692" s="455"/>
      <c r="B692" s="108" t="s">
        <v>341</v>
      </c>
      <c r="C692" s="109" t="s">
        <v>19</v>
      </c>
      <c r="D692" s="110">
        <v>3.726</v>
      </c>
      <c r="E692" s="111" t="s">
        <v>13</v>
      </c>
      <c r="F692" s="458"/>
      <c r="G692" s="111" t="s">
        <v>343</v>
      </c>
      <c r="H692" s="113"/>
      <c r="I692" s="113" t="str">
        <f t="shared" si="10"/>
        <v>05,25</v>
      </c>
    </row>
    <row r="693" spans="1:9" ht="19.5" hidden="1" thickBot="1" x14ac:dyDescent="0.3">
      <c r="A693" s="455"/>
      <c r="B693" s="108" t="s">
        <v>341</v>
      </c>
      <c r="C693" s="109" t="s">
        <v>116</v>
      </c>
      <c r="D693" s="110">
        <v>0.89200000000000002</v>
      </c>
      <c r="E693" s="111" t="s">
        <v>13</v>
      </c>
      <c r="F693" s="458"/>
      <c r="G693" s="111" t="s">
        <v>343</v>
      </c>
      <c r="H693" s="113"/>
      <c r="I693" s="113" t="str">
        <f t="shared" si="10"/>
        <v>05,25</v>
      </c>
    </row>
    <row r="694" spans="1:9" ht="19.5" hidden="1" thickBot="1" x14ac:dyDescent="0.3">
      <c r="A694" s="456"/>
      <c r="B694" s="114" t="s">
        <v>341</v>
      </c>
      <c r="C694" s="115" t="s">
        <v>17</v>
      </c>
      <c r="D694" s="116">
        <v>5.67</v>
      </c>
      <c r="E694" s="117" t="s">
        <v>13</v>
      </c>
      <c r="F694" s="459"/>
      <c r="G694" s="117" t="s">
        <v>343</v>
      </c>
      <c r="H694" s="119"/>
      <c r="I694" s="119" t="str">
        <f t="shared" si="10"/>
        <v>05,25</v>
      </c>
    </row>
    <row r="695" spans="1:9" ht="19.5" hidden="1" thickBot="1" x14ac:dyDescent="0.3">
      <c r="A695" s="460">
        <f t="shared" si="15"/>
        <v>146</v>
      </c>
      <c r="B695" s="91" t="s">
        <v>344</v>
      </c>
      <c r="C695" s="92" t="s">
        <v>18</v>
      </c>
      <c r="D695" s="93">
        <v>1.679</v>
      </c>
      <c r="E695" s="94" t="s">
        <v>13</v>
      </c>
      <c r="F695" s="462" t="s">
        <v>346</v>
      </c>
      <c r="G695" s="94" t="s">
        <v>345</v>
      </c>
      <c r="H695" s="132"/>
      <c r="I695" s="132" t="str">
        <f t="shared" si="10"/>
        <v>05,25</v>
      </c>
    </row>
    <row r="696" spans="1:9" ht="19.5" hidden="1" thickBot="1" x14ac:dyDescent="0.3">
      <c r="A696" s="461"/>
      <c r="B696" s="175" t="s">
        <v>344</v>
      </c>
      <c r="C696" s="134" t="s">
        <v>17</v>
      </c>
      <c r="D696" s="135">
        <v>2.3109999999999999</v>
      </c>
      <c r="E696" s="136" t="s">
        <v>13</v>
      </c>
      <c r="F696" s="463"/>
      <c r="G696" s="136" t="s">
        <v>345</v>
      </c>
      <c r="H696" s="137"/>
      <c r="I696" s="137" t="str">
        <f t="shared" si="10"/>
        <v>05,25</v>
      </c>
    </row>
    <row r="697" spans="1:9" ht="19.5" hidden="1" thickBot="1" x14ac:dyDescent="0.3">
      <c r="A697" s="461"/>
      <c r="B697" s="141" t="s">
        <v>344</v>
      </c>
      <c r="C697" s="142" t="s">
        <v>277</v>
      </c>
      <c r="D697" s="143">
        <v>6.9320000000000004</v>
      </c>
      <c r="E697" s="144" t="s">
        <v>13</v>
      </c>
      <c r="F697" s="463"/>
      <c r="G697" s="144" t="s">
        <v>345</v>
      </c>
      <c r="H697" s="145"/>
      <c r="I697" s="145" t="str">
        <f t="shared" si="10"/>
        <v>05,25</v>
      </c>
    </row>
    <row r="698" spans="1:9" ht="19.5" hidden="1" thickBot="1" x14ac:dyDescent="0.3">
      <c r="A698" s="454">
        <f t="shared" si="15"/>
        <v>147</v>
      </c>
      <c r="B698" s="102" t="s">
        <v>347</v>
      </c>
      <c r="C698" s="103" t="s">
        <v>18</v>
      </c>
      <c r="D698" s="104">
        <v>2.2530000000000001</v>
      </c>
      <c r="E698" s="105" t="s">
        <v>13</v>
      </c>
      <c r="F698" s="457" t="s">
        <v>309</v>
      </c>
      <c r="G698" s="105" t="s">
        <v>348</v>
      </c>
      <c r="H698" s="107"/>
      <c r="I698" s="107" t="str">
        <f t="shared" si="10"/>
        <v>05,25</v>
      </c>
    </row>
    <row r="699" spans="1:9" ht="19.5" hidden="1" thickBot="1" x14ac:dyDescent="0.3">
      <c r="A699" s="455"/>
      <c r="B699" s="108" t="s">
        <v>347</v>
      </c>
      <c r="C699" s="109" t="s">
        <v>19</v>
      </c>
      <c r="D699" s="110">
        <v>5.5709999999999997</v>
      </c>
      <c r="E699" s="111" t="s">
        <v>13</v>
      </c>
      <c r="F699" s="458"/>
      <c r="G699" s="111" t="s">
        <v>348</v>
      </c>
      <c r="H699" s="113"/>
      <c r="I699" s="113" t="str">
        <f t="shared" si="10"/>
        <v>05,25</v>
      </c>
    </row>
    <row r="700" spans="1:9" ht="19.5" hidden="1" thickBot="1" x14ac:dyDescent="0.3">
      <c r="A700" s="455"/>
      <c r="B700" s="108" t="s">
        <v>347</v>
      </c>
      <c r="C700" s="109" t="s">
        <v>116</v>
      </c>
      <c r="D700" s="110">
        <v>2.8109999999999999</v>
      </c>
      <c r="E700" s="111" t="s">
        <v>13</v>
      </c>
      <c r="F700" s="458"/>
      <c r="G700" s="111" t="s">
        <v>348</v>
      </c>
      <c r="H700" s="113"/>
      <c r="I700" s="113" t="str">
        <f t="shared" si="10"/>
        <v>05,25</v>
      </c>
    </row>
    <row r="701" spans="1:9" ht="19.5" hidden="1" thickBot="1" x14ac:dyDescent="0.3">
      <c r="A701" s="456"/>
      <c r="B701" s="114" t="s">
        <v>347</v>
      </c>
      <c r="C701" s="115" t="s">
        <v>17</v>
      </c>
      <c r="D701" s="116">
        <v>3.81</v>
      </c>
      <c r="E701" s="117" t="s">
        <v>13</v>
      </c>
      <c r="F701" s="459"/>
      <c r="G701" s="117" t="s">
        <v>348</v>
      </c>
      <c r="H701" s="119"/>
      <c r="I701" s="119" t="str">
        <f t="shared" si="10"/>
        <v>05,25</v>
      </c>
    </row>
    <row r="702" spans="1:9" ht="19.5" hidden="1" thickBot="1" x14ac:dyDescent="0.3">
      <c r="A702" s="460">
        <f t="shared" si="15"/>
        <v>148</v>
      </c>
      <c r="B702" s="91" t="s">
        <v>347</v>
      </c>
      <c r="C702" s="92" t="s">
        <v>18</v>
      </c>
      <c r="D702" s="93">
        <v>1.3220000000000001</v>
      </c>
      <c r="E702" s="94" t="s">
        <v>13</v>
      </c>
      <c r="F702" s="131"/>
      <c r="G702" s="94" t="s">
        <v>349</v>
      </c>
      <c r="H702" s="132"/>
      <c r="I702" s="132" t="str">
        <f t="shared" si="10"/>
        <v>05,25</v>
      </c>
    </row>
    <row r="703" spans="1:9" ht="19.5" hidden="1" thickBot="1" x14ac:dyDescent="0.3">
      <c r="A703" s="461"/>
      <c r="B703" s="175" t="s">
        <v>347</v>
      </c>
      <c r="C703" s="134" t="s">
        <v>19</v>
      </c>
      <c r="D703" s="135">
        <v>3.2690000000000001</v>
      </c>
      <c r="E703" s="136" t="s">
        <v>13</v>
      </c>
      <c r="F703" s="171"/>
      <c r="G703" s="136" t="s">
        <v>349</v>
      </c>
      <c r="H703" s="137"/>
      <c r="I703" s="137" t="str">
        <f t="shared" si="10"/>
        <v>05,25</v>
      </c>
    </row>
    <row r="704" spans="1:9" ht="19.5" hidden="1" thickBot="1" x14ac:dyDescent="0.3">
      <c r="A704" s="461"/>
      <c r="B704" s="175" t="s">
        <v>347</v>
      </c>
      <c r="C704" s="134" t="s">
        <v>17</v>
      </c>
      <c r="D704" s="135">
        <v>2.31</v>
      </c>
      <c r="E704" s="136" t="s">
        <v>13</v>
      </c>
      <c r="F704" s="171"/>
      <c r="G704" s="136" t="s">
        <v>349</v>
      </c>
      <c r="H704" s="137"/>
      <c r="I704" s="137" t="str">
        <f t="shared" si="10"/>
        <v>05,25</v>
      </c>
    </row>
    <row r="705" spans="1:9" ht="19.5" hidden="1" thickBot="1" x14ac:dyDescent="0.3">
      <c r="A705" s="461"/>
      <c r="B705" s="175" t="s">
        <v>347</v>
      </c>
      <c r="C705" s="134" t="s">
        <v>277</v>
      </c>
      <c r="D705" s="135">
        <v>8.2989999999999995</v>
      </c>
      <c r="E705" s="136" t="s">
        <v>13</v>
      </c>
      <c r="F705" s="171"/>
      <c r="G705" s="136" t="s">
        <v>349</v>
      </c>
      <c r="H705" s="137"/>
      <c r="I705" s="137" t="str">
        <f t="shared" si="10"/>
        <v>05,25</v>
      </c>
    </row>
    <row r="706" spans="1:9" ht="19.5" hidden="1" thickBot="1" x14ac:dyDescent="0.3">
      <c r="A706" s="473"/>
      <c r="B706" s="95" t="s">
        <v>347</v>
      </c>
      <c r="C706" s="96" t="s">
        <v>319</v>
      </c>
      <c r="D706" s="97">
        <v>1.7410000000000001</v>
      </c>
      <c r="E706" s="98" t="s">
        <v>13</v>
      </c>
      <c r="F706" s="133"/>
      <c r="G706" s="98" t="s">
        <v>349</v>
      </c>
      <c r="H706" s="129"/>
      <c r="I706" s="129" t="str">
        <f t="shared" si="10"/>
        <v>05,25</v>
      </c>
    </row>
    <row r="707" spans="1:9" ht="19.5" hidden="1" thickBot="1" x14ac:dyDescent="0.3">
      <c r="A707" s="454">
        <f t="shared" ref="A707:A747" si="16">MAX(A689:A706)+1</f>
        <v>149</v>
      </c>
      <c r="B707" s="102" t="s">
        <v>347</v>
      </c>
      <c r="C707" s="103" t="s">
        <v>18</v>
      </c>
      <c r="D707" s="104">
        <v>0.18</v>
      </c>
      <c r="E707" s="105" t="s">
        <v>34</v>
      </c>
      <c r="F707" s="457" t="s">
        <v>350</v>
      </c>
      <c r="G707" s="105" t="s">
        <v>349</v>
      </c>
      <c r="H707" s="107"/>
      <c r="I707" s="107" t="str">
        <f t="shared" si="10"/>
        <v>05,25</v>
      </c>
    </row>
    <row r="708" spans="1:9" ht="19.5" hidden="1" thickBot="1" x14ac:dyDescent="0.3">
      <c r="A708" s="455"/>
      <c r="B708" s="108" t="s">
        <v>347</v>
      </c>
      <c r="C708" s="109" t="s">
        <v>19</v>
      </c>
      <c r="D708" s="110">
        <v>0.06</v>
      </c>
      <c r="E708" s="111" t="s">
        <v>34</v>
      </c>
      <c r="F708" s="458"/>
      <c r="G708" s="111" t="s">
        <v>349</v>
      </c>
      <c r="H708" s="113"/>
      <c r="I708" s="113" t="str">
        <f t="shared" si="10"/>
        <v>05,25</v>
      </c>
    </row>
    <row r="709" spans="1:9" ht="19.5" hidden="1" thickBot="1" x14ac:dyDescent="0.3">
      <c r="A709" s="455"/>
      <c r="B709" s="108" t="s">
        <v>347</v>
      </c>
      <c r="C709" s="109" t="s">
        <v>116</v>
      </c>
      <c r="D709" s="110">
        <v>8.5999999999999993E-2</v>
      </c>
      <c r="E709" s="111" t="s">
        <v>34</v>
      </c>
      <c r="F709" s="458"/>
      <c r="G709" s="111" t="s">
        <v>349</v>
      </c>
      <c r="H709" s="113"/>
      <c r="I709" s="113" t="str">
        <f t="shared" si="10"/>
        <v>05,25</v>
      </c>
    </row>
    <row r="710" spans="1:9" ht="19.5" hidden="1" thickBot="1" x14ac:dyDescent="0.3">
      <c r="A710" s="455"/>
      <c r="B710" s="108" t="s">
        <v>347</v>
      </c>
      <c r="C710" s="109" t="s">
        <v>17</v>
      </c>
      <c r="D710" s="110">
        <v>0.28000000000000003</v>
      </c>
      <c r="E710" s="111" t="s">
        <v>34</v>
      </c>
      <c r="F710" s="458"/>
      <c r="G710" s="111" t="s">
        <v>349</v>
      </c>
      <c r="H710" s="113"/>
      <c r="I710" s="113" t="str">
        <f t="shared" si="10"/>
        <v>05,25</v>
      </c>
    </row>
    <row r="711" spans="1:9" ht="19.5" hidden="1" thickBot="1" x14ac:dyDescent="0.3">
      <c r="A711" s="455"/>
      <c r="B711" s="108" t="s">
        <v>347</v>
      </c>
      <c r="C711" s="109" t="s">
        <v>18</v>
      </c>
      <c r="D711" s="110">
        <v>0.09</v>
      </c>
      <c r="E711" s="111" t="s">
        <v>45</v>
      </c>
      <c r="F711" s="458"/>
      <c r="G711" s="111" t="s">
        <v>349</v>
      </c>
      <c r="H711" s="113"/>
      <c r="I711" s="113" t="str">
        <f t="shared" si="10"/>
        <v>05,25</v>
      </c>
    </row>
    <row r="712" spans="1:9" ht="19.5" hidden="1" thickBot="1" x14ac:dyDescent="0.3">
      <c r="A712" s="455"/>
      <c r="B712" s="164" t="s">
        <v>347</v>
      </c>
      <c r="C712" s="165" t="s">
        <v>17</v>
      </c>
      <c r="D712" s="166">
        <v>0.108</v>
      </c>
      <c r="E712" s="167" t="s">
        <v>45</v>
      </c>
      <c r="F712" s="458"/>
      <c r="G712" s="167" t="s">
        <v>349</v>
      </c>
      <c r="H712" s="163"/>
      <c r="I712" s="163" t="str">
        <f t="shared" si="10"/>
        <v>05,25</v>
      </c>
    </row>
    <row r="713" spans="1:9" ht="19.5" hidden="1" thickBot="1" x14ac:dyDescent="0.3">
      <c r="A713" s="460">
        <f t="shared" si="16"/>
        <v>150</v>
      </c>
      <c r="B713" s="91" t="s">
        <v>351</v>
      </c>
      <c r="C713" s="92" t="s">
        <v>18</v>
      </c>
      <c r="D713" s="93">
        <v>3.847</v>
      </c>
      <c r="E713" s="94" t="s">
        <v>13</v>
      </c>
      <c r="F713" s="462" t="s">
        <v>353</v>
      </c>
      <c r="G713" s="94" t="s">
        <v>352</v>
      </c>
      <c r="H713" s="132"/>
      <c r="I713" s="132" t="str">
        <f t="shared" si="10"/>
        <v>05,25</v>
      </c>
    </row>
    <row r="714" spans="1:9" ht="19.5" hidden="1" thickBot="1" x14ac:dyDescent="0.3">
      <c r="A714" s="461"/>
      <c r="B714" s="175" t="s">
        <v>351</v>
      </c>
      <c r="C714" s="134" t="s">
        <v>19</v>
      </c>
      <c r="D714" s="135">
        <v>4.4480000000000004</v>
      </c>
      <c r="E714" s="136" t="s">
        <v>13</v>
      </c>
      <c r="F714" s="463"/>
      <c r="G714" s="136" t="s">
        <v>352</v>
      </c>
      <c r="H714" s="137"/>
      <c r="I714" s="137" t="str">
        <f t="shared" si="10"/>
        <v>05,25</v>
      </c>
    </row>
    <row r="715" spans="1:9" ht="19.5" hidden="1" thickBot="1" x14ac:dyDescent="0.3">
      <c r="A715" s="461"/>
      <c r="B715" s="175" t="s">
        <v>351</v>
      </c>
      <c r="C715" s="134" t="s">
        <v>116</v>
      </c>
      <c r="D715" s="135">
        <v>2.1389999999999998</v>
      </c>
      <c r="E715" s="136" t="s">
        <v>13</v>
      </c>
      <c r="F715" s="463"/>
      <c r="G715" s="136" t="s">
        <v>352</v>
      </c>
      <c r="H715" s="137"/>
      <c r="I715" s="137" t="str">
        <f t="shared" si="10"/>
        <v>05,25</v>
      </c>
    </row>
    <row r="716" spans="1:9" ht="19.5" hidden="1" thickBot="1" x14ac:dyDescent="0.3">
      <c r="A716" s="473"/>
      <c r="B716" s="95" t="s">
        <v>351</v>
      </c>
      <c r="C716" s="96" t="s">
        <v>17</v>
      </c>
      <c r="D716" s="97">
        <v>4.3520000000000003</v>
      </c>
      <c r="E716" s="98" t="s">
        <v>13</v>
      </c>
      <c r="F716" s="474"/>
      <c r="G716" s="98" t="s">
        <v>352</v>
      </c>
      <c r="H716" s="129"/>
      <c r="I716" s="129" t="str">
        <f t="shared" si="10"/>
        <v>05,25</v>
      </c>
    </row>
    <row r="717" spans="1:9" ht="19.5" hidden="1" thickBot="1" x14ac:dyDescent="0.3">
      <c r="A717" s="454">
        <f t="shared" si="16"/>
        <v>151</v>
      </c>
      <c r="B717" s="102" t="s">
        <v>351</v>
      </c>
      <c r="C717" s="103" t="s">
        <v>18</v>
      </c>
      <c r="D717" s="104">
        <v>2.6819999999999999</v>
      </c>
      <c r="E717" s="105" t="s">
        <v>13</v>
      </c>
      <c r="F717" s="457" t="s">
        <v>355</v>
      </c>
      <c r="G717" s="105" t="s">
        <v>354</v>
      </c>
      <c r="H717" s="107"/>
      <c r="I717" s="107" t="str">
        <f t="shared" si="10"/>
        <v>05,25</v>
      </c>
    </row>
    <row r="718" spans="1:9" ht="19.5" hidden="1" thickBot="1" x14ac:dyDescent="0.3">
      <c r="A718" s="455"/>
      <c r="B718" s="108" t="s">
        <v>351</v>
      </c>
      <c r="C718" s="109" t="s">
        <v>19</v>
      </c>
      <c r="D718" s="110">
        <v>3.1040000000000001</v>
      </c>
      <c r="E718" s="111" t="s">
        <v>13</v>
      </c>
      <c r="F718" s="458"/>
      <c r="G718" s="111" t="s">
        <v>354</v>
      </c>
      <c r="H718" s="113"/>
      <c r="I718" s="113" t="str">
        <f t="shared" si="10"/>
        <v>05,25</v>
      </c>
    </row>
    <row r="719" spans="1:9" ht="19.5" hidden="1" thickBot="1" x14ac:dyDescent="0.3">
      <c r="A719" s="455"/>
      <c r="B719" s="108" t="s">
        <v>351</v>
      </c>
      <c r="C719" s="109" t="s">
        <v>17</v>
      </c>
      <c r="D719" s="110">
        <v>3.0310000000000001</v>
      </c>
      <c r="E719" s="111" t="s">
        <v>13</v>
      </c>
      <c r="F719" s="458"/>
      <c r="G719" s="111" t="s">
        <v>354</v>
      </c>
      <c r="H719" s="113"/>
      <c r="I719" s="113" t="str">
        <f t="shared" si="10"/>
        <v>05,25</v>
      </c>
    </row>
    <row r="720" spans="1:9" ht="19.5" hidden="1" thickBot="1" x14ac:dyDescent="0.3">
      <c r="A720" s="456"/>
      <c r="B720" s="114" t="s">
        <v>351</v>
      </c>
      <c r="C720" s="115" t="s">
        <v>277</v>
      </c>
      <c r="D720" s="116">
        <v>6.6779999999999999</v>
      </c>
      <c r="E720" s="117" t="s">
        <v>13</v>
      </c>
      <c r="F720" s="459"/>
      <c r="G720" s="117" t="s">
        <v>354</v>
      </c>
      <c r="H720" s="119"/>
      <c r="I720" s="119" t="str">
        <f t="shared" si="10"/>
        <v>05,25</v>
      </c>
    </row>
    <row r="721" spans="1:9" ht="19.5" hidden="1" thickBot="1" x14ac:dyDescent="0.3">
      <c r="A721" s="460">
        <f t="shared" si="16"/>
        <v>152</v>
      </c>
      <c r="B721" s="138" t="s">
        <v>351</v>
      </c>
      <c r="C721" s="92" t="s">
        <v>18</v>
      </c>
      <c r="D721" s="93">
        <v>2.2650000000000001</v>
      </c>
      <c r="E721" s="94" t="s">
        <v>13</v>
      </c>
      <c r="F721" s="462" t="s">
        <v>356</v>
      </c>
      <c r="G721" s="94" t="s">
        <v>354</v>
      </c>
      <c r="H721" s="132"/>
      <c r="I721" s="132" t="str">
        <f t="shared" si="10"/>
        <v>05,25</v>
      </c>
    </row>
    <row r="722" spans="1:9" ht="19.5" hidden="1" thickBot="1" x14ac:dyDescent="0.3">
      <c r="A722" s="461"/>
      <c r="B722" s="140" t="s">
        <v>351</v>
      </c>
      <c r="C722" s="134" t="s">
        <v>19</v>
      </c>
      <c r="D722" s="135">
        <v>2.6160000000000001</v>
      </c>
      <c r="E722" s="136" t="s">
        <v>13</v>
      </c>
      <c r="F722" s="463"/>
      <c r="G722" s="136" t="s">
        <v>354</v>
      </c>
      <c r="H722" s="137"/>
      <c r="I722" s="137" t="str">
        <f t="shared" si="10"/>
        <v>05,25</v>
      </c>
    </row>
    <row r="723" spans="1:9" ht="19.5" hidden="1" thickBot="1" x14ac:dyDescent="0.3">
      <c r="A723" s="461"/>
      <c r="B723" s="139" t="s">
        <v>351</v>
      </c>
      <c r="C723" s="96" t="s">
        <v>17</v>
      </c>
      <c r="D723" s="97">
        <v>2.5409999999999999</v>
      </c>
      <c r="E723" s="98" t="s">
        <v>13</v>
      </c>
      <c r="F723" s="474"/>
      <c r="G723" s="98" t="s">
        <v>354</v>
      </c>
      <c r="H723" s="129"/>
      <c r="I723" s="129" t="str">
        <f t="shared" si="10"/>
        <v>05,25</v>
      </c>
    </row>
    <row r="724" spans="1:9" ht="19.5" hidden="1" thickBot="1" x14ac:dyDescent="0.3">
      <c r="A724" s="461"/>
      <c r="B724" s="138" t="s">
        <v>351</v>
      </c>
      <c r="C724" s="92" t="s">
        <v>18</v>
      </c>
      <c r="D724" s="93">
        <v>0.5</v>
      </c>
      <c r="E724" s="94" t="s">
        <v>34</v>
      </c>
      <c r="F724" s="462" t="s">
        <v>357</v>
      </c>
      <c r="G724" s="94" t="s">
        <v>354</v>
      </c>
      <c r="H724" s="132"/>
      <c r="I724" s="132" t="str">
        <f t="shared" si="10"/>
        <v>05,25</v>
      </c>
    </row>
    <row r="725" spans="1:9" ht="19.5" hidden="1" thickBot="1" x14ac:dyDescent="0.3">
      <c r="A725" s="461"/>
      <c r="B725" s="140" t="s">
        <v>351</v>
      </c>
      <c r="C725" s="134" t="s">
        <v>19</v>
      </c>
      <c r="D725" s="135">
        <v>0.11</v>
      </c>
      <c r="E725" s="136" t="s">
        <v>34</v>
      </c>
      <c r="F725" s="463"/>
      <c r="G725" s="136" t="s">
        <v>354</v>
      </c>
      <c r="H725" s="137"/>
      <c r="I725" s="137" t="str">
        <f t="shared" si="10"/>
        <v>05,25</v>
      </c>
    </row>
    <row r="726" spans="1:9" ht="19.5" hidden="1" thickBot="1" x14ac:dyDescent="0.3">
      <c r="A726" s="461"/>
      <c r="B726" s="140" t="s">
        <v>351</v>
      </c>
      <c r="C726" s="134" t="s">
        <v>17</v>
      </c>
      <c r="D726" s="135">
        <v>0.88</v>
      </c>
      <c r="E726" s="136" t="s">
        <v>34</v>
      </c>
      <c r="F726" s="463"/>
      <c r="G726" s="136" t="s">
        <v>354</v>
      </c>
      <c r="H726" s="137"/>
      <c r="I726" s="137" t="str">
        <f t="shared" ref="I726:I980" si="17">RIGHT(G726,5)</f>
        <v>05,25</v>
      </c>
    </row>
    <row r="727" spans="1:9" ht="19.5" hidden="1" thickBot="1" x14ac:dyDescent="0.3">
      <c r="A727" s="461"/>
      <c r="B727" s="140" t="s">
        <v>351</v>
      </c>
      <c r="C727" s="134" t="s">
        <v>18</v>
      </c>
      <c r="D727" s="135">
        <v>0.216</v>
      </c>
      <c r="E727" s="136" t="s">
        <v>45</v>
      </c>
      <c r="F727" s="463"/>
      <c r="G727" s="136" t="s">
        <v>354</v>
      </c>
      <c r="H727" s="137"/>
      <c r="I727" s="137" t="str">
        <f t="shared" si="17"/>
        <v>05,25</v>
      </c>
    </row>
    <row r="728" spans="1:9" ht="19.5" hidden="1" thickBot="1" x14ac:dyDescent="0.3">
      <c r="A728" s="461"/>
      <c r="B728" s="140" t="s">
        <v>351</v>
      </c>
      <c r="C728" s="134" t="s">
        <v>19</v>
      </c>
      <c r="D728" s="211">
        <v>3.5999999999999997E-2</v>
      </c>
      <c r="E728" s="136" t="s">
        <v>45</v>
      </c>
      <c r="F728" s="463"/>
      <c r="G728" s="136" t="s">
        <v>354</v>
      </c>
      <c r="H728" s="137"/>
      <c r="I728" s="137" t="str">
        <f t="shared" si="17"/>
        <v>05,25</v>
      </c>
    </row>
    <row r="729" spans="1:9" ht="19.5" hidden="1" thickBot="1" x14ac:dyDescent="0.3">
      <c r="A729" s="461"/>
      <c r="B729" s="162" t="s">
        <v>351</v>
      </c>
      <c r="C729" s="142" t="s">
        <v>17</v>
      </c>
      <c r="D729" s="143">
        <v>0.34200000000000003</v>
      </c>
      <c r="E729" s="144" t="s">
        <v>45</v>
      </c>
      <c r="F729" s="463"/>
      <c r="G729" s="144" t="s">
        <v>354</v>
      </c>
      <c r="H729" s="145"/>
      <c r="I729" s="145" t="str">
        <f t="shared" si="17"/>
        <v>05,25</v>
      </c>
    </row>
    <row r="730" spans="1:9" ht="19.5" hidden="1" thickBot="1" x14ac:dyDescent="0.3">
      <c r="A730" s="454">
        <f t="shared" si="16"/>
        <v>153</v>
      </c>
      <c r="B730" s="102" t="s">
        <v>358</v>
      </c>
      <c r="C730" s="103" t="s">
        <v>18</v>
      </c>
      <c r="D730" s="104">
        <v>2.9039999999999999</v>
      </c>
      <c r="E730" s="105" t="s">
        <v>13</v>
      </c>
      <c r="F730" s="457" t="s">
        <v>339</v>
      </c>
      <c r="G730" s="105" t="s">
        <v>359</v>
      </c>
      <c r="H730" s="107"/>
      <c r="I730" s="107" t="str">
        <f t="shared" si="17"/>
        <v>05,25</v>
      </c>
    </row>
    <row r="731" spans="1:9" ht="19.5" hidden="1" thickBot="1" x14ac:dyDescent="0.3">
      <c r="A731" s="455"/>
      <c r="B731" s="108" t="s">
        <v>358</v>
      </c>
      <c r="C731" s="109" t="s">
        <v>19</v>
      </c>
      <c r="D731" s="110">
        <v>4.6340000000000003</v>
      </c>
      <c r="E731" s="111" t="s">
        <v>13</v>
      </c>
      <c r="F731" s="458"/>
      <c r="G731" s="111" t="s">
        <v>359</v>
      </c>
      <c r="H731" s="113"/>
      <c r="I731" s="113" t="str">
        <f t="shared" si="17"/>
        <v>05,25</v>
      </c>
    </row>
    <row r="732" spans="1:9" ht="19.5" hidden="1" thickBot="1" x14ac:dyDescent="0.3">
      <c r="A732" s="455"/>
      <c r="B732" s="108" t="s">
        <v>358</v>
      </c>
      <c r="C732" s="109" t="s">
        <v>17</v>
      </c>
      <c r="D732" s="110">
        <v>5.0730000000000004</v>
      </c>
      <c r="E732" s="111" t="s">
        <v>13</v>
      </c>
      <c r="F732" s="458"/>
      <c r="G732" s="111" t="s">
        <v>359</v>
      </c>
      <c r="H732" s="113"/>
      <c r="I732" s="113" t="str">
        <f t="shared" si="17"/>
        <v>05,25</v>
      </c>
    </row>
    <row r="733" spans="1:9" ht="19.5" hidden="1" thickBot="1" x14ac:dyDescent="0.3">
      <c r="A733" s="456"/>
      <c r="B733" s="114" t="s">
        <v>358</v>
      </c>
      <c r="C733" s="115" t="s">
        <v>319</v>
      </c>
      <c r="D733" s="116">
        <v>1.536</v>
      </c>
      <c r="E733" s="117" t="s">
        <v>13</v>
      </c>
      <c r="F733" s="459"/>
      <c r="G733" s="117" t="s">
        <v>359</v>
      </c>
      <c r="H733" s="119"/>
      <c r="I733" s="119" t="str">
        <f t="shared" si="17"/>
        <v>05,25</v>
      </c>
    </row>
    <row r="734" spans="1:9" ht="19.5" hidden="1" thickBot="1" x14ac:dyDescent="0.3">
      <c r="A734" s="460">
        <f t="shared" si="16"/>
        <v>154</v>
      </c>
      <c r="B734" s="91" t="s">
        <v>358</v>
      </c>
      <c r="C734" s="92" t="s">
        <v>19</v>
      </c>
      <c r="D734" s="93">
        <v>4.5599999999999996</v>
      </c>
      <c r="E734" s="94" t="s">
        <v>13</v>
      </c>
      <c r="F734" s="462" t="s">
        <v>361</v>
      </c>
      <c r="G734" s="94" t="s">
        <v>360</v>
      </c>
      <c r="H734" s="132"/>
      <c r="I734" s="132" t="str">
        <f t="shared" si="17"/>
        <v>06,25</v>
      </c>
    </row>
    <row r="735" spans="1:9" ht="19.5" hidden="1" thickBot="1" x14ac:dyDescent="0.3">
      <c r="A735" s="461"/>
      <c r="B735" s="175" t="s">
        <v>358</v>
      </c>
      <c r="C735" s="134" t="s">
        <v>116</v>
      </c>
      <c r="D735" s="135">
        <v>1.3109999999999999</v>
      </c>
      <c r="E735" s="136" t="s">
        <v>13</v>
      </c>
      <c r="F735" s="463"/>
      <c r="G735" s="136" t="s">
        <v>360</v>
      </c>
      <c r="H735" s="137"/>
      <c r="I735" s="137" t="str">
        <f t="shared" si="17"/>
        <v>06,25</v>
      </c>
    </row>
    <row r="736" spans="1:9" ht="19.5" hidden="1" thickBot="1" x14ac:dyDescent="0.3">
      <c r="A736" s="461"/>
      <c r="B736" s="175" t="s">
        <v>358</v>
      </c>
      <c r="C736" s="134" t="s">
        <v>17</v>
      </c>
      <c r="D736" s="135">
        <v>4.9939999999999998</v>
      </c>
      <c r="E736" s="136" t="s">
        <v>13</v>
      </c>
      <c r="F736" s="463"/>
      <c r="G736" s="136" t="s">
        <v>360</v>
      </c>
      <c r="H736" s="137"/>
      <c r="I736" s="137" t="str">
        <f t="shared" si="17"/>
        <v>06,25</v>
      </c>
    </row>
    <row r="737" spans="1:9" ht="19.5" hidden="1" thickBot="1" x14ac:dyDescent="0.3">
      <c r="A737" s="473"/>
      <c r="B737" s="95" t="s">
        <v>358</v>
      </c>
      <c r="C737" s="96" t="s">
        <v>277</v>
      </c>
      <c r="D737" s="97">
        <v>5.2770000000000001</v>
      </c>
      <c r="E737" s="98" t="s">
        <v>13</v>
      </c>
      <c r="F737" s="474"/>
      <c r="G737" s="98" t="s">
        <v>360</v>
      </c>
      <c r="H737" s="129"/>
      <c r="I737" s="129" t="str">
        <f t="shared" si="17"/>
        <v>06,25</v>
      </c>
    </row>
    <row r="738" spans="1:9" ht="19.5" hidden="1" thickBot="1" x14ac:dyDescent="0.3">
      <c r="A738" s="454">
        <f t="shared" si="16"/>
        <v>155</v>
      </c>
      <c r="B738" s="102" t="s">
        <v>358</v>
      </c>
      <c r="C738" s="103" t="s">
        <v>18</v>
      </c>
      <c r="D738" s="104">
        <f>0.45+0.1</f>
        <v>0.55000000000000004</v>
      </c>
      <c r="E738" s="105" t="s">
        <v>34</v>
      </c>
      <c r="F738" s="457" t="s">
        <v>362</v>
      </c>
      <c r="G738" s="105" t="s">
        <v>360</v>
      </c>
      <c r="H738" s="107"/>
      <c r="I738" s="107" t="str">
        <f t="shared" si="17"/>
        <v>06,25</v>
      </c>
    </row>
    <row r="739" spans="1:9" ht="19.5" hidden="1" thickBot="1" x14ac:dyDescent="0.3">
      <c r="A739" s="455"/>
      <c r="B739" s="108" t="s">
        <v>358</v>
      </c>
      <c r="C739" s="109" t="s">
        <v>19</v>
      </c>
      <c r="D739" s="110">
        <v>0.15</v>
      </c>
      <c r="E739" s="111" t="s">
        <v>34</v>
      </c>
      <c r="F739" s="458"/>
      <c r="G739" s="111" t="s">
        <v>360</v>
      </c>
      <c r="H739" s="113"/>
      <c r="I739" s="113" t="str">
        <f t="shared" si="17"/>
        <v>06,25</v>
      </c>
    </row>
    <row r="740" spans="1:9" ht="19.5" hidden="1" thickBot="1" x14ac:dyDescent="0.3">
      <c r="A740" s="455"/>
      <c r="B740" s="108" t="s">
        <v>358</v>
      </c>
      <c r="C740" s="109" t="s">
        <v>17</v>
      </c>
      <c r="D740" s="110">
        <f>1.13+0.2</f>
        <v>1.3299999999999998</v>
      </c>
      <c r="E740" s="111" t="s">
        <v>34</v>
      </c>
      <c r="F740" s="458"/>
      <c r="G740" s="111" t="s">
        <v>360</v>
      </c>
      <c r="H740" s="113"/>
      <c r="I740" s="113" t="str">
        <f t="shared" si="17"/>
        <v>06,25</v>
      </c>
    </row>
    <row r="741" spans="1:9" ht="19.5" hidden="1" thickBot="1" x14ac:dyDescent="0.3">
      <c r="A741" s="455"/>
      <c r="B741" s="108" t="s">
        <v>358</v>
      </c>
      <c r="C741" s="109" t="s">
        <v>18</v>
      </c>
      <c r="D741" s="110">
        <v>0.2</v>
      </c>
      <c r="E741" s="111" t="s">
        <v>45</v>
      </c>
      <c r="F741" s="458"/>
      <c r="G741" s="111" t="s">
        <v>360</v>
      </c>
      <c r="H741" s="113"/>
      <c r="I741" s="113" t="str">
        <f t="shared" si="17"/>
        <v>06,25</v>
      </c>
    </row>
    <row r="742" spans="1:9" ht="19.5" hidden="1" thickBot="1" x14ac:dyDescent="0.3">
      <c r="A742" s="456"/>
      <c r="B742" s="114" t="s">
        <v>358</v>
      </c>
      <c r="C742" s="115" t="s">
        <v>17</v>
      </c>
      <c r="D742" s="116">
        <v>0.5</v>
      </c>
      <c r="E742" s="117" t="s">
        <v>45</v>
      </c>
      <c r="F742" s="459"/>
      <c r="G742" s="117" t="s">
        <v>360</v>
      </c>
      <c r="H742" s="119"/>
      <c r="I742" s="119" t="str">
        <f t="shared" si="17"/>
        <v>06,25</v>
      </c>
    </row>
    <row r="743" spans="1:9" ht="19.5" hidden="1" thickBot="1" x14ac:dyDescent="0.3">
      <c r="A743" s="460">
        <f t="shared" si="16"/>
        <v>156</v>
      </c>
      <c r="B743" s="91" t="s">
        <v>363</v>
      </c>
      <c r="C743" s="92" t="s">
        <v>18</v>
      </c>
      <c r="D743" s="93">
        <v>3.5049999999999999</v>
      </c>
      <c r="E743" s="94" t="s">
        <v>13</v>
      </c>
      <c r="F743" s="462" t="s">
        <v>275</v>
      </c>
      <c r="G743" s="94" t="s">
        <v>364</v>
      </c>
      <c r="H743" s="132"/>
      <c r="I743" s="132" t="str">
        <f t="shared" si="17"/>
        <v>06,25</v>
      </c>
    </row>
    <row r="744" spans="1:9" ht="19.5" hidden="1" thickBot="1" x14ac:dyDescent="0.3">
      <c r="A744" s="461"/>
      <c r="B744" s="175" t="s">
        <v>363</v>
      </c>
      <c r="C744" s="134" t="s">
        <v>19</v>
      </c>
      <c r="D744" s="135">
        <v>6.0410000000000004</v>
      </c>
      <c r="E744" s="136" t="s">
        <v>13</v>
      </c>
      <c r="F744" s="463"/>
      <c r="G744" s="136" t="s">
        <v>364</v>
      </c>
      <c r="H744" s="137"/>
      <c r="I744" s="137" t="str">
        <f t="shared" si="17"/>
        <v>06,25</v>
      </c>
    </row>
    <row r="745" spans="1:9" ht="19.5" hidden="1" thickBot="1" x14ac:dyDescent="0.3">
      <c r="A745" s="461"/>
      <c r="B745" s="175" t="s">
        <v>363</v>
      </c>
      <c r="C745" s="134" t="s">
        <v>116</v>
      </c>
      <c r="D745" s="135">
        <v>2.0760000000000001</v>
      </c>
      <c r="E745" s="136" t="s">
        <v>13</v>
      </c>
      <c r="F745" s="463"/>
      <c r="G745" s="136" t="s">
        <v>364</v>
      </c>
      <c r="H745" s="137"/>
      <c r="I745" s="137" t="str">
        <f t="shared" si="17"/>
        <v>06,25</v>
      </c>
    </row>
    <row r="746" spans="1:9" ht="19.5" hidden="1" thickBot="1" x14ac:dyDescent="0.3">
      <c r="A746" s="461"/>
      <c r="B746" s="141" t="s">
        <v>363</v>
      </c>
      <c r="C746" s="142" t="s">
        <v>17</v>
      </c>
      <c r="D746" s="143">
        <v>3.6040000000000001</v>
      </c>
      <c r="E746" s="144" t="s">
        <v>13</v>
      </c>
      <c r="F746" s="463"/>
      <c r="G746" s="144" t="s">
        <v>364</v>
      </c>
      <c r="H746" s="145"/>
      <c r="I746" s="145" t="str">
        <f t="shared" si="17"/>
        <v>06,25</v>
      </c>
    </row>
    <row r="747" spans="1:9" ht="19.5" hidden="1" thickBot="1" x14ac:dyDescent="0.3">
      <c r="A747" s="480">
        <f t="shared" si="16"/>
        <v>157</v>
      </c>
      <c r="B747" s="102" t="s">
        <v>363</v>
      </c>
      <c r="C747" s="103" t="s">
        <v>18</v>
      </c>
      <c r="D747" s="104">
        <v>1.861</v>
      </c>
      <c r="E747" s="105" t="s">
        <v>13</v>
      </c>
      <c r="F747" s="483" t="s">
        <v>372</v>
      </c>
      <c r="G747" s="105" t="s">
        <v>365</v>
      </c>
      <c r="H747" s="107"/>
      <c r="I747" s="107" t="str">
        <f t="shared" si="17"/>
        <v>06,25</v>
      </c>
    </row>
    <row r="748" spans="1:9" ht="19.5" hidden="1" thickBot="1" x14ac:dyDescent="0.3">
      <c r="A748" s="481"/>
      <c r="B748" s="221" t="s">
        <v>363</v>
      </c>
      <c r="C748" s="214" t="s">
        <v>19</v>
      </c>
      <c r="D748" s="215">
        <v>3.2269999999999999</v>
      </c>
      <c r="E748" s="213" t="s">
        <v>13</v>
      </c>
      <c r="F748" s="484"/>
      <c r="G748" s="213" t="s">
        <v>365</v>
      </c>
      <c r="H748" s="219"/>
      <c r="I748" s="219" t="str">
        <f t="shared" si="17"/>
        <v>06,25</v>
      </c>
    </row>
    <row r="749" spans="1:9" ht="19.5" hidden="1" thickBot="1" x14ac:dyDescent="0.3">
      <c r="A749" s="481"/>
      <c r="B749" s="221" t="s">
        <v>363</v>
      </c>
      <c r="C749" s="214" t="s">
        <v>17</v>
      </c>
      <c r="D749" s="215">
        <v>1.921</v>
      </c>
      <c r="E749" s="213" t="s">
        <v>13</v>
      </c>
      <c r="F749" s="484"/>
      <c r="G749" s="213" t="s">
        <v>365</v>
      </c>
      <c r="H749" s="219"/>
      <c r="I749" s="219" t="str">
        <f t="shared" si="17"/>
        <v>06,25</v>
      </c>
    </row>
    <row r="750" spans="1:9" ht="19.5" hidden="1" thickBot="1" x14ac:dyDescent="0.3">
      <c r="A750" s="481"/>
      <c r="B750" s="221" t="s">
        <v>363</v>
      </c>
      <c r="C750" s="214" t="s">
        <v>277</v>
      </c>
      <c r="D750" s="215">
        <v>5.6609999999999996</v>
      </c>
      <c r="E750" s="213" t="s">
        <v>13</v>
      </c>
      <c r="F750" s="484"/>
      <c r="G750" s="213" t="s">
        <v>365</v>
      </c>
      <c r="H750" s="219"/>
      <c r="I750" s="219" t="str">
        <f t="shared" si="17"/>
        <v>06,25</v>
      </c>
    </row>
    <row r="751" spans="1:9" ht="19.5" hidden="1" thickBot="1" x14ac:dyDescent="0.3">
      <c r="A751" s="482"/>
      <c r="B751" s="222" t="s">
        <v>366</v>
      </c>
      <c r="C751" s="216" t="s">
        <v>367</v>
      </c>
      <c r="D751" s="217">
        <v>3</v>
      </c>
      <c r="E751" s="218" t="s">
        <v>13</v>
      </c>
      <c r="F751" s="485"/>
      <c r="G751" s="218" t="s">
        <v>365</v>
      </c>
      <c r="H751" s="220"/>
      <c r="I751" s="220" t="str">
        <f t="shared" si="17"/>
        <v>06,25</v>
      </c>
    </row>
    <row r="752" spans="1:9" ht="19.5" hidden="1" thickBot="1" x14ac:dyDescent="0.3">
      <c r="A752" s="460">
        <f>MAX(A740:A751)+1</f>
        <v>158</v>
      </c>
      <c r="B752" s="91" t="s">
        <v>369</v>
      </c>
      <c r="C752" s="92" t="s">
        <v>18</v>
      </c>
      <c r="D752" s="93">
        <v>3.496</v>
      </c>
      <c r="E752" s="94" t="s">
        <v>13</v>
      </c>
      <c r="F752" s="462" t="s">
        <v>373</v>
      </c>
      <c r="G752" s="94" t="s">
        <v>370</v>
      </c>
      <c r="H752" s="132"/>
      <c r="I752" s="132" t="str">
        <f t="shared" si="17"/>
        <v>06,25</v>
      </c>
    </row>
    <row r="753" spans="1:9" ht="19.5" hidden="1" thickBot="1" x14ac:dyDescent="0.3">
      <c r="A753" s="461"/>
      <c r="B753" s="175" t="s">
        <v>369</v>
      </c>
      <c r="C753" s="134" t="s">
        <v>19</v>
      </c>
      <c r="D753" s="135">
        <v>6.02</v>
      </c>
      <c r="E753" s="136" t="s">
        <v>13</v>
      </c>
      <c r="F753" s="463"/>
      <c r="G753" s="136" t="s">
        <v>370</v>
      </c>
      <c r="H753" s="137"/>
      <c r="I753" s="137" t="str">
        <f t="shared" si="17"/>
        <v>06,25</v>
      </c>
    </row>
    <row r="754" spans="1:9" ht="19.5" hidden="1" thickBot="1" x14ac:dyDescent="0.3">
      <c r="A754" s="461"/>
      <c r="B754" s="175" t="s">
        <v>369</v>
      </c>
      <c r="C754" s="134" t="s">
        <v>116</v>
      </c>
      <c r="D754" s="135">
        <v>0.79900000000000004</v>
      </c>
      <c r="E754" s="136" t="s">
        <v>13</v>
      </c>
      <c r="F754" s="463"/>
      <c r="G754" s="136" t="s">
        <v>370</v>
      </c>
      <c r="H754" s="137"/>
      <c r="I754" s="137" t="str">
        <f t="shared" si="17"/>
        <v>06,25</v>
      </c>
    </row>
    <row r="755" spans="1:9" ht="19.5" hidden="1" thickBot="1" x14ac:dyDescent="0.3">
      <c r="A755" s="473"/>
      <c r="B755" s="95" t="s">
        <v>369</v>
      </c>
      <c r="C755" s="96" t="s">
        <v>17</v>
      </c>
      <c r="D755" s="97">
        <v>5.0819999999999999</v>
      </c>
      <c r="E755" s="98" t="s">
        <v>13</v>
      </c>
      <c r="F755" s="474"/>
      <c r="G755" s="98" t="s">
        <v>370</v>
      </c>
      <c r="H755" s="129"/>
      <c r="I755" s="129" t="str">
        <f t="shared" si="17"/>
        <v>06,25</v>
      </c>
    </row>
    <row r="756" spans="1:9" ht="18.75" hidden="1" customHeight="1" x14ac:dyDescent="0.3">
      <c r="A756" s="454">
        <f t="shared" ref="A756" si="18">MAX(A743:A755)+1</f>
        <v>159</v>
      </c>
      <c r="B756" s="126" t="s">
        <v>369</v>
      </c>
      <c r="C756" s="103" t="s">
        <v>19</v>
      </c>
      <c r="D756" s="104">
        <v>1.1499999999999999</v>
      </c>
      <c r="E756" s="105" t="s">
        <v>13</v>
      </c>
      <c r="F756" s="457" t="s">
        <v>371</v>
      </c>
      <c r="G756" s="105" t="s">
        <v>368</v>
      </c>
      <c r="H756" s="107"/>
      <c r="I756" s="107" t="str">
        <f t="shared" si="17"/>
        <v>06,25</v>
      </c>
    </row>
    <row r="757" spans="1:9" ht="18.75" hidden="1" customHeight="1" x14ac:dyDescent="0.3">
      <c r="A757" s="455"/>
      <c r="B757" s="127" t="s">
        <v>369</v>
      </c>
      <c r="C757" s="109" t="s">
        <v>17</v>
      </c>
      <c r="D757" s="110">
        <v>0.97</v>
      </c>
      <c r="E757" s="111" t="s">
        <v>13</v>
      </c>
      <c r="F757" s="458"/>
      <c r="G757" s="111" t="s">
        <v>368</v>
      </c>
      <c r="H757" s="113"/>
      <c r="I757" s="113" t="str">
        <f t="shared" si="17"/>
        <v>06,25</v>
      </c>
    </row>
    <row r="758" spans="1:9" ht="18.75" hidden="1" customHeight="1" x14ac:dyDescent="0.3">
      <c r="A758" s="455"/>
      <c r="B758" s="127" t="s">
        <v>369</v>
      </c>
      <c r="C758" s="109" t="s">
        <v>277</v>
      </c>
      <c r="D758" s="110">
        <v>4.8789999999999996</v>
      </c>
      <c r="E758" s="111" t="s">
        <v>13</v>
      </c>
      <c r="F758" s="458"/>
      <c r="G758" s="111" t="s">
        <v>368</v>
      </c>
      <c r="H758" s="113"/>
      <c r="I758" s="113" t="str">
        <f t="shared" si="17"/>
        <v>06,25</v>
      </c>
    </row>
    <row r="759" spans="1:9" ht="19.5" hidden="1" thickBot="1" x14ac:dyDescent="0.3">
      <c r="A759" s="455"/>
      <c r="B759" s="223" t="s">
        <v>375</v>
      </c>
      <c r="C759" s="214" t="s">
        <v>319</v>
      </c>
      <c r="D759" s="215">
        <v>1.1339999999999999</v>
      </c>
      <c r="E759" s="111" t="s">
        <v>13</v>
      </c>
      <c r="F759" s="458"/>
      <c r="G759" s="111" t="s">
        <v>368</v>
      </c>
      <c r="H759" s="113"/>
      <c r="I759" s="113" t="str">
        <f t="shared" si="17"/>
        <v>06,25</v>
      </c>
    </row>
    <row r="760" spans="1:9" ht="19.5" hidden="1" thickBot="1" x14ac:dyDescent="0.3">
      <c r="A760" s="455"/>
      <c r="B760" s="224" t="s">
        <v>375</v>
      </c>
      <c r="C760" s="225" t="s">
        <v>367</v>
      </c>
      <c r="D760" s="226">
        <v>2.4929999999999999</v>
      </c>
      <c r="E760" s="167" t="s">
        <v>13</v>
      </c>
      <c r="F760" s="458"/>
      <c r="G760" s="167" t="s">
        <v>368</v>
      </c>
      <c r="H760" s="163"/>
      <c r="I760" s="163" t="str">
        <f t="shared" si="17"/>
        <v>06,25</v>
      </c>
    </row>
    <row r="761" spans="1:9" ht="18.75" hidden="1" customHeight="1" x14ac:dyDescent="0.3">
      <c r="A761" s="455"/>
      <c r="B761" s="126" t="s">
        <v>363</v>
      </c>
      <c r="C761" s="103" t="s">
        <v>18</v>
      </c>
      <c r="D761" s="104">
        <v>0.4</v>
      </c>
      <c r="E761" s="105" t="s">
        <v>34</v>
      </c>
      <c r="F761" s="457" t="s">
        <v>376</v>
      </c>
      <c r="G761" s="105" t="s">
        <v>368</v>
      </c>
      <c r="H761" s="107" t="s">
        <v>374</v>
      </c>
      <c r="I761" s="107" t="str">
        <f t="shared" si="17"/>
        <v>06,25</v>
      </c>
    </row>
    <row r="762" spans="1:9" ht="19.5" hidden="1" thickBot="1" x14ac:dyDescent="0.3">
      <c r="A762" s="455"/>
      <c r="B762" s="223" t="s">
        <v>363</v>
      </c>
      <c r="C762" s="214" t="s">
        <v>19</v>
      </c>
      <c r="D762" s="215">
        <v>0.37</v>
      </c>
      <c r="E762" s="213" t="s">
        <v>34</v>
      </c>
      <c r="F762" s="458"/>
      <c r="G762" s="213" t="s">
        <v>368</v>
      </c>
      <c r="H762" s="219" t="s">
        <v>374</v>
      </c>
      <c r="I762" s="219" t="str">
        <f t="shared" si="17"/>
        <v>06,25</v>
      </c>
    </row>
    <row r="763" spans="1:9" ht="19.5" hidden="1" thickBot="1" x14ac:dyDescent="0.3">
      <c r="A763" s="455"/>
      <c r="B763" s="223" t="s">
        <v>363</v>
      </c>
      <c r="C763" s="214" t="s">
        <v>116</v>
      </c>
      <c r="D763" s="215">
        <v>0.1</v>
      </c>
      <c r="E763" s="213" t="s">
        <v>34</v>
      </c>
      <c r="F763" s="458"/>
      <c r="G763" s="213" t="s">
        <v>368</v>
      </c>
      <c r="H763" s="219" t="s">
        <v>374</v>
      </c>
      <c r="I763" s="219" t="str">
        <f t="shared" si="17"/>
        <v>06,25</v>
      </c>
    </row>
    <row r="764" spans="1:9" ht="19.5" hidden="1" thickBot="1" x14ac:dyDescent="0.3">
      <c r="A764" s="455"/>
      <c r="B764" s="223" t="s">
        <v>363</v>
      </c>
      <c r="C764" s="214" t="s">
        <v>17</v>
      </c>
      <c r="D764" s="215">
        <v>0.64</v>
      </c>
      <c r="E764" s="213" t="s">
        <v>34</v>
      </c>
      <c r="F764" s="458"/>
      <c r="G764" s="213" t="s">
        <v>368</v>
      </c>
      <c r="H764" s="219" t="s">
        <v>374</v>
      </c>
      <c r="I764" s="219" t="str">
        <f t="shared" si="17"/>
        <v>06,25</v>
      </c>
    </row>
    <row r="765" spans="1:9" ht="19.5" hidden="1" thickBot="1" x14ac:dyDescent="0.3">
      <c r="A765" s="455"/>
      <c r="B765" s="223" t="s">
        <v>363</v>
      </c>
      <c r="C765" s="214" t="s">
        <v>18</v>
      </c>
      <c r="D765" s="227">
        <v>3.5999999999999997E-2</v>
      </c>
      <c r="E765" s="213" t="s">
        <v>45</v>
      </c>
      <c r="F765" s="458"/>
      <c r="G765" s="213" t="s">
        <v>368</v>
      </c>
      <c r="H765" s="219" t="s">
        <v>374</v>
      </c>
      <c r="I765" s="219" t="str">
        <f t="shared" si="17"/>
        <v>06,25</v>
      </c>
    </row>
    <row r="766" spans="1:9" ht="19.5" hidden="1" thickBot="1" x14ac:dyDescent="0.3">
      <c r="A766" s="455"/>
      <c r="B766" s="223" t="s">
        <v>363</v>
      </c>
      <c r="C766" s="214" t="s">
        <v>17</v>
      </c>
      <c r="D766" s="215">
        <v>0.378</v>
      </c>
      <c r="E766" s="213" t="s">
        <v>45</v>
      </c>
      <c r="F766" s="458"/>
      <c r="G766" s="213" t="s">
        <v>368</v>
      </c>
      <c r="H766" s="219" t="s">
        <v>374</v>
      </c>
      <c r="I766" s="219" t="str">
        <f t="shared" si="17"/>
        <v>06,25</v>
      </c>
    </row>
    <row r="767" spans="1:9" ht="19.5" hidden="1" thickBot="1" x14ac:dyDescent="0.3">
      <c r="A767" s="455"/>
      <c r="B767" s="223" t="s">
        <v>375</v>
      </c>
      <c r="C767" s="214" t="s">
        <v>18</v>
      </c>
      <c r="D767" s="215">
        <v>0.34</v>
      </c>
      <c r="E767" s="213" t="s">
        <v>34</v>
      </c>
      <c r="F767" s="458"/>
      <c r="G767" s="213" t="s">
        <v>368</v>
      </c>
      <c r="H767" s="219"/>
      <c r="I767" s="219" t="str">
        <f t="shared" si="17"/>
        <v>06,25</v>
      </c>
    </row>
    <row r="768" spans="1:9" ht="19.5" hidden="1" thickBot="1" x14ac:dyDescent="0.3">
      <c r="A768" s="455"/>
      <c r="B768" s="223" t="s">
        <v>375</v>
      </c>
      <c r="C768" s="214" t="s">
        <v>19</v>
      </c>
      <c r="D768" s="215">
        <v>0.16</v>
      </c>
      <c r="E768" s="213" t="s">
        <v>34</v>
      </c>
      <c r="F768" s="458"/>
      <c r="G768" s="213" t="s">
        <v>368</v>
      </c>
      <c r="H768" s="219"/>
      <c r="I768" s="219" t="str">
        <f t="shared" si="17"/>
        <v>06,25</v>
      </c>
    </row>
    <row r="769" spans="1:9" ht="19.5" hidden="1" thickBot="1" x14ac:dyDescent="0.3">
      <c r="A769" s="455"/>
      <c r="B769" s="223" t="s">
        <v>375</v>
      </c>
      <c r="C769" s="214" t="s">
        <v>116</v>
      </c>
      <c r="D769" s="227">
        <v>0.04</v>
      </c>
      <c r="E769" s="213" t="s">
        <v>34</v>
      </c>
      <c r="F769" s="458"/>
      <c r="G769" s="213" t="s">
        <v>368</v>
      </c>
      <c r="H769" s="219"/>
      <c r="I769" s="219" t="str">
        <f t="shared" si="17"/>
        <v>06,25</v>
      </c>
    </row>
    <row r="770" spans="1:9" ht="19.5" hidden="1" thickBot="1" x14ac:dyDescent="0.3">
      <c r="A770" s="455"/>
      <c r="B770" s="223" t="s">
        <v>375</v>
      </c>
      <c r="C770" s="214" t="s">
        <v>17</v>
      </c>
      <c r="D770" s="215">
        <v>1.22</v>
      </c>
      <c r="E770" s="213" t="s">
        <v>34</v>
      </c>
      <c r="F770" s="458"/>
      <c r="G770" s="213" t="s">
        <v>368</v>
      </c>
      <c r="H770" s="219"/>
      <c r="I770" s="219" t="str">
        <f t="shared" si="17"/>
        <v>06,25</v>
      </c>
    </row>
    <row r="771" spans="1:9" ht="19.5" hidden="1" thickBot="1" x14ac:dyDescent="0.3">
      <c r="A771" s="455"/>
      <c r="B771" s="223" t="s">
        <v>375</v>
      </c>
      <c r="C771" s="214" t="s">
        <v>18</v>
      </c>
      <c r="D771" s="215">
        <v>0.19800000000000001</v>
      </c>
      <c r="E771" s="213" t="s">
        <v>45</v>
      </c>
      <c r="F771" s="458"/>
      <c r="G771" s="213" t="s">
        <v>368</v>
      </c>
      <c r="H771" s="219"/>
      <c r="I771" s="219" t="str">
        <f t="shared" si="17"/>
        <v>06,25</v>
      </c>
    </row>
    <row r="772" spans="1:9" ht="19.5" hidden="1" thickBot="1" x14ac:dyDescent="0.3">
      <c r="A772" s="455"/>
      <c r="B772" s="223" t="s">
        <v>375</v>
      </c>
      <c r="C772" s="214" t="s">
        <v>19</v>
      </c>
      <c r="D772" s="227">
        <v>3.5999999999999997E-2</v>
      </c>
      <c r="E772" s="213" t="s">
        <v>45</v>
      </c>
      <c r="F772" s="458"/>
      <c r="G772" s="213" t="s">
        <v>368</v>
      </c>
      <c r="H772" s="219"/>
      <c r="I772" s="219" t="str">
        <f t="shared" si="17"/>
        <v>06,25</v>
      </c>
    </row>
    <row r="773" spans="1:9" ht="19.5" hidden="1" thickBot="1" x14ac:dyDescent="0.3">
      <c r="A773" s="455"/>
      <c r="B773" s="223" t="s">
        <v>375</v>
      </c>
      <c r="C773" s="214" t="s">
        <v>17</v>
      </c>
      <c r="D773" s="227">
        <v>3.5999999999999997E-2</v>
      </c>
      <c r="E773" s="213" t="s">
        <v>45</v>
      </c>
      <c r="F773" s="458"/>
      <c r="G773" s="213" t="s">
        <v>368</v>
      </c>
      <c r="H773" s="219"/>
      <c r="I773" s="219" t="str">
        <f t="shared" si="17"/>
        <v>06,25</v>
      </c>
    </row>
    <row r="774" spans="1:9" ht="19.5" hidden="1" thickBot="1" x14ac:dyDescent="0.3">
      <c r="A774" s="456"/>
      <c r="B774" s="187" t="s">
        <v>375</v>
      </c>
      <c r="C774" s="165" t="s">
        <v>367</v>
      </c>
      <c r="D774" s="166">
        <v>0.93</v>
      </c>
      <c r="E774" s="167" t="s">
        <v>34</v>
      </c>
      <c r="F774" s="458"/>
      <c r="G774" s="167" t="s">
        <v>368</v>
      </c>
      <c r="H774" s="163"/>
      <c r="I774" s="163" t="str">
        <f t="shared" si="17"/>
        <v>06,25</v>
      </c>
    </row>
    <row r="775" spans="1:9" ht="19.5" hidden="1" thickBot="1" x14ac:dyDescent="0.3">
      <c r="A775" s="460">
        <f t="shared" ref="A775:A831" si="19">MAX(A751:A774)+1</f>
        <v>160</v>
      </c>
      <c r="B775" s="91" t="s">
        <v>377</v>
      </c>
      <c r="C775" s="92" t="s">
        <v>18</v>
      </c>
      <c r="D775" s="93">
        <v>3.0710000000000002</v>
      </c>
      <c r="E775" s="94" t="s">
        <v>13</v>
      </c>
      <c r="F775" s="462" t="s">
        <v>309</v>
      </c>
      <c r="G775" s="94" t="s">
        <v>378</v>
      </c>
      <c r="H775" s="132"/>
      <c r="I775" s="132" t="str">
        <f t="shared" si="17"/>
        <v>06,25</v>
      </c>
    </row>
    <row r="776" spans="1:9" ht="19.5" hidden="1" thickBot="1" x14ac:dyDescent="0.3">
      <c r="A776" s="461"/>
      <c r="B776" s="175" t="s">
        <v>377</v>
      </c>
      <c r="C776" s="134" t="s">
        <v>19</v>
      </c>
      <c r="D776" s="135">
        <v>4.4359999999999999</v>
      </c>
      <c r="E776" s="136" t="s">
        <v>13</v>
      </c>
      <c r="F776" s="463"/>
      <c r="G776" s="136" t="s">
        <v>378</v>
      </c>
      <c r="H776" s="137"/>
      <c r="I776" s="137" t="str">
        <f t="shared" si="17"/>
        <v>06,25</v>
      </c>
    </row>
    <row r="777" spans="1:9" ht="19.5" hidden="1" thickBot="1" x14ac:dyDescent="0.3">
      <c r="A777" s="461"/>
      <c r="B777" s="175" t="s">
        <v>377</v>
      </c>
      <c r="C777" s="134" t="s">
        <v>116</v>
      </c>
      <c r="D777" s="135">
        <v>3.0430000000000001</v>
      </c>
      <c r="E777" s="136" t="s">
        <v>13</v>
      </c>
      <c r="F777" s="463"/>
      <c r="G777" s="136" t="s">
        <v>378</v>
      </c>
      <c r="H777" s="137"/>
      <c r="I777" s="137" t="str">
        <f t="shared" si="17"/>
        <v>06,25</v>
      </c>
    </row>
    <row r="778" spans="1:9" ht="19.5" hidden="1" thickBot="1" x14ac:dyDescent="0.3">
      <c r="A778" s="473"/>
      <c r="B778" s="95" t="s">
        <v>377</v>
      </c>
      <c r="C778" s="96" t="s">
        <v>17</v>
      </c>
      <c r="D778" s="97">
        <v>3.9780000000000002</v>
      </c>
      <c r="E778" s="98" t="s">
        <v>13</v>
      </c>
      <c r="F778" s="474"/>
      <c r="G778" s="98" t="s">
        <v>378</v>
      </c>
      <c r="H778" s="129"/>
      <c r="I778" s="129" t="str">
        <f t="shared" si="17"/>
        <v>06,25</v>
      </c>
    </row>
    <row r="779" spans="1:9" ht="19.5" hidden="1" thickBot="1" x14ac:dyDescent="0.3">
      <c r="A779" s="454">
        <f t="shared" si="19"/>
        <v>161</v>
      </c>
      <c r="B779" s="102" t="s">
        <v>377</v>
      </c>
      <c r="C779" s="103" t="s">
        <v>18</v>
      </c>
      <c r="D779" s="104">
        <v>4.5609999999999999</v>
      </c>
      <c r="E779" s="105" t="s">
        <v>13</v>
      </c>
      <c r="F779" s="106"/>
      <c r="G779" s="105" t="s">
        <v>378</v>
      </c>
      <c r="H779" s="107"/>
      <c r="I779" s="107" t="str">
        <f t="shared" si="17"/>
        <v>06,25</v>
      </c>
    </row>
    <row r="780" spans="1:9" ht="19.5" hidden="1" thickBot="1" x14ac:dyDescent="0.3">
      <c r="A780" s="455"/>
      <c r="B780" s="108" t="s">
        <v>377</v>
      </c>
      <c r="C780" s="109" t="s">
        <v>19</v>
      </c>
      <c r="D780" s="110">
        <v>6.5629999999999997</v>
      </c>
      <c r="E780" s="111" t="s">
        <v>13</v>
      </c>
      <c r="F780" s="112"/>
      <c r="G780" s="111" t="s">
        <v>378</v>
      </c>
      <c r="H780" s="113"/>
      <c r="I780" s="113" t="str">
        <f t="shared" si="17"/>
        <v>06,25</v>
      </c>
    </row>
    <row r="781" spans="1:9" ht="19.5" hidden="1" thickBot="1" x14ac:dyDescent="0.3">
      <c r="A781" s="456"/>
      <c r="B781" s="114" t="s">
        <v>377</v>
      </c>
      <c r="C781" s="115" t="s">
        <v>17</v>
      </c>
      <c r="D781" s="116">
        <v>5.915</v>
      </c>
      <c r="E781" s="117" t="s">
        <v>13</v>
      </c>
      <c r="F781" s="118"/>
      <c r="G781" s="117" t="s">
        <v>378</v>
      </c>
      <c r="H781" s="119"/>
      <c r="I781" s="119" t="str">
        <f t="shared" si="17"/>
        <v>06,25</v>
      </c>
    </row>
    <row r="782" spans="1:9" ht="19.5" hidden="1" thickBot="1" x14ac:dyDescent="0.3">
      <c r="A782" s="460">
        <f t="shared" si="19"/>
        <v>162</v>
      </c>
      <c r="B782" s="91" t="s">
        <v>377</v>
      </c>
      <c r="C782" s="92" t="s">
        <v>18</v>
      </c>
      <c r="D782" s="93">
        <v>2.0299999999999998</v>
      </c>
      <c r="E782" s="94" t="s">
        <v>13</v>
      </c>
      <c r="F782" s="462" t="s">
        <v>380</v>
      </c>
      <c r="G782" s="94" t="s">
        <v>379</v>
      </c>
      <c r="H782" s="132"/>
      <c r="I782" s="132" t="str">
        <f t="shared" si="17"/>
        <v>06,25</v>
      </c>
    </row>
    <row r="783" spans="1:9" ht="19.5" hidden="1" thickBot="1" x14ac:dyDescent="0.3">
      <c r="A783" s="461"/>
      <c r="B783" s="175" t="s">
        <v>377</v>
      </c>
      <c r="C783" s="134" t="s">
        <v>19</v>
      </c>
      <c r="D783" s="135">
        <v>2.9289999999999998</v>
      </c>
      <c r="E783" s="136" t="s">
        <v>13</v>
      </c>
      <c r="F783" s="463"/>
      <c r="G783" s="136" t="s">
        <v>379</v>
      </c>
      <c r="H783" s="137"/>
      <c r="I783" s="137" t="str">
        <f t="shared" si="17"/>
        <v>06,25</v>
      </c>
    </row>
    <row r="784" spans="1:9" ht="19.5" hidden="1" thickBot="1" x14ac:dyDescent="0.3">
      <c r="A784" s="461"/>
      <c r="B784" s="175" t="s">
        <v>377</v>
      </c>
      <c r="C784" s="134" t="s">
        <v>17</v>
      </c>
      <c r="D784" s="135">
        <v>2.6379999999999999</v>
      </c>
      <c r="E784" s="136" t="s">
        <v>13</v>
      </c>
      <c r="F784" s="463"/>
      <c r="G784" s="136" t="s">
        <v>379</v>
      </c>
      <c r="H784" s="137"/>
      <c r="I784" s="137" t="str">
        <f t="shared" si="17"/>
        <v>06,25</v>
      </c>
    </row>
    <row r="785" spans="1:9" ht="19.5" hidden="1" thickBot="1" x14ac:dyDescent="0.3">
      <c r="A785" s="461"/>
      <c r="B785" s="175" t="s">
        <v>377</v>
      </c>
      <c r="C785" s="134" t="s">
        <v>277</v>
      </c>
      <c r="D785" s="135">
        <v>4.93</v>
      </c>
      <c r="E785" s="136" t="s">
        <v>13</v>
      </c>
      <c r="F785" s="478"/>
      <c r="G785" s="136" t="s">
        <v>379</v>
      </c>
      <c r="H785" s="137"/>
      <c r="I785" s="137" t="str">
        <f t="shared" si="17"/>
        <v>06,25</v>
      </c>
    </row>
    <row r="786" spans="1:9" ht="19.5" hidden="1" thickBot="1" x14ac:dyDescent="0.3">
      <c r="A786" s="461"/>
      <c r="B786" s="175" t="s">
        <v>377</v>
      </c>
      <c r="C786" s="134" t="s">
        <v>18</v>
      </c>
      <c r="D786" s="135">
        <v>0.75</v>
      </c>
      <c r="E786" s="136" t="s">
        <v>34</v>
      </c>
      <c r="F786" s="479" t="s">
        <v>381</v>
      </c>
      <c r="G786" s="136" t="s">
        <v>379</v>
      </c>
      <c r="H786" s="137"/>
      <c r="I786" s="137" t="str">
        <f t="shared" si="17"/>
        <v>06,25</v>
      </c>
    </row>
    <row r="787" spans="1:9" ht="19.5" hidden="1" thickBot="1" x14ac:dyDescent="0.3">
      <c r="A787" s="461"/>
      <c r="B787" s="175" t="s">
        <v>377</v>
      </c>
      <c r="C787" s="134" t="s">
        <v>19</v>
      </c>
      <c r="D787" s="135">
        <v>0.1</v>
      </c>
      <c r="E787" s="136" t="s">
        <v>34</v>
      </c>
      <c r="F787" s="463"/>
      <c r="G787" s="136" t="s">
        <v>379</v>
      </c>
      <c r="H787" s="137"/>
      <c r="I787" s="137" t="str">
        <f t="shared" si="17"/>
        <v>06,25</v>
      </c>
    </row>
    <row r="788" spans="1:9" ht="19.5" hidden="1" thickBot="1" x14ac:dyDescent="0.3">
      <c r="A788" s="461"/>
      <c r="B788" s="175" t="s">
        <v>377</v>
      </c>
      <c r="C788" s="134" t="s">
        <v>17</v>
      </c>
      <c r="D788" s="135">
        <v>1.49</v>
      </c>
      <c r="E788" s="136" t="s">
        <v>34</v>
      </c>
      <c r="F788" s="463"/>
      <c r="G788" s="136" t="s">
        <v>379</v>
      </c>
      <c r="H788" s="137"/>
      <c r="I788" s="137" t="str">
        <f t="shared" si="17"/>
        <v>06,25</v>
      </c>
    </row>
    <row r="789" spans="1:9" ht="19.5" hidden="1" thickBot="1" x14ac:dyDescent="0.3">
      <c r="A789" s="473"/>
      <c r="B789" s="95" t="s">
        <v>377</v>
      </c>
      <c r="C789" s="96" t="s">
        <v>17</v>
      </c>
      <c r="D789" s="97">
        <v>0.2</v>
      </c>
      <c r="E789" s="98" t="s">
        <v>45</v>
      </c>
      <c r="F789" s="474"/>
      <c r="G789" s="98" t="s">
        <v>379</v>
      </c>
      <c r="H789" s="129"/>
      <c r="I789" s="129" t="str">
        <f t="shared" si="17"/>
        <v>06,25</v>
      </c>
    </row>
    <row r="790" spans="1:9" ht="75.75" hidden="1" thickBot="1" x14ac:dyDescent="0.3">
      <c r="A790" s="230">
        <f t="shared" si="19"/>
        <v>163</v>
      </c>
      <c r="B790" s="231" t="s">
        <v>382</v>
      </c>
      <c r="C790" s="232" t="s">
        <v>367</v>
      </c>
      <c r="D790" s="233">
        <v>4.9480000000000004</v>
      </c>
      <c r="E790" s="234" t="s">
        <v>13</v>
      </c>
      <c r="F790" s="229" t="s">
        <v>383</v>
      </c>
      <c r="G790" s="234" t="s">
        <v>379</v>
      </c>
      <c r="H790" s="228"/>
      <c r="I790" s="228" t="str">
        <f t="shared" si="17"/>
        <v>06,25</v>
      </c>
    </row>
    <row r="791" spans="1:9" ht="19.5" hidden="1" thickBot="1" x14ac:dyDescent="0.3">
      <c r="A791" s="460">
        <f t="shared" si="19"/>
        <v>164</v>
      </c>
      <c r="B791" s="91" t="s">
        <v>384</v>
      </c>
      <c r="C791" s="92" t="s">
        <v>319</v>
      </c>
      <c r="D791" s="93">
        <v>1.548</v>
      </c>
      <c r="E791" s="94" t="s">
        <v>13</v>
      </c>
      <c r="F791" s="462" t="s">
        <v>297</v>
      </c>
      <c r="G791" s="94" t="s">
        <v>385</v>
      </c>
      <c r="H791" s="132"/>
      <c r="I791" s="132" t="str">
        <f t="shared" si="17"/>
        <v>06,25</v>
      </c>
    </row>
    <row r="792" spans="1:9" ht="19.5" hidden="1" thickBot="1" x14ac:dyDescent="0.3">
      <c r="A792" s="461"/>
      <c r="B792" s="175" t="s">
        <v>384</v>
      </c>
      <c r="C792" s="134" t="s">
        <v>367</v>
      </c>
      <c r="D792" s="135">
        <v>2.1789999999999998</v>
      </c>
      <c r="E792" s="136" t="s">
        <v>13</v>
      </c>
      <c r="F792" s="463"/>
      <c r="G792" s="136" t="s">
        <v>385</v>
      </c>
      <c r="H792" s="137"/>
      <c r="I792" s="137" t="str">
        <f t="shared" si="17"/>
        <v>06,25</v>
      </c>
    </row>
    <row r="793" spans="1:9" ht="19.5" hidden="1" thickBot="1" x14ac:dyDescent="0.3">
      <c r="A793" s="461"/>
      <c r="B793" s="175" t="s">
        <v>384</v>
      </c>
      <c r="C793" s="134" t="s">
        <v>18</v>
      </c>
      <c r="D793" s="135">
        <v>3.6579999999999999</v>
      </c>
      <c r="E793" s="136" t="s">
        <v>13</v>
      </c>
      <c r="F793" s="463"/>
      <c r="G793" s="136" t="s">
        <v>385</v>
      </c>
      <c r="H793" s="137"/>
      <c r="I793" s="137" t="str">
        <f t="shared" si="17"/>
        <v>06,25</v>
      </c>
    </row>
    <row r="794" spans="1:9" ht="19.5" hidden="1" thickBot="1" x14ac:dyDescent="0.3">
      <c r="A794" s="461"/>
      <c r="B794" s="175" t="s">
        <v>384</v>
      </c>
      <c r="C794" s="134" t="s">
        <v>19</v>
      </c>
      <c r="D794" s="135">
        <v>3.9910000000000001</v>
      </c>
      <c r="E794" s="136" t="s">
        <v>13</v>
      </c>
      <c r="F794" s="463"/>
      <c r="G794" s="136" t="s">
        <v>385</v>
      </c>
      <c r="H794" s="137"/>
      <c r="I794" s="137" t="str">
        <f t="shared" si="17"/>
        <v>06,25</v>
      </c>
    </row>
    <row r="795" spans="1:9" ht="19.5" hidden="1" thickBot="1" x14ac:dyDescent="0.3">
      <c r="A795" s="473"/>
      <c r="B795" s="95" t="s">
        <v>384</v>
      </c>
      <c r="C795" s="96" t="s">
        <v>17</v>
      </c>
      <c r="D795" s="97">
        <v>3.38</v>
      </c>
      <c r="E795" s="98" t="s">
        <v>13</v>
      </c>
      <c r="F795" s="474"/>
      <c r="G795" s="98" t="s">
        <v>385</v>
      </c>
      <c r="H795" s="129"/>
      <c r="I795" s="129" t="str">
        <f t="shared" si="17"/>
        <v>06,25</v>
      </c>
    </row>
    <row r="796" spans="1:9" ht="19.5" hidden="1" thickBot="1" x14ac:dyDescent="0.3">
      <c r="A796" s="454">
        <f t="shared" si="19"/>
        <v>165</v>
      </c>
      <c r="B796" s="102" t="s">
        <v>384</v>
      </c>
      <c r="C796" s="103" t="s">
        <v>18</v>
      </c>
      <c r="D796" s="104">
        <v>2.2519999999999998</v>
      </c>
      <c r="E796" s="105" t="s">
        <v>13</v>
      </c>
      <c r="F796" s="457" t="s">
        <v>387</v>
      </c>
      <c r="G796" s="105" t="s">
        <v>386</v>
      </c>
      <c r="H796" s="107"/>
      <c r="I796" s="107" t="str">
        <f t="shared" si="17"/>
        <v>06,25</v>
      </c>
    </row>
    <row r="797" spans="1:9" ht="19.5" hidden="1" thickBot="1" x14ac:dyDescent="0.3">
      <c r="A797" s="455"/>
      <c r="B797" s="108" t="s">
        <v>384</v>
      </c>
      <c r="C797" s="109" t="s">
        <v>19</v>
      </c>
      <c r="D797" s="110">
        <v>2.452</v>
      </c>
      <c r="E797" s="111" t="s">
        <v>13</v>
      </c>
      <c r="F797" s="458"/>
      <c r="G797" s="111" t="s">
        <v>386</v>
      </c>
      <c r="H797" s="113"/>
      <c r="I797" s="113" t="str">
        <f t="shared" si="17"/>
        <v>06,25</v>
      </c>
    </row>
    <row r="798" spans="1:9" ht="19.5" hidden="1" thickBot="1" x14ac:dyDescent="0.3">
      <c r="A798" s="455"/>
      <c r="B798" s="108" t="s">
        <v>384</v>
      </c>
      <c r="C798" s="109" t="s">
        <v>116</v>
      </c>
      <c r="D798" s="110">
        <v>2.859</v>
      </c>
      <c r="E798" s="111" t="s">
        <v>13</v>
      </c>
      <c r="F798" s="458"/>
      <c r="G798" s="111" t="s">
        <v>386</v>
      </c>
      <c r="H798" s="113"/>
      <c r="I798" s="113" t="str">
        <f t="shared" si="17"/>
        <v>06,25</v>
      </c>
    </row>
    <row r="799" spans="1:9" ht="19.5" hidden="1" thickBot="1" x14ac:dyDescent="0.3">
      <c r="A799" s="455"/>
      <c r="B799" s="108" t="s">
        <v>384</v>
      </c>
      <c r="C799" s="109" t="s">
        <v>17</v>
      </c>
      <c r="D799" s="110">
        <v>2.0739999999999998</v>
      </c>
      <c r="E799" s="111" t="s">
        <v>13</v>
      </c>
      <c r="F799" s="458"/>
      <c r="G799" s="111" t="s">
        <v>386</v>
      </c>
      <c r="H799" s="113"/>
      <c r="I799" s="113" t="str">
        <f t="shared" si="17"/>
        <v>06,25</v>
      </c>
    </row>
    <row r="800" spans="1:9" ht="19.5" hidden="1" thickBot="1" x14ac:dyDescent="0.3">
      <c r="A800" s="456"/>
      <c r="B800" s="114" t="s">
        <v>384</v>
      </c>
      <c r="C800" s="115" t="s">
        <v>277</v>
      </c>
      <c r="D800" s="116">
        <v>6.4329999999999998</v>
      </c>
      <c r="E800" s="117" t="s">
        <v>13</v>
      </c>
      <c r="F800" s="459"/>
      <c r="G800" s="117" t="s">
        <v>386</v>
      </c>
      <c r="H800" s="119"/>
      <c r="I800" s="119" t="str">
        <f t="shared" si="17"/>
        <v>06,25</v>
      </c>
    </row>
    <row r="801" spans="1:9" ht="19.5" hidden="1" thickBot="1" x14ac:dyDescent="0.3">
      <c r="A801" s="460">
        <f t="shared" si="19"/>
        <v>166</v>
      </c>
      <c r="B801" s="91" t="s">
        <v>384</v>
      </c>
      <c r="C801" s="92" t="s">
        <v>18</v>
      </c>
      <c r="D801" s="93">
        <v>0.3</v>
      </c>
      <c r="E801" s="94" t="s">
        <v>34</v>
      </c>
      <c r="F801" s="462" t="s">
        <v>388</v>
      </c>
      <c r="G801" s="94" t="s">
        <v>386</v>
      </c>
      <c r="H801" s="132"/>
      <c r="I801" s="132" t="str">
        <f t="shared" si="17"/>
        <v>06,25</v>
      </c>
    </row>
    <row r="802" spans="1:9" ht="19.5" hidden="1" thickBot="1" x14ac:dyDescent="0.3">
      <c r="A802" s="461"/>
      <c r="B802" s="175" t="s">
        <v>384</v>
      </c>
      <c r="C802" s="134" t="s">
        <v>19</v>
      </c>
      <c r="D802" s="135">
        <v>0.1</v>
      </c>
      <c r="E802" s="136" t="s">
        <v>34</v>
      </c>
      <c r="F802" s="463"/>
      <c r="G802" s="136" t="s">
        <v>386</v>
      </c>
      <c r="H802" s="137"/>
      <c r="I802" s="137" t="str">
        <f t="shared" si="17"/>
        <v>06,25</v>
      </c>
    </row>
    <row r="803" spans="1:9" ht="19.5" hidden="1" thickBot="1" x14ac:dyDescent="0.3">
      <c r="A803" s="461"/>
      <c r="B803" s="175" t="s">
        <v>384</v>
      </c>
      <c r="C803" s="134" t="s">
        <v>17</v>
      </c>
      <c r="D803" s="135">
        <v>1.72</v>
      </c>
      <c r="E803" s="136" t="s">
        <v>34</v>
      </c>
      <c r="F803" s="463"/>
      <c r="G803" s="136" t="s">
        <v>386</v>
      </c>
      <c r="H803" s="137"/>
      <c r="I803" s="137" t="str">
        <f t="shared" si="17"/>
        <v>06,25</v>
      </c>
    </row>
    <row r="804" spans="1:9" ht="19.5" hidden="1" thickBot="1" x14ac:dyDescent="0.3">
      <c r="A804" s="461"/>
      <c r="B804" s="175" t="s">
        <v>384</v>
      </c>
      <c r="C804" s="134" t="s">
        <v>18</v>
      </c>
      <c r="D804" s="135">
        <v>0.46800000000000003</v>
      </c>
      <c r="E804" s="136" t="s">
        <v>45</v>
      </c>
      <c r="F804" s="463"/>
      <c r="G804" s="136" t="s">
        <v>386</v>
      </c>
      <c r="H804" s="137"/>
      <c r="I804" s="137" t="str">
        <f t="shared" si="17"/>
        <v>06,25</v>
      </c>
    </row>
    <row r="805" spans="1:9" ht="19.5" hidden="1" thickBot="1" x14ac:dyDescent="0.3">
      <c r="A805" s="461"/>
      <c r="B805" s="175" t="s">
        <v>384</v>
      </c>
      <c r="C805" s="134" t="s">
        <v>19</v>
      </c>
      <c r="D805" s="211">
        <v>1.7999999999999999E-2</v>
      </c>
      <c r="E805" s="136" t="s">
        <v>45</v>
      </c>
      <c r="F805" s="463"/>
      <c r="G805" s="136" t="s">
        <v>386</v>
      </c>
      <c r="H805" s="137"/>
      <c r="I805" s="137" t="str">
        <f t="shared" si="17"/>
        <v>06,25</v>
      </c>
    </row>
    <row r="806" spans="1:9" ht="19.5" hidden="1" thickBot="1" x14ac:dyDescent="0.3">
      <c r="A806" s="461"/>
      <c r="B806" s="141" t="s">
        <v>384</v>
      </c>
      <c r="C806" s="142" t="s">
        <v>17</v>
      </c>
      <c r="D806" s="143">
        <v>0.91800000000000004</v>
      </c>
      <c r="E806" s="144" t="s">
        <v>45</v>
      </c>
      <c r="F806" s="463"/>
      <c r="G806" s="144" t="s">
        <v>386</v>
      </c>
      <c r="H806" s="145"/>
      <c r="I806" s="145" t="str">
        <f t="shared" si="17"/>
        <v>06,25</v>
      </c>
    </row>
    <row r="807" spans="1:9" ht="19.5" hidden="1" thickBot="1" x14ac:dyDescent="0.3">
      <c r="A807" s="454">
        <f t="shared" si="19"/>
        <v>167</v>
      </c>
      <c r="B807" s="102" t="s">
        <v>389</v>
      </c>
      <c r="C807" s="103" t="s">
        <v>19</v>
      </c>
      <c r="D807" s="104">
        <v>6.2439999999999998</v>
      </c>
      <c r="E807" s="105" t="s">
        <v>13</v>
      </c>
      <c r="F807" s="457" t="s">
        <v>323</v>
      </c>
      <c r="G807" s="105" t="s">
        <v>390</v>
      </c>
      <c r="H807" s="107"/>
      <c r="I807" s="107" t="str">
        <f t="shared" si="17"/>
        <v>07,25</v>
      </c>
    </row>
    <row r="808" spans="1:9" ht="19.5" hidden="1" thickBot="1" x14ac:dyDescent="0.3">
      <c r="A808" s="455"/>
      <c r="B808" s="108" t="s">
        <v>389</v>
      </c>
      <c r="C808" s="109" t="s">
        <v>17</v>
      </c>
      <c r="D808" s="110">
        <v>4.5979999999999999</v>
      </c>
      <c r="E808" s="111" t="s">
        <v>13</v>
      </c>
      <c r="F808" s="458"/>
      <c r="G808" s="111" t="s">
        <v>390</v>
      </c>
      <c r="H808" s="113"/>
      <c r="I808" s="113" t="str">
        <f t="shared" si="17"/>
        <v>07,25</v>
      </c>
    </row>
    <row r="809" spans="1:9" ht="19.5" hidden="1" thickBot="1" x14ac:dyDescent="0.3">
      <c r="A809" s="456"/>
      <c r="B809" s="114" t="s">
        <v>389</v>
      </c>
      <c r="C809" s="115" t="s">
        <v>367</v>
      </c>
      <c r="D809" s="116">
        <v>3.1520000000000001</v>
      </c>
      <c r="E809" s="117" t="s">
        <v>13</v>
      </c>
      <c r="F809" s="459"/>
      <c r="G809" s="117" t="s">
        <v>390</v>
      </c>
      <c r="H809" s="119"/>
      <c r="I809" s="119" t="str">
        <f t="shared" si="17"/>
        <v>07,25</v>
      </c>
    </row>
    <row r="810" spans="1:9" ht="19.5" hidden="1" thickBot="1" x14ac:dyDescent="0.3">
      <c r="A810" s="460">
        <f t="shared" si="19"/>
        <v>168</v>
      </c>
      <c r="B810" s="91" t="s">
        <v>389</v>
      </c>
      <c r="C810" s="92" t="s">
        <v>18</v>
      </c>
      <c r="D810" s="93">
        <v>3.99</v>
      </c>
      <c r="E810" s="94" t="s">
        <v>13</v>
      </c>
      <c r="F810" s="131"/>
      <c r="G810" s="94" t="s">
        <v>390</v>
      </c>
      <c r="H810" s="132"/>
      <c r="I810" s="132" t="str">
        <f t="shared" si="17"/>
        <v>07,25</v>
      </c>
    </row>
    <row r="811" spans="1:9" ht="19.5" hidden="1" thickBot="1" x14ac:dyDescent="0.3">
      <c r="A811" s="461"/>
      <c r="B811" s="175" t="s">
        <v>389</v>
      </c>
      <c r="C811" s="134" t="s">
        <v>19</v>
      </c>
      <c r="D811" s="135">
        <v>5.79</v>
      </c>
      <c r="E811" s="136" t="s">
        <v>13</v>
      </c>
      <c r="F811" s="171"/>
      <c r="G811" s="136" t="s">
        <v>390</v>
      </c>
      <c r="H811" s="137"/>
      <c r="I811" s="137" t="str">
        <f t="shared" si="17"/>
        <v>07,25</v>
      </c>
    </row>
    <row r="812" spans="1:9" ht="19.5" hidden="1" thickBot="1" x14ac:dyDescent="0.3">
      <c r="A812" s="461"/>
      <c r="B812" s="175" t="s">
        <v>389</v>
      </c>
      <c r="C812" s="134" t="s">
        <v>116</v>
      </c>
      <c r="D812" s="135">
        <v>2.653</v>
      </c>
      <c r="E812" s="136" t="s">
        <v>13</v>
      </c>
      <c r="F812" s="171"/>
      <c r="G812" s="136" t="s">
        <v>390</v>
      </c>
      <c r="H812" s="137"/>
      <c r="I812" s="137" t="str">
        <f t="shared" si="17"/>
        <v>07,25</v>
      </c>
    </row>
    <row r="813" spans="1:9" ht="19.5" hidden="1" thickBot="1" x14ac:dyDescent="0.3">
      <c r="A813" s="473"/>
      <c r="B813" s="95" t="s">
        <v>389</v>
      </c>
      <c r="C813" s="96" t="s">
        <v>17</v>
      </c>
      <c r="D813" s="97">
        <v>4.2699999999999996</v>
      </c>
      <c r="E813" s="98" t="s">
        <v>13</v>
      </c>
      <c r="F813" s="133"/>
      <c r="G813" s="98" t="s">
        <v>390</v>
      </c>
      <c r="H813" s="129"/>
      <c r="I813" s="129" t="str">
        <f t="shared" si="17"/>
        <v>07,25</v>
      </c>
    </row>
    <row r="814" spans="1:9" ht="19.5" hidden="1" thickBot="1" x14ac:dyDescent="0.3">
      <c r="A814" s="454">
        <f t="shared" si="19"/>
        <v>169</v>
      </c>
      <c r="B814" s="126" t="s">
        <v>389</v>
      </c>
      <c r="C814" s="103" t="s">
        <v>18</v>
      </c>
      <c r="D814" s="104">
        <v>0.65300000000000002</v>
      </c>
      <c r="E814" s="105" t="s">
        <v>13</v>
      </c>
      <c r="F814" s="457" t="s">
        <v>392</v>
      </c>
      <c r="G814" s="105" t="s">
        <v>391</v>
      </c>
      <c r="H814" s="107"/>
      <c r="I814" s="107" t="str">
        <f t="shared" si="17"/>
        <v>07,25</v>
      </c>
    </row>
    <row r="815" spans="1:9" ht="19.5" hidden="1" thickBot="1" x14ac:dyDescent="0.3">
      <c r="A815" s="455"/>
      <c r="B815" s="127" t="s">
        <v>389</v>
      </c>
      <c r="C815" s="109" t="s">
        <v>19</v>
      </c>
      <c r="D815" s="110">
        <v>0.95</v>
      </c>
      <c r="E815" s="111" t="s">
        <v>13</v>
      </c>
      <c r="F815" s="458"/>
      <c r="G815" s="111" t="s">
        <v>391</v>
      </c>
      <c r="H815" s="113"/>
      <c r="I815" s="113" t="str">
        <f t="shared" si="17"/>
        <v>07,25</v>
      </c>
    </row>
    <row r="816" spans="1:9" ht="19.5" hidden="1" thickBot="1" x14ac:dyDescent="0.3">
      <c r="A816" s="455"/>
      <c r="B816" s="127" t="s">
        <v>389</v>
      </c>
      <c r="C816" s="109" t="s">
        <v>116</v>
      </c>
      <c r="D816" s="110">
        <v>0.43</v>
      </c>
      <c r="E816" s="111" t="s">
        <v>13</v>
      </c>
      <c r="F816" s="458"/>
      <c r="G816" s="111" t="s">
        <v>391</v>
      </c>
      <c r="H816" s="113"/>
      <c r="I816" s="113" t="str">
        <f t="shared" si="17"/>
        <v>07,25</v>
      </c>
    </row>
    <row r="817" spans="1:9" ht="19.5" hidden="1" thickBot="1" x14ac:dyDescent="0.3">
      <c r="A817" s="455"/>
      <c r="B817" s="127" t="s">
        <v>389</v>
      </c>
      <c r="C817" s="109" t="s">
        <v>17</v>
      </c>
      <c r="D817" s="110">
        <v>0.70099999999999996</v>
      </c>
      <c r="E817" s="111" t="s">
        <v>13</v>
      </c>
      <c r="F817" s="458"/>
      <c r="G817" s="111" t="s">
        <v>391</v>
      </c>
      <c r="H817" s="113"/>
      <c r="I817" s="113" t="str">
        <f t="shared" si="17"/>
        <v>07,25</v>
      </c>
    </row>
    <row r="818" spans="1:9" ht="19.5" hidden="1" thickBot="1" x14ac:dyDescent="0.3">
      <c r="A818" s="455"/>
      <c r="B818" s="128" t="s">
        <v>389</v>
      </c>
      <c r="C818" s="115" t="s">
        <v>277</v>
      </c>
      <c r="D818" s="116">
        <v>7.1150000000000002</v>
      </c>
      <c r="E818" s="117" t="s">
        <v>13</v>
      </c>
      <c r="F818" s="459"/>
      <c r="G818" s="117" t="s">
        <v>391</v>
      </c>
      <c r="H818" s="119"/>
      <c r="I818" s="119" t="str">
        <f t="shared" si="17"/>
        <v>07,25</v>
      </c>
    </row>
    <row r="819" spans="1:9" ht="19.5" hidden="1" thickBot="1" x14ac:dyDescent="0.3">
      <c r="A819" s="455"/>
      <c r="B819" s="108" t="s">
        <v>389</v>
      </c>
      <c r="C819" s="109" t="s">
        <v>18</v>
      </c>
      <c r="D819" s="110">
        <v>0.86</v>
      </c>
      <c r="E819" s="111" t="s">
        <v>34</v>
      </c>
      <c r="F819" s="458" t="s">
        <v>393</v>
      </c>
      <c r="G819" s="111" t="s">
        <v>391</v>
      </c>
      <c r="H819" s="113"/>
      <c r="I819" s="113" t="str">
        <f t="shared" si="17"/>
        <v>07,25</v>
      </c>
    </row>
    <row r="820" spans="1:9" ht="19.5" hidden="1" thickBot="1" x14ac:dyDescent="0.3">
      <c r="A820" s="455"/>
      <c r="B820" s="108" t="s">
        <v>389</v>
      </c>
      <c r="C820" s="109" t="s">
        <v>19</v>
      </c>
      <c r="D820" s="110">
        <v>0.72</v>
      </c>
      <c r="E820" s="111" t="s">
        <v>34</v>
      </c>
      <c r="F820" s="458"/>
      <c r="G820" s="111" t="s">
        <v>391</v>
      </c>
      <c r="H820" s="113"/>
      <c r="I820" s="113" t="str">
        <f t="shared" si="17"/>
        <v>07,25</v>
      </c>
    </row>
    <row r="821" spans="1:9" ht="19.5" hidden="1" thickBot="1" x14ac:dyDescent="0.3">
      <c r="A821" s="455"/>
      <c r="B821" s="108" t="s">
        <v>389</v>
      </c>
      <c r="C821" s="109" t="s">
        <v>116</v>
      </c>
      <c r="D821" s="110">
        <v>0.19</v>
      </c>
      <c r="E821" s="111" t="s">
        <v>34</v>
      </c>
      <c r="F821" s="458"/>
      <c r="G821" s="111" t="s">
        <v>391</v>
      </c>
      <c r="H821" s="113"/>
      <c r="I821" s="113" t="str">
        <f t="shared" si="17"/>
        <v>07,25</v>
      </c>
    </row>
    <row r="822" spans="1:9" ht="19.5" hidden="1" thickBot="1" x14ac:dyDescent="0.3">
      <c r="A822" s="455"/>
      <c r="B822" s="108" t="s">
        <v>389</v>
      </c>
      <c r="C822" s="109" t="s">
        <v>17</v>
      </c>
      <c r="D822" s="110">
        <v>1.23</v>
      </c>
      <c r="E822" s="111" t="s">
        <v>34</v>
      </c>
      <c r="F822" s="458"/>
      <c r="G822" s="111" t="s">
        <v>391</v>
      </c>
      <c r="H822" s="113"/>
      <c r="I822" s="113" t="str">
        <f t="shared" si="17"/>
        <v>07,25</v>
      </c>
    </row>
    <row r="823" spans="1:9" ht="19.5" hidden="1" thickBot="1" x14ac:dyDescent="0.3">
      <c r="A823" s="455"/>
      <c r="B823" s="108" t="s">
        <v>389</v>
      </c>
      <c r="C823" s="109" t="s">
        <v>18</v>
      </c>
      <c r="D823" s="110">
        <v>0.48599999999999999</v>
      </c>
      <c r="E823" s="111" t="s">
        <v>45</v>
      </c>
      <c r="F823" s="458"/>
      <c r="G823" s="111" t="s">
        <v>391</v>
      </c>
      <c r="H823" s="113"/>
      <c r="I823" s="113" t="str">
        <f t="shared" si="17"/>
        <v>07,25</v>
      </c>
    </row>
    <row r="824" spans="1:9" ht="19.5" hidden="1" thickBot="1" x14ac:dyDescent="0.3">
      <c r="A824" s="455"/>
      <c r="B824" s="108" t="s">
        <v>389</v>
      </c>
      <c r="C824" s="109" t="s">
        <v>19</v>
      </c>
      <c r="D824" s="110">
        <v>0.108</v>
      </c>
      <c r="E824" s="111" t="s">
        <v>45</v>
      </c>
      <c r="F824" s="458"/>
      <c r="G824" s="111" t="s">
        <v>391</v>
      </c>
      <c r="H824" s="113"/>
      <c r="I824" s="113" t="str">
        <f t="shared" si="17"/>
        <v>07,25</v>
      </c>
    </row>
    <row r="825" spans="1:9" ht="19.5" hidden="1" thickBot="1" x14ac:dyDescent="0.3">
      <c r="A825" s="456"/>
      <c r="B825" s="114" t="s">
        <v>389</v>
      </c>
      <c r="C825" s="115" t="s">
        <v>17</v>
      </c>
      <c r="D825" s="116">
        <v>0.54</v>
      </c>
      <c r="E825" s="117" t="s">
        <v>45</v>
      </c>
      <c r="F825" s="459"/>
      <c r="G825" s="117" t="s">
        <v>391</v>
      </c>
      <c r="H825" s="119"/>
      <c r="I825" s="119" t="str">
        <f t="shared" si="17"/>
        <v>07,25</v>
      </c>
    </row>
    <row r="826" spans="1:9" ht="19.5" hidden="1" thickBot="1" x14ac:dyDescent="0.3">
      <c r="A826" s="460">
        <f t="shared" si="19"/>
        <v>170</v>
      </c>
      <c r="B826" s="91" t="s">
        <v>394</v>
      </c>
      <c r="C826" s="92" t="s">
        <v>367</v>
      </c>
      <c r="D826" s="93">
        <v>2.399</v>
      </c>
      <c r="E826" s="94" t="s">
        <v>13</v>
      </c>
      <c r="F826" s="462" t="s">
        <v>395</v>
      </c>
      <c r="G826" s="94" t="s">
        <v>396</v>
      </c>
      <c r="H826" s="132"/>
      <c r="I826" s="132" t="str">
        <f t="shared" si="17"/>
        <v>07,25</v>
      </c>
    </row>
    <row r="827" spans="1:9" ht="19.5" hidden="1" thickBot="1" x14ac:dyDescent="0.3">
      <c r="A827" s="461"/>
      <c r="B827" s="175" t="s">
        <v>394</v>
      </c>
      <c r="C827" s="134" t="s">
        <v>319</v>
      </c>
      <c r="D827" s="135">
        <v>1.246</v>
      </c>
      <c r="E827" s="136" t="s">
        <v>13</v>
      </c>
      <c r="F827" s="463"/>
      <c r="G827" s="136" t="s">
        <v>396</v>
      </c>
      <c r="H827" s="137"/>
      <c r="I827" s="137" t="str">
        <f t="shared" si="17"/>
        <v>07,25</v>
      </c>
    </row>
    <row r="828" spans="1:9" ht="19.5" hidden="1" thickBot="1" x14ac:dyDescent="0.3">
      <c r="A828" s="461"/>
      <c r="B828" s="175" t="s">
        <v>394</v>
      </c>
      <c r="C828" s="134" t="s">
        <v>18</v>
      </c>
      <c r="D828" s="135">
        <v>2.65</v>
      </c>
      <c r="E828" s="136" t="s">
        <v>13</v>
      </c>
      <c r="F828" s="463"/>
      <c r="G828" s="136" t="s">
        <v>396</v>
      </c>
      <c r="H828" s="137"/>
      <c r="I828" s="137" t="str">
        <f t="shared" si="17"/>
        <v>07,25</v>
      </c>
    </row>
    <row r="829" spans="1:9" ht="19.5" hidden="1" thickBot="1" x14ac:dyDescent="0.3">
      <c r="A829" s="461"/>
      <c r="B829" s="175" t="s">
        <v>394</v>
      </c>
      <c r="C829" s="134" t="s">
        <v>19</v>
      </c>
      <c r="D829" s="135">
        <v>2.93</v>
      </c>
      <c r="E829" s="136" t="s">
        <v>13</v>
      </c>
      <c r="F829" s="463"/>
      <c r="G829" s="136" t="s">
        <v>396</v>
      </c>
      <c r="H829" s="137"/>
      <c r="I829" s="137" t="str">
        <f t="shared" si="17"/>
        <v>07,25</v>
      </c>
    </row>
    <row r="830" spans="1:9" ht="19.5" hidden="1" thickBot="1" x14ac:dyDescent="0.3">
      <c r="A830" s="473"/>
      <c r="B830" s="95" t="s">
        <v>394</v>
      </c>
      <c r="C830" s="96" t="s">
        <v>17</v>
      </c>
      <c r="D830" s="97">
        <v>6.37</v>
      </c>
      <c r="E830" s="98" t="s">
        <v>13</v>
      </c>
      <c r="F830" s="474"/>
      <c r="G830" s="98" t="s">
        <v>396</v>
      </c>
      <c r="H830" s="129"/>
      <c r="I830" s="129" t="str">
        <f t="shared" si="17"/>
        <v>07,25</v>
      </c>
    </row>
    <row r="831" spans="1:9" ht="19.5" hidden="1" thickBot="1" x14ac:dyDescent="0.3">
      <c r="A831" s="454">
        <f t="shared" si="19"/>
        <v>171</v>
      </c>
      <c r="B831" s="126" t="s">
        <v>394</v>
      </c>
      <c r="C831" s="103" t="s">
        <v>18</v>
      </c>
      <c r="D831" s="104">
        <v>1.006</v>
      </c>
      <c r="E831" s="105" t="s">
        <v>13</v>
      </c>
      <c r="F831" s="457" t="s">
        <v>398</v>
      </c>
      <c r="G831" s="105" t="s">
        <v>397</v>
      </c>
      <c r="H831" s="107"/>
      <c r="I831" s="107" t="str">
        <f t="shared" si="17"/>
        <v>07,25</v>
      </c>
    </row>
    <row r="832" spans="1:9" ht="19.5" hidden="1" thickBot="1" x14ac:dyDescent="0.3">
      <c r="A832" s="455"/>
      <c r="B832" s="127" t="s">
        <v>394</v>
      </c>
      <c r="C832" s="109" t="s">
        <v>19</v>
      </c>
      <c r="D832" s="110">
        <v>1.1140000000000001</v>
      </c>
      <c r="E832" s="111" t="s">
        <v>13</v>
      </c>
      <c r="F832" s="458"/>
      <c r="G832" s="111" t="s">
        <v>397</v>
      </c>
      <c r="H832" s="113"/>
      <c r="I832" s="113" t="str">
        <f t="shared" si="17"/>
        <v>07,25</v>
      </c>
    </row>
    <row r="833" spans="1:9" ht="19.5" hidden="1" thickBot="1" x14ac:dyDescent="0.3">
      <c r="A833" s="455"/>
      <c r="B833" s="127" t="s">
        <v>394</v>
      </c>
      <c r="C833" s="109" t="s">
        <v>116</v>
      </c>
      <c r="D833" s="110">
        <v>1.887</v>
      </c>
      <c r="E833" s="111" t="s">
        <v>13</v>
      </c>
      <c r="F833" s="458"/>
      <c r="G833" s="111" t="s">
        <v>397</v>
      </c>
      <c r="H833" s="113"/>
      <c r="I833" s="113" t="str">
        <f t="shared" si="17"/>
        <v>07,25</v>
      </c>
    </row>
    <row r="834" spans="1:9" ht="19.5" hidden="1" thickBot="1" x14ac:dyDescent="0.3">
      <c r="A834" s="455"/>
      <c r="B834" s="127" t="s">
        <v>394</v>
      </c>
      <c r="C834" s="109" t="s">
        <v>17</v>
      </c>
      <c r="D834" s="110">
        <v>2.4319999999999999</v>
      </c>
      <c r="E834" s="111" t="s">
        <v>13</v>
      </c>
      <c r="F834" s="458"/>
      <c r="G834" s="111" t="s">
        <v>397</v>
      </c>
      <c r="H834" s="113"/>
      <c r="I834" s="113" t="str">
        <f t="shared" si="17"/>
        <v>07,25</v>
      </c>
    </row>
    <row r="835" spans="1:9" ht="19.5" hidden="1" thickBot="1" x14ac:dyDescent="0.3">
      <c r="A835" s="455"/>
      <c r="B835" s="128" t="s">
        <v>394</v>
      </c>
      <c r="C835" s="115" t="s">
        <v>277</v>
      </c>
      <c r="D835" s="116">
        <v>3.25</v>
      </c>
      <c r="E835" s="117" t="s">
        <v>13</v>
      </c>
      <c r="F835" s="459"/>
      <c r="G835" s="117" t="s">
        <v>397</v>
      </c>
      <c r="H835" s="119"/>
      <c r="I835" s="119" t="str">
        <f t="shared" si="17"/>
        <v>07,25</v>
      </c>
    </row>
    <row r="836" spans="1:9" ht="19.5" hidden="1" thickBot="1" x14ac:dyDescent="0.3">
      <c r="A836" s="455"/>
      <c r="B836" s="108" t="s">
        <v>394</v>
      </c>
      <c r="C836" s="109" t="s">
        <v>18</v>
      </c>
      <c r="D836" s="110">
        <v>0.67</v>
      </c>
      <c r="E836" s="111" t="s">
        <v>34</v>
      </c>
      <c r="F836" s="458" t="s">
        <v>376</v>
      </c>
      <c r="G836" s="111" t="s">
        <v>397</v>
      </c>
      <c r="H836" s="113"/>
      <c r="I836" s="113" t="str">
        <f t="shared" si="17"/>
        <v>07,25</v>
      </c>
    </row>
    <row r="837" spans="1:9" ht="19.5" hidden="1" thickBot="1" x14ac:dyDescent="0.3">
      <c r="A837" s="455"/>
      <c r="B837" s="108" t="s">
        <v>394</v>
      </c>
      <c r="C837" s="109" t="s">
        <v>19</v>
      </c>
      <c r="D837" s="110">
        <v>0.11</v>
      </c>
      <c r="E837" s="111" t="s">
        <v>34</v>
      </c>
      <c r="F837" s="458"/>
      <c r="G837" s="111" t="s">
        <v>397</v>
      </c>
      <c r="H837" s="113"/>
      <c r="I837" s="113" t="str">
        <f t="shared" si="17"/>
        <v>07,25</v>
      </c>
    </row>
    <row r="838" spans="1:9" ht="19.5" hidden="1" thickBot="1" x14ac:dyDescent="0.3">
      <c r="A838" s="455"/>
      <c r="B838" s="108" t="s">
        <v>394</v>
      </c>
      <c r="C838" s="109" t="s">
        <v>116</v>
      </c>
      <c r="D838" s="110">
        <v>0.11</v>
      </c>
      <c r="E838" s="111" t="s">
        <v>34</v>
      </c>
      <c r="F838" s="458"/>
      <c r="G838" s="111" t="s">
        <v>397</v>
      </c>
      <c r="H838" s="113"/>
      <c r="I838" s="113" t="str">
        <f t="shared" si="17"/>
        <v>07,25</v>
      </c>
    </row>
    <row r="839" spans="1:9" ht="19.5" hidden="1" thickBot="1" x14ac:dyDescent="0.3">
      <c r="A839" s="455"/>
      <c r="B839" s="108" t="s">
        <v>394</v>
      </c>
      <c r="C839" s="109" t="s">
        <v>17</v>
      </c>
      <c r="D839" s="110">
        <v>2.5299999999999998</v>
      </c>
      <c r="E839" s="111" t="s">
        <v>34</v>
      </c>
      <c r="F839" s="458"/>
      <c r="G839" s="111" t="s">
        <v>397</v>
      </c>
      <c r="H839" s="113"/>
      <c r="I839" s="113" t="str">
        <f t="shared" si="17"/>
        <v>07,25</v>
      </c>
    </row>
    <row r="840" spans="1:9" ht="19.5" hidden="1" thickBot="1" x14ac:dyDescent="0.3">
      <c r="A840" s="455"/>
      <c r="B840" s="108" t="s">
        <v>394</v>
      </c>
      <c r="C840" s="109" t="s">
        <v>18</v>
      </c>
      <c r="D840" s="110">
        <v>0.14399999999999999</v>
      </c>
      <c r="E840" s="111" t="s">
        <v>45</v>
      </c>
      <c r="F840" s="458"/>
      <c r="G840" s="111" t="s">
        <v>397</v>
      </c>
      <c r="H840" s="113"/>
      <c r="I840" s="113" t="str">
        <f t="shared" si="17"/>
        <v>07,25</v>
      </c>
    </row>
    <row r="841" spans="1:9" ht="19.5" hidden="1" thickBot="1" x14ac:dyDescent="0.3">
      <c r="A841" s="456"/>
      <c r="B841" s="114" t="s">
        <v>394</v>
      </c>
      <c r="C841" s="115" t="s">
        <v>17</v>
      </c>
      <c r="D841" s="116">
        <v>0.54</v>
      </c>
      <c r="E841" s="117" t="s">
        <v>45</v>
      </c>
      <c r="F841" s="459"/>
      <c r="G841" s="117" t="s">
        <v>397</v>
      </c>
      <c r="H841" s="119"/>
      <c r="I841" s="119" t="str">
        <f t="shared" si="17"/>
        <v>07,25</v>
      </c>
    </row>
    <row r="842" spans="1:9" ht="19.5" hidden="1" thickBot="1" x14ac:dyDescent="0.3">
      <c r="A842" s="460">
        <f t="shared" ref="A842:A890" si="20">MAX(A818:A841)+1</f>
        <v>172</v>
      </c>
      <c r="B842" s="91" t="s">
        <v>399</v>
      </c>
      <c r="C842" s="92" t="s">
        <v>367</v>
      </c>
      <c r="D842" s="93">
        <v>1.9590000000000001</v>
      </c>
      <c r="E842" s="94" t="s">
        <v>13</v>
      </c>
      <c r="F842" s="462" t="s">
        <v>402</v>
      </c>
      <c r="G842" s="94" t="s">
        <v>401</v>
      </c>
      <c r="H842" s="235" t="s">
        <v>400</v>
      </c>
      <c r="I842" s="191" t="str">
        <f t="shared" si="17"/>
        <v>07,25</v>
      </c>
    </row>
    <row r="843" spans="1:9" ht="19.5" hidden="1" thickBot="1" x14ac:dyDescent="0.3">
      <c r="A843" s="461"/>
      <c r="B843" s="175" t="s">
        <v>399</v>
      </c>
      <c r="C843" s="134" t="s">
        <v>18</v>
      </c>
      <c r="D843" s="135">
        <v>4.5609999999999999</v>
      </c>
      <c r="E843" s="136" t="s">
        <v>13</v>
      </c>
      <c r="F843" s="463"/>
      <c r="G843" s="136" t="s">
        <v>401</v>
      </c>
      <c r="H843" s="137"/>
      <c r="I843" s="137" t="str">
        <f t="shared" si="17"/>
        <v>07,25</v>
      </c>
    </row>
    <row r="844" spans="1:9" ht="19.5" hidden="1" thickBot="1" x14ac:dyDescent="0.3">
      <c r="A844" s="461"/>
      <c r="B844" s="175" t="s">
        <v>399</v>
      </c>
      <c r="C844" s="134" t="s">
        <v>19</v>
      </c>
      <c r="D844" s="135">
        <v>2.8620000000000001</v>
      </c>
      <c r="E844" s="136" t="s">
        <v>13</v>
      </c>
      <c r="F844" s="463"/>
      <c r="G844" s="136" t="s">
        <v>401</v>
      </c>
      <c r="H844" s="137"/>
      <c r="I844" s="137" t="str">
        <f t="shared" si="17"/>
        <v>07,25</v>
      </c>
    </row>
    <row r="845" spans="1:9" ht="19.5" hidden="1" thickBot="1" x14ac:dyDescent="0.3">
      <c r="A845" s="461"/>
      <c r="B845" s="175" t="s">
        <v>399</v>
      </c>
      <c r="C845" s="134" t="s">
        <v>116</v>
      </c>
      <c r="D845" s="135">
        <v>2.1139999999999999</v>
      </c>
      <c r="E845" s="136" t="s">
        <v>13</v>
      </c>
      <c r="F845" s="463"/>
      <c r="G845" s="136" t="s">
        <v>401</v>
      </c>
      <c r="H845" s="137"/>
      <c r="I845" s="137" t="str">
        <f t="shared" si="17"/>
        <v>07,25</v>
      </c>
    </row>
    <row r="846" spans="1:9" ht="19.5" hidden="1" thickBot="1" x14ac:dyDescent="0.3">
      <c r="A846" s="473"/>
      <c r="B846" s="95" t="s">
        <v>399</v>
      </c>
      <c r="C846" s="96" t="s">
        <v>17</v>
      </c>
      <c r="D846" s="97">
        <v>3.27</v>
      </c>
      <c r="E846" s="98" t="s">
        <v>13</v>
      </c>
      <c r="F846" s="474"/>
      <c r="G846" s="98" t="s">
        <v>401</v>
      </c>
      <c r="H846" s="129"/>
      <c r="I846" s="129" t="str">
        <f t="shared" si="17"/>
        <v>07,25</v>
      </c>
    </row>
    <row r="847" spans="1:9" ht="19.5" hidden="1" thickBot="1" x14ac:dyDescent="0.3">
      <c r="A847" s="454">
        <f t="shared" si="20"/>
        <v>173</v>
      </c>
      <c r="B847" s="126" t="s">
        <v>399</v>
      </c>
      <c r="C847" s="103" t="s">
        <v>18</v>
      </c>
      <c r="D847" s="104">
        <v>2.706</v>
      </c>
      <c r="E847" s="105" t="s">
        <v>13</v>
      </c>
      <c r="F847" s="457" t="s">
        <v>403</v>
      </c>
      <c r="G847" s="105" t="s">
        <v>404</v>
      </c>
      <c r="H847" s="107"/>
      <c r="I847" s="107" t="str">
        <f t="shared" si="17"/>
        <v>07,25</v>
      </c>
    </row>
    <row r="848" spans="1:9" ht="19.5" hidden="1" thickBot="1" x14ac:dyDescent="0.3">
      <c r="A848" s="455"/>
      <c r="B848" s="127" t="s">
        <v>399</v>
      </c>
      <c r="C848" s="109" t="s">
        <v>19</v>
      </c>
      <c r="D848" s="110">
        <v>1.7030000000000001</v>
      </c>
      <c r="E848" s="111" t="s">
        <v>13</v>
      </c>
      <c r="F848" s="458"/>
      <c r="G848" s="111" t="s">
        <v>404</v>
      </c>
      <c r="H848" s="113"/>
      <c r="I848" s="113" t="str">
        <f t="shared" si="17"/>
        <v>07,25</v>
      </c>
    </row>
    <row r="849" spans="1:9" ht="19.5" hidden="1" thickBot="1" x14ac:dyDescent="0.3">
      <c r="A849" s="455"/>
      <c r="B849" s="127" t="s">
        <v>399</v>
      </c>
      <c r="C849" s="109" t="s">
        <v>17</v>
      </c>
      <c r="D849" s="110">
        <v>1.9390000000000001</v>
      </c>
      <c r="E849" s="111" t="s">
        <v>13</v>
      </c>
      <c r="F849" s="458"/>
      <c r="G849" s="111" t="s">
        <v>404</v>
      </c>
      <c r="H849" s="113"/>
      <c r="I849" s="113" t="str">
        <f t="shared" si="17"/>
        <v>07,25</v>
      </c>
    </row>
    <row r="850" spans="1:9" ht="19.5" hidden="1" thickBot="1" x14ac:dyDescent="0.3">
      <c r="A850" s="455"/>
      <c r="B850" s="128" t="s">
        <v>399</v>
      </c>
      <c r="C850" s="115" t="s">
        <v>277</v>
      </c>
      <c r="D850" s="116">
        <v>5.976</v>
      </c>
      <c r="E850" s="117" t="s">
        <v>13</v>
      </c>
      <c r="F850" s="459"/>
      <c r="G850" s="117" t="s">
        <v>404</v>
      </c>
      <c r="H850" s="119"/>
      <c r="I850" s="119" t="str">
        <f t="shared" si="17"/>
        <v>07,25</v>
      </c>
    </row>
    <row r="851" spans="1:9" ht="19.5" hidden="1" thickBot="1" x14ac:dyDescent="0.3">
      <c r="A851" s="455"/>
      <c r="B851" s="108" t="s">
        <v>399</v>
      </c>
      <c r="C851" s="109" t="s">
        <v>18</v>
      </c>
      <c r="D851" s="110">
        <v>0.72</v>
      </c>
      <c r="E851" s="111" t="s">
        <v>34</v>
      </c>
      <c r="F851" s="458" t="s">
        <v>405</v>
      </c>
      <c r="G851" s="111" t="s">
        <v>404</v>
      </c>
      <c r="H851" s="113"/>
      <c r="I851" s="113" t="str">
        <f t="shared" si="17"/>
        <v>07,25</v>
      </c>
    </row>
    <row r="852" spans="1:9" ht="19.5" hidden="1" thickBot="1" x14ac:dyDescent="0.3">
      <c r="A852" s="455"/>
      <c r="B852" s="108" t="s">
        <v>399</v>
      </c>
      <c r="C852" s="109" t="s">
        <v>19</v>
      </c>
      <c r="D852" s="110">
        <v>0.43</v>
      </c>
      <c r="E852" s="111" t="s">
        <v>34</v>
      </c>
      <c r="F852" s="458"/>
      <c r="G852" s="111" t="s">
        <v>404</v>
      </c>
      <c r="H852" s="113"/>
      <c r="I852" s="113" t="str">
        <f t="shared" si="17"/>
        <v>07,25</v>
      </c>
    </row>
    <row r="853" spans="1:9" ht="19.5" hidden="1" thickBot="1" x14ac:dyDescent="0.3">
      <c r="A853" s="455"/>
      <c r="B853" s="108" t="s">
        <v>399</v>
      </c>
      <c r="C853" s="109" t="s">
        <v>17</v>
      </c>
      <c r="D853" s="110">
        <v>0.82</v>
      </c>
      <c r="E853" s="111" t="s">
        <v>34</v>
      </c>
      <c r="F853" s="458"/>
      <c r="G853" s="111" t="s">
        <v>404</v>
      </c>
      <c r="H853" s="113"/>
      <c r="I853" s="113" t="str">
        <f t="shared" si="17"/>
        <v>07,25</v>
      </c>
    </row>
    <row r="854" spans="1:9" ht="19.5" hidden="1" thickBot="1" x14ac:dyDescent="0.3">
      <c r="A854" s="455"/>
      <c r="B854" s="164" t="s">
        <v>399</v>
      </c>
      <c r="C854" s="165" t="s">
        <v>18</v>
      </c>
      <c r="D854" s="166">
        <v>0.18</v>
      </c>
      <c r="E854" s="167" t="s">
        <v>45</v>
      </c>
      <c r="F854" s="458"/>
      <c r="G854" s="167" t="s">
        <v>404</v>
      </c>
      <c r="H854" s="163"/>
      <c r="I854" s="163" t="str">
        <f t="shared" si="17"/>
        <v>07,25</v>
      </c>
    </row>
    <row r="855" spans="1:9" ht="19.5" hidden="1" thickBot="1" x14ac:dyDescent="0.3">
      <c r="A855" s="460">
        <f t="shared" si="20"/>
        <v>174</v>
      </c>
      <c r="B855" s="91" t="s">
        <v>406</v>
      </c>
      <c r="C855" s="92" t="s">
        <v>18</v>
      </c>
      <c r="D855" s="93">
        <v>5.54</v>
      </c>
      <c r="E855" s="94" t="s">
        <v>13</v>
      </c>
      <c r="F855" s="462" t="s">
        <v>402</v>
      </c>
      <c r="G855" s="94" t="s">
        <v>407</v>
      </c>
      <c r="H855" s="132"/>
      <c r="I855" s="132" t="str">
        <f t="shared" si="17"/>
        <v>07,25</v>
      </c>
    </row>
    <row r="856" spans="1:9" ht="19.5" hidden="1" thickBot="1" x14ac:dyDescent="0.3">
      <c r="A856" s="461"/>
      <c r="B856" s="175" t="s">
        <v>406</v>
      </c>
      <c r="C856" s="134" t="s">
        <v>19</v>
      </c>
      <c r="D856" s="135">
        <v>7.7590000000000003</v>
      </c>
      <c r="E856" s="136" t="s">
        <v>13</v>
      </c>
      <c r="F856" s="463"/>
      <c r="G856" s="136" t="s">
        <v>407</v>
      </c>
      <c r="H856" s="137"/>
      <c r="I856" s="137" t="str">
        <f t="shared" si="17"/>
        <v>07,25</v>
      </c>
    </row>
    <row r="857" spans="1:9" ht="19.5" hidden="1" thickBot="1" x14ac:dyDescent="0.3">
      <c r="A857" s="473"/>
      <c r="B857" s="95" t="s">
        <v>406</v>
      </c>
      <c r="C857" s="236" t="s">
        <v>367</v>
      </c>
      <c r="D857" s="97">
        <v>1.6890000000000001</v>
      </c>
      <c r="E857" s="98" t="s">
        <v>13</v>
      </c>
      <c r="F857" s="474"/>
      <c r="G857" s="98" t="s">
        <v>407</v>
      </c>
      <c r="H857" s="237" t="s">
        <v>400</v>
      </c>
      <c r="I857" s="193" t="str">
        <f t="shared" si="17"/>
        <v>07,25</v>
      </c>
    </row>
    <row r="858" spans="1:9" ht="19.5" hidden="1" thickBot="1" x14ac:dyDescent="0.3">
      <c r="A858" s="454">
        <f t="shared" si="20"/>
        <v>175</v>
      </c>
      <c r="B858" s="102" t="s">
        <v>406</v>
      </c>
      <c r="C858" s="103" t="s">
        <v>18</v>
      </c>
      <c r="D858" s="104">
        <v>5.843</v>
      </c>
      <c r="E858" s="105" t="s">
        <v>13</v>
      </c>
      <c r="F858" s="106"/>
      <c r="G858" s="105" t="s">
        <v>407</v>
      </c>
      <c r="H858" s="107"/>
      <c r="I858" s="107" t="str">
        <f t="shared" si="17"/>
        <v>07,25</v>
      </c>
    </row>
    <row r="859" spans="1:9" ht="19.5" hidden="1" thickBot="1" x14ac:dyDescent="0.3">
      <c r="A859" s="455"/>
      <c r="B859" s="108" t="s">
        <v>406</v>
      </c>
      <c r="C859" s="109" t="s">
        <v>17</v>
      </c>
      <c r="D859" s="110">
        <v>9.6790000000000003</v>
      </c>
      <c r="E859" s="111" t="s">
        <v>13</v>
      </c>
      <c r="F859" s="112"/>
      <c r="G859" s="111" t="s">
        <v>407</v>
      </c>
      <c r="H859" s="113"/>
      <c r="I859" s="113" t="str">
        <f t="shared" si="17"/>
        <v>07,25</v>
      </c>
    </row>
    <row r="860" spans="1:9" ht="19.5" hidden="1" thickBot="1" x14ac:dyDescent="0.3">
      <c r="A860" s="456"/>
      <c r="B860" s="114" t="s">
        <v>406</v>
      </c>
      <c r="C860" s="115" t="s">
        <v>319</v>
      </c>
      <c r="D860" s="116">
        <v>1.5289999999999999</v>
      </c>
      <c r="E860" s="117" t="s">
        <v>13</v>
      </c>
      <c r="F860" s="118"/>
      <c r="G860" s="117" t="s">
        <v>407</v>
      </c>
      <c r="H860" s="119"/>
      <c r="I860" s="119" t="str">
        <f t="shared" si="17"/>
        <v>07,25</v>
      </c>
    </row>
    <row r="861" spans="1:9" ht="19.5" hidden="1" thickBot="1" x14ac:dyDescent="0.3">
      <c r="A861" s="460">
        <f t="shared" si="20"/>
        <v>176</v>
      </c>
      <c r="B861" s="138" t="s">
        <v>406</v>
      </c>
      <c r="C861" s="92" t="s">
        <v>18</v>
      </c>
      <c r="D861" s="93">
        <v>1.45</v>
      </c>
      <c r="E861" s="94" t="s">
        <v>13</v>
      </c>
      <c r="F861" s="462" t="s">
        <v>409</v>
      </c>
      <c r="G861" s="94" t="s">
        <v>408</v>
      </c>
      <c r="H861" s="132"/>
      <c r="I861" s="132" t="str">
        <f t="shared" si="17"/>
        <v>07,25</v>
      </c>
    </row>
    <row r="862" spans="1:9" ht="19.5" hidden="1" thickBot="1" x14ac:dyDescent="0.3">
      <c r="A862" s="461"/>
      <c r="B862" s="140" t="s">
        <v>406</v>
      </c>
      <c r="C862" s="134" t="s">
        <v>19</v>
      </c>
      <c r="D862" s="135">
        <v>1.0009999999999999</v>
      </c>
      <c r="E862" s="136" t="s">
        <v>13</v>
      </c>
      <c r="F862" s="463"/>
      <c r="G862" s="136" t="s">
        <v>408</v>
      </c>
      <c r="H862" s="137"/>
      <c r="I862" s="137" t="str">
        <f t="shared" si="17"/>
        <v>07,25</v>
      </c>
    </row>
    <row r="863" spans="1:9" ht="19.5" hidden="1" thickBot="1" x14ac:dyDescent="0.3">
      <c r="A863" s="461"/>
      <c r="B863" s="140" t="s">
        <v>406</v>
      </c>
      <c r="C863" s="134" t="s">
        <v>116</v>
      </c>
      <c r="D863" s="135">
        <v>2.024</v>
      </c>
      <c r="E863" s="136" t="s">
        <v>13</v>
      </c>
      <c r="F863" s="463"/>
      <c r="G863" s="136" t="s">
        <v>408</v>
      </c>
      <c r="H863" s="137"/>
      <c r="I863" s="137" t="str">
        <f t="shared" si="17"/>
        <v>07,25</v>
      </c>
    </row>
    <row r="864" spans="1:9" ht="19.5" hidden="1" thickBot="1" x14ac:dyDescent="0.3">
      <c r="A864" s="461"/>
      <c r="B864" s="140" t="s">
        <v>406</v>
      </c>
      <c r="C864" s="134" t="s">
        <v>17</v>
      </c>
      <c r="D864" s="135">
        <v>1.302</v>
      </c>
      <c r="E864" s="136" t="s">
        <v>13</v>
      </c>
      <c r="F864" s="463"/>
      <c r="G864" s="136" t="s">
        <v>408</v>
      </c>
      <c r="H864" s="137"/>
      <c r="I864" s="137" t="str">
        <f t="shared" si="17"/>
        <v>07,25</v>
      </c>
    </row>
    <row r="865" spans="1:9" ht="19.5" hidden="1" thickBot="1" x14ac:dyDescent="0.3">
      <c r="A865" s="461"/>
      <c r="B865" s="139" t="s">
        <v>406</v>
      </c>
      <c r="C865" s="96" t="s">
        <v>277</v>
      </c>
      <c r="D865" s="97">
        <v>6.5209999999999999</v>
      </c>
      <c r="E865" s="98" t="s">
        <v>13</v>
      </c>
      <c r="F865" s="474"/>
      <c r="G865" s="98" t="s">
        <v>408</v>
      </c>
      <c r="H865" s="129"/>
      <c r="I865" s="129" t="str">
        <f t="shared" si="17"/>
        <v>07,25</v>
      </c>
    </row>
    <row r="866" spans="1:9" ht="19.5" hidden="1" thickBot="1" x14ac:dyDescent="0.3">
      <c r="A866" s="461"/>
      <c r="B866" s="175" t="s">
        <v>406</v>
      </c>
      <c r="C866" s="134" t="s">
        <v>18</v>
      </c>
      <c r="D866" s="135">
        <v>0.87</v>
      </c>
      <c r="E866" s="136" t="s">
        <v>34</v>
      </c>
      <c r="F866" s="462" t="s">
        <v>405</v>
      </c>
      <c r="G866" s="136" t="s">
        <v>408</v>
      </c>
      <c r="H866" s="137"/>
      <c r="I866" s="137" t="str">
        <f t="shared" si="17"/>
        <v>07,25</v>
      </c>
    </row>
    <row r="867" spans="1:9" ht="19.5" hidden="1" thickBot="1" x14ac:dyDescent="0.3">
      <c r="A867" s="461"/>
      <c r="B867" s="175" t="s">
        <v>406</v>
      </c>
      <c r="C867" s="134" t="s">
        <v>19</v>
      </c>
      <c r="D867" s="211">
        <v>0.25</v>
      </c>
      <c r="E867" s="136" t="s">
        <v>34</v>
      </c>
      <c r="F867" s="463"/>
      <c r="G867" s="136" t="s">
        <v>408</v>
      </c>
      <c r="H867" s="137"/>
      <c r="I867" s="137" t="str">
        <f t="shared" si="17"/>
        <v>07,25</v>
      </c>
    </row>
    <row r="868" spans="1:9" ht="19.5" hidden="1" thickBot="1" x14ac:dyDescent="0.3">
      <c r="A868" s="461"/>
      <c r="B868" s="175" t="s">
        <v>406</v>
      </c>
      <c r="C868" s="134" t="s">
        <v>116</v>
      </c>
      <c r="D868" s="211">
        <v>0.05</v>
      </c>
      <c r="E868" s="136" t="s">
        <v>34</v>
      </c>
      <c r="F868" s="463"/>
      <c r="G868" s="136" t="s">
        <v>408</v>
      </c>
      <c r="H868" s="137"/>
      <c r="I868" s="137" t="str">
        <f t="shared" si="17"/>
        <v>07,25</v>
      </c>
    </row>
    <row r="869" spans="1:9" ht="19.5" hidden="1" thickBot="1" x14ac:dyDescent="0.3">
      <c r="A869" s="461"/>
      <c r="B869" s="175" t="s">
        <v>406</v>
      </c>
      <c r="C869" s="134" t="s">
        <v>17</v>
      </c>
      <c r="D869" s="135">
        <v>0.5</v>
      </c>
      <c r="E869" s="136" t="s">
        <v>34</v>
      </c>
      <c r="F869" s="463"/>
      <c r="G869" s="136" t="s">
        <v>408</v>
      </c>
      <c r="H869" s="137"/>
      <c r="I869" s="137" t="str">
        <f t="shared" si="17"/>
        <v>07,25</v>
      </c>
    </row>
    <row r="870" spans="1:9" ht="19.5" hidden="1" thickBot="1" x14ac:dyDescent="0.3">
      <c r="A870" s="461"/>
      <c r="B870" s="175" t="s">
        <v>406</v>
      </c>
      <c r="C870" s="134" t="s">
        <v>18</v>
      </c>
      <c r="D870" s="135">
        <v>0.16200000000000001</v>
      </c>
      <c r="E870" s="136" t="s">
        <v>45</v>
      </c>
      <c r="F870" s="463"/>
      <c r="G870" s="136" t="s">
        <v>408</v>
      </c>
      <c r="H870" s="137"/>
      <c r="I870" s="137" t="str">
        <f t="shared" si="17"/>
        <v>07,25</v>
      </c>
    </row>
    <row r="871" spans="1:9" ht="19.5" hidden="1" thickBot="1" x14ac:dyDescent="0.3">
      <c r="A871" s="461"/>
      <c r="B871" s="175" t="s">
        <v>406</v>
      </c>
      <c r="C871" s="134" t="s">
        <v>19</v>
      </c>
      <c r="D871" s="211">
        <v>3.5999999999999997E-2</v>
      </c>
      <c r="E871" s="136" t="s">
        <v>45</v>
      </c>
      <c r="F871" s="463"/>
      <c r="G871" s="136" t="s">
        <v>408</v>
      </c>
      <c r="H871" s="137"/>
      <c r="I871" s="137" t="str">
        <f t="shared" si="17"/>
        <v>07,25</v>
      </c>
    </row>
    <row r="872" spans="1:9" ht="19.5" hidden="1" thickBot="1" x14ac:dyDescent="0.3">
      <c r="A872" s="473"/>
      <c r="B872" s="95" t="s">
        <v>406</v>
      </c>
      <c r="C872" s="96" t="s">
        <v>17</v>
      </c>
      <c r="D872" s="97">
        <v>0.63</v>
      </c>
      <c r="E872" s="98" t="s">
        <v>45</v>
      </c>
      <c r="F872" s="474"/>
      <c r="G872" s="98" t="s">
        <v>408</v>
      </c>
      <c r="H872" s="129"/>
      <c r="I872" s="129" t="str">
        <f t="shared" si="17"/>
        <v>07,25</v>
      </c>
    </row>
    <row r="873" spans="1:9" ht="19.5" hidden="1" thickBot="1" x14ac:dyDescent="0.3">
      <c r="A873" s="454">
        <f t="shared" si="20"/>
        <v>177</v>
      </c>
      <c r="B873" s="102" t="s">
        <v>410</v>
      </c>
      <c r="C873" s="103" t="s">
        <v>18</v>
      </c>
      <c r="D873" s="104">
        <v>1.679</v>
      </c>
      <c r="E873" s="105" t="s">
        <v>13</v>
      </c>
      <c r="F873" s="457" t="s">
        <v>412</v>
      </c>
      <c r="G873" s="105" t="s">
        <v>411</v>
      </c>
      <c r="H873" s="107"/>
      <c r="I873" s="107" t="str">
        <f t="shared" si="17"/>
        <v>08,25</v>
      </c>
    </row>
    <row r="874" spans="1:9" ht="19.5" hidden="1" thickBot="1" x14ac:dyDescent="0.3">
      <c r="A874" s="455"/>
      <c r="B874" s="108" t="s">
        <v>410</v>
      </c>
      <c r="C874" s="109" t="s">
        <v>19</v>
      </c>
      <c r="D874" s="110">
        <v>3.169</v>
      </c>
      <c r="E874" s="111" t="s">
        <v>13</v>
      </c>
      <c r="F874" s="458"/>
      <c r="G874" s="111" t="s">
        <v>411</v>
      </c>
      <c r="H874" s="113"/>
      <c r="I874" s="113" t="str">
        <f t="shared" si="17"/>
        <v>08,25</v>
      </c>
    </row>
    <row r="875" spans="1:9" ht="19.5" hidden="1" thickBot="1" x14ac:dyDescent="0.3">
      <c r="A875" s="455"/>
      <c r="B875" s="108" t="s">
        <v>410</v>
      </c>
      <c r="C875" s="109" t="s">
        <v>116</v>
      </c>
      <c r="D875" s="110">
        <v>2.9079999999999999</v>
      </c>
      <c r="E875" s="111" t="s">
        <v>13</v>
      </c>
      <c r="F875" s="458"/>
      <c r="G875" s="111" t="s">
        <v>411</v>
      </c>
      <c r="H875" s="113"/>
      <c r="I875" s="113" t="str">
        <f t="shared" si="17"/>
        <v>08,25</v>
      </c>
    </row>
    <row r="876" spans="1:9" ht="19.5" hidden="1" thickBot="1" x14ac:dyDescent="0.3">
      <c r="A876" s="455"/>
      <c r="B876" s="108" t="s">
        <v>410</v>
      </c>
      <c r="C876" s="109" t="s">
        <v>17</v>
      </c>
      <c r="D876" s="110">
        <v>5.2039999999999997</v>
      </c>
      <c r="E876" s="111" t="s">
        <v>13</v>
      </c>
      <c r="F876" s="458"/>
      <c r="G876" s="111" t="s">
        <v>411</v>
      </c>
      <c r="H876" s="113"/>
      <c r="I876" s="113" t="str">
        <f t="shared" si="17"/>
        <v>08,25</v>
      </c>
    </row>
    <row r="877" spans="1:9" ht="19.5" hidden="1" thickBot="1" x14ac:dyDescent="0.3">
      <c r="A877" s="456"/>
      <c r="B877" s="114" t="s">
        <v>410</v>
      </c>
      <c r="C877" s="239" t="s">
        <v>367</v>
      </c>
      <c r="D877" s="116">
        <v>1.9610000000000001</v>
      </c>
      <c r="E877" s="117" t="s">
        <v>13</v>
      </c>
      <c r="F877" s="459"/>
      <c r="G877" s="117" t="s">
        <v>411</v>
      </c>
      <c r="H877" s="238" t="s">
        <v>416</v>
      </c>
      <c r="I877" s="190" t="str">
        <f t="shared" si="17"/>
        <v>08,25</v>
      </c>
    </row>
    <row r="878" spans="1:9" ht="25.5" hidden="1" customHeight="1" x14ac:dyDescent="0.3">
      <c r="A878" s="460">
        <f t="shared" si="20"/>
        <v>178</v>
      </c>
      <c r="B878" s="138" t="s">
        <v>410</v>
      </c>
      <c r="C878" s="92" t="s">
        <v>19</v>
      </c>
      <c r="D878" s="93">
        <v>1.589</v>
      </c>
      <c r="E878" s="94" t="s">
        <v>13</v>
      </c>
      <c r="F878" s="462" t="s">
        <v>414</v>
      </c>
      <c r="G878" s="94" t="s">
        <v>413</v>
      </c>
      <c r="H878" s="132"/>
      <c r="I878" s="132" t="str">
        <f t="shared" si="17"/>
        <v>08,25</v>
      </c>
    </row>
    <row r="879" spans="1:9" ht="25.5" hidden="1" customHeight="1" x14ac:dyDescent="0.3">
      <c r="A879" s="461"/>
      <c r="B879" s="140" t="s">
        <v>410</v>
      </c>
      <c r="C879" s="134" t="s">
        <v>17</v>
      </c>
      <c r="D879" s="135">
        <v>2.63</v>
      </c>
      <c r="E879" s="136" t="s">
        <v>13</v>
      </c>
      <c r="F879" s="463"/>
      <c r="G879" s="136" t="s">
        <v>413</v>
      </c>
      <c r="H879" s="137"/>
      <c r="I879" s="137" t="str">
        <f t="shared" si="17"/>
        <v>08,25</v>
      </c>
    </row>
    <row r="880" spans="1:9" ht="25.5" hidden="1" customHeight="1" thickBot="1" x14ac:dyDescent="0.3">
      <c r="A880" s="461"/>
      <c r="B880" s="139" t="s">
        <v>410</v>
      </c>
      <c r="C880" s="96" t="s">
        <v>277</v>
      </c>
      <c r="D880" s="97">
        <v>8.016</v>
      </c>
      <c r="E880" s="98" t="s">
        <v>13</v>
      </c>
      <c r="F880" s="474"/>
      <c r="G880" s="98" t="s">
        <v>413</v>
      </c>
      <c r="H880" s="129"/>
      <c r="I880" s="129" t="str">
        <f t="shared" si="17"/>
        <v>08,25</v>
      </c>
    </row>
    <row r="881" spans="1:9" ht="19.5" hidden="1" thickBot="1" x14ac:dyDescent="0.3">
      <c r="A881" s="461"/>
      <c r="B881" s="175" t="s">
        <v>410</v>
      </c>
      <c r="C881" s="134" t="s">
        <v>18</v>
      </c>
      <c r="D881" s="135">
        <v>0.83</v>
      </c>
      <c r="E881" s="136" t="s">
        <v>34</v>
      </c>
      <c r="F881" s="463" t="s">
        <v>415</v>
      </c>
      <c r="G881" s="136" t="s">
        <v>413</v>
      </c>
      <c r="H881" s="137"/>
      <c r="I881" s="137" t="str">
        <f t="shared" si="17"/>
        <v>08,25</v>
      </c>
    </row>
    <row r="882" spans="1:9" ht="19.5" hidden="1" thickBot="1" x14ac:dyDescent="0.3">
      <c r="A882" s="461"/>
      <c r="B882" s="175" t="s">
        <v>410</v>
      </c>
      <c r="C882" s="134" t="s">
        <v>17</v>
      </c>
      <c r="D882" s="135">
        <v>1.6</v>
      </c>
      <c r="E882" s="136" t="s">
        <v>34</v>
      </c>
      <c r="F882" s="463"/>
      <c r="G882" s="136" t="s">
        <v>413</v>
      </c>
      <c r="H882" s="137"/>
      <c r="I882" s="137" t="str">
        <f t="shared" si="17"/>
        <v>08,25</v>
      </c>
    </row>
    <row r="883" spans="1:9" ht="19.5" hidden="1" thickBot="1" x14ac:dyDescent="0.3">
      <c r="A883" s="461"/>
      <c r="B883" s="175" t="s">
        <v>410</v>
      </c>
      <c r="C883" s="134" t="s">
        <v>18</v>
      </c>
      <c r="D883" s="135">
        <v>0.23</v>
      </c>
      <c r="E883" s="136" t="s">
        <v>45</v>
      </c>
      <c r="F883" s="463"/>
      <c r="G883" s="136" t="s">
        <v>413</v>
      </c>
      <c r="H883" s="137"/>
      <c r="I883" s="137" t="str">
        <f t="shared" si="17"/>
        <v>08,25</v>
      </c>
    </row>
    <row r="884" spans="1:9" ht="19.5" hidden="1" thickBot="1" x14ac:dyDescent="0.3">
      <c r="A884" s="473"/>
      <c r="B884" s="95" t="s">
        <v>410</v>
      </c>
      <c r="C884" s="96" t="s">
        <v>17</v>
      </c>
      <c r="D884" s="97">
        <v>0.3</v>
      </c>
      <c r="E884" s="98" t="s">
        <v>45</v>
      </c>
      <c r="F884" s="474"/>
      <c r="G884" s="98" t="s">
        <v>413</v>
      </c>
      <c r="H884" s="129"/>
      <c r="I884" s="129" t="str">
        <f t="shared" si="17"/>
        <v>08,25</v>
      </c>
    </row>
    <row r="885" spans="1:9" ht="19.5" hidden="1" thickBot="1" x14ac:dyDescent="0.3">
      <c r="A885" s="454">
        <f t="shared" si="20"/>
        <v>179</v>
      </c>
      <c r="B885" s="102" t="s">
        <v>417</v>
      </c>
      <c r="C885" s="103" t="s">
        <v>18</v>
      </c>
      <c r="D885" s="104">
        <v>3.0289999999999999</v>
      </c>
      <c r="E885" s="105" t="s">
        <v>13</v>
      </c>
      <c r="F885" s="457" t="s">
        <v>275</v>
      </c>
      <c r="G885" s="105" t="s">
        <v>418</v>
      </c>
      <c r="H885" s="107"/>
      <c r="I885" s="107" t="str">
        <f t="shared" si="17"/>
        <v>08,25</v>
      </c>
    </row>
    <row r="886" spans="1:9" ht="19.5" hidden="1" thickBot="1" x14ac:dyDescent="0.3">
      <c r="A886" s="455"/>
      <c r="B886" s="108" t="s">
        <v>417</v>
      </c>
      <c r="C886" s="109" t="s">
        <v>19</v>
      </c>
      <c r="D886" s="110">
        <v>4.2009999999999996</v>
      </c>
      <c r="E886" s="111" t="s">
        <v>13</v>
      </c>
      <c r="F886" s="458"/>
      <c r="G886" s="111" t="s">
        <v>418</v>
      </c>
      <c r="H886" s="113"/>
      <c r="I886" s="113" t="str">
        <f t="shared" si="17"/>
        <v>08,25</v>
      </c>
    </row>
    <row r="887" spans="1:9" ht="19.5" hidden="1" thickBot="1" x14ac:dyDescent="0.3">
      <c r="A887" s="455"/>
      <c r="B887" s="108" t="s">
        <v>417</v>
      </c>
      <c r="C887" s="109" t="s">
        <v>17</v>
      </c>
      <c r="D887" s="110">
        <v>4.8659999999999997</v>
      </c>
      <c r="E887" s="111" t="s">
        <v>13</v>
      </c>
      <c r="F887" s="458"/>
      <c r="G887" s="111" t="s">
        <v>418</v>
      </c>
      <c r="H887" s="113"/>
      <c r="I887" s="113" t="str">
        <f t="shared" si="17"/>
        <v>08,25</v>
      </c>
    </row>
    <row r="888" spans="1:9" ht="19.5" hidden="1" thickBot="1" x14ac:dyDescent="0.3">
      <c r="A888" s="455"/>
      <c r="B888" s="108" t="s">
        <v>417</v>
      </c>
      <c r="C888" s="240" t="s">
        <v>367</v>
      </c>
      <c r="D888" s="110">
        <v>1.95</v>
      </c>
      <c r="E888" s="111" t="s">
        <v>13</v>
      </c>
      <c r="F888" s="458"/>
      <c r="G888" s="111" t="s">
        <v>418</v>
      </c>
      <c r="H888" s="202" t="s">
        <v>416</v>
      </c>
      <c r="I888" s="189" t="str">
        <f t="shared" si="17"/>
        <v>08,25</v>
      </c>
    </row>
    <row r="889" spans="1:9" ht="19.5" hidden="1" thickBot="1" x14ac:dyDescent="0.3">
      <c r="A889" s="456"/>
      <c r="B889" s="114" t="s">
        <v>417</v>
      </c>
      <c r="C889" s="115" t="s">
        <v>319</v>
      </c>
      <c r="D889" s="116">
        <v>1.1659999999999999</v>
      </c>
      <c r="E889" s="117" t="s">
        <v>13</v>
      </c>
      <c r="F889" s="459"/>
      <c r="G889" s="117" t="s">
        <v>418</v>
      </c>
      <c r="H889" s="119"/>
      <c r="I889" s="119" t="str">
        <f t="shared" si="17"/>
        <v>08,25</v>
      </c>
    </row>
    <row r="890" spans="1:9" ht="19.5" hidden="1" thickBot="1" x14ac:dyDescent="0.3">
      <c r="A890" s="461">
        <f t="shared" si="20"/>
        <v>180</v>
      </c>
      <c r="B890" s="138" t="s">
        <v>417</v>
      </c>
      <c r="C890" s="92" t="s">
        <v>19</v>
      </c>
      <c r="D890" s="93">
        <v>2.6949999999999998</v>
      </c>
      <c r="E890" s="94" t="s">
        <v>13</v>
      </c>
      <c r="F890" s="462" t="s">
        <v>420</v>
      </c>
      <c r="G890" s="94" t="s">
        <v>419</v>
      </c>
      <c r="H890" s="132"/>
      <c r="I890" s="132" t="str">
        <f t="shared" si="17"/>
        <v>08,25</v>
      </c>
    </row>
    <row r="891" spans="1:9" ht="19.5" hidden="1" thickBot="1" x14ac:dyDescent="0.3">
      <c r="A891" s="461"/>
      <c r="B891" s="140" t="s">
        <v>417</v>
      </c>
      <c r="C891" s="134" t="s">
        <v>116</v>
      </c>
      <c r="D891" s="135">
        <v>1.012</v>
      </c>
      <c r="E891" s="136" t="s">
        <v>13</v>
      </c>
      <c r="F891" s="463"/>
      <c r="G891" s="136" t="s">
        <v>419</v>
      </c>
      <c r="H891" s="137"/>
      <c r="I891" s="137" t="str">
        <f t="shared" si="17"/>
        <v>08,25</v>
      </c>
    </row>
    <row r="892" spans="1:9" ht="19.5" hidden="1" thickBot="1" x14ac:dyDescent="0.3">
      <c r="A892" s="461"/>
      <c r="B892" s="140" t="s">
        <v>417</v>
      </c>
      <c r="C892" s="134" t="s">
        <v>17</v>
      </c>
      <c r="D892" s="135">
        <v>3.1120000000000001</v>
      </c>
      <c r="E892" s="136" t="s">
        <v>13</v>
      </c>
      <c r="F892" s="463"/>
      <c r="G892" s="136" t="s">
        <v>419</v>
      </c>
      <c r="H892" s="137"/>
      <c r="I892" s="137" t="str">
        <f t="shared" si="17"/>
        <v>08,25</v>
      </c>
    </row>
    <row r="893" spans="1:9" ht="19.5" hidden="1" thickBot="1" x14ac:dyDescent="0.3">
      <c r="A893" s="461"/>
      <c r="B893" s="139" t="s">
        <v>417</v>
      </c>
      <c r="C893" s="96" t="s">
        <v>277</v>
      </c>
      <c r="D893" s="97">
        <v>5.2140000000000004</v>
      </c>
      <c r="E893" s="98" t="s">
        <v>13</v>
      </c>
      <c r="F893" s="474"/>
      <c r="G893" s="98" t="s">
        <v>419</v>
      </c>
      <c r="H893" s="129"/>
      <c r="I893" s="129" t="str">
        <f t="shared" si="17"/>
        <v>08,25</v>
      </c>
    </row>
    <row r="894" spans="1:9" ht="19.5" hidden="1" thickBot="1" x14ac:dyDescent="0.3">
      <c r="A894" s="461"/>
      <c r="B894" s="175" t="s">
        <v>417</v>
      </c>
      <c r="C894" s="134" t="s">
        <v>18</v>
      </c>
      <c r="D894" s="135">
        <v>0.39</v>
      </c>
      <c r="E894" s="136" t="s">
        <v>34</v>
      </c>
      <c r="F894" s="463" t="s">
        <v>415</v>
      </c>
      <c r="G894" s="136" t="s">
        <v>419</v>
      </c>
      <c r="H894" s="137"/>
      <c r="I894" s="137" t="str">
        <f t="shared" si="17"/>
        <v>08,25</v>
      </c>
    </row>
    <row r="895" spans="1:9" ht="19.5" hidden="1" thickBot="1" x14ac:dyDescent="0.3">
      <c r="A895" s="461"/>
      <c r="B895" s="175" t="s">
        <v>417</v>
      </c>
      <c r="C895" s="134" t="s">
        <v>19</v>
      </c>
      <c r="D895" s="135">
        <v>0.28999999999999998</v>
      </c>
      <c r="E895" s="136" t="s">
        <v>34</v>
      </c>
      <c r="F895" s="463"/>
      <c r="G895" s="136" t="s">
        <v>419</v>
      </c>
      <c r="H895" s="137"/>
      <c r="I895" s="137" t="str">
        <f t="shared" si="17"/>
        <v>08,25</v>
      </c>
    </row>
    <row r="896" spans="1:9" ht="19.5" hidden="1" thickBot="1" x14ac:dyDescent="0.3">
      <c r="A896" s="461"/>
      <c r="B896" s="175" t="s">
        <v>417</v>
      </c>
      <c r="C896" s="134" t="s">
        <v>116</v>
      </c>
      <c r="D896" s="211">
        <v>0.04</v>
      </c>
      <c r="E896" s="136" t="s">
        <v>34</v>
      </c>
      <c r="F896" s="463"/>
      <c r="G896" s="136" t="s">
        <v>419</v>
      </c>
      <c r="H896" s="137"/>
      <c r="I896" s="137" t="str">
        <f t="shared" si="17"/>
        <v>08,25</v>
      </c>
    </row>
    <row r="897" spans="1:9" ht="19.5" hidden="1" thickBot="1" x14ac:dyDescent="0.3">
      <c r="A897" s="461"/>
      <c r="B897" s="175" t="s">
        <v>417</v>
      </c>
      <c r="C897" s="134" t="s">
        <v>17</v>
      </c>
      <c r="D897" s="135">
        <v>1.7</v>
      </c>
      <c r="E897" s="136" t="s">
        <v>34</v>
      </c>
      <c r="F897" s="463"/>
      <c r="G897" s="136" t="s">
        <v>419</v>
      </c>
      <c r="H897" s="137"/>
      <c r="I897" s="137" t="str">
        <f t="shared" si="17"/>
        <v>08,25</v>
      </c>
    </row>
    <row r="898" spans="1:9" ht="19.5" hidden="1" thickBot="1" x14ac:dyDescent="0.3">
      <c r="A898" s="461"/>
      <c r="B898" s="175" t="s">
        <v>417</v>
      </c>
      <c r="C898" s="134" t="s">
        <v>18</v>
      </c>
      <c r="D898" s="211">
        <v>0.03</v>
      </c>
      <c r="E898" s="136" t="s">
        <v>45</v>
      </c>
      <c r="F898" s="463"/>
      <c r="G898" s="136" t="s">
        <v>419</v>
      </c>
      <c r="H898" s="137"/>
      <c r="I898" s="137" t="str">
        <f t="shared" si="17"/>
        <v>08,25</v>
      </c>
    </row>
    <row r="899" spans="1:9" ht="19.5" hidden="1" thickBot="1" x14ac:dyDescent="0.3">
      <c r="A899" s="461"/>
      <c r="B899" s="175" t="s">
        <v>417</v>
      </c>
      <c r="C899" s="134" t="s">
        <v>19</v>
      </c>
      <c r="D899" s="211">
        <v>0.02</v>
      </c>
      <c r="E899" s="136" t="s">
        <v>45</v>
      </c>
      <c r="F899" s="463"/>
      <c r="G899" s="136" t="s">
        <v>419</v>
      </c>
      <c r="H899" s="137"/>
      <c r="I899" s="137" t="str">
        <f t="shared" si="17"/>
        <v>08,25</v>
      </c>
    </row>
    <row r="900" spans="1:9" ht="19.5" hidden="1" thickBot="1" x14ac:dyDescent="0.3">
      <c r="A900" s="461"/>
      <c r="B900" s="141" t="s">
        <v>417</v>
      </c>
      <c r="C900" s="142" t="s">
        <v>17</v>
      </c>
      <c r="D900" s="143">
        <v>0.52</v>
      </c>
      <c r="E900" s="144" t="s">
        <v>45</v>
      </c>
      <c r="F900" s="463"/>
      <c r="G900" s="144" t="s">
        <v>419</v>
      </c>
      <c r="H900" s="145"/>
      <c r="I900" s="145" t="str">
        <f t="shared" si="17"/>
        <v>08,25</v>
      </c>
    </row>
    <row r="901" spans="1:9" ht="19.5" hidden="1" thickBot="1" x14ac:dyDescent="0.3">
      <c r="A901" s="454">
        <f>MAX(A878:A900)+1</f>
        <v>181</v>
      </c>
      <c r="B901" s="102" t="s">
        <v>421</v>
      </c>
      <c r="C901" s="103" t="s">
        <v>19</v>
      </c>
      <c r="D901" s="104">
        <v>8.2639999999999993</v>
      </c>
      <c r="E901" s="105" t="s">
        <v>13</v>
      </c>
      <c r="F901" s="457" t="s">
        <v>423</v>
      </c>
      <c r="G901" s="105" t="s">
        <v>422</v>
      </c>
      <c r="H901" s="107"/>
      <c r="I901" s="107" t="str">
        <f t="shared" si="17"/>
        <v>08,25</v>
      </c>
    </row>
    <row r="902" spans="1:9" ht="19.5" hidden="1" thickBot="1" x14ac:dyDescent="0.3">
      <c r="A902" s="455"/>
      <c r="B902" s="108" t="s">
        <v>421</v>
      </c>
      <c r="C902" s="109" t="s">
        <v>116</v>
      </c>
      <c r="D902" s="110">
        <v>4.0309999999999997</v>
      </c>
      <c r="E902" s="111" t="s">
        <v>13</v>
      </c>
      <c r="F902" s="458"/>
      <c r="G902" s="111" t="s">
        <v>422</v>
      </c>
      <c r="H902" s="113"/>
      <c r="I902" s="113" t="str">
        <f t="shared" si="17"/>
        <v>08,25</v>
      </c>
    </row>
    <row r="903" spans="1:9" ht="19.5" hidden="1" thickBot="1" x14ac:dyDescent="0.3">
      <c r="A903" s="456"/>
      <c r="B903" s="114" t="s">
        <v>421</v>
      </c>
      <c r="C903" s="239" t="s">
        <v>367</v>
      </c>
      <c r="D903" s="116">
        <v>2.2549999999999999</v>
      </c>
      <c r="E903" s="117" t="s">
        <v>13</v>
      </c>
      <c r="F903" s="459"/>
      <c r="G903" s="117" t="s">
        <v>422</v>
      </c>
      <c r="H903" s="238" t="s">
        <v>416</v>
      </c>
      <c r="I903" s="190" t="str">
        <f t="shared" si="17"/>
        <v>08,25</v>
      </c>
    </row>
    <row r="904" spans="1:9" ht="19.5" hidden="1" thickBot="1" x14ac:dyDescent="0.3">
      <c r="A904" s="460">
        <f>MAX(A881:A903)+1</f>
        <v>182</v>
      </c>
      <c r="B904" s="91" t="s">
        <v>421</v>
      </c>
      <c r="C904" s="92" t="s">
        <v>18</v>
      </c>
      <c r="D904" s="93">
        <v>6.86</v>
      </c>
      <c r="E904" s="94" t="s">
        <v>13</v>
      </c>
      <c r="F904" s="131"/>
      <c r="G904" s="94" t="s">
        <v>422</v>
      </c>
      <c r="H904" s="132"/>
      <c r="I904" s="132" t="str">
        <f t="shared" si="17"/>
        <v>08,25</v>
      </c>
    </row>
    <row r="905" spans="1:9" ht="19.5" hidden="1" thickBot="1" x14ac:dyDescent="0.3">
      <c r="A905" s="473"/>
      <c r="B905" s="95" t="s">
        <v>421</v>
      </c>
      <c r="C905" s="96" t="s">
        <v>17</v>
      </c>
      <c r="D905" s="97">
        <v>10.055</v>
      </c>
      <c r="E905" s="98" t="s">
        <v>13</v>
      </c>
      <c r="F905" s="133"/>
      <c r="G905" s="98" t="s">
        <v>422</v>
      </c>
      <c r="H905" s="129"/>
      <c r="I905" s="129" t="str">
        <f t="shared" si="17"/>
        <v>08,25</v>
      </c>
    </row>
    <row r="906" spans="1:9" ht="26.25" hidden="1" customHeight="1" x14ac:dyDescent="0.3">
      <c r="A906" s="454">
        <f t="shared" ref="A906:A965" si="21">MAX(A883:A905)+1</f>
        <v>183</v>
      </c>
      <c r="B906" s="126" t="s">
        <v>421</v>
      </c>
      <c r="C906" s="103" t="s">
        <v>18</v>
      </c>
      <c r="D906" s="104">
        <v>2.5009999999999999</v>
      </c>
      <c r="E906" s="105" t="s">
        <v>13</v>
      </c>
      <c r="F906" s="457" t="s">
        <v>425</v>
      </c>
      <c r="G906" s="105" t="s">
        <v>424</v>
      </c>
      <c r="H906" s="107"/>
      <c r="I906" s="107" t="str">
        <f t="shared" si="17"/>
        <v>08,25</v>
      </c>
    </row>
    <row r="907" spans="1:9" ht="26.25" hidden="1" customHeight="1" x14ac:dyDescent="0.3">
      <c r="A907" s="455"/>
      <c r="B907" s="127" t="s">
        <v>421</v>
      </c>
      <c r="C907" s="109" t="s">
        <v>116</v>
      </c>
      <c r="D907" s="110">
        <v>0.95</v>
      </c>
      <c r="E907" s="111" t="s">
        <v>13</v>
      </c>
      <c r="F907" s="458"/>
      <c r="G907" s="111" t="s">
        <v>424</v>
      </c>
      <c r="H907" s="113"/>
      <c r="I907" s="113" t="str">
        <f t="shared" si="17"/>
        <v>08,25</v>
      </c>
    </row>
    <row r="908" spans="1:9" ht="26.25" hidden="1" customHeight="1" thickBot="1" x14ac:dyDescent="0.3">
      <c r="A908" s="455"/>
      <c r="B908" s="128" t="s">
        <v>421</v>
      </c>
      <c r="C908" s="115" t="s">
        <v>277</v>
      </c>
      <c r="D908" s="116">
        <v>7.1550000000000002</v>
      </c>
      <c r="E908" s="117" t="s">
        <v>13</v>
      </c>
      <c r="F908" s="459"/>
      <c r="G908" s="117" t="s">
        <v>424</v>
      </c>
      <c r="H908" s="119"/>
      <c r="I908" s="119" t="str">
        <f t="shared" si="17"/>
        <v>08,25</v>
      </c>
    </row>
    <row r="909" spans="1:9" ht="19.5" hidden="1" thickBot="1" x14ac:dyDescent="0.3">
      <c r="A909" s="455"/>
      <c r="B909" s="108" t="s">
        <v>421</v>
      </c>
      <c r="C909" s="109" t="s">
        <v>18</v>
      </c>
      <c r="D909" s="110">
        <v>1.73</v>
      </c>
      <c r="E909" s="111" t="s">
        <v>34</v>
      </c>
      <c r="F909" s="457" t="s">
        <v>426</v>
      </c>
      <c r="G909" s="111" t="s">
        <v>424</v>
      </c>
      <c r="H909" s="113"/>
      <c r="I909" s="113" t="str">
        <f t="shared" si="17"/>
        <v>08,25</v>
      </c>
    </row>
    <row r="910" spans="1:9" ht="19.5" hidden="1" thickBot="1" x14ac:dyDescent="0.3">
      <c r="A910" s="455"/>
      <c r="B910" s="108" t="s">
        <v>421</v>
      </c>
      <c r="C910" s="109" t="s">
        <v>19</v>
      </c>
      <c r="D910" s="110">
        <v>0.79</v>
      </c>
      <c r="E910" s="111" t="s">
        <v>34</v>
      </c>
      <c r="F910" s="458"/>
      <c r="G910" s="111" t="s">
        <v>424</v>
      </c>
      <c r="H910" s="113"/>
      <c r="I910" s="113" t="str">
        <f t="shared" si="17"/>
        <v>08,25</v>
      </c>
    </row>
    <row r="911" spans="1:9" ht="19.5" hidden="1" thickBot="1" x14ac:dyDescent="0.3">
      <c r="A911" s="455"/>
      <c r="B911" s="108" t="s">
        <v>421</v>
      </c>
      <c r="C911" s="109" t="s">
        <v>116</v>
      </c>
      <c r="D911" s="110">
        <v>0.1</v>
      </c>
      <c r="E911" s="111" t="s">
        <v>34</v>
      </c>
      <c r="F911" s="458"/>
      <c r="G911" s="111" t="s">
        <v>424</v>
      </c>
      <c r="H911" s="113"/>
      <c r="I911" s="113" t="str">
        <f t="shared" si="17"/>
        <v>08,25</v>
      </c>
    </row>
    <row r="912" spans="1:9" ht="19.5" hidden="1" thickBot="1" x14ac:dyDescent="0.3">
      <c r="A912" s="455"/>
      <c r="B912" s="108" t="s">
        <v>421</v>
      </c>
      <c r="C912" s="109" t="s">
        <v>17</v>
      </c>
      <c r="D912" s="110">
        <v>1.4</v>
      </c>
      <c r="E912" s="111" t="s">
        <v>34</v>
      </c>
      <c r="F912" s="458"/>
      <c r="G912" s="111" t="s">
        <v>424</v>
      </c>
      <c r="H912" s="113"/>
      <c r="I912" s="113" t="str">
        <f t="shared" si="17"/>
        <v>08,25</v>
      </c>
    </row>
    <row r="913" spans="1:9" ht="19.5" hidden="1" thickBot="1" x14ac:dyDescent="0.3">
      <c r="A913" s="455"/>
      <c r="B913" s="108" t="s">
        <v>421</v>
      </c>
      <c r="C913" s="109" t="s">
        <v>18</v>
      </c>
      <c r="D913" s="110">
        <v>0.36</v>
      </c>
      <c r="E913" s="111" t="s">
        <v>45</v>
      </c>
      <c r="F913" s="458"/>
      <c r="G913" s="111" t="s">
        <v>424</v>
      </c>
      <c r="H913" s="113"/>
      <c r="I913" s="113" t="str">
        <f t="shared" si="17"/>
        <v>08,25</v>
      </c>
    </row>
    <row r="914" spans="1:9" ht="19.5" hidden="1" thickBot="1" x14ac:dyDescent="0.3">
      <c r="A914" s="455"/>
      <c r="B914" s="108" t="s">
        <v>421</v>
      </c>
      <c r="C914" s="109" t="s">
        <v>19</v>
      </c>
      <c r="D914" s="110">
        <v>0.11</v>
      </c>
      <c r="E914" s="111" t="s">
        <v>45</v>
      </c>
      <c r="F914" s="458"/>
      <c r="G914" s="111" t="s">
        <v>424</v>
      </c>
      <c r="H914" s="113"/>
      <c r="I914" s="113" t="str">
        <f t="shared" si="17"/>
        <v>08,25</v>
      </c>
    </row>
    <row r="915" spans="1:9" ht="19.5" hidden="1" thickBot="1" x14ac:dyDescent="0.3">
      <c r="A915" s="455"/>
      <c r="B915" s="108" t="s">
        <v>421</v>
      </c>
      <c r="C915" s="109" t="s">
        <v>116</v>
      </c>
      <c r="D915" s="212">
        <v>0.01</v>
      </c>
      <c r="E915" s="111" t="s">
        <v>45</v>
      </c>
      <c r="F915" s="458"/>
      <c r="G915" s="111" t="s">
        <v>424</v>
      </c>
      <c r="H915" s="113"/>
      <c r="I915" s="113" t="str">
        <f t="shared" si="17"/>
        <v>08,25</v>
      </c>
    </row>
    <row r="916" spans="1:9" ht="19.5" hidden="1" thickBot="1" x14ac:dyDescent="0.3">
      <c r="A916" s="455"/>
      <c r="B916" s="164" t="s">
        <v>421</v>
      </c>
      <c r="C916" s="165" t="s">
        <v>17</v>
      </c>
      <c r="D916" s="166">
        <v>0.56999999999999995</v>
      </c>
      <c r="E916" s="167" t="s">
        <v>45</v>
      </c>
      <c r="F916" s="458"/>
      <c r="G916" s="167" t="s">
        <v>424</v>
      </c>
      <c r="H916" s="163"/>
      <c r="I916" s="163" t="str">
        <f t="shared" si="17"/>
        <v>08,25</v>
      </c>
    </row>
    <row r="917" spans="1:9" ht="19.5" hidden="1" thickBot="1" x14ac:dyDescent="0.3">
      <c r="A917" s="460">
        <f t="shared" si="21"/>
        <v>184</v>
      </c>
      <c r="B917" s="91" t="s">
        <v>427</v>
      </c>
      <c r="C917" s="92" t="s">
        <v>319</v>
      </c>
      <c r="D917" s="93">
        <v>1.3129999999999999</v>
      </c>
      <c r="E917" s="94" t="s">
        <v>13</v>
      </c>
      <c r="F917" s="462" t="s">
        <v>429</v>
      </c>
      <c r="G917" s="94" t="s">
        <v>428</v>
      </c>
      <c r="H917" s="132"/>
      <c r="I917" s="132" t="str">
        <f t="shared" si="17"/>
        <v>08,25</v>
      </c>
    </row>
    <row r="918" spans="1:9" ht="19.5" hidden="1" thickBot="1" x14ac:dyDescent="0.3">
      <c r="A918" s="461"/>
      <c r="B918" s="175" t="s">
        <v>427</v>
      </c>
      <c r="C918" s="241" t="s">
        <v>367</v>
      </c>
      <c r="D918" s="135">
        <v>2.6110000000000002</v>
      </c>
      <c r="E918" s="136" t="s">
        <v>13</v>
      </c>
      <c r="F918" s="463"/>
      <c r="G918" s="136" t="s">
        <v>428</v>
      </c>
      <c r="H918" s="242" t="s">
        <v>416</v>
      </c>
      <c r="I918" s="192" t="str">
        <f t="shared" si="17"/>
        <v>08,25</v>
      </c>
    </row>
    <row r="919" spans="1:9" ht="19.5" hidden="1" thickBot="1" x14ac:dyDescent="0.3">
      <c r="A919" s="473"/>
      <c r="B919" s="95" t="s">
        <v>427</v>
      </c>
      <c r="C919" s="96" t="s">
        <v>19</v>
      </c>
      <c r="D919" s="97">
        <v>6.8529999999999998</v>
      </c>
      <c r="E919" s="98" t="s">
        <v>13</v>
      </c>
      <c r="F919" s="474"/>
      <c r="G919" s="98" t="s">
        <v>428</v>
      </c>
      <c r="H919" s="129"/>
      <c r="I919" s="129" t="str">
        <f t="shared" si="17"/>
        <v>08,25</v>
      </c>
    </row>
    <row r="920" spans="1:9" ht="19.5" hidden="1" thickBot="1" x14ac:dyDescent="0.3">
      <c r="A920" s="454">
        <f t="shared" si="21"/>
        <v>185</v>
      </c>
      <c r="B920" s="102" t="s">
        <v>427</v>
      </c>
      <c r="C920" s="103" t="s">
        <v>18</v>
      </c>
      <c r="D920" s="104">
        <v>4.8410000000000002</v>
      </c>
      <c r="E920" s="105" t="s">
        <v>13</v>
      </c>
      <c r="F920" s="106"/>
      <c r="G920" s="105" t="s">
        <v>428</v>
      </c>
      <c r="H920" s="107"/>
      <c r="I920" s="107" t="str">
        <f t="shared" si="17"/>
        <v>08,25</v>
      </c>
    </row>
    <row r="921" spans="1:9" ht="19.5" hidden="1" thickBot="1" x14ac:dyDescent="0.3">
      <c r="A921" s="455"/>
      <c r="B921" s="108" t="s">
        <v>427</v>
      </c>
      <c r="C921" s="109" t="s">
        <v>19</v>
      </c>
      <c r="D921" s="110">
        <v>3.09</v>
      </c>
      <c r="E921" s="111" t="s">
        <v>13</v>
      </c>
      <c r="F921" s="112"/>
      <c r="G921" s="111" t="s">
        <v>428</v>
      </c>
      <c r="H921" s="113"/>
      <c r="I921" s="113" t="str">
        <f t="shared" si="17"/>
        <v>08,25</v>
      </c>
    </row>
    <row r="922" spans="1:9" ht="19.5" hidden="1" thickBot="1" x14ac:dyDescent="0.3">
      <c r="A922" s="456"/>
      <c r="B922" s="114" t="s">
        <v>427</v>
      </c>
      <c r="C922" s="115" t="s">
        <v>17</v>
      </c>
      <c r="D922" s="116">
        <v>8.7539999999999996</v>
      </c>
      <c r="E922" s="117" t="s">
        <v>13</v>
      </c>
      <c r="F922" s="118"/>
      <c r="G922" s="117" t="s">
        <v>428</v>
      </c>
      <c r="H922" s="119"/>
      <c r="I922" s="119" t="str">
        <f t="shared" si="17"/>
        <v>08,25</v>
      </c>
    </row>
    <row r="923" spans="1:9" ht="26.25" hidden="1" customHeight="1" x14ac:dyDescent="0.3">
      <c r="A923" s="460">
        <f t="shared" si="21"/>
        <v>186</v>
      </c>
      <c r="B923" s="91" t="s">
        <v>427</v>
      </c>
      <c r="C923" s="92" t="s">
        <v>116</v>
      </c>
      <c r="D923" s="93">
        <v>1.107</v>
      </c>
      <c r="E923" s="94" t="s">
        <v>13</v>
      </c>
      <c r="F923" s="462" t="s">
        <v>430</v>
      </c>
      <c r="G923" s="94" t="s">
        <v>431</v>
      </c>
      <c r="H923" s="132"/>
      <c r="I923" s="132" t="str">
        <f t="shared" si="17"/>
        <v>08,25</v>
      </c>
    </row>
    <row r="924" spans="1:9" ht="26.25" hidden="1" customHeight="1" x14ac:dyDescent="0.3">
      <c r="A924" s="461"/>
      <c r="B924" s="175" t="s">
        <v>427</v>
      </c>
      <c r="C924" s="134" t="s">
        <v>17</v>
      </c>
      <c r="D924" s="135">
        <v>1.5029999999999999</v>
      </c>
      <c r="E924" s="136" t="s">
        <v>13</v>
      </c>
      <c r="F924" s="463"/>
      <c r="G924" s="136" t="s">
        <v>431</v>
      </c>
      <c r="H924" s="137"/>
      <c r="I924" s="137" t="str">
        <f t="shared" si="17"/>
        <v>08,25</v>
      </c>
    </row>
    <row r="925" spans="1:9" ht="26.25" hidden="1" customHeight="1" x14ac:dyDescent="0.3">
      <c r="A925" s="461"/>
      <c r="B925" s="175" t="s">
        <v>427</v>
      </c>
      <c r="C925" s="134" t="s">
        <v>277</v>
      </c>
      <c r="D925" s="135">
        <v>8.6989999999999998</v>
      </c>
      <c r="E925" s="136" t="s">
        <v>13</v>
      </c>
      <c r="F925" s="478"/>
      <c r="G925" s="136" t="s">
        <v>431</v>
      </c>
      <c r="H925" s="137"/>
      <c r="I925" s="137" t="str">
        <f t="shared" si="17"/>
        <v>08,25</v>
      </c>
    </row>
    <row r="926" spans="1:9" ht="19.5" hidden="1" thickBot="1" x14ac:dyDescent="0.3">
      <c r="A926" s="461"/>
      <c r="B926" s="175" t="s">
        <v>427</v>
      </c>
      <c r="C926" s="134" t="s">
        <v>18</v>
      </c>
      <c r="D926" s="135">
        <v>0.67</v>
      </c>
      <c r="E926" s="136" t="s">
        <v>34</v>
      </c>
      <c r="F926" s="479" t="s">
        <v>415</v>
      </c>
      <c r="G926" s="136" t="s">
        <v>431</v>
      </c>
      <c r="H926" s="137"/>
      <c r="I926" s="137" t="str">
        <f t="shared" si="17"/>
        <v>08,25</v>
      </c>
    </row>
    <row r="927" spans="1:9" ht="19.5" hidden="1" thickBot="1" x14ac:dyDescent="0.3">
      <c r="A927" s="461"/>
      <c r="B927" s="175" t="s">
        <v>427</v>
      </c>
      <c r="C927" s="134" t="s">
        <v>116</v>
      </c>
      <c r="D927" s="135">
        <v>0.11</v>
      </c>
      <c r="E927" s="136" t="s">
        <v>34</v>
      </c>
      <c r="F927" s="463"/>
      <c r="G927" s="136" t="s">
        <v>431</v>
      </c>
      <c r="H927" s="137"/>
      <c r="I927" s="137" t="str">
        <f t="shared" si="17"/>
        <v>08,25</v>
      </c>
    </row>
    <row r="928" spans="1:9" ht="19.5" hidden="1" thickBot="1" x14ac:dyDescent="0.3">
      <c r="A928" s="461"/>
      <c r="B928" s="175" t="s">
        <v>427</v>
      </c>
      <c r="C928" s="134" t="s">
        <v>17</v>
      </c>
      <c r="D928" s="135">
        <v>1.1399999999999999</v>
      </c>
      <c r="E928" s="136" t="s">
        <v>34</v>
      </c>
      <c r="F928" s="463"/>
      <c r="G928" s="136" t="s">
        <v>431</v>
      </c>
      <c r="H928" s="137"/>
      <c r="I928" s="137" t="str">
        <f t="shared" si="17"/>
        <v>08,25</v>
      </c>
    </row>
    <row r="929" spans="1:9" ht="19.5" hidden="1" thickBot="1" x14ac:dyDescent="0.3">
      <c r="A929" s="461"/>
      <c r="B929" s="175" t="s">
        <v>427</v>
      </c>
      <c r="C929" s="134" t="s">
        <v>18</v>
      </c>
      <c r="D929" s="135">
        <v>0.13</v>
      </c>
      <c r="E929" s="136" t="s">
        <v>45</v>
      </c>
      <c r="F929" s="463"/>
      <c r="G929" s="136" t="s">
        <v>431</v>
      </c>
      <c r="H929" s="137"/>
      <c r="I929" s="137" t="str">
        <f t="shared" si="17"/>
        <v>08,25</v>
      </c>
    </row>
    <row r="930" spans="1:9" ht="19.5" hidden="1" thickBot="1" x14ac:dyDescent="0.3">
      <c r="A930" s="461"/>
      <c r="B930" s="141" t="s">
        <v>427</v>
      </c>
      <c r="C930" s="142" t="s">
        <v>17</v>
      </c>
      <c r="D930" s="143">
        <v>0.33</v>
      </c>
      <c r="E930" s="144" t="s">
        <v>45</v>
      </c>
      <c r="F930" s="463"/>
      <c r="G930" s="144" t="s">
        <v>431</v>
      </c>
      <c r="H930" s="145"/>
      <c r="I930" s="145" t="str">
        <f t="shared" si="17"/>
        <v>08,25</v>
      </c>
    </row>
    <row r="931" spans="1:9" ht="19.5" hidden="1" thickBot="1" x14ac:dyDescent="0.3">
      <c r="A931" s="454">
        <f t="shared" si="21"/>
        <v>187</v>
      </c>
      <c r="B931" s="102" t="s">
        <v>432</v>
      </c>
      <c r="C931" s="103" t="s">
        <v>18</v>
      </c>
      <c r="D931" s="104">
        <v>2.4220000000000002</v>
      </c>
      <c r="E931" s="105" t="s">
        <v>13</v>
      </c>
      <c r="F931" s="457" t="s">
        <v>292</v>
      </c>
      <c r="G931" s="105" t="s">
        <v>433</v>
      </c>
      <c r="H931" s="107"/>
      <c r="I931" s="107" t="str">
        <f t="shared" si="17"/>
        <v>08,25</v>
      </c>
    </row>
    <row r="932" spans="1:9" ht="19.5" hidden="1" thickBot="1" x14ac:dyDescent="0.3">
      <c r="A932" s="455"/>
      <c r="B932" s="108" t="s">
        <v>432</v>
      </c>
      <c r="C932" s="109" t="s">
        <v>19</v>
      </c>
      <c r="D932" s="110">
        <v>4.1219999999999999</v>
      </c>
      <c r="E932" s="111" t="s">
        <v>13</v>
      </c>
      <c r="F932" s="458"/>
      <c r="G932" s="111" t="s">
        <v>433</v>
      </c>
      <c r="H932" s="113"/>
      <c r="I932" s="113" t="str">
        <f t="shared" si="17"/>
        <v>08,25</v>
      </c>
    </row>
    <row r="933" spans="1:9" ht="19.5" hidden="1" thickBot="1" x14ac:dyDescent="0.3">
      <c r="A933" s="455"/>
      <c r="B933" s="108" t="s">
        <v>432</v>
      </c>
      <c r="C933" s="109" t="s">
        <v>116</v>
      </c>
      <c r="D933" s="110">
        <v>2.5449999999999999</v>
      </c>
      <c r="E933" s="111" t="s">
        <v>13</v>
      </c>
      <c r="F933" s="458"/>
      <c r="G933" s="111" t="s">
        <v>433</v>
      </c>
      <c r="H933" s="113" t="s">
        <v>416</v>
      </c>
      <c r="I933" s="113" t="str">
        <f t="shared" si="17"/>
        <v>08,25</v>
      </c>
    </row>
    <row r="934" spans="1:9" ht="19.5" hidden="1" thickBot="1" x14ac:dyDescent="0.3">
      <c r="A934" s="455"/>
      <c r="B934" s="108" t="s">
        <v>432</v>
      </c>
      <c r="C934" s="109" t="s">
        <v>17</v>
      </c>
      <c r="D934" s="110">
        <v>4.5350000000000001</v>
      </c>
      <c r="E934" s="111" t="s">
        <v>13</v>
      </c>
      <c r="F934" s="458"/>
      <c r="G934" s="111" t="s">
        <v>433</v>
      </c>
      <c r="H934" s="113"/>
      <c r="I934" s="113" t="str">
        <f t="shared" si="17"/>
        <v>08,25</v>
      </c>
    </row>
    <row r="935" spans="1:9" ht="19.5" hidden="1" thickBot="1" x14ac:dyDescent="0.3">
      <c r="A935" s="455"/>
      <c r="B935" s="108" t="s">
        <v>432</v>
      </c>
      <c r="C935" s="240" t="s">
        <v>367</v>
      </c>
      <c r="D935" s="110">
        <v>1.204</v>
      </c>
      <c r="E935" s="111" t="s">
        <v>13</v>
      </c>
      <c r="F935" s="458"/>
      <c r="G935" s="111" t="s">
        <v>433</v>
      </c>
      <c r="H935" s="202" t="s">
        <v>416</v>
      </c>
      <c r="I935" s="189" t="str">
        <f t="shared" si="17"/>
        <v>08,25</v>
      </c>
    </row>
    <row r="936" spans="1:9" ht="19.5" hidden="1" thickBot="1" x14ac:dyDescent="0.3">
      <c r="A936" s="456"/>
      <c r="B936" s="114" t="s">
        <v>432</v>
      </c>
      <c r="C936" s="115" t="s">
        <v>319</v>
      </c>
      <c r="D936" s="116">
        <v>0.83099999999999996</v>
      </c>
      <c r="E936" s="117" t="s">
        <v>13</v>
      </c>
      <c r="F936" s="459"/>
      <c r="G936" s="117" t="s">
        <v>433</v>
      </c>
      <c r="H936" s="119"/>
      <c r="I936" s="119" t="str">
        <f t="shared" si="17"/>
        <v>08,25</v>
      </c>
    </row>
    <row r="937" spans="1:9" ht="19.5" hidden="1" thickBot="1" x14ac:dyDescent="0.3">
      <c r="A937" s="460">
        <f t="shared" si="21"/>
        <v>188</v>
      </c>
      <c r="B937" s="91" t="s">
        <v>432</v>
      </c>
      <c r="C937" s="92" t="s">
        <v>18</v>
      </c>
      <c r="D937" s="93">
        <v>2.2130000000000001</v>
      </c>
      <c r="E937" s="94" t="s">
        <v>13</v>
      </c>
      <c r="F937" s="462" t="s">
        <v>435</v>
      </c>
      <c r="G937" s="94" t="s">
        <v>434</v>
      </c>
      <c r="H937" s="132"/>
      <c r="I937" s="132" t="str">
        <f t="shared" si="17"/>
        <v>09,25</v>
      </c>
    </row>
    <row r="938" spans="1:9" ht="19.5" hidden="1" thickBot="1" x14ac:dyDescent="0.3">
      <c r="A938" s="461"/>
      <c r="B938" s="175" t="s">
        <v>432</v>
      </c>
      <c r="C938" s="134" t="s">
        <v>19</v>
      </c>
      <c r="D938" s="135">
        <v>3.7589999999999999</v>
      </c>
      <c r="E938" s="136" t="s">
        <v>13</v>
      </c>
      <c r="F938" s="463"/>
      <c r="G938" s="136" t="s">
        <v>434</v>
      </c>
      <c r="H938" s="137"/>
      <c r="I938" s="137" t="str">
        <f t="shared" si="17"/>
        <v>09,25</v>
      </c>
    </row>
    <row r="939" spans="1:9" ht="19.5" hidden="1" thickBot="1" x14ac:dyDescent="0.3">
      <c r="A939" s="461"/>
      <c r="B939" s="175" t="s">
        <v>432</v>
      </c>
      <c r="C939" s="134" t="s">
        <v>116</v>
      </c>
      <c r="D939" s="135">
        <v>2.331</v>
      </c>
      <c r="E939" s="136" t="s">
        <v>13</v>
      </c>
      <c r="F939" s="463"/>
      <c r="G939" s="136" t="s">
        <v>434</v>
      </c>
      <c r="H939" s="137" t="s">
        <v>416</v>
      </c>
      <c r="I939" s="137" t="str">
        <f t="shared" si="17"/>
        <v>09,25</v>
      </c>
    </row>
    <row r="940" spans="1:9" ht="19.5" hidden="1" thickBot="1" x14ac:dyDescent="0.3">
      <c r="A940" s="461"/>
      <c r="B940" s="175" t="s">
        <v>432</v>
      </c>
      <c r="C940" s="134" t="s">
        <v>17</v>
      </c>
      <c r="D940" s="135">
        <v>4.1520000000000001</v>
      </c>
      <c r="E940" s="136" t="s">
        <v>13</v>
      </c>
      <c r="F940" s="463"/>
      <c r="G940" s="136" t="s">
        <v>434</v>
      </c>
      <c r="H940" s="137"/>
      <c r="I940" s="137" t="str">
        <f t="shared" si="17"/>
        <v>09,25</v>
      </c>
    </row>
    <row r="941" spans="1:9" ht="19.5" hidden="1" thickBot="1" x14ac:dyDescent="0.3">
      <c r="A941" s="473"/>
      <c r="B941" s="95" t="s">
        <v>432</v>
      </c>
      <c r="C941" s="96" t="s">
        <v>277</v>
      </c>
      <c r="D941" s="97">
        <v>2.903</v>
      </c>
      <c r="E941" s="98" t="s">
        <v>13</v>
      </c>
      <c r="F941" s="474"/>
      <c r="G941" s="98" t="s">
        <v>434</v>
      </c>
      <c r="H941" s="129"/>
      <c r="I941" s="129" t="str">
        <f t="shared" si="17"/>
        <v>09,25</v>
      </c>
    </row>
    <row r="942" spans="1:9" ht="19.5" hidden="1" thickBot="1" x14ac:dyDescent="0.3">
      <c r="A942" s="454">
        <f t="shared" si="21"/>
        <v>189</v>
      </c>
      <c r="B942" s="102" t="s">
        <v>432</v>
      </c>
      <c r="C942" s="103" t="s">
        <v>18</v>
      </c>
      <c r="D942" s="104">
        <v>0.53</v>
      </c>
      <c r="E942" s="105" t="s">
        <v>34</v>
      </c>
      <c r="F942" s="457" t="s">
        <v>388</v>
      </c>
      <c r="G942" s="105" t="s">
        <v>434</v>
      </c>
      <c r="H942" s="107"/>
      <c r="I942" s="107" t="str">
        <f t="shared" si="17"/>
        <v>09,25</v>
      </c>
    </row>
    <row r="943" spans="1:9" ht="19.5" hidden="1" thickBot="1" x14ac:dyDescent="0.3">
      <c r="A943" s="455"/>
      <c r="B943" s="108" t="s">
        <v>432</v>
      </c>
      <c r="C943" s="109" t="s">
        <v>19</v>
      </c>
      <c r="D943" s="110">
        <v>0.2</v>
      </c>
      <c r="E943" s="111" t="s">
        <v>34</v>
      </c>
      <c r="F943" s="458"/>
      <c r="G943" s="111" t="s">
        <v>434</v>
      </c>
      <c r="H943" s="113"/>
      <c r="I943" s="113" t="str">
        <f t="shared" si="17"/>
        <v>09,25</v>
      </c>
    </row>
    <row r="944" spans="1:9" ht="19.5" hidden="1" thickBot="1" x14ac:dyDescent="0.3">
      <c r="A944" s="455"/>
      <c r="B944" s="108" t="s">
        <v>432</v>
      </c>
      <c r="C944" s="109" t="s">
        <v>116</v>
      </c>
      <c r="D944" s="110">
        <v>0.09</v>
      </c>
      <c r="E944" s="111" t="s">
        <v>34</v>
      </c>
      <c r="F944" s="458"/>
      <c r="G944" s="111" t="s">
        <v>434</v>
      </c>
      <c r="H944" s="113"/>
      <c r="I944" s="113" t="str">
        <f t="shared" si="17"/>
        <v>09,25</v>
      </c>
    </row>
    <row r="945" spans="1:9" ht="19.5" hidden="1" thickBot="1" x14ac:dyDescent="0.3">
      <c r="A945" s="455"/>
      <c r="B945" s="108" t="s">
        <v>432</v>
      </c>
      <c r="C945" s="109" t="s">
        <v>17</v>
      </c>
      <c r="D945" s="110">
        <v>1.5</v>
      </c>
      <c r="E945" s="111" t="s">
        <v>34</v>
      </c>
      <c r="F945" s="458"/>
      <c r="G945" s="111" t="s">
        <v>434</v>
      </c>
      <c r="H945" s="113"/>
      <c r="I945" s="113" t="str">
        <f t="shared" si="17"/>
        <v>09,25</v>
      </c>
    </row>
    <row r="946" spans="1:9" ht="19.5" hidden="1" thickBot="1" x14ac:dyDescent="0.3">
      <c r="A946" s="455"/>
      <c r="B946" s="108" t="s">
        <v>432</v>
      </c>
      <c r="C946" s="109" t="s">
        <v>18</v>
      </c>
      <c r="D946" s="110">
        <v>0.27900000000000003</v>
      </c>
      <c r="E946" s="111" t="s">
        <v>45</v>
      </c>
      <c r="F946" s="458"/>
      <c r="G946" s="111" t="s">
        <v>434</v>
      </c>
      <c r="H946" s="113"/>
      <c r="I946" s="113" t="str">
        <f t="shared" si="17"/>
        <v>09,25</v>
      </c>
    </row>
    <row r="947" spans="1:9" ht="19.5" hidden="1" thickBot="1" x14ac:dyDescent="0.3">
      <c r="A947" s="456"/>
      <c r="B947" s="114" t="s">
        <v>432</v>
      </c>
      <c r="C947" s="115" t="s">
        <v>17</v>
      </c>
      <c r="D947" s="116">
        <v>0.65700000000000003</v>
      </c>
      <c r="E947" s="117" t="s">
        <v>45</v>
      </c>
      <c r="F947" s="459"/>
      <c r="G947" s="117" t="s">
        <v>434</v>
      </c>
      <c r="H947" s="119"/>
      <c r="I947" s="119" t="str">
        <f t="shared" si="17"/>
        <v>09,25</v>
      </c>
    </row>
    <row r="948" spans="1:9" ht="19.5" hidden="1" thickBot="1" x14ac:dyDescent="0.3">
      <c r="A948" s="460">
        <f t="shared" si="21"/>
        <v>190</v>
      </c>
      <c r="B948" s="91" t="s">
        <v>436</v>
      </c>
      <c r="C948" s="92" t="s">
        <v>18</v>
      </c>
      <c r="D948" s="93">
        <v>4.0860000000000003</v>
      </c>
      <c r="E948" s="94" t="s">
        <v>13</v>
      </c>
      <c r="F948" s="462" t="s">
        <v>395</v>
      </c>
      <c r="G948" s="94" t="s">
        <v>437</v>
      </c>
      <c r="H948" s="132"/>
      <c r="I948" s="132" t="str">
        <f t="shared" si="17"/>
        <v>09,25</v>
      </c>
    </row>
    <row r="949" spans="1:9" ht="19.5" hidden="1" thickBot="1" x14ac:dyDescent="0.3">
      <c r="A949" s="461"/>
      <c r="B949" s="175" t="s">
        <v>436</v>
      </c>
      <c r="C949" s="134" t="s">
        <v>19</v>
      </c>
      <c r="D949" s="135">
        <v>5.4059999999999997</v>
      </c>
      <c r="E949" s="136" t="s">
        <v>13</v>
      </c>
      <c r="F949" s="463"/>
      <c r="G949" s="136" t="s">
        <v>437</v>
      </c>
      <c r="H949" s="137"/>
      <c r="I949" s="137" t="str">
        <f t="shared" si="17"/>
        <v>09,25</v>
      </c>
    </row>
    <row r="950" spans="1:9" ht="19.5" hidden="1" thickBot="1" x14ac:dyDescent="0.3">
      <c r="A950" s="461"/>
      <c r="B950" s="175" t="s">
        <v>436</v>
      </c>
      <c r="C950" s="134" t="s">
        <v>17</v>
      </c>
      <c r="D950" s="135">
        <v>3.0070000000000001</v>
      </c>
      <c r="E950" s="136" t="s">
        <v>13</v>
      </c>
      <c r="F950" s="463"/>
      <c r="G950" s="136" t="s">
        <v>437</v>
      </c>
      <c r="H950" s="137"/>
      <c r="I950" s="137" t="str">
        <f t="shared" si="17"/>
        <v>09,25</v>
      </c>
    </row>
    <row r="951" spans="1:9" ht="19.5" hidden="1" thickBot="1" x14ac:dyDescent="0.3">
      <c r="A951" s="461"/>
      <c r="B951" s="175" t="s">
        <v>436</v>
      </c>
      <c r="C951" s="134" t="s">
        <v>319</v>
      </c>
      <c r="D951" s="135">
        <v>1.0960000000000001</v>
      </c>
      <c r="E951" s="136" t="s">
        <v>13</v>
      </c>
      <c r="F951" s="463"/>
      <c r="G951" s="136" t="s">
        <v>437</v>
      </c>
      <c r="H951" s="137"/>
      <c r="I951" s="137" t="str">
        <f t="shared" si="17"/>
        <v>09,25</v>
      </c>
    </row>
    <row r="952" spans="1:9" ht="19.5" hidden="1" thickBot="1" x14ac:dyDescent="0.3">
      <c r="A952" s="473"/>
      <c r="B952" s="95" t="s">
        <v>436</v>
      </c>
      <c r="C952" s="96" t="s">
        <v>367</v>
      </c>
      <c r="D952" s="97">
        <v>2.2120000000000002</v>
      </c>
      <c r="E952" s="98" t="s">
        <v>13</v>
      </c>
      <c r="F952" s="474"/>
      <c r="G952" s="98" t="s">
        <v>437</v>
      </c>
      <c r="H952" s="237" t="s">
        <v>416</v>
      </c>
      <c r="I952" s="193" t="str">
        <f t="shared" si="17"/>
        <v>09,25</v>
      </c>
    </row>
    <row r="953" spans="1:9" ht="19.5" hidden="1" thickBot="1" x14ac:dyDescent="0.3">
      <c r="A953" s="455">
        <f t="shared" si="21"/>
        <v>191</v>
      </c>
      <c r="B953" s="126" t="s">
        <v>436</v>
      </c>
      <c r="C953" s="103" t="s">
        <v>19</v>
      </c>
      <c r="D953" s="104">
        <v>5.55</v>
      </c>
      <c r="E953" s="105" t="s">
        <v>13</v>
      </c>
      <c r="F953" s="457" t="s">
        <v>439</v>
      </c>
      <c r="G953" s="105" t="s">
        <v>438</v>
      </c>
      <c r="H953" s="107"/>
      <c r="I953" s="107" t="str">
        <f t="shared" si="17"/>
        <v>09,25</v>
      </c>
    </row>
    <row r="954" spans="1:9" ht="19.5" hidden="1" thickBot="1" x14ac:dyDescent="0.3">
      <c r="A954" s="455"/>
      <c r="B954" s="127" t="s">
        <v>436</v>
      </c>
      <c r="C954" s="109" t="s">
        <v>116</v>
      </c>
      <c r="D954" s="110">
        <v>0.50800000000000001</v>
      </c>
      <c r="E954" s="111" t="s">
        <v>13</v>
      </c>
      <c r="F954" s="458"/>
      <c r="G954" s="111" t="s">
        <v>438</v>
      </c>
      <c r="H954" s="113" t="s">
        <v>416</v>
      </c>
      <c r="I954" s="113" t="str">
        <f t="shared" si="17"/>
        <v>09,25</v>
      </c>
    </row>
    <row r="955" spans="1:9" ht="19.5" hidden="1" thickBot="1" x14ac:dyDescent="0.3">
      <c r="A955" s="455"/>
      <c r="B955" s="127" t="s">
        <v>436</v>
      </c>
      <c r="C955" s="109" t="s">
        <v>17</v>
      </c>
      <c r="D955" s="110">
        <v>3.226</v>
      </c>
      <c r="E955" s="111" t="s">
        <v>13</v>
      </c>
      <c r="F955" s="458"/>
      <c r="G955" s="111" t="s">
        <v>438</v>
      </c>
      <c r="H955" s="113"/>
      <c r="I955" s="113" t="str">
        <f t="shared" si="17"/>
        <v>09,25</v>
      </c>
    </row>
    <row r="956" spans="1:9" ht="19.5" hidden="1" thickBot="1" x14ac:dyDescent="0.3">
      <c r="A956" s="455"/>
      <c r="B956" s="128" t="s">
        <v>436</v>
      </c>
      <c r="C956" s="115" t="s">
        <v>277</v>
      </c>
      <c r="D956" s="116">
        <v>1.8180000000000001</v>
      </c>
      <c r="E956" s="117" t="s">
        <v>13</v>
      </c>
      <c r="F956" s="459"/>
      <c r="G956" s="117" t="s">
        <v>438</v>
      </c>
      <c r="H956" s="119"/>
      <c r="I956" s="119" t="str">
        <f t="shared" si="17"/>
        <v>09,25</v>
      </c>
    </row>
    <row r="957" spans="1:9" ht="19.5" hidden="1" thickBot="1" x14ac:dyDescent="0.3">
      <c r="A957" s="455"/>
      <c r="B957" s="108" t="s">
        <v>436</v>
      </c>
      <c r="C957" s="109" t="s">
        <v>18</v>
      </c>
      <c r="D957" s="110">
        <v>0.59</v>
      </c>
      <c r="E957" s="111" t="s">
        <v>34</v>
      </c>
      <c r="F957" s="458" t="s">
        <v>440</v>
      </c>
      <c r="G957" s="111" t="s">
        <v>438</v>
      </c>
      <c r="H957" s="113"/>
      <c r="I957" s="113" t="str">
        <f t="shared" si="17"/>
        <v>09,25</v>
      </c>
    </row>
    <row r="958" spans="1:9" ht="19.5" hidden="1" thickBot="1" x14ac:dyDescent="0.3">
      <c r="A958" s="455"/>
      <c r="B958" s="108" t="s">
        <v>436</v>
      </c>
      <c r="C958" s="109" t="s">
        <v>19</v>
      </c>
      <c r="D958" s="110">
        <v>0.42</v>
      </c>
      <c r="E958" s="111" t="s">
        <v>34</v>
      </c>
      <c r="F958" s="458"/>
      <c r="G958" s="111" t="s">
        <v>438</v>
      </c>
      <c r="H958" s="113"/>
      <c r="I958" s="113" t="str">
        <f t="shared" si="17"/>
        <v>09,25</v>
      </c>
    </row>
    <row r="959" spans="1:9" ht="19.5" hidden="1" thickBot="1" x14ac:dyDescent="0.3">
      <c r="A959" s="455"/>
      <c r="B959" s="108" t="s">
        <v>436</v>
      </c>
      <c r="C959" s="109" t="s">
        <v>116</v>
      </c>
      <c r="D959" s="110">
        <v>0.16</v>
      </c>
      <c r="E959" s="111" t="s">
        <v>34</v>
      </c>
      <c r="F959" s="458"/>
      <c r="G959" s="111" t="s">
        <v>438</v>
      </c>
      <c r="H959" s="113"/>
      <c r="I959" s="113" t="str">
        <f t="shared" si="17"/>
        <v>09,25</v>
      </c>
    </row>
    <row r="960" spans="1:9" ht="19.5" hidden="1" thickBot="1" x14ac:dyDescent="0.3">
      <c r="A960" s="455"/>
      <c r="B960" s="108" t="s">
        <v>436</v>
      </c>
      <c r="C960" s="109" t="s">
        <v>17</v>
      </c>
      <c r="D960" s="110">
        <v>1.46</v>
      </c>
      <c r="E960" s="111" t="s">
        <v>34</v>
      </c>
      <c r="F960" s="458"/>
      <c r="G960" s="111" t="s">
        <v>438</v>
      </c>
      <c r="H960" s="113"/>
      <c r="I960" s="113" t="str">
        <f t="shared" si="17"/>
        <v>09,25</v>
      </c>
    </row>
    <row r="961" spans="1:9" ht="19.5" hidden="1" thickBot="1" x14ac:dyDescent="0.3">
      <c r="A961" s="455"/>
      <c r="B961" s="108" t="s">
        <v>436</v>
      </c>
      <c r="C961" s="109" t="s">
        <v>18</v>
      </c>
      <c r="D961" s="110">
        <v>0.28000000000000003</v>
      </c>
      <c r="E961" s="111" t="s">
        <v>45</v>
      </c>
      <c r="F961" s="458"/>
      <c r="G961" s="111" t="s">
        <v>438</v>
      </c>
      <c r="H961" s="113"/>
      <c r="I961" s="113" t="str">
        <f t="shared" si="17"/>
        <v>09,25</v>
      </c>
    </row>
    <row r="962" spans="1:9" ht="19.5" hidden="1" thickBot="1" x14ac:dyDescent="0.3">
      <c r="A962" s="455"/>
      <c r="B962" s="108" t="s">
        <v>436</v>
      </c>
      <c r="C962" s="109" t="s">
        <v>19</v>
      </c>
      <c r="D962" s="212">
        <v>0.06</v>
      </c>
      <c r="E962" s="111" t="s">
        <v>45</v>
      </c>
      <c r="F962" s="458"/>
      <c r="G962" s="111" t="s">
        <v>438</v>
      </c>
      <c r="H962" s="113"/>
      <c r="I962" s="113" t="str">
        <f t="shared" si="17"/>
        <v>09,25</v>
      </c>
    </row>
    <row r="963" spans="1:9" ht="19.5" hidden="1" thickBot="1" x14ac:dyDescent="0.3">
      <c r="A963" s="455"/>
      <c r="B963" s="108" t="s">
        <v>436</v>
      </c>
      <c r="C963" s="109" t="s">
        <v>116</v>
      </c>
      <c r="D963" s="212">
        <v>0.02</v>
      </c>
      <c r="E963" s="111" t="s">
        <v>45</v>
      </c>
      <c r="F963" s="458"/>
      <c r="G963" s="111" t="s">
        <v>438</v>
      </c>
      <c r="H963" s="113"/>
      <c r="I963" s="113" t="str">
        <f t="shared" si="17"/>
        <v>09,25</v>
      </c>
    </row>
    <row r="964" spans="1:9" ht="19.5" hidden="1" thickBot="1" x14ac:dyDescent="0.3">
      <c r="A964" s="456"/>
      <c r="B964" s="114" t="s">
        <v>436</v>
      </c>
      <c r="C964" s="115" t="s">
        <v>17</v>
      </c>
      <c r="D964" s="116">
        <v>0.34</v>
      </c>
      <c r="E964" s="117" t="s">
        <v>45</v>
      </c>
      <c r="F964" s="459"/>
      <c r="G964" s="117" t="s">
        <v>438</v>
      </c>
      <c r="H964" s="119"/>
      <c r="I964" s="119" t="str">
        <f t="shared" si="17"/>
        <v>09,25</v>
      </c>
    </row>
    <row r="965" spans="1:9" ht="19.5" hidden="1" thickBot="1" x14ac:dyDescent="0.3">
      <c r="A965" s="460">
        <f t="shared" si="21"/>
        <v>192</v>
      </c>
      <c r="B965" s="91" t="s">
        <v>441</v>
      </c>
      <c r="C965" s="92" t="s">
        <v>319</v>
      </c>
      <c r="D965" s="93">
        <v>1.111</v>
      </c>
      <c r="E965" s="94" t="s">
        <v>13</v>
      </c>
      <c r="F965" s="462" t="s">
        <v>323</v>
      </c>
      <c r="G965" s="94" t="s">
        <v>442</v>
      </c>
      <c r="H965" s="132"/>
      <c r="I965" s="132" t="str">
        <f t="shared" si="17"/>
        <v>09,25</v>
      </c>
    </row>
    <row r="966" spans="1:9" ht="19.5" hidden="1" thickBot="1" x14ac:dyDescent="0.3">
      <c r="A966" s="461"/>
      <c r="B966" s="175" t="s">
        <v>441</v>
      </c>
      <c r="C966" s="134" t="s">
        <v>367</v>
      </c>
      <c r="D966" s="135">
        <v>2.1680000000000001</v>
      </c>
      <c r="E966" s="136" t="s">
        <v>13</v>
      </c>
      <c r="F966" s="463"/>
      <c r="G966" s="136" t="s">
        <v>442</v>
      </c>
      <c r="H966" s="242" t="s">
        <v>416</v>
      </c>
      <c r="I966" s="192" t="str">
        <f t="shared" si="17"/>
        <v>09,25</v>
      </c>
    </row>
    <row r="967" spans="1:9" ht="19.5" hidden="1" thickBot="1" x14ac:dyDescent="0.3">
      <c r="A967" s="461"/>
      <c r="B967" s="175" t="s">
        <v>441</v>
      </c>
      <c r="C967" s="134" t="s">
        <v>18</v>
      </c>
      <c r="D967" s="135">
        <v>2.6819999999999999</v>
      </c>
      <c r="E967" s="136" t="s">
        <v>13</v>
      </c>
      <c r="F967" s="463"/>
      <c r="G967" s="136" t="s">
        <v>442</v>
      </c>
      <c r="H967" s="137"/>
      <c r="I967" s="137" t="str">
        <f t="shared" si="17"/>
        <v>09,25</v>
      </c>
    </row>
    <row r="968" spans="1:9" ht="19.5" hidden="1" thickBot="1" x14ac:dyDescent="0.3">
      <c r="A968" s="461"/>
      <c r="B968" s="175" t="s">
        <v>441</v>
      </c>
      <c r="C968" s="134" t="s">
        <v>19</v>
      </c>
      <c r="D968" s="135">
        <v>3.2050000000000001</v>
      </c>
      <c r="E968" s="136" t="s">
        <v>13</v>
      </c>
      <c r="F968" s="463"/>
      <c r="G968" s="136" t="s">
        <v>442</v>
      </c>
      <c r="H968" s="137"/>
      <c r="I968" s="137" t="str">
        <f t="shared" si="17"/>
        <v>09,25</v>
      </c>
    </row>
    <row r="969" spans="1:9" ht="19.5" hidden="1" thickBot="1" x14ac:dyDescent="0.3">
      <c r="A969" s="473"/>
      <c r="B969" s="95" t="s">
        <v>441</v>
      </c>
      <c r="C969" s="96" t="s">
        <v>17</v>
      </c>
      <c r="D969" s="97">
        <v>5.1319999999999997</v>
      </c>
      <c r="E969" s="98" t="s">
        <v>13</v>
      </c>
      <c r="F969" s="474"/>
      <c r="G969" s="98" t="s">
        <v>442</v>
      </c>
      <c r="H969" s="129"/>
      <c r="I969" s="129" t="str">
        <f t="shared" si="17"/>
        <v>09,25</v>
      </c>
    </row>
    <row r="970" spans="1:9" ht="19.5" hidden="1" thickBot="1" x14ac:dyDescent="0.3">
      <c r="A970" s="454">
        <f t="shared" ref="A970:A1026" si="22">MAX(A947:A969)+1</f>
        <v>193</v>
      </c>
      <c r="B970" s="126" t="s">
        <v>441</v>
      </c>
      <c r="C970" s="103" t="s">
        <v>19</v>
      </c>
      <c r="D970" s="104">
        <v>2.0030000000000001</v>
      </c>
      <c r="E970" s="105" t="s">
        <v>13</v>
      </c>
      <c r="F970" s="457" t="s">
        <v>444</v>
      </c>
      <c r="G970" s="105" t="s">
        <v>443</v>
      </c>
      <c r="H970" s="107"/>
      <c r="I970" s="107" t="str">
        <f t="shared" si="17"/>
        <v>09,25</v>
      </c>
    </row>
    <row r="971" spans="1:9" ht="19.5" hidden="1" thickBot="1" x14ac:dyDescent="0.3">
      <c r="A971" s="455"/>
      <c r="B971" s="127" t="s">
        <v>441</v>
      </c>
      <c r="C971" s="109" t="s">
        <v>116</v>
      </c>
      <c r="D971" s="110">
        <v>3.323</v>
      </c>
      <c r="E971" s="111" t="s">
        <v>13</v>
      </c>
      <c r="F971" s="458"/>
      <c r="G971" s="111" t="s">
        <v>443</v>
      </c>
      <c r="H971" s="113" t="s">
        <v>416</v>
      </c>
      <c r="I971" s="113" t="str">
        <f t="shared" si="17"/>
        <v>09,25</v>
      </c>
    </row>
    <row r="972" spans="1:9" ht="19.5" hidden="1" thickBot="1" x14ac:dyDescent="0.3">
      <c r="A972" s="455"/>
      <c r="B972" s="127" t="s">
        <v>441</v>
      </c>
      <c r="C972" s="109" t="s">
        <v>17</v>
      </c>
      <c r="D972" s="110">
        <v>3.3130000000000002</v>
      </c>
      <c r="E972" s="111" t="s">
        <v>13</v>
      </c>
      <c r="F972" s="458"/>
      <c r="G972" s="111" t="s">
        <v>443</v>
      </c>
      <c r="H972" s="113"/>
      <c r="I972" s="113" t="str">
        <f t="shared" si="17"/>
        <v>09,25</v>
      </c>
    </row>
    <row r="973" spans="1:9" ht="19.5" hidden="1" thickBot="1" x14ac:dyDescent="0.3">
      <c r="A973" s="455"/>
      <c r="B973" s="128" t="s">
        <v>441</v>
      </c>
      <c r="C973" s="115" t="s">
        <v>277</v>
      </c>
      <c r="D973" s="116">
        <v>2.2829999999999999</v>
      </c>
      <c r="E973" s="117" t="s">
        <v>13</v>
      </c>
      <c r="F973" s="459"/>
      <c r="G973" s="117" t="s">
        <v>443</v>
      </c>
      <c r="H973" s="119"/>
      <c r="I973" s="119" t="str">
        <f t="shared" si="17"/>
        <v>09,25</v>
      </c>
    </row>
    <row r="974" spans="1:9" ht="19.5" hidden="1" thickBot="1" x14ac:dyDescent="0.3">
      <c r="A974" s="455"/>
      <c r="B974" s="108" t="s">
        <v>441</v>
      </c>
      <c r="C974" s="109" t="s">
        <v>18</v>
      </c>
      <c r="D974" s="110">
        <v>1.04</v>
      </c>
      <c r="E974" s="111" t="s">
        <v>34</v>
      </c>
      <c r="F974" s="458" t="s">
        <v>445</v>
      </c>
      <c r="G974" s="111" t="s">
        <v>443</v>
      </c>
      <c r="H974" s="113"/>
      <c r="I974" s="113" t="str">
        <f t="shared" si="17"/>
        <v>09,25</v>
      </c>
    </row>
    <row r="975" spans="1:9" ht="19.5" hidden="1" thickBot="1" x14ac:dyDescent="0.3">
      <c r="A975" s="455"/>
      <c r="B975" s="108" t="s">
        <v>441</v>
      </c>
      <c r="C975" s="109" t="s">
        <v>19</v>
      </c>
      <c r="D975" s="110">
        <v>0.31</v>
      </c>
      <c r="E975" s="111" t="s">
        <v>34</v>
      </c>
      <c r="F975" s="458"/>
      <c r="G975" s="111" t="s">
        <v>443</v>
      </c>
      <c r="H975" s="113"/>
      <c r="I975" s="113" t="str">
        <f t="shared" si="17"/>
        <v>09,25</v>
      </c>
    </row>
    <row r="976" spans="1:9" ht="19.5" hidden="1" thickBot="1" x14ac:dyDescent="0.3">
      <c r="A976" s="455"/>
      <c r="B976" s="108" t="s">
        <v>441</v>
      </c>
      <c r="C976" s="109" t="s">
        <v>116</v>
      </c>
      <c r="D976" s="212">
        <v>0.05</v>
      </c>
      <c r="E976" s="111" t="s">
        <v>34</v>
      </c>
      <c r="F976" s="458"/>
      <c r="G976" s="111" t="s">
        <v>443</v>
      </c>
      <c r="H976" s="113"/>
      <c r="I976" s="113" t="str">
        <f t="shared" si="17"/>
        <v>09,25</v>
      </c>
    </row>
    <row r="977" spans="1:9" ht="19.5" hidden="1" thickBot="1" x14ac:dyDescent="0.3">
      <c r="A977" s="455"/>
      <c r="B977" s="108" t="s">
        <v>441</v>
      </c>
      <c r="C977" s="109" t="s">
        <v>17</v>
      </c>
      <c r="D977" s="110">
        <v>1.52</v>
      </c>
      <c r="E977" s="111" t="s">
        <v>34</v>
      </c>
      <c r="F977" s="458"/>
      <c r="G977" s="111" t="s">
        <v>443</v>
      </c>
      <c r="H977" s="113"/>
      <c r="I977" s="113" t="str">
        <f t="shared" si="17"/>
        <v>09,25</v>
      </c>
    </row>
    <row r="978" spans="1:9" ht="19.5" hidden="1" thickBot="1" x14ac:dyDescent="0.3">
      <c r="A978" s="455"/>
      <c r="B978" s="108" t="s">
        <v>441</v>
      </c>
      <c r="C978" s="109" t="s">
        <v>18</v>
      </c>
      <c r="D978" s="110">
        <v>0.09</v>
      </c>
      <c r="E978" s="111" t="s">
        <v>45</v>
      </c>
      <c r="F978" s="458"/>
      <c r="G978" s="111" t="s">
        <v>443</v>
      </c>
      <c r="H978" s="113"/>
      <c r="I978" s="113" t="str">
        <f t="shared" si="17"/>
        <v>09,25</v>
      </c>
    </row>
    <row r="979" spans="1:9" ht="19.5" hidden="1" thickBot="1" x14ac:dyDescent="0.3">
      <c r="A979" s="455"/>
      <c r="B979" s="108" t="s">
        <v>441</v>
      </c>
      <c r="C979" s="109" t="s">
        <v>19</v>
      </c>
      <c r="D979" s="212">
        <v>0.05</v>
      </c>
      <c r="E979" s="111" t="s">
        <v>45</v>
      </c>
      <c r="F979" s="458"/>
      <c r="G979" s="111" t="s">
        <v>443</v>
      </c>
      <c r="H979" s="113"/>
      <c r="I979" s="113" t="str">
        <f t="shared" si="17"/>
        <v>09,25</v>
      </c>
    </row>
    <row r="980" spans="1:9" ht="19.5" hidden="1" thickBot="1" x14ac:dyDescent="0.3">
      <c r="A980" s="455"/>
      <c r="B980" s="164" t="s">
        <v>441</v>
      </c>
      <c r="C980" s="165" t="s">
        <v>17</v>
      </c>
      <c r="D980" s="166">
        <v>0.66</v>
      </c>
      <c r="E980" s="167" t="s">
        <v>45</v>
      </c>
      <c r="F980" s="458"/>
      <c r="G980" s="167" t="s">
        <v>443</v>
      </c>
      <c r="H980" s="163"/>
      <c r="I980" s="163" t="str">
        <f t="shared" si="17"/>
        <v>09,25</v>
      </c>
    </row>
    <row r="981" spans="1:9" ht="19.5" hidden="1" thickBot="1" x14ac:dyDescent="0.3">
      <c r="A981" s="460">
        <f t="shared" si="22"/>
        <v>194</v>
      </c>
      <c r="B981" s="91" t="s">
        <v>446</v>
      </c>
      <c r="C981" s="92" t="s">
        <v>319</v>
      </c>
      <c r="D981" s="93">
        <v>1.615</v>
      </c>
      <c r="E981" s="94" t="s">
        <v>13</v>
      </c>
      <c r="F981" s="462" t="s">
        <v>448</v>
      </c>
      <c r="G981" s="94" t="s">
        <v>447</v>
      </c>
      <c r="H981" s="132"/>
      <c r="I981" s="132" t="str">
        <f t="shared" ref="I981:I1044" si="23">RIGHT(G981,5)</f>
        <v>09,25</v>
      </c>
    </row>
    <row r="982" spans="1:9" ht="19.5" hidden="1" thickBot="1" x14ac:dyDescent="0.3">
      <c r="A982" s="461"/>
      <c r="B982" s="175" t="s">
        <v>446</v>
      </c>
      <c r="C982" s="134" t="s">
        <v>367</v>
      </c>
      <c r="D982" s="135">
        <v>2.5070000000000001</v>
      </c>
      <c r="E982" s="136" t="s">
        <v>13</v>
      </c>
      <c r="F982" s="463"/>
      <c r="G982" s="136" t="s">
        <v>447</v>
      </c>
      <c r="H982" s="242" t="s">
        <v>416</v>
      </c>
      <c r="I982" s="192" t="str">
        <f t="shared" si="23"/>
        <v>09,25</v>
      </c>
    </row>
    <row r="983" spans="1:9" ht="19.5" hidden="1" thickBot="1" x14ac:dyDescent="0.3">
      <c r="A983" s="461"/>
      <c r="B983" s="175" t="s">
        <v>446</v>
      </c>
      <c r="C983" s="134" t="s">
        <v>18</v>
      </c>
      <c r="D983" s="135">
        <v>3.2549999999999999</v>
      </c>
      <c r="E983" s="136" t="s">
        <v>13</v>
      </c>
      <c r="F983" s="463"/>
      <c r="G983" s="136" t="s">
        <v>447</v>
      </c>
      <c r="H983" s="137"/>
      <c r="I983" s="137" t="str">
        <f t="shared" si="23"/>
        <v>09,25</v>
      </c>
    </row>
    <row r="984" spans="1:9" ht="19.5" hidden="1" thickBot="1" x14ac:dyDescent="0.3">
      <c r="A984" s="461"/>
      <c r="B984" s="175" t="s">
        <v>446</v>
      </c>
      <c r="C984" s="134" t="s">
        <v>19</v>
      </c>
      <c r="D984" s="135">
        <v>4.2069999999999999</v>
      </c>
      <c r="E984" s="136" t="s">
        <v>13</v>
      </c>
      <c r="F984" s="463"/>
      <c r="G984" s="136" t="s">
        <v>447</v>
      </c>
      <c r="H984" s="137"/>
      <c r="I984" s="137" t="str">
        <f t="shared" si="23"/>
        <v>09,25</v>
      </c>
    </row>
    <row r="985" spans="1:9" ht="19.5" hidden="1" thickBot="1" x14ac:dyDescent="0.3">
      <c r="A985" s="473"/>
      <c r="B985" s="95" t="s">
        <v>446</v>
      </c>
      <c r="C985" s="96" t="s">
        <v>17</v>
      </c>
      <c r="D985" s="97">
        <v>2.5990000000000002</v>
      </c>
      <c r="E985" s="98" t="s">
        <v>13</v>
      </c>
      <c r="F985" s="474"/>
      <c r="G985" s="98" t="s">
        <v>447</v>
      </c>
      <c r="H985" s="129"/>
      <c r="I985" s="129" t="str">
        <f t="shared" si="23"/>
        <v>09,25</v>
      </c>
    </row>
    <row r="986" spans="1:9" ht="19.5" hidden="1" thickBot="1" x14ac:dyDescent="0.3">
      <c r="A986" s="454">
        <f t="shared" si="22"/>
        <v>195</v>
      </c>
      <c r="B986" s="102" t="s">
        <v>446</v>
      </c>
      <c r="C986" s="103" t="s">
        <v>18</v>
      </c>
      <c r="D986" s="104">
        <v>3.0630000000000002</v>
      </c>
      <c r="E986" s="105" t="s">
        <v>13</v>
      </c>
      <c r="F986" s="457" t="s">
        <v>450</v>
      </c>
      <c r="G986" s="105" t="s">
        <v>449</v>
      </c>
      <c r="H986" s="107"/>
      <c r="I986" s="107" t="str">
        <f t="shared" si="23"/>
        <v>09,25</v>
      </c>
    </row>
    <row r="987" spans="1:9" ht="19.5" hidden="1" thickBot="1" x14ac:dyDescent="0.3">
      <c r="A987" s="455"/>
      <c r="B987" s="108" t="s">
        <v>446</v>
      </c>
      <c r="C987" s="109" t="s">
        <v>19</v>
      </c>
      <c r="D987" s="110">
        <v>3.62</v>
      </c>
      <c r="E987" s="111" t="s">
        <v>13</v>
      </c>
      <c r="F987" s="458"/>
      <c r="G987" s="111" t="s">
        <v>449</v>
      </c>
      <c r="H987" s="113"/>
      <c r="I987" s="113" t="str">
        <f t="shared" si="23"/>
        <v>09,25</v>
      </c>
    </row>
    <row r="988" spans="1:9" ht="19.5" hidden="1" thickBot="1" x14ac:dyDescent="0.3">
      <c r="A988" s="455"/>
      <c r="B988" s="108" t="s">
        <v>446</v>
      </c>
      <c r="C988" s="109" t="s">
        <v>116</v>
      </c>
      <c r="D988" s="110">
        <v>3.9990000000000001</v>
      </c>
      <c r="E988" s="111" t="s">
        <v>13</v>
      </c>
      <c r="F988" s="458"/>
      <c r="G988" s="111" t="s">
        <v>449</v>
      </c>
      <c r="H988" s="113" t="s">
        <v>416</v>
      </c>
      <c r="I988" s="113" t="str">
        <f t="shared" si="23"/>
        <v>09,25</v>
      </c>
    </row>
    <row r="989" spans="1:9" ht="19.5" hidden="1" thickBot="1" x14ac:dyDescent="0.3">
      <c r="A989" s="455"/>
      <c r="B989" s="108" t="s">
        <v>446</v>
      </c>
      <c r="C989" s="109" t="s">
        <v>17</v>
      </c>
      <c r="D989" s="110">
        <v>2.38</v>
      </c>
      <c r="E989" s="111" t="s">
        <v>13</v>
      </c>
      <c r="F989" s="458"/>
      <c r="G989" s="111" t="s">
        <v>449</v>
      </c>
      <c r="H989" s="113"/>
      <c r="I989" s="113" t="str">
        <f t="shared" si="23"/>
        <v>09,25</v>
      </c>
    </row>
    <row r="990" spans="1:9" ht="19.5" hidden="1" thickBot="1" x14ac:dyDescent="0.3">
      <c r="A990" s="456"/>
      <c r="B990" s="114" t="s">
        <v>446</v>
      </c>
      <c r="C990" s="115" t="s">
        <v>277</v>
      </c>
      <c r="D990" s="116">
        <v>2.6949999999999998</v>
      </c>
      <c r="E990" s="117" t="s">
        <v>13</v>
      </c>
      <c r="F990" s="459"/>
      <c r="G990" s="117" t="s">
        <v>449</v>
      </c>
      <c r="H990" s="119"/>
      <c r="I990" s="119" t="str">
        <f t="shared" si="23"/>
        <v>09,25</v>
      </c>
    </row>
    <row r="991" spans="1:9" ht="19.5" hidden="1" thickBot="1" x14ac:dyDescent="0.3">
      <c r="A991" s="460">
        <f t="shared" si="22"/>
        <v>196</v>
      </c>
      <c r="B991" s="91" t="s">
        <v>446</v>
      </c>
      <c r="C991" s="92" t="s">
        <v>18</v>
      </c>
      <c r="D991" s="93">
        <v>0.59</v>
      </c>
      <c r="E991" s="94" t="s">
        <v>34</v>
      </c>
      <c r="F991" s="462" t="s">
        <v>451</v>
      </c>
      <c r="G991" s="94" t="s">
        <v>449</v>
      </c>
      <c r="H991" s="132"/>
      <c r="I991" s="132" t="str">
        <f t="shared" si="23"/>
        <v>09,25</v>
      </c>
    </row>
    <row r="992" spans="1:9" ht="19.5" hidden="1" thickBot="1" x14ac:dyDescent="0.3">
      <c r="A992" s="461"/>
      <c r="B992" s="175" t="s">
        <v>446</v>
      </c>
      <c r="C992" s="134" t="s">
        <v>19</v>
      </c>
      <c r="D992" s="135">
        <v>0.31</v>
      </c>
      <c r="E992" s="136" t="s">
        <v>34</v>
      </c>
      <c r="F992" s="463"/>
      <c r="G992" s="136" t="s">
        <v>449</v>
      </c>
      <c r="H992" s="137"/>
      <c r="I992" s="137" t="str">
        <f t="shared" si="23"/>
        <v>09,25</v>
      </c>
    </row>
    <row r="993" spans="1:9" ht="19.5" hidden="1" thickBot="1" x14ac:dyDescent="0.3">
      <c r="A993" s="461"/>
      <c r="B993" s="175" t="s">
        <v>446</v>
      </c>
      <c r="C993" s="134" t="s">
        <v>116</v>
      </c>
      <c r="D993" s="135">
        <v>0.15</v>
      </c>
      <c r="E993" s="136" t="s">
        <v>34</v>
      </c>
      <c r="F993" s="463"/>
      <c r="G993" s="136" t="s">
        <v>449</v>
      </c>
      <c r="H993" s="137"/>
      <c r="I993" s="137" t="str">
        <f t="shared" si="23"/>
        <v>09,25</v>
      </c>
    </row>
    <row r="994" spans="1:9" ht="19.5" hidden="1" thickBot="1" x14ac:dyDescent="0.3">
      <c r="A994" s="461"/>
      <c r="B994" s="175" t="s">
        <v>446</v>
      </c>
      <c r="C994" s="134" t="s">
        <v>17</v>
      </c>
      <c r="D994" s="135">
        <v>0.81</v>
      </c>
      <c r="E994" s="136" t="s">
        <v>34</v>
      </c>
      <c r="F994" s="463"/>
      <c r="G994" s="136" t="s">
        <v>449</v>
      </c>
      <c r="H994" s="137"/>
      <c r="I994" s="137" t="str">
        <f t="shared" si="23"/>
        <v>09,25</v>
      </c>
    </row>
    <row r="995" spans="1:9" ht="19.5" hidden="1" thickBot="1" x14ac:dyDescent="0.3">
      <c r="A995" s="461"/>
      <c r="B995" s="175" t="s">
        <v>446</v>
      </c>
      <c r="C995" s="134" t="s">
        <v>18</v>
      </c>
      <c r="D995" s="135">
        <v>0.3</v>
      </c>
      <c r="E995" s="136" t="s">
        <v>45</v>
      </c>
      <c r="F995" s="463"/>
      <c r="G995" s="136" t="s">
        <v>449</v>
      </c>
      <c r="H995" s="137"/>
      <c r="I995" s="137" t="str">
        <f t="shared" si="23"/>
        <v>09,25</v>
      </c>
    </row>
    <row r="996" spans="1:9" ht="19.5" hidden="1" thickBot="1" x14ac:dyDescent="0.3">
      <c r="A996" s="461"/>
      <c r="B996" s="175" t="s">
        <v>446</v>
      </c>
      <c r="C996" s="134" t="s">
        <v>19</v>
      </c>
      <c r="D996" s="211">
        <v>0.01</v>
      </c>
      <c r="E996" s="136" t="s">
        <v>45</v>
      </c>
      <c r="F996" s="463"/>
      <c r="G996" s="136" t="s">
        <v>449</v>
      </c>
      <c r="H996" s="137"/>
      <c r="I996" s="137" t="str">
        <f t="shared" si="23"/>
        <v>09,25</v>
      </c>
    </row>
    <row r="997" spans="1:9" ht="19.5" hidden="1" thickBot="1" x14ac:dyDescent="0.3">
      <c r="A997" s="461"/>
      <c r="B997" s="175" t="s">
        <v>446</v>
      </c>
      <c r="C997" s="134" t="s">
        <v>116</v>
      </c>
      <c r="D997" s="211">
        <v>0.01</v>
      </c>
      <c r="E997" s="136" t="s">
        <v>45</v>
      </c>
      <c r="F997" s="463"/>
      <c r="G997" s="136" t="s">
        <v>449</v>
      </c>
      <c r="H997" s="137"/>
      <c r="I997" s="137" t="str">
        <f t="shared" si="23"/>
        <v>09,25</v>
      </c>
    </row>
    <row r="998" spans="1:9" ht="19.5" hidden="1" thickBot="1" x14ac:dyDescent="0.3">
      <c r="A998" s="461"/>
      <c r="B998" s="141" t="s">
        <v>446</v>
      </c>
      <c r="C998" s="142" t="s">
        <v>17</v>
      </c>
      <c r="D998" s="143">
        <v>0.2</v>
      </c>
      <c r="E998" s="144" t="s">
        <v>45</v>
      </c>
      <c r="F998" s="463"/>
      <c r="G998" s="144" t="s">
        <v>449</v>
      </c>
      <c r="H998" s="145"/>
      <c r="I998" s="145" t="str">
        <f t="shared" si="23"/>
        <v>09,25</v>
      </c>
    </row>
    <row r="999" spans="1:9" ht="19.5" hidden="1" thickBot="1" x14ac:dyDescent="0.3">
      <c r="A999" s="454">
        <f t="shared" si="22"/>
        <v>197</v>
      </c>
      <c r="B999" s="102" t="s">
        <v>452</v>
      </c>
      <c r="C999" s="103" t="s">
        <v>319</v>
      </c>
      <c r="D999" s="104">
        <v>1.2450000000000001</v>
      </c>
      <c r="E999" s="105" t="s">
        <v>13</v>
      </c>
      <c r="F999" s="457" t="s">
        <v>353</v>
      </c>
      <c r="G999" s="105" t="s">
        <v>453</v>
      </c>
      <c r="H999" s="107"/>
      <c r="I999" s="107" t="str">
        <f t="shared" si="23"/>
        <v>09,25</v>
      </c>
    </row>
    <row r="1000" spans="1:9" ht="19.5" hidden="1" thickBot="1" x14ac:dyDescent="0.3">
      <c r="A1000" s="455"/>
      <c r="B1000" s="108" t="s">
        <v>452</v>
      </c>
      <c r="C1000" s="109" t="s">
        <v>367</v>
      </c>
      <c r="D1000" s="110">
        <v>2.4319999999999999</v>
      </c>
      <c r="E1000" s="111" t="s">
        <v>13</v>
      </c>
      <c r="F1000" s="458"/>
      <c r="G1000" s="111" t="s">
        <v>453</v>
      </c>
      <c r="H1000" s="202" t="s">
        <v>416</v>
      </c>
      <c r="I1000" s="189" t="str">
        <f t="shared" si="23"/>
        <v>09,25</v>
      </c>
    </row>
    <row r="1001" spans="1:9" ht="19.5" hidden="1" thickBot="1" x14ac:dyDescent="0.3">
      <c r="A1001" s="455"/>
      <c r="B1001" s="108" t="s">
        <v>452</v>
      </c>
      <c r="C1001" s="109" t="s">
        <v>18</v>
      </c>
      <c r="D1001" s="110">
        <v>2.4079999999999999</v>
      </c>
      <c r="E1001" s="111" t="s">
        <v>13</v>
      </c>
      <c r="F1001" s="458"/>
      <c r="G1001" s="111" t="s">
        <v>453</v>
      </c>
      <c r="H1001" s="113"/>
      <c r="I1001" s="113" t="str">
        <f t="shared" si="23"/>
        <v>09,25</v>
      </c>
    </row>
    <row r="1002" spans="1:9" ht="19.5" hidden="1" thickBot="1" x14ac:dyDescent="0.3">
      <c r="A1002" s="455"/>
      <c r="B1002" s="108" t="s">
        <v>452</v>
      </c>
      <c r="C1002" s="109" t="s">
        <v>19</v>
      </c>
      <c r="D1002" s="110">
        <v>4</v>
      </c>
      <c r="E1002" s="111" t="s">
        <v>13</v>
      </c>
      <c r="F1002" s="458"/>
      <c r="G1002" s="111" t="s">
        <v>453</v>
      </c>
      <c r="H1002" s="113"/>
      <c r="I1002" s="113" t="str">
        <f t="shared" si="23"/>
        <v>09,25</v>
      </c>
    </row>
    <row r="1003" spans="1:9" ht="19.5" hidden="1" thickBot="1" x14ac:dyDescent="0.3">
      <c r="A1003" s="456"/>
      <c r="B1003" s="114" t="s">
        <v>452</v>
      </c>
      <c r="C1003" s="115" t="s">
        <v>17</v>
      </c>
      <c r="D1003" s="116">
        <v>4.5999999999999996</v>
      </c>
      <c r="E1003" s="117" t="s">
        <v>13</v>
      </c>
      <c r="F1003" s="459"/>
      <c r="G1003" s="117" t="s">
        <v>453</v>
      </c>
      <c r="H1003" s="119"/>
      <c r="I1003" s="119" t="str">
        <f t="shared" si="23"/>
        <v>09,25</v>
      </c>
    </row>
    <row r="1004" spans="1:9" ht="19.5" hidden="1" thickBot="1" x14ac:dyDescent="0.3">
      <c r="A1004" s="460">
        <f t="shared" si="22"/>
        <v>198</v>
      </c>
      <c r="B1004" s="91" t="s">
        <v>452</v>
      </c>
      <c r="C1004" s="92" t="s">
        <v>18</v>
      </c>
      <c r="D1004" s="93">
        <v>1.87</v>
      </c>
      <c r="E1004" s="94" t="s">
        <v>13</v>
      </c>
      <c r="F1004" s="462" t="s">
        <v>455</v>
      </c>
      <c r="G1004" s="94" t="s">
        <v>454</v>
      </c>
      <c r="H1004" s="132"/>
      <c r="I1004" s="132" t="str">
        <f t="shared" si="23"/>
        <v>09,25</v>
      </c>
    </row>
    <row r="1005" spans="1:9" ht="19.5" hidden="1" thickBot="1" x14ac:dyDescent="0.3">
      <c r="A1005" s="461"/>
      <c r="B1005" s="175" t="s">
        <v>452</v>
      </c>
      <c r="C1005" s="134" t="s">
        <v>19</v>
      </c>
      <c r="D1005" s="135">
        <v>3.65</v>
      </c>
      <c r="E1005" s="136" t="s">
        <v>13</v>
      </c>
      <c r="F1005" s="463"/>
      <c r="G1005" s="136" t="s">
        <v>454</v>
      </c>
      <c r="H1005" s="137"/>
      <c r="I1005" s="137" t="str">
        <f t="shared" si="23"/>
        <v>09,25</v>
      </c>
    </row>
    <row r="1006" spans="1:9" ht="19.5" hidden="1" thickBot="1" x14ac:dyDescent="0.3">
      <c r="A1006" s="461"/>
      <c r="B1006" s="175" t="s">
        <v>452</v>
      </c>
      <c r="C1006" s="134" t="s">
        <v>116</v>
      </c>
      <c r="D1006" s="135">
        <v>4.3099999999999996</v>
      </c>
      <c r="E1006" s="136" t="s">
        <v>13</v>
      </c>
      <c r="F1006" s="463"/>
      <c r="G1006" s="136" t="s">
        <v>454</v>
      </c>
      <c r="H1006" s="137" t="s">
        <v>416</v>
      </c>
      <c r="I1006" s="137" t="str">
        <f t="shared" si="23"/>
        <v>09,25</v>
      </c>
    </row>
    <row r="1007" spans="1:9" ht="19.5" hidden="1" thickBot="1" x14ac:dyDescent="0.3">
      <c r="A1007" s="461"/>
      <c r="B1007" s="175" t="s">
        <v>452</v>
      </c>
      <c r="C1007" s="134" t="s">
        <v>17</v>
      </c>
      <c r="D1007" s="135">
        <v>4.34</v>
      </c>
      <c r="E1007" s="136" t="s">
        <v>13</v>
      </c>
      <c r="F1007" s="463"/>
      <c r="G1007" s="136" t="s">
        <v>454</v>
      </c>
      <c r="H1007" s="137"/>
      <c r="I1007" s="137" t="str">
        <f t="shared" si="23"/>
        <v>09,25</v>
      </c>
    </row>
    <row r="1008" spans="1:9" ht="19.5" hidden="1" thickBot="1" x14ac:dyDescent="0.3">
      <c r="A1008" s="473"/>
      <c r="B1008" s="95" t="s">
        <v>452</v>
      </c>
      <c r="C1008" s="96" t="s">
        <v>277</v>
      </c>
      <c r="D1008" s="97">
        <v>1.5369999999999999</v>
      </c>
      <c r="E1008" s="98" t="s">
        <v>13</v>
      </c>
      <c r="F1008" s="474"/>
      <c r="G1008" s="98" t="s">
        <v>454</v>
      </c>
      <c r="H1008" s="129"/>
      <c r="I1008" s="129" t="str">
        <f t="shared" si="23"/>
        <v>09,25</v>
      </c>
    </row>
    <row r="1009" spans="1:9" ht="19.5" hidden="1" thickBot="1" x14ac:dyDescent="0.3">
      <c r="A1009" s="454">
        <f t="shared" si="22"/>
        <v>199</v>
      </c>
      <c r="B1009" s="102" t="s">
        <v>452</v>
      </c>
      <c r="C1009" s="103" t="s">
        <v>18</v>
      </c>
      <c r="D1009" s="104">
        <v>0.36</v>
      </c>
      <c r="E1009" s="105" t="s">
        <v>34</v>
      </c>
      <c r="F1009" s="457" t="s">
        <v>451</v>
      </c>
      <c r="G1009" s="105" t="s">
        <v>454</v>
      </c>
      <c r="H1009" s="107"/>
      <c r="I1009" s="107" t="str">
        <f t="shared" si="23"/>
        <v>09,25</v>
      </c>
    </row>
    <row r="1010" spans="1:9" ht="19.5" hidden="1" thickBot="1" x14ac:dyDescent="0.3">
      <c r="A1010" s="455"/>
      <c r="B1010" s="108" t="s">
        <v>452</v>
      </c>
      <c r="C1010" s="109" t="s">
        <v>19</v>
      </c>
      <c r="D1010" s="110">
        <v>0.55000000000000004</v>
      </c>
      <c r="E1010" s="111" t="s">
        <v>34</v>
      </c>
      <c r="F1010" s="458"/>
      <c r="G1010" s="111" t="s">
        <v>454</v>
      </c>
      <c r="H1010" s="113"/>
      <c r="I1010" s="113" t="str">
        <f t="shared" si="23"/>
        <v>09,25</v>
      </c>
    </row>
    <row r="1011" spans="1:9" ht="19.5" hidden="1" thickBot="1" x14ac:dyDescent="0.3">
      <c r="A1011" s="455"/>
      <c r="B1011" s="108" t="s">
        <v>452</v>
      </c>
      <c r="C1011" s="109" t="s">
        <v>116</v>
      </c>
      <c r="D1011" s="110">
        <v>0.25</v>
      </c>
      <c r="E1011" s="111" t="s">
        <v>34</v>
      </c>
      <c r="F1011" s="458"/>
      <c r="G1011" s="111" t="s">
        <v>454</v>
      </c>
      <c r="H1011" s="113"/>
      <c r="I1011" s="113" t="str">
        <f t="shared" si="23"/>
        <v>09,25</v>
      </c>
    </row>
    <row r="1012" spans="1:9" ht="19.5" hidden="1" thickBot="1" x14ac:dyDescent="0.3">
      <c r="A1012" s="455"/>
      <c r="B1012" s="108" t="s">
        <v>452</v>
      </c>
      <c r="C1012" s="109" t="s">
        <v>17</v>
      </c>
      <c r="D1012" s="110">
        <v>1.07</v>
      </c>
      <c r="E1012" s="111" t="s">
        <v>34</v>
      </c>
      <c r="F1012" s="458"/>
      <c r="G1012" s="111" t="s">
        <v>454</v>
      </c>
      <c r="H1012" s="113"/>
      <c r="I1012" s="113" t="str">
        <f t="shared" si="23"/>
        <v>09,25</v>
      </c>
    </row>
    <row r="1013" spans="1:9" ht="19.5" hidden="1" thickBot="1" x14ac:dyDescent="0.3">
      <c r="A1013" s="455"/>
      <c r="B1013" s="108" t="s">
        <v>452</v>
      </c>
      <c r="C1013" s="109" t="s">
        <v>18</v>
      </c>
      <c r="D1013" s="110">
        <v>0.2</v>
      </c>
      <c r="E1013" s="111" t="s">
        <v>45</v>
      </c>
      <c r="F1013" s="458"/>
      <c r="G1013" s="111" t="s">
        <v>454</v>
      </c>
      <c r="H1013" s="113"/>
      <c r="I1013" s="113" t="str">
        <f t="shared" si="23"/>
        <v>09,25</v>
      </c>
    </row>
    <row r="1014" spans="1:9" ht="19.5" hidden="1" thickBot="1" x14ac:dyDescent="0.3">
      <c r="A1014" s="455"/>
      <c r="B1014" s="108" t="s">
        <v>452</v>
      </c>
      <c r="C1014" s="109" t="s">
        <v>19</v>
      </c>
      <c r="D1014" s="212">
        <v>0.02</v>
      </c>
      <c r="E1014" s="111" t="s">
        <v>45</v>
      </c>
      <c r="F1014" s="458"/>
      <c r="G1014" s="111" t="s">
        <v>454</v>
      </c>
      <c r="H1014" s="113"/>
      <c r="I1014" s="113" t="str">
        <f t="shared" si="23"/>
        <v>09,25</v>
      </c>
    </row>
    <row r="1015" spans="1:9" ht="19.5" hidden="1" thickBot="1" x14ac:dyDescent="0.3">
      <c r="A1015" s="455"/>
      <c r="B1015" s="164" t="s">
        <v>452</v>
      </c>
      <c r="C1015" s="165" t="s">
        <v>116</v>
      </c>
      <c r="D1015" s="243">
        <v>0.03</v>
      </c>
      <c r="E1015" s="167" t="s">
        <v>45</v>
      </c>
      <c r="F1015" s="458"/>
      <c r="G1015" s="167" t="s">
        <v>454</v>
      </c>
      <c r="H1015" s="163"/>
      <c r="I1015" s="163" t="str">
        <f t="shared" si="23"/>
        <v>09,25</v>
      </c>
    </row>
    <row r="1016" spans="1:9" ht="19.5" hidden="1" thickBot="1" x14ac:dyDescent="0.3">
      <c r="A1016" s="460">
        <f t="shared" si="22"/>
        <v>200</v>
      </c>
      <c r="B1016" s="91" t="s">
        <v>456</v>
      </c>
      <c r="C1016" s="92" t="s">
        <v>319</v>
      </c>
      <c r="D1016" s="93">
        <v>0.90500000000000003</v>
      </c>
      <c r="E1016" s="94" t="s">
        <v>13</v>
      </c>
      <c r="F1016" s="462" t="s">
        <v>297</v>
      </c>
      <c r="G1016" s="94" t="s">
        <v>457</v>
      </c>
      <c r="H1016" s="132"/>
      <c r="I1016" s="132" t="str">
        <f t="shared" si="23"/>
        <v>10,25</v>
      </c>
    </row>
    <row r="1017" spans="1:9" ht="19.5" hidden="1" thickBot="1" x14ac:dyDescent="0.3">
      <c r="A1017" s="461"/>
      <c r="B1017" s="175" t="s">
        <v>456</v>
      </c>
      <c r="C1017" s="134" t="s">
        <v>367</v>
      </c>
      <c r="D1017" s="135">
        <v>2.5030000000000001</v>
      </c>
      <c r="E1017" s="136" t="s">
        <v>13</v>
      </c>
      <c r="F1017" s="463"/>
      <c r="G1017" s="136" t="s">
        <v>457</v>
      </c>
      <c r="H1017" s="242" t="s">
        <v>416</v>
      </c>
      <c r="I1017" s="192" t="str">
        <f t="shared" si="23"/>
        <v>10,25</v>
      </c>
    </row>
    <row r="1018" spans="1:9" ht="19.5" hidden="1" thickBot="1" x14ac:dyDescent="0.3">
      <c r="A1018" s="461"/>
      <c r="B1018" s="175" t="s">
        <v>456</v>
      </c>
      <c r="C1018" s="134" t="s">
        <v>18</v>
      </c>
      <c r="D1018" s="135">
        <v>2.4</v>
      </c>
      <c r="E1018" s="136" t="s">
        <v>13</v>
      </c>
      <c r="F1018" s="463"/>
      <c r="G1018" s="136" t="s">
        <v>457</v>
      </c>
      <c r="H1018" s="137"/>
      <c r="I1018" s="137" t="str">
        <f t="shared" si="23"/>
        <v>10,25</v>
      </c>
    </row>
    <row r="1019" spans="1:9" ht="19.5" hidden="1" thickBot="1" x14ac:dyDescent="0.3">
      <c r="A1019" s="461"/>
      <c r="B1019" s="175" t="s">
        <v>456</v>
      </c>
      <c r="C1019" s="134" t="s">
        <v>19</v>
      </c>
      <c r="D1019" s="135">
        <v>4.6559999999999997</v>
      </c>
      <c r="E1019" s="136" t="s">
        <v>13</v>
      </c>
      <c r="F1019" s="463"/>
      <c r="G1019" s="136" t="s">
        <v>457</v>
      </c>
      <c r="H1019" s="137"/>
      <c r="I1019" s="137" t="str">
        <f t="shared" si="23"/>
        <v>10,25</v>
      </c>
    </row>
    <row r="1020" spans="1:9" ht="19.5" hidden="1" thickBot="1" x14ac:dyDescent="0.3">
      <c r="A1020" s="473"/>
      <c r="B1020" s="95" t="s">
        <v>456</v>
      </c>
      <c r="C1020" s="96" t="s">
        <v>17</v>
      </c>
      <c r="D1020" s="97">
        <v>4.0990000000000002</v>
      </c>
      <c r="E1020" s="98" t="s">
        <v>13</v>
      </c>
      <c r="F1020" s="474"/>
      <c r="G1020" s="98" t="s">
        <v>457</v>
      </c>
      <c r="H1020" s="129"/>
      <c r="I1020" s="129" t="str">
        <f t="shared" si="23"/>
        <v>10,25</v>
      </c>
    </row>
    <row r="1021" spans="1:9" ht="19.5" hidden="1" thickBot="1" x14ac:dyDescent="0.3">
      <c r="A1021" s="454">
        <f t="shared" si="22"/>
        <v>201</v>
      </c>
      <c r="B1021" s="102" t="s">
        <v>456</v>
      </c>
      <c r="C1021" s="103" t="s">
        <v>18</v>
      </c>
      <c r="D1021" s="104">
        <v>1.387</v>
      </c>
      <c r="E1021" s="105" t="s">
        <v>13</v>
      </c>
      <c r="F1021" s="457" t="s">
        <v>387</v>
      </c>
      <c r="G1021" s="105" t="s">
        <v>458</v>
      </c>
      <c r="H1021" s="107"/>
      <c r="I1021" s="107" t="str">
        <f t="shared" si="23"/>
        <v>10,25</v>
      </c>
    </row>
    <row r="1022" spans="1:9" ht="19.5" hidden="1" thickBot="1" x14ac:dyDescent="0.3">
      <c r="A1022" s="455"/>
      <c r="B1022" s="108" t="s">
        <v>456</v>
      </c>
      <c r="C1022" s="109" t="s">
        <v>19</v>
      </c>
      <c r="D1022" s="110">
        <v>4.1500000000000004</v>
      </c>
      <c r="E1022" s="111" t="s">
        <v>13</v>
      </c>
      <c r="F1022" s="458"/>
      <c r="G1022" s="111" t="s">
        <v>458</v>
      </c>
      <c r="H1022" s="113"/>
      <c r="I1022" s="113" t="str">
        <f t="shared" si="23"/>
        <v>10,25</v>
      </c>
    </row>
    <row r="1023" spans="1:9" ht="19.5" hidden="1" thickBot="1" x14ac:dyDescent="0.3">
      <c r="A1023" s="455"/>
      <c r="B1023" s="108" t="s">
        <v>456</v>
      </c>
      <c r="C1023" s="109" t="s">
        <v>116</v>
      </c>
      <c r="D1023" s="110">
        <v>4.25</v>
      </c>
      <c r="E1023" s="111" t="s">
        <v>13</v>
      </c>
      <c r="F1023" s="458"/>
      <c r="G1023" s="111" t="s">
        <v>458</v>
      </c>
      <c r="H1023" s="189" t="s">
        <v>416</v>
      </c>
      <c r="I1023" s="189" t="str">
        <f t="shared" si="23"/>
        <v>10,25</v>
      </c>
    </row>
    <row r="1024" spans="1:9" ht="19.5" hidden="1" thickBot="1" x14ac:dyDescent="0.3">
      <c r="A1024" s="455"/>
      <c r="B1024" s="108" t="s">
        <v>456</v>
      </c>
      <c r="C1024" s="109" t="s">
        <v>17</v>
      </c>
      <c r="D1024" s="110">
        <v>3.649</v>
      </c>
      <c r="E1024" s="111" t="s">
        <v>13</v>
      </c>
      <c r="F1024" s="458"/>
      <c r="G1024" s="111" t="s">
        <v>458</v>
      </c>
      <c r="H1024" s="113"/>
      <c r="I1024" s="113" t="str">
        <f t="shared" si="23"/>
        <v>10,25</v>
      </c>
    </row>
    <row r="1025" spans="1:9" ht="19.5" hidden="1" thickBot="1" x14ac:dyDescent="0.3">
      <c r="A1025" s="456"/>
      <c r="B1025" s="114" t="s">
        <v>456</v>
      </c>
      <c r="C1025" s="115" t="s">
        <v>277</v>
      </c>
      <c r="D1025" s="116">
        <v>2.476</v>
      </c>
      <c r="E1025" s="117" t="s">
        <v>13</v>
      </c>
      <c r="F1025" s="459"/>
      <c r="G1025" s="117" t="s">
        <v>458</v>
      </c>
      <c r="H1025" s="119"/>
      <c r="I1025" s="119" t="str">
        <f t="shared" si="23"/>
        <v>10,25</v>
      </c>
    </row>
    <row r="1026" spans="1:9" ht="19.5" hidden="1" thickBot="1" x14ac:dyDescent="0.3">
      <c r="A1026" s="460">
        <f t="shared" si="22"/>
        <v>202</v>
      </c>
      <c r="B1026" s="91" t="s">
        <v>456</v>
      </c>
      <c r="C1026" s="92" t="s">
        <v>18</v>
      </c>
      <c r="D1026" s="93">
        <v>0.51</v>
      </c>
      <c r="E1026" s="94" t="s">
        <v>34</v>
      </c>
      <c r="F1026" s="462" t="s">
        <v>459</v>
      </c>
      <c r="G1026" s="94" t="s">
        <v>458</v>
      </c>
      <c r="H1026" s="132"/>
      <c r="I1026" s="132" t="str">
        <f t="shared" si="23"/>
        <v>10,25</v>
      </c>
    </row>
    <row r="1027" spans="1:9" ht="19.5" hidden="1" thickBot="1" x14ac:dyDescent="0.3">
      <c r="A1027" s="461"/>
      <c r="B1027" s="175" t="s">
        <v>456</v>
      </c>
      <c r="C1027" s="134" t="s">
        <v>19</v>
      </c>
      <c r="D1027" s="135">
        <v>0.21</v>
      </c>
      <c r="E1027" s="136" t="s">
        <v>34</v>
      </c>
      <c r="F1027" s="463"/>
      <c r="G1027" s="136" t="s">
        <v>458</v>
      </c>
      <c r="H1027" s="137"/>
      <c r="I1027" s="137" t="str">
        <f t="shared" si="23"/>
        <v>10,25</v>
      </c>
    </row>
    <row r="1028" spans="1:9" ht="19.5" hidden="1" thickBot="1" x14ac:dyDescent="0.3">
      <c r="A1028" s="461"/>
      <c r="B1028" s="175" t="s">
        <v>456</v>
      </c>
      <c r="C1028" s="134" t="s">
        <v>116</v>
      </c>
      <c r="D1028" s="135">
        <v>7.0000000000000007E-2</v>
      </c>
      <c r="E1028" s="136" t="s">
        <v>34</v>
      </c>
      <c r="F1028" s="463"/>
      <c r="G1028" s="136" t="s">
        <v>458</v>
      </c>
      <c r="H1028" s="137"/>
      <c r="I1028" s="137" t="str">
        <f t="shared" si="23"/>
        <v>10,25</v>
      </c>
    </row>
    <row r="1029" spans="1:9" ht="19.5" hidden="1" thickBot="1" x14ac:dyDescent="0.3">
      <c r="A1029" s="461"/>
      <c r="B1029" s="175" t="s">
        <v>456</v>
      </c>
      <c r="C1029" s="134" t="s">
        <v>17</v>
      </c>
      <c r="D1029" s="135">
        <v>1.39</v>
      </c>
      <c r="E1029" s="136" t="s">
        <v>34</v>
      </c>
      <c r="F1029" s="463"/>
      <c r="G1029" s="136" t="s">
        <v>458</v>
      </c>
      <c r="H1029" s="137"/>
      <c r="I1029" s="137" t="str">
        <f t="shared" si="23"/>
        <v>10,25</v>
      </c>
    </row>
    <row r="1030" spans="1:9" ht="19.5" hidden="1" thickBot="1" x14ac:dyDescent="0.3">
      <c r="A1030" s="461"/>
      <c r="B1030" s="175" t="s">
        <v>456</v>
      </c>
      <c r="C1030" s="134" t="s">
        <v>18</v>
      </c>
      <c r="D1030" s="135">
        <v>0.09</v>
      </c>
      <c r="E1030" s="136" t="s">
        <v>45</v>
      </c>
      <c r="F1030" s="463"/>
      <c r="G1030" s="136" t="s">
        <v>458</v>
      </c>
      <c r="H1030" s="137"/>
      <c r="I1030" s="137" t="str">
        <f t="shared" si="23"/>
        <v>10,25</v>
      </c>
    </row>
    <row r="1031" spans="1:9" ht="19.5" hidden="1" thickBot="1" x14ac:dyDescent="0.3">
      <c r="A1031" s="461"/>
      <c r="B1031" s="175" t="s">
        <v>456</v>
      </c>
      <c r="C1031" s="134" t="s">
        <v>19</v>
      </c>
      <c r="D1031" s="211">
        <v>0.04</v>
      </c>
      <c r="E1031" s="136" t="s">
        <v>45</v>
      </c>
      <c r="F1031" s="463"/>
      <c r="G1031" s="136" t="s">
        <v>458</v>
      </c>
      <c r="H1031" s="137"/>
      <c r="I1031" s="137" t="str">
        <f t="shared" si="23"/>
        <v>10,25</v>
      </c>
    </row>
    <row r="1032" spans="1:9" ht="19.5" hidden="1" thickBot="1" x14ac:dyDescent="0.3">
      <c r="A1032" s="461"/>
      <c r="B1032" s="141" t="s">
        <v>456</v>
      </c>
      <c r="C1032" s="142" t="s">
        <v>17</v>
      </c>
      <c r="D1032" s="143">
        <v>0.61</v>
      </c>
      <c r="E1032" s="144" t="s">
        <v>45</v>
      </c>
      <c r="F1032" s="463"/>
      <c r="G1032" s="144" t="s">
        <v>458</v>
      </c>
      <c r="H1032" s="145"/>
      <c r="I1032" s="145" t="str">
        <f t="shared" si="23"/>
        <v>10,25</v>
      </c>
    </row>
    <row r="1033" spans="1:9" ht="18.75" hidden="1" customHeight="1" x14ac:dyDescent="0.3">
      <c r="A1033" s="454">
        <v>200</v>
      </c>
      <c r="B1033" s="102" t="s">
        <v>460</v>
      </c>
      <c r="C1033" s="103" t="s">
        <v>319</v>
      </c>
      <c r="D1033" s="104">
        <v>0.77800000000000002</v>
      </c>
      <c r="E1033" s="105" t="s">
        <v>13</v>
      </c>
      <c r="F1033" s="457" t="s">
        <v>402</v>
      </c>
      <c r="G1033" s="105" t="s">
        <v>464</v>
      </c>
      <c r="H1033" s="107"/>
      <c r="I1033" s="107" t="str">
        <f t="shared" si="23"/>
        <v>10,25</v>
      </c>
    </row>
    <row r="1034" spans="1:9" ht="19.5" hidden="1" thickBot="1" x14ac:dyDescent="0.3">
      <c r="A1034" s="455"/>
      <c r="B1034" s="108" t="s">
        <v>460</v>
      </c>
      <c r="C1034" s="109" t="s">
        <v>367</v>
      </c>
      <c r="D1034" s="110">
        <v>2.774</v>
      </c>
      <c r="E1034" s="111" t="s">
        <v>13</v>
      </c>
      <c r="F1034" s="458"/>
      <c r="G1034" s="111" t="s">
        <v>464</v>
      </c>
      <c r="H1034" s="202" t="s">
        <v>416</v>
      </c>
      <c r="I1034" s="189" t="str">
        <f t="shared" si="23"/>
        <v>10,25</v>
      </c>
    </row>
    <row r="1035" spans="1:9" ht="19.5" hidden="1" thickBot="1" x14ac:dyDescent="0.3">
      <c r="A1035" s="455"/>
      <c r="B1035" s="108" t="s">
        <v>460</v>
      </c>
      <c r="C1035" s="109" t="s">
        <v>18</v>
      </c>
      <c r="D1035" s="110">
        <v>3.35</v>
      </c>
      <c r="E1035" s="111" t="s">
        <v>13</v>
      </c>
      <c r="F1035" s="458"/>
      <c r="G1035" s="111" t="s">
        <v>464</v>
      </c>
      <c r="H1035" s="113"/>
      <c r="I1035" s="113" t="str">
        <f t="shared" si="23"/>
        <v>10,25</v>
      </c>
    </row>
    <row r="1036" spans="1:9" ht="19.5" hidden="1" thickBot="1" x14ac:dyDescent="0.3">
      <c r="A1036" s="455"/>
      <c r="B1036" s="108" t="s">
        <v>460</v>
      </c>
      <c r="C1036" s="109" t="s">
        <v>19</v>
      </c>
      <c r="D1036" s="110">
        <v>4.2030000000000003</v>
      </c>
      <c r="E1036" s="111" t="s">
        <v>13</v>
      </c>
      <c r="F1036" s="458"/>
      <c r="G1036" s="111" t="s">
        <v>464</v>
      </c>
      <c r="H1036" s="113"/>
      <c r="I1036" s="113" t="str">
        <f t="shared" si="23"/>
        <v>10,25</v>
      </c>
    </row>
    <row r="1037" spans="1:9" ht="19.5" hidden="1" thickBot="1" x14ac:dyDescent="0.3">
      <c r="A1037" s="456"/>
      <c r="B1037" s="114" t="s">
        <v>460</v>
      </c>
      <c r="C1037" s="115" t="s">
        <v>17</v>
      </c>
      <c r="D1037" s="116">
        <v>3.653</v>
      </c>
      <c r="E1037" s="117" t="s">
        <v>13</v>
      </c>
      <c r="F1037" s="459"/>
      <c r="G1037" s="117" t="s">
        <v>464</v>
      </c>
      <c r="H1037" s="119"/>
      <c r="I1037" s="119" t="str">
        <f t="shared" si="23"/>
        <v>10,25</v>
      </c>
    </row>
    <row r="1038" spans="1:9" ht="18.75" hidden="1" customHeight="1" x14ac:dyDescent="0.3">
      <c r="A1038" s="460">
        <v>201</v>
      </c>
      <c r="B1038" s="91" t="s">
        <v>460</v>
      </c>
      <c r="C1038" s="92" t="s">
        <v>18</v>
      </c>
      <c r="D1038" s="93">
        <v>2.8610000000000002</v>
      </c>
      <c r="E1038" s="94" t="s">
        <v>13</v>
      </c>
      <c r="F1038" s="462" t="s">
        <v>461</v>
      </c>
      <c r="G1038" s="94" t="s">
        <v>465</v>
      </c>
      <c r="H1038" s="132"/>
      <c r="I1038" s="132" t="str">
        <f t="shared" si="23"/>
        <v>10,25</v>
      </c>
    </row>
    <row r="1039" spans="1:9" ht="19.5" hidden="1" thickBot="1" x14ac:dyDescent="0.3">
      <c r="A1039" s="461"/>
      <c r="B1039" s="175" t="s">
        <v>460</v>
      </c>
      <c r="C1039" s="134" t="s">
        <v>19</v>
      </c>
      <c r="D1039" s="135">
        <v>3.7410000000000001</v>
      </c>
      <c r="E1039" s="136" t="s">
        <v>13</v>
      </c>
      <c r="F1039" s="463"/>
      <c r="G1039" s="136" t="s">
        <v>465</v>
      </c>
      <c r="H1039" s="137"/>
      <c r="I1039" s="137" t="str">
        <f t="shared" si="23"/>
        <v>10,25</v>
      </c>
    </row>
    <row r="1040" spans="1:9" ht="19.5" hidden="1" thickBot="1" x14ac:dyDescent="0.3">
      <c r="A1040" s="461"/>
      <c r="B1040" s="175" t="s">
        <v>460</v>
      </c>
      <c r="C1040" s="134" t="s">
        <v>116</v>
      </c>
      <c r="D1040" s="135">
        <v>4.2869999999999999</v>
      </c>
      <c r="E1040" s="136" t="s">
        <v>13</v>
      </c>
      <c r="F1040" s="463"/>
      <c r="G1040" s="136" t="s">
        <v>465</v>
      </c>
      <c r="H1040" s="137" t="s">
        <v>416</v>
      </c>
      <c r="I1040" s="137" t="str">
        <f t="shared" si="23"/>
        <v>10,25</v>
      </c>
    </row>
    <row r="1041" spans="1:9" ht="19.5" hidden="1" thickBot="1" x14ac:dyDescent="0.3">
      <c r="A1041" s="461"/>
      <c r="B1041" s="175" t="s">
        <v>460</v>
      </c>
      <c r="C1041" s="134" t="s">
        <v>17</v>
      </c>
      <c r="D1041" s="135">
        <v>3.25</v>
      </c>
      <c r="E1041" s="136" t="s">
        <v>13</v>
      </c>
      <c r="F1041" s="463"/>
      <c r="G1041" s="136" t="s">
        <v>465</v>
      </c>
      <c r="H1041" s="137"/>
      <c r="I1041" s="137" t="str">
        <f t="shared" si="23"/>
        <v>10,25</v>
      </c>
    </row>
    <row r="1042" spans="1:9" ht="19.5" hidden="1" thickBot="1" x14ac:dyDescent="0.3">
      <c r="A1042" s="473"/>
      <c r="B1042" s="95" t="s">
        <v>460</v>
      </c>
      <c r="C1042" s="96" t="s">
        <v>277</v>
      </c>
      <c r="D1042" s="97">
        <v>2.1890000000000001</v>
      </c>
      <c r="E1042" s="98" t="s">
        <v>13</v>
      </c>
      <c r="F1042" s="474"/>
      <c r="G1042" s="98" t="s">
        <v>465</v>
      </c>
      <c r="H1042" s="129"/>
      <c r="I1042" s="129" t="str">
        <f t="shared" si="23"/>
        <v>10,25</v>
      </c>
    </row>
    <row r="1043" spans="1:9" ht="19.5" hidden="1" thickBot="1" x14ac:dyDescent="0.3">
      <c r="A1043" s="454">
        <f t="shared" ref="A1043:A1106" si="24">MAX(A1020:A1042)+1</f>
        <v>203</v>
      </c>
      <c r="B1043" s="102" t="s">
        <v>460</v>
      </c>
      <c r="C1043" s="103" t="s">
        <v>18</v>
      </c>
      <c r="D1043" s="104">
        <v>1.18</v>
      </c>
      <c r="E1043" s="105" t="s">
        <v>34</v>
      </c>
      <c r="F1043" s="457" t="s">
        <v>462</v>
      </c>
      <c r="G1043" s="105" t="s">
        <v>465</v>
      </c>
      <c r="H1043" s="107"/>
      <c r="I1043" s="107" t="str">
        <f t="shared" si="23"/>
        <v>10,25</v>
      </c>
    </row>
    <row r="1044" spans="1:9" ht="19.5" hidden="1" thickBot="1" x14ac:dyDescent="0.3">
      <c r="A1044" s="455"/>
      <c r="B1044" s="108" t="s">
        <v>460</v>
      </c>
      <c r="C1044" s="109" t="s">
        <v>19</v>
      </c>
      <c r="D1044" s="110">
        <v>0.24</v>
      </c>
      <c r="E1044" s="111" t="s">
        <v>34</v>
      </c>
      <c r="F1044" s="458"/>
      <c r="G1044" s="111" t="s">
        <v>465</v>
      </c>
      <c r="H1044" s="113"/>
      <c r="I1044" s="113" t="str">
        <f t="shared" si="23"/>
        <v>10,25</v>
      </c>
    </row>
    <row r="1045" spans="1:9" ht="19.5" hidden="1" thickBot="1" x14ac:dyDescent="0.3">
      <c r="A1045" s="455"/>
      <c r="B1045" s="108" t="s">
        <v>460</v>
      </c>
      <c r="C1045" s="109" t="s">
        <v>116</v>
      </c>
      <c r="D1045" s="110">
        <v>0.33</v>
      </c>
      <c r="E1045" s="111" t="s">
        <v>34</v>
      </c>
      <c r="F1045" s="458"/>
      <c r="G1045" s="111" t="s">
        <v>465</v>
      </c>
      <c r="H1045" s="113"/>
      <c r="I1045" s="113" t="str">
        <f t="shared" ref="I1045:I1108" si="25">RIGHT(G1045,5)</f>
        <v>10,25</v>
      </c>
    </row>
    <row r="1046" spans="1:9" ht="19.5" hidden="1" thickBot="1" x14ac:dyDescent="0.3">
      <c r="A1046" s="455"/>
      <c r="B1046" s="108" t="s">
        <v>460</v>
      </c>
      <c r="C1046" s="109" t="s">
        <v>17</v>
      </c>
      <c r="D1046" s="110">
        <v>1.38</v>
      </c>
      <c r="E1046" s="111" t="s">
        <v>34</v>
      </c>
      <c r="F1046" s="458"/>
      <c r="G1046" s="111" t="s">
        <v>465</v>
      </c>
      <c r="H1046" s="113"/>
      <c r="I1046" s="113" t="str">
        <f t="shared" si="25"/>
        <v>10,25</v>
      </c>
    </row>
    <row r="1047" spans="1:9" ht="19.5" hidden="1" thickBot="1" x14ac:dyDescent="0.3">
      <c r="A1047" s="455"/>
      <c r="B1047" s="108" t="s">
        <v>460</v>
      </c>
      <c r="C1047" s="109" t="s">
        <v>18</v>
      </c>
      <c r="D1047" s="110">
        <v>0.17</v>
      </c>
      <c r="E1047" s="111" t="s">
        <v>45</v>
      </c>
      <c r="F1047" s="458"/>
      <c r="G1047" s="111" t="s">
        <v>465</v>
      </c>
      <c r="H1047" s="113"/>
      <c r="I1047" s="113" t="str">
        <f t="shared" si="25"/>
        <v>10,25</v>
      </c>
    </row>
    <row r="1048" spans="1:9" ht="19.5" hidden="1" thickBot="1" x14ac:dyDescent="0.3">
      <c r="A1048" s="455"/>
      <c r="B1048" s="108" t="s">
        <v>460</v>
      </c>
      <c r="C1048" s="109" t="s">
        <v>19</v>
      </c>
      <c r="D1048" s="212">
        <v>0.05</v>
      </c>
      <c r="E1048" s="111" t="s">
        <v>45</v>
      </c>
      <c r="F1048" s="458"/>
      <c r="G1048" s="111" t="s">
        <v>465</v>
      </c>
      <c r="H1048" s="113"/>
      <c r="I1048" s="113" t="str">
        <f t="shared" si="25"/>
        <v>10,25</v>
      </c>
    </row>
    <row r="1049" spans="1:9" ht="19.5" hidden="1" thickBot="1" x14ac:dyDescent="0.3">
      <c r="A1049" s="455"/>
      <c r="B1049" s="108" t="s">
        <v>460</v>
      </c>
      <c r="C1049" s="109" t="s">
        <v>116</v>
      </c>
      <c r="D1049" s="212">
        <v>0.03</v>
      </c>
      <c r="E1049" s="111" t="s">
        <v>45</v>
      </c>
      <c r="F1049" s="458"/>
      <c r="G1049" s="111" t="s">
        <v>465</v>
      </c>
      <c r="H1049" s="113"/>
      <c r="I1049" s="113" t="str">
        <f t="shared" si="25"/>
        <v>10,25</v>
      </c>
    </row>
    <row r="1050" spans="1:9" ht="19.5" hidden="1" thickBot="1" x14ac:dyDescent="0.3">
      <c r="A1050" s="455"/>
      <c r="B1050" s="164" t="s">
        <v>460</v>
      </c>
      <c r="C1050" s="165" t="s">
        <v>17</v>
      </c>
      <c r="D1050" s="166">
        <v>0.39</v>
      </c>
      <c r="E1050" s="167" t="s">
        <v>45</v>
      </c>
      <c r="F1050" s="458"/>
      <c r="G1050" s="167" t="s">
        <v>465</v>
      </c>
      <c r="H1050" s="163"/>
      <c r="I1050" s="163" t="str">
        <f t="shared" si="25"/>
        <v>10,25</v>
      </c>
    </row>
    <row r="1051" spans="1:9" ht="19.5" hidden="1" thickBot="1" x14ac:dyDescent="0.3">
      <c r="A1051" s="460">
        <f t="shared" si="24"/>
        <v>204</v>
      </c>
      <c r="B1051" s="91" t="s">
        <v>468</v>
      </c>
      <c r="C1051" s="92" t="s">
        <v>319</v>
      </c>
      <c r="D1051" s="93">
        <v>1.5269999999999999</v>
      </c>
      <c r="E1051" s="94" t="s">
        <v>13</v>
      </c>
      <c r="F1051" s="131"/>
      <c r="G1051" s="94" t="s">
        <v>463</v>
      </c>
      <c r="H1051" s="132"/>
      <c r="I1051" s="132" t="str">
        <f t="shared" si="25"/>
        <v>10,25</v>
      </c>
    </row>
    <row r="1052" spans="1:9" ht="19.5" hidden="1" thickBot="1" x14ac:dyDescent="0.3">
      <c r="A1052" s="461"/>
      <c r="B1052" s="175" t="s">
        <v>468</v>
      </c>
      <c r="C1052" s="134" t="s">
        <v>367</v>
      </c>
      <c r="D1052" s="135">
        <v>2.5179999999999998</v>
      </c>
      <c r="E1052" s="136" t="s">
        <v>13</v>
      </c>
      <c r="F1052" s="171"/>
      <c r="G1052" s="136" t="s">
        <v>463</v>
      </c>
      <c r="H1052" s="242" t="s">
        <v>416</v>
      </c>
      <c r="I1052" s="192" t="str">
        <f t="shared" si="25"/>
        <v>10,25</v>
      </c>
    </row>
    <row r="1053" spans="1:9" ht="19.5" hidden="1" thickBot="1" x14ac:dyDescent="0.3">
      <c r="A1053" s="461"/>
      <c r="B1053" s="175" t="s">
        <v>468</v>
      </c>
      <c r="C1053" s="134" t="s">
        <v>18</v>
      </c>
      <c r="D1053" s="135">
        <v>3.0430000000000001</v>
      </c>
      <c r="E1053" s="136" t="s">
        <v>13</v>
      </c>
      <c r="F1053" s="171"/>
      <c r="G1053" s="136" t="s">
        <v>463</v>
      </c>
      <c r="H1053" s="137"/>
      <c r="I1053" s="137" t="str">
        <f t="shared" si="25"/>
        <v>10,25</v>
      </c>
    </row>
    <row r="1054" spans="1:9" ht="19.5" hidden="1" thickBot="1" x14ac:dyDescent="0.3">
      <c r="A1054" s="461"/>
      <c r="B1054" s="175" t="s">
        <v>468</v>
      </c>
      <c r="C1054" s="134" t="s">
        <v>19</v>
      </c>
      <c r="D1054" s="135">
        <v>4.47</v>
      </c>
      <c r="E1054" s="136" t="s">
        <v>13</v>
      </c>
      <c r="F1054" s="171"/>
      <c r="G1054" s="136" t="s">
        <v>463</v>
      </c>
      <c r="H1054" s="137"/>
      <c r="I1054" s="137" t="str">
        <f t="shared" si="25"/>
        <v>10,25</v>
      </c>
    </row>
    <row r="1055" spans="1:9" ht="19.5" hidden="1" thickBot="1" x14ac:dyDescent="0.3">
      <c r="A1055" s="473"/>
      <c r="B1055" s="95" t="s">
        <v>468</v>
      </c>
      <c r="C1055" s="96" t="s">
        <v>17</v>
      </c>
      <c r="D1055" s="97">
        <v>5.1970000000000001</v>
      </c>
      <c r="E1055" s="98" t="s">
        <v>13</v>
      </c>
      <c r="F1055" s="133"/>
      <c r="G1055" s="98" t="s">
        <v>463</v>
      </c>
      <c r="H1055" s="129"/>
      <c r="I1055" s="129" t="str">
        <f t="shared" si="25"/>
        <v>10,25</v>
      </c>
    </row>
    <row r="1056" spans="1:9" ht="19.5" hidden="1" thickBot="1" x14ac:dyDescent="0.3">
      <c r="A1056" s="454">
        <f t="shared" si="24"/>
        <v>205</v>
      </c>
      <c r="B1056" s="102" t="s">
        <v>468</v>
      </c>
      <c r="C1056" s="103" t="s">
        <v>19</v>
      </c>
      <c r="D1056" s="104">
        <v>4.0549999999999997</v>
      </c>
      <c r="E1056" s="105" t="s">
        <v>13</v>
      </c>
      <c r="F1056" s="457" t="s">
        <v>467</v>
      </c>
      <c r="G1056" s="105" t="s">
        <v>466</v>
      </c>
      <c r="H1056" s="107"/>
      <c r="I1056" s="107" t="str">
        <f t="shared" si="25"/>
        <v>10,25</v>
      </c>
    </row>
    <row r="1057" spans="1:9" ht="19.5" hidden="1" thickBot="1" x14ac:dyDescent="0.3">
      <c r="A1057" s="455"/>
      <c r="B1057" s="108" t="s">
        <v>468</v>
      </c>
      <c r="C1057" s="109" t="s">
        <v>116</v>
      </c>
      <c r="D1057" s="110">
        <v>4.1660000000000004</v>
      </c>
      <c r="E1057" s="111" t="s">
        <v>13</v>
      </c>
      <c r="F1057" s="458"/>
      <c r="G1057" s="111" t="s">
        <v>466</v>
      </c>
      <c r="H1057" s="113" t="s">
        <v>416</v>
      </c>
      <c r="I1057" s="113" t="str">
        <f t="shared" si="25"/>
        <v>10,25</v>
      </c>
    </row>
    <row r="1058" spans="1:9" ht="19.5" hidden="1" thickBot="1" x14ac:dyDescent="0.3">
      <c r="A1058" s="455"/>
      <c r="B1058" s="108" t="s">
        <v>468</v>
      </c>
      <c r="C1058" s="109" t="s">
        <v>17</v>
      </c>
      <c r="D1058" s="110">
        <v>4.7</v>
      </c>
      <c r="E1058" s="111" t="s">
        <v>13</v>
      </c>
      <c r="F1058" s="458"/>
      <c r="G1058" s="111" t="s">
        <v>466</v>
      </c>
      <c r="H1058" s="113"/>
      <c r="I1058" s="113" t="str">
        <f t="shared" si="25"/>
        <v>10,25</v>
      </c>
    </row>
    <row r="1059" spans="1:9" ht="19.5" hidden="1" thickBot="1" x14ac:dyDescent="0.3">
      <c r="A1059" s="456"/>
      <c r="B1059" s="114" t="s">
        <v>468</v>
      </c>
      <c r="C1059" s="115" t="s">
        <v>277</v>
      </c>
      <c r="D1059" s="116">
        <v>2.5960000000000001</v>
      </c>
      <c r="E1059" s="117" t="s">
        <v>13</v>
      </c>
      <c r="F1059" s="459"/>
      <c r="G1059" s="117" t="s">
        <v>466</v>
      </c>
      <c r="H1059" s="119"/>
      <c r="I1059" s="119" t="str">
        <f t="shared" si="25"/>
        <v>10,25</v>
      </c>
    </row>
    <row r="1060" spans="1:9" ht="19.5" hidden="1" thickBot="1" x14ac:dyDescent="0.3">
      <c r="A1060" s="460">
        <f t="shared" si="24"/>
        <v>206</v>
      </c>
      <c r="B1060" s="91" t="s">
        <v>468</v>
      </c>
      <c r="C1060" s="92" t="s">
        <v>18</v>
      </c>
      <c r="D1060" s="93">
        <v>1.33</v>
      </c>
      <c r="E1060" s="94" t="s">
        <v>34</v>
      </c>
      <c r="F1060" s="462" t="s">
        <v>462</v>
      </c>
      <c r="G1060" s="94" t="s">
        <v>466</v>
      </c>
      <c r="H1060" s="132"/>
      <c r="I1060" s="132" t="str">
        <f t="shared" si="25"/>
        <v>10,25</v>
      </c>
    </row>
    <row r="1061" spans="1:9" ht="19.5" hidden="1" thickBot="1" x14ac:dyDescent="0.3">
      <c r="A1061" s="461"/>
      <c r="B1061" s="175" t="s">
        <v>468</v>
      </c>
      <c r="C1061" s="134" t="s">
        <v>19</v>
      </c>
      <c r="D1061" s="135">
        <v>0.63</v>
      </c>
      <c r="E1061" s="136" t="s">
        <v>34</v>
      </c>
      <c r="F1061" s="463"/>
      <c r="G1061" s="136" t="s">
        <v>466</v>
      </c>
      <c r="H1061" s="137"/>
      <c r="I1061" s="137" t="str">
        <f t="shared" si="25"/>
        <v>10,25</v>
      </c>
    </row>
    <row r="1062" spans="1:9" ht="19.5" hidden="1" thickBot="1" x14ac:dyDescent="0.3">
      <c r="A1062" s="461"/>
      <c r="B1062" s="175" t="s">
        <v>468</v>
      </c>
      <c r="C1062" s="134" t="s">
        <v>116</v>
      </c>
      <c r="D1062" s="135">
        <v>7.0000000000000007E-2</v>
      </c>
      <c r="E1062" s="136" t="s">
        <v>34</v>
      </c>
      <c r="F1062" s="463"/>
      <c r="G1062" s="136" t="s">
        <v>466</v>
      </c>
      <c r="H1062" s="137"/>
      <c r="I1062" s="137" t="str">
        <f t="shared" si="25"/>
        <v>10,25</v>
      </c>
    </row>
    <row r="1063" spans="1:9" ht="19.5" hidden="1" thickBot="1" x14ac:dyDescent="0.3">
      <c r="A1063" s="461"/>
      <c r="B1063" s="175" t="s">
        <v>468</v>
      </c>
      <c r="C1063" s="134" t="s">
        <v>17</v>
      </c>
      <c r="D1063" s="135">
        <v>1.51</v>
      </c>
      <c r="E1063" s="136" t="s">
        <v>34</v>
      </c>
      <c r="F1063" s="463"/>
      <c r="G1063" s="136" t="s">
        <v>466</v>
      </c>
      <c r="H1063" s="137"/>
      <c r="I1063" s="137" t="str">
        <f t="shared" si="25"/>
        <v>10,25</v>
      </c>
    </row>
    <row r="1064" spans="1:9" ht="19.5" hidden="1" thickBot="1" x14ac:dyDescent="0.3">
      <c r="A1064" s="461"/>
      <c r="B1064" s="175" t="s">
        <v>468</v>
      </c>
      <c r="C1064" s="134" t="s">
        <v>18</v>
      </c>
      <c r="D1064" s="135">
        <v>0.11</v>
      </c>
      <c r="E1064" s="136" t="s">
        <v>45</v>
      </c>
      <c r="F1064" s="463"/>
      <c r="G1064" s="136" t="s">
        <v>466</v>
      </c>
      <c r="H1064" s="137"/>
      <c r="I1064" s="137" t="str">
        <f t="shared" si="25"/>
        <v>10,25</v>
      </c>
    </row>
    <row r="1065" spans="1:9" ht="19.5" hidden="1" thickBot="1" x14ac:dyDescent="0.3">
      <c r="A1065" s="461"/>
      <c r="B1065" s="175" t="s">
        <v>468</v>
      </c>
      <c r="C1065" s="134" t="s">
        <v>19</v>
      </c>
      <c r="D1065" s="211">
        <v>0.02</v>
      </c>
      <c r="E1065" s="136" t="s">
        <v>45</v>
      </c>
      <c r="F1065" s="463"/>
      <c r="G1065" s="136" t="s">
        <v>466</v>
      </c>
      <c r="H1065" s="137"/>
      <c r="I1065" s="137" t="str">
        <f t="shared" si="25"/>
        <v>10,25</v>
      </c>
    </row>
    <row r="1066" spans="1:9" ht="19.5" hidden="1" thickBot="1" x14ac:dyDescent="0.3">
      <c r="A1066" s="461"/>
      <c r="B1066" s="141" t="s">
        <v>468</v>
      </c>
      <c r="C1066" s="142" t="s">
        <v>17</v>
      </c>
      <c r="D1066" s="143">
        <v>0.27</v>
      </c>
      <c r="E1066" s="144" t="s">
        <v>45</v>
      </c>
      <c r="F1066" s="463"/>
      <c r="G1066" s="144" t="s">
        <v>466</v>
      </c>
      <c r="H1066" s="145"/>
      <c r="I1066" s="145" t="str">
        <f t="shared" si="25"/>
        <v>10,25</v>
      </c>
    </row>
    <row r="1067" spans="1:9" ht="19.5" hidden="1" thickBot="1" x14ac:dyDescent="0.3">
      <c r="A1067" s="454">
        <f t="shared" si="24"/>
        <v>207</v>
      </c>
      <c r="B1067" s="102" t="s">
        <v>469</v>
      </c>
      <c r="C1067" s="103" t="s">
        <v>319</v>
      </c>
      <c r="D1067" s="104">
        <v>0.58599999999999997</v>
      </c>
      <c r="E1067" s="105" t="s">
        <v>13</v>
      </c>
      <c r="F1067" s="457" t="s">
        <v>471</v>
      </c>
      <c r="G1067" s="105" t="s">
        <v>470</v>
      </c>
      <c r="H1067" s="107"/>
      <c r="I1067" s="107" t="str">
        <f t="shared" si="25"/>
        <v>10,25</v>
      </c>
    </row>
    <row r="1068" spans="1:9" ht="19.5" hidden="1" thickBot="1" x14ac:dyDescent="0.3">
      <c r="A1068" s="455"/>
      <c r="B1068" s="108" t="s">
        <v>469</v>
      </c>
      <c r="C1068" s="109" t="s">
        <v>367</v>
      </c>
      <c r="D1068" s="110">
        <v>2.633</v>
      </c>
      <c r="E1068" s="111" t="s">
        <v>13</v>
      </c>
      <c r="F1068" s="458"/>
      <c r="G1068" s="111" t="s">
        <v>470</v>
      </c>
      <c r="H1068" s="202" t="s">
        <v>416</v>
      </c>
      <c r="I1068" s="189" t="str">
        <f t="shared" si="25"/>
        <v>10,25</v>
      </c>
    </row>
    <row r="1069" spans="1:9" ht="19.5" hidden="1" thickBot="1" x14ac:dyDescent="0.3">
      <c r="A1069" s="455"/>
      <c r="B1069" s="108" t="s">
        <v>469</v>
      </c>
      <c r="C1069" s="109" t="s">
        <v>18</v>
      </c>
      <c r="D1069" s="110">
        <v>2.8</v>
      </c>
      <c r="E1069" s="111" t="s">
        <v>13</v>
      </c>
      <c r="F1069" s="458"/>
      <c r="G1069" s="111" t="s">
        <v>470</v>
      </c>
      <c r="H1069" s="113"/>
      <c r="I1069" s="113" t="str">
        <f t="shared" si="25"/>
        <v>10,25</v>
      </c>
    </row>
    <row r="1070" spans="1:9" ht="19.5" hidden="1" thickBot="1" x14ac:dyDescent="0.3">
      <c r="A1070" s="455"/>
      <c r="B1070" s="108" t="s">
        <v>469</v>
      </c>
      <c r="C1070" s="109" t="s">
        <v>19</v>
      </c>
      <c r="D1070" s="110">
        <v>3.9489999999999998</v>
      </c>
      <c r="E1070" s="111" t="s">
        <v>13</v>
      </c>
      <c r="F1070" s="458"/>
      <c r="G1070" s="111" t="s">
        <v>470</v>
      </c>
      <c r="H1070" s="113"/>
      <c r="I1070" s="113" t="str">
        <f t="shared" si="25"/>
        <v>10,25</v>
      </c>
    </row>
    <row r="1071" spans="1:9" ht="19.5" hidden="1" thickBot="1" x14ac:dyDescent="0.3">
      <c r="A1071" s="456"/>
      <c r="B1071" s="114" t="s">
        <v>469</v>
      </c>
      <c r="C1071" s="115" t="s">
        <v>17</v>
      </c>
      <c r="D1071" s="116">
        <v>3.85</v>
      </c>
      <c r="E1071" s="117" t="s">
        <v>13</v>
      </c>
      <c r="F1071" s="459"/>
      <c r="G1071" s="117" t="s">
        <v>470</v>
      </c>
      <c r="H1071" s="119"/>
      <c r="I1071" s="119" t="str">
        <f t="shared" si="25"/>
        <v>10,25</v>
      </c>
    </row>
    <row r="1072" spans="1:9" ht="19.5" hidden="1" thickBot="1" x14ac:dyDescent="0.3">
      <c r="A1072" s="460">
        <f t="shared" si="24"/>
        <v>208</v>
      </c>
      <c r="B1072" s="91" t="s">
        <v>469</v>
      </c>
      <c r="C1072" s="92" t="s">
        <v>18</v>
      </c>
      <c r="D1072" s="93">
        <v>2.16</v>
      </c>
      <c r="E1072" s="94" t="s">
        <v>13</v>
      </c>
      <c r="F1072" s="462" t="s">
        <v>473</v>
      </c>
      <c r="G1072" s="94" t="s">
        <v>472</v>
      </c>
      <c r="H1072" s="132"/>
      <c r="I1072" s="132" t="str">
        <f t="shared" si="25"/>
        <v>10,25</v>
      </c>
    </row>
    <row r="1073" spans="1:9" ht="19.5" hidden="1" thickBot="1" x14ac:dyDescent="0.3">
      <c r="A1073" s="461"/>
      <c r="B1073" s="175" t="s">
        <v>469</v>
      </c>
      <c r="C1073" s="134" t="s">
        <v>19</v>
      </c>
      <c r="D1073" s="135">
        <v>3.17</v>
      </c>
      <c r="E1073" s="136" t="s">
        <v>13</v>
      </c>
      <c r="F1073" s="463"/>
      <c r="G1073" s="136" t="s">
        <v>472</v>
      </c>
      <c r="H1073" s="137"/>
      <c r="I1073" s="137" t="str">
        <f t="shared" si="25"/>
        <v>10,25</v>
      </c>
    </row>
    <row r="1074" spans="1:9" ht="19.5" hidden="1" thickBot="1" x14ac:dyDescent="0.3">
      <c r="A1074" s="461"/>
      <c r="B1074" s="175" t="s">
        <v>469</v>
      </c>
      <c r="C1074" s="134" t="s">
        <v>116</v>
      </c>
      <c r="D1074" s="135">
        <v>5.3049999999999997</v>
      </c>
      <c r="E1074" s="136" t="s">
        <v>13</v>
      </c>
      <c r="F1074" s="463"/>
      <c r="G1074" s="136" t="s">
        <v>472</v>
      </c>
      <c r="H1074" s="137" t="s">
        <v>416</v>
      </c>
      <c r="I1074" s="137" t="str">
        <f t="shared" si="25"/>
        <v>10,25</v>
      </c>
    </row>
    <row r="1075" spans="1:9" ht="19.5" hidden="1" thickBot="1" x14ac:dyDescent="0.3">
      <c r="A1075" s="461"/>
      <c r="B1075" s="175" t="s">
        <v>469</v>
      </c>
      <c r="C1075" s="134" t="s">
        <v>17</v>
      </c>
      <c r="D1075" s="135">
        <v>3.17</v>
      </c>
      <c r="E1075" s="136" t="s">
        <v>13</v>
      </c>
      <c r="F1075" s="463"/>
      <c r="G1075" s="136" t="s">
        <v>472</v>
      </c>
      <c r="H1075" s="137"/>
      <c r="I1075" s="137" t="str">
        <f t="shared" si="25"/>
        <v>10,25</v>
      </c>
    </row>
    <row r="1076" spans="1:9" ht="19.5" hidden="1" thickBot="1" x14ac:dyDescent="0.3">
      <c r="A1076" s="473"/>
      <c r="B1076" s="95" t="s">
        <v>469</v>
      </c>
      <c r="C1076" s="96" t="s">
        <v>277</v>
      </c>
      <c r="D1076" s="97">
        <v>1.9430000000000001</v>
      </c>
      <c r="E1076" s="98" t="s">
        <v>13</v>
      </c>
      <c r="F1076" s="474"/>
      <c r="G1076" s="98" t="s">
        <v>472</v>
      </c>
      <c r="H1076" s="129"/>
      <c r="I1076" s="129" t="str">
        <f t="shared" si="25"/>
        <v>10,25</v>
      </c>
    </row>
    <row r="1077" spans="1:9" ht="19.5" hidden="1" thickBot="1" x14ac:dyDescent="0.3">
      <c r="A1077" s="454">
        <f t="shared" si="24"/>
        <v>209</v>
      </c>
      <c r="B1077" s="102" t="s">
        <v>469</v>
      </c>
      <c r="C1077" s="103" t="s">
        <v>18</v>
      </c>
      <c r="D1077" s="104">
        <v>1</v>
      </c>
      <c r="E1077" s="105" t="s">
        <v>34</v>
      </c>
      <c r="F1077" s="457" t="s">
        <v>474</v>
      </c>
      <c r="G1077" s="105" t="s">
        <v>472</v>
      </c>
      <c r="H1077" s="107"/>
      <c r="I1077" s="107" t="str">
        <f t="shared" si="25"/>
        <v>10,25</v>
      </c>
    </row>
    <row r="1078" spans="1:9" ht="19.5" hidden="1" thickBot="1" x14ac:dyDescent="0.3">
      <c r="A1078" s="455"/>
      <c r="B1078" s="108" t="s">
        <v>469</v>
      </c>
      <c r="C1078" s="109" t="s">
        <v>19</v>
      </c>
      <c r="D1078" s="110">
        <v>0.35</v>
      </c>
      <c r="E1078" s="111" t="s">
        <v>34</v>
      </c>
      <c r="F1078" s="458"/>
      <c r="G1078" s="111" t="s">
        <v>472</v>
      </c>
      <c r="H1078" s="113"/>
      <c r="I1078" s="113" t="str">
        <f t="shared" si="25"/>
        <v>10,25</v>
      </c>
    </row>
    <row r="1079" spans="1:9" ht="19.5" hidden="1" thickBot="1" x14ac:dyDescent="0.3">
      <c r="A1079" s="455"/>
      <c r="B1079" s="108" t="s">
        <v>469</v>
      </c>
      <c r="C1079" s="109" t="s">
        <v>116</v>
      </c>
      <c r="D1079" s="110">
        <v>0.09</v>
      </c>
      <c r="E1079" s="111" t="s">
        <v>34</v>
      </c>
      <c r="F1079" s="458"/>
      <c r="G1079" s="111" t="s">
        <v>472</v>
      </c>
      <c r="H1079" s="113"/>
      <c r="I1079" s="113" t="str">
        <f t="shared" si="25"/>
        <v>10,25</v>
      </c>
    </row>
    <row r="1080" spans="1:9" ht="19.5" hidden="1" thickBot="1" x14ac:dyDescent="0.3">
      <c r="A1080" s="455"/>
      <c r="B1080" s="108" t="s">
        <v>469</v>
      </c>
      <c r="C1080" s="109" t="s">
        <v>17</v>
      </c>
      <c r="D1080" s="110">
        <v>1.25</v>
      </c>
      <c r="E1080" s="111" t="s">
        <v>34</v>
      </c>
      <c r="F1080" s="458"/>
      <c r="G1080" s="111" t="s">
        <v>472</v>
      </c>
      <c r="H1080" s="113"/>
      <c r="I1080" s="113" t="str">
        <f t="shared" si="25"/>
        <v>10,25</v>
      </c>
    </row>
    <row r="1081" spans="1:9" ht="19.5" hidden="1" thickBot="1" x14ac:dyDescent="0.3">
      <c r="A1081" s="455"/>
      <c r="B1081" s="108" t="s">
        <v>469</v>
      </c>
      <c r="C1081" s="109" t="s">
        <v>18</v>
      </c>
      <c r="D1081" s="110">
        <v>0.35099999999999998</v>
      </c>
      <c r="E1081" s="111" t="s">
        <v>45</v>
      </c>
      <c r="F1081" s="458"/>
      <c r="G1081" s="111" t="s">
        <v>472</v>
      </c>
      <c r="H1081" s="113"/>
      <c r="I1081" s="113" t="str">
        <f t="shared" si="25"/>
        <v>10,25</v>
      </c>
    </row>
    <row r="1082" spans="1:9" ht="19.5" hidden="1" thickBot="1" x14ac:dyDescent="0.3">
      <c r="A1082" s="456"/>
      <c r="B1082" s="114" t="s">
        <v>469</v>
      </c>
      <c r="C1082" s="115" t="s">
        <v>17</v>
      </c>
      <c r="D1082" s="116">
        <v>0.27</v>
      </c>
      <c r="E1082" s="117" t="s">
        <v>45</v>
      </c>
      <c r="F1082" s="459"/>
      <c r="G1082" s="117" t="s">
        <v>472</v>
      </c>
      <c r="H1082" s="119"/>
      <c r="I1082" s="119" t="str">
        <f t="shared" si="25"/>
        <v>10,25</v>
      </c>
    </row>
    <row r="1083" spans="1:9" ht="18.75" hidden="1" customHeight="1" x14ac:dyDescent="0.3">
      <c r="A1083" s="460">
        <f t="shared" si="24"/>
        <v>210</v>
      </c>
      <c r="B1083" s="91" t="s">
        <v>475</v>
      </c>
      <c r="C1083" s="92" t="s">
        <v>319</v>
      </c>
      <c r="D1083" s="93">
        <v>0.69599999999999995</v>
      </c>
      <c r="E1083" s="94" t="s">
        <v>13</v>
      </c>
      <c r="F1083" s="462" t="s">
        <v>412</v>
      </c>
      <c r="G1083" s="94" t="s">
        <v>478</v>
      </c>
      <c r="H1083" s="132"/>
      <c r="I1083" s="132" t="str">
        <f t="shared" si="25"/>
        <v>11,25</v>
      </c>
    </row>
    <row r="1084" spans="1:9" ht="19.5" hidden="1" thickBot="1" x14ac:dyDescent="0.3">
      <c r="A1084" s="461"/>
      <c r="B1084" s="175" t="s">
        <v>475</v>
      </c>
      <c r="C1084" s="134" t="s">
        <v>367</v>
      </c>
      <c r="D1084" s="135">
        <v>2.4700000000000002</v>
      </c>
      <c r="E1084" s="136" t="s">
        <v>13</v>
      </c>
      <c r="F1084" s="463"/>
      <c r="G1084" s="136" t="s">
        <v>478</v>
      </c>
      <c r="H1084" s="242" t="s">
        <v>416</v>
      </c>
      <c r="I1084" s="192" t="str">
        <f t="shared" si="25"/>
        <v>11,25</v>
      </c>
    </row>
    <row r="1085" spans="1:9" ht="19.5" hidden="1" thickBot="1" x14ac:dyDescent="0.3">
      <c r="A1085" s="461"/>
      <c r="B1085" s="175" t="s">
        <v>475</v>
      </c>
      <c r="C1085" s="134" t="s">
        <v>18</v>
      </c>
      <c r="D1085" s="135">
        <v>3.9550000000000001</v>
      </c>
      <c r="E1085" s="136" t="s">
        <v>13</v>
      </c>
      <c r="F1085" s="463"/>
      <c r="G1085" s="136" t="s">
        <v>478</v>
      </c>
      <c r="H1085" s="137"/>
      <c r="I1085" s="137" t="str">
        <f t="shared" si="25"/>
        <v>11,25</v>
      </c>
    </row>
    <row r="1086" spans="1:9" ht="19.5" hidden="1" thickBot="1" x14ac:dyDescent="0.3">
      <c r="A1086" s="461"/>
      <c r="B1086" s="175" t="s">
        <v>475</v>
      </c>
      <c r="C1086" s="134" t="s">
        <v>19</v>
      </c>
      <c r="D1086" s="135">
        <v>4.8419999999999996</v>
      </c>
      <c r="E1086" s="136" t="s">
        <v>13</v>
      </c>
      <c r="F1086" s="463"/>
      <c r="G1086" s="136" t="s">
        <v>478</v>
      </c>
      <c r="H1086" s="137"/>
      <c r="I1086" s="137" t="str">
        <f t="shared" si="25"/>
        <v>11,25</v>
      </c>
    </row>
    <row r="1087" spans="1:9" ht="19.5" hidden="1" thickBot="1" x14ac:dyDescent="0.3">
      <c r="A1087" s="473"/>
      <c r="B1087" s="95" t="s">
        <v>475</v>
      </c>
      <c r="C1087" s="96" t="s">
        <v>17</v>
      </c>
      <c r="D1087" s="97">
        <v>3.2480000000000002</v>
      </c>
      <c r="E1087" s="98" t="s">
        <v>13</v>
      </c>
      <c r="F1087" s="474"/>
      <c r="G1087" s="98" t="s">
        <v>478</v>
      </c>
      <c r="H1087" s="129"/>
      <c r="I1087" s="129" t="str">
        <f t="shared" si="25"/>
        <v>11,25</v>
      </c>
    </row>
    <row r="1088" spans="1:9" ht="19.5" hidden="1" thickBot="1" x14ac:dyDescent="0.3">
      <c r="A1088" s="454">
        <f t="shared" si="24"/>
        <v>211</v>
      </c>
      <c r="B1088" s="102" t="s">
        <v>475</v>
      </c>
      <c r="C1088" s="103" t="s">
        <v>18</v>
      </c>
      <c r="D1088" s="104">
        <v>3.3410000000000002</v>
      </c>
      <c r="E1088" s="105" t="s">
        <v>13</v>
      </c>
      <c r="F1088" s="457" t="s">
        <v>477</v>
      </c>
      <c r="G1088" s="105" t="s">
        <v>476</v>
      </c>
      <c r="H1088" s="107"/>
      <c r="I1088" s="107" t="str">
        <f t="shared" si="25"/>
        <v>11,25</v>
      </c>
    </row>
    <row r="1089" spans="1:9" ht="19.5" hidden="1" thickBot="1" x14ac:dyDescent="0.3">
      <c r="A1089" s="455"/>
      <c r="B1089" s="108" t="s">
        <v>475</v>
      </c>
      <c r="C1089" s="109" t="s">
        <v>19</v>
      </c>
      <c r="D1089" s="110">
        <v>4.0720000000000001</v>
      </c>
      <c r="E1089" s="111" t="s">
        <v>13</v>
      </c>
      <c r="F1089" s="458"/>
      <c r="G1089" s="111" t="s">
        <v>476</v>
      </c>
      <c r="H1089" s="113"/>
      <c r="I1089" s="113" t="str">
        <f t="shared" si="25"/>
        <v>11,25</v>
      </c>
    </row>
    <row r="1090" spans="1:9" ht="19.5" hidden="1" thickBot="1" x14ac:dyDescent="0.3">
      <c r="A1090" s="455"/>
      <c r="B1090" s="108" t="s">
        <v>475</v>
      </c>
      <c r="C1090" s="109" t="s">
        <v>116</v>
      </c>
      <c r="D1090" s="110">
        <v>3.722</v>
      </c>
      <c r="E1090" s="111" t="s">
        <v>13</v>
      </c>
      <c r="F1090" s="458"/>
      <c r="G1090" s="111" t="s">
        <v>476</v>
      </c>
      <c r="H1090" s="113" t="s">
        <v>416</v>
      </c>
      <c r="I1090" s="113" t="str">
        <f t="shared" si="25"/>
        <v>11,25</v>
      </c>
    </row>
    <row r="1091" spans="1:9" ht="19.5" hidden="1" thickBot="1" x14ac:dyDescent="0.3">
      <c r="A1091" s="455"/>
      <c r="B1091" s="108" t="s">
        <v>475</v>
      </c>
      <c r="C1091" s="109" t="s">
        <v>17</v>
      </c>
      <c r="D1091" s="110">
        <v>2.6589999999999998</v>
      </c>
      <c r="E1091" s="111" t="s">
        <v>13</v>
      </c>
      <c r="F1091" s="458"/>
      <c r="G1091" s="111" t="s">
        <v>476</v>
      </c>
      <c r="H1091" s="113"/>
      <c r="I1091" s="113" t="str">
        <f t="shared" si="25"/>
        <v>11,25</v>
      </c>
    </row>
    <row r="1092" spans="1:9" ht="19.5" hidden="1" thickBot="1" x14ac:dyDescent="0.3">
      <c r="A1092" s="455"/>
      <c r="B1092" s="164" t="s">
        <v>475</v>
      </c>
      <c r="C1092" s="165" t="s">
        <v>277</v>
      </c>
      <c r="D1092" s="166">
        <v>2.2759999999999998</v>
      </c>
      <c r="E1092" s="167" t="s">
        <v>13</v>
      </c>
      <c r="F1092" s="458"/>
      <c r="G1092" s="167" t="s">
        <v>476</v>
      </c>
      <c r="H1092" s="163"/>
      <c r="I1092" s="163" t="str">
        <f t="shared" si="25"/>
        <v>11,25</v>
      </c>
    </row>
    <row r="1093" spans="1:9" ht="18.75" hidden="1" customHeight="1" x14ac:dyDescent="0.3">
      <c r="A1093" s="460">
        <f t="shared" si="24"/>
        <v>212</v>
      </c>
      <c r="B1093" s="91" t="s">
        <v>475</v>
      </c>
      <c r="C1093" s="92" t="s">
        <v>18</v>
      </c>
      <c r="D1093" s="93">
        <v>0.75</v>
      </c>
      <c r="E1093" s="94" t="s">
        <v>34</v>
      </c>
      <c r="F1093" s="462" t="s">
        <v>462</v>
      </c>
      <c r="G1093" s="94" t="s">
        <v>476</v>
      </c>
      <c r="H1093" s="132"/>
      <c r="I1093" s="132" t="str">
        <f t="shared" si="25"/>
        <v>11,25</v>
      </c>
    </row>
    <row r="1094" spans="1:9" ht="19.5" hidden="1" thickBot="1" x14ac:dyDescent="0.3">
      <c r="A1094" s="461"/>
      <c r="B1094" s="244" t="s">
        <v>475</v>
      </c>
      <c r="C1094" s="147" t="s">
        <v>19</v>
      </c>
      <c r="D1094" s="148">
        <v>0.24</v>
      </c>
      <c r="E1094" s="146" t="s">
        <v>34</v>
      </c>
      <c r="F1094" s="463"/>
      <c r="G1094" s="146" t="s">
        <v>476</v>
      </c>
      <c r="H1094" s="152"/>
      <c r="I1094" s="152" t="str">
        <f t="shared" si="25"/>
        <v>11,25</v>
      </c>
    </row>
    <row r="1095" spans="1:9" ht="19.5" hidden="1" thickBot="1" x14ac:dyDescent="0.3">
      <c r="A1095" s="461"/>
      <c r="B1095" s="244" t="s">
        <v>475</v>
      </c>
      <c r="C1095" s="147" t="s">
        <v>116</v>
      </c>
      <c r="D1095" s="148">
        <v>0.2</v>
      </c>
      <c r="E1095" s="146" t="s">
        <v>34</v>
      </c>
      <c r="F1095" s="463"/>
      <c r="G1095" s="146" t="s">
        <v>476</v>
      </c>
      <c r="H1095" s="152"/>
      <c r="I1095" s="152" t="str">
        <f t="shared" si="25"/>
        <v>11,25</v>
      </c>
    </row>
    <row r="1096" spans="1:9" ht="19.5" hidden="1" thickBot="1" x14ac:dyDescent="0.3">
      <c r="A1096" s="461"/>
      <c r="B1096" s="244" t="s">
        <v>475</v>
      </c>
      <c r="C1096" s="147" t="s">
        <v>17</v>
      </c>
      <c r="D1096" s="148">
        <v>2.0499999999999998</v>
      </c>
      <c r="E1096" s="146" t="s">
        <v>34</v>
      </c>
      <c r="F1096" s="463"/>
      <c r="G1096" s="146" t="s">
        <v>476</v>
      </c>
      <c r="H1096" s="152"/>
      <c r="I1096" s="152" t="str">
        <f t="shared" si="25"/>
        <v>11,25</v>
      </c>
    </row>
    <row r="1097" spans="1:9" ht="19.5" hidden="1" thickBot="1" x14ac:dyDescent="0.3">
      <c r="A1097" s="461"/>
      <c r="B1097" s="244" t="s">
        <v>475</v>
      </c>
      <c r="C1097" s="147" t="s">
        <v>18</v>
      </c>
      <c r="D1097" s="148">
        <v>0.12</v>
      </c>
      <c r="E1097" s="146" t="s">
        <v>45</v>
      </c>
      <c r="F1097" s="463"/>
      <c r="G1097" s="146" t="s">
        <v>476</v>
      </c>
      <c r="H1097" s="152"/>
      <c r="I1097" s="152" t="str">
        <f t="shared" si="25"/>
        <v>11,25</v>
      </c>
    </row>
    <row r="1098" spans="1:9" ht="19.5" hidden="1" thickBot="1" x14ac:dyDescent="0.3">
      <c r="A1098" s="461"/>
      <c r="B1098" s="244" t="s">
        <v>475</v>
      </c>
      <c r="C1098" s="147" t="s">
        <v>17</v>
      </c>
      <c r="D1098" s="148">
        <v>0.45</v>
      </c>
      <c r="E1098" s="146" t="s">
        <v>45</v>
      </c>
      <c r="F1098" s="463"/>
      <c r="G1098" s="146" t="s">
        <v>476</v>
      </c>
      <c r="H1098" s="152"/>
      <c r="I1098" s="152" t="str">
        <f t="shared" si="25"/>
        <v>11,25</v>
      </c>
    </row>
    <row r="1099" spans="1:9" ht="19.5" hidden="1" thickBot="1" x14ac:dyDescent="0.3">
      <c r="A1099" s="461"/>
      <c r="B1099" s="141" t="s">
        <v>475</v>
      </c>
      <c r="C1099" s="142" t="s">
        <v>116</v>
      </c>
      <c r="D1099" s="245">
        <v>0.01</v>
      </c>
      <c r="E1099" s="144" t="s">
        <v>45</v>
      </c>
      <c r="F1099" s="463"/>
      <c r="G1099" s="144" t="s">
        <v>476</v>
      </c>
      <c r="H1099" s="145"/>
      <c r="I1099" s="145" t="str">
        <f t="shared" si="25"/>
        <v>11,25</v>
      </c>
    </row>
    <row r="1100" spans="1:9" ht="19.5" hidden="1" thickBot="1" x14ac:dyDescent="0.3">
      <c r="A1100" s="454">
        <f t="shared" si="24"/>
        <v>213</v>
      </c>
      <c r="B1100" s="102" t="s">
        <v>479</v>
      </c>
      <c r="C1100" s="103" t="s">
        <v>319</v>
      </c>
      <c r="D1100" s="104">
        <v>0.79400000000000004</v>
      </c>
      <c r="E1100" s="105" t="s">
        <v>13</v>
      </c>
      <c r="F1100" s="457" t="s">
        <v>292</v>
      </c>
      <c r="G1100" s="105" t="s">
        <v>480</v>
      </c>
      <c r="H1100" s="107"/>
      <c r="I1100" s="107" t="str">
        <f t="shared" si="25"/>
        <v>11,25</v>
      </c>
    </row>
    <row r="1101" spans="1:9" ht="19.5" hidden="1" thickBot="1" x14ac:dyDescent="0.3">
      <c r="A1101" s="455"/>
      <c r="B1101" s="108" t="s">
        <v>479</v>
      </c>
      <c r="C1101" s="109" t="s">
        <v>367</v>
      </c>
      <c r="D1101" s="110">
        <v>2.5499999999999998</v>
      </c>
      <c r="E1101" s="111" t="s">
        <v>13</v>
      </c>
      <c r="F1101" s="458"/>
      <c r="G1101" s="111" t="s">
        <v>480</v>
      </c>
      <c r="H1101" s="113" t="s">
        <v>416</v>
      </c>
      <c r="I1101" s="113" t="str">
        <f t="shared" si="25"/>
        <v>11,25</v>
      </c>
    </row>
    <row r="1102" spans="1:9" ht="19.5" hidden="1" thickBot="1" x14ac:dyDescent="0.3">
      <c r="A1102" s="455"/>
      <c r="B1102" s="108" t="s">
        <v>479</v>
      </c>
      <c r="C1102" s="109" t="s">
        <v>18</v>
      </c>
      <c r="D1102" s="110">
        <v>1.51</v>
      </c>
      <c r="E1102" s="111" t="s">
        <v>13</v>
      </c>
      <c r="F1102" s="458"/>
      <c r="G1102" s="111" t="s">
        <v>480</v>
      </c>
      <c r="H1102" s="113"/>
      <c r="I1102" s="113" t="str">
        <f t="shared" si="25"/>
        <v>11,25</v>
      </c>
    </row>
    <row r="1103" spans="1:9" ht="19.5" hidden="1" thickBot="1" x14ac:dyDescent="0.3">
      <c r="A1103" s="455"/>
      <c r="B1103" s="108" t="s">
        <v>479</v>
      </c>
      <c r="C1103" s="109" t="s">
        <v>19</v>
      </c>
      <c r="D1103" s="110">
        <v>4.97</v>
      </c>
      <c r="E1103" s="111" t="s">
        <v>13</v>
      </c>
      <c r="F1103" s="458"/>
      <c r="G1103" s="111" t="s">
        <v>480</v>
      </c>
      <c r="H1103" s="113"/>
      <c r="I1103" s="113" t="str">
        <f t="shared" si="25"/>
        <v>11,25</v>
      </c>
    </row>
    <row r="1104" spans="1:9" ht="19.5" hidden="1" thickBot="1" x14ac:dyDescent="0.3">
      <c r="A1104" s="455"/>
      <c r="B1104" s="108" t="s">
        <v>479</v>
      </c>
      <c r="C1104" s="109" t="s">
        <v>116</v>
      </c>
      <c r="D1104" s="110">
        <v>2.2000000000000002</v>
      </c>
      <c r="E1104" s="111" t="s">
        <v>13</v>
      </c>
      <c r="F1104" s="458"/>
      <c r="G1104" s="111" t="s">
        <v>480</v>
      </c>
      <c r="H1104" s="113" t="s">
        <v>416</v>
      </c>
      <c r="I1104" s="113" t="str">
        <f t="shared" si="25"/>
        <v>11,25</v>
      </c>
    </row>
    <row r="1105" spans="1:9" ht="19.5" hidden="1" thickBot="1" x14ac:dyDescent="0.3">
      <c r="A1105" s="456"/>
      <c r="B1105" s="114" t="s">
        <v>479</v>
      </c>
      <c r="C1105" s="115" t="s">
        <v>17</v>
      </c>
      <c r="D1105" s="116">
        <v>3.4380000000000002</v>
      </c>
      <c r="E1105" s="117" t="s">
        <v>13</v>
      </c>
      <c r="F1105" s="459"/>
      <c r="G1105" s="117" t="s">
        <v>480</v>
      </c>
      <c r="H1105" s="119"/>
      <c r="I1105" s="119" t="str">
        <f t="shared" si="25"/>
        <v>11,25</v>
      </c>
    </row>
    <row r="1106" spans="1:9" ht="19.5" hidden="1" thickBot="1" x14ac:dyDescent="0.3">
      <c r="A1106" s="460">
        <f t="shared" si="24"/>
        <v>214</v>
      </c>
      <c r="B1106" s="91" t="s">
        <v>479</v>
      </c>
      <c r="C1106" s="92" t="s">
        <v>18</v>
      </c>
      <c r="D1106" s="93">
        <v>1.653</v>
      </c>
      <c r="E1106" s="94" t="s">
        <v>13</v>
      </c>
      <c r="F1106" s="462" t="s">
        <v>361</v>
      </c>
      <c r="G1106" s="94" t="s">
        <v>481</v>
      </c>
      <c r="H1106" s="132"/>
      <c r="I1106" s="132" t="str">
        <f t="shared" si="25"/>
        <v>11,25</v>
      </c>
    </row>
    <row r="1107" spans="1:9" ht="19.5" hidden="1" thickBot="1" x14ac:dyDescent="0.3">
      <c r="A1107" s="461"/>
      <c r="B1107" s="175" t="s">
        <v>479</v>
      </c>
      <c r="C1107" s="134" t="s">
        <v>19</v>
      </c>
      <c r="D1107" s="135">
        <v>5.4429999999999996</v>
      </c>
      <c r="E1107" s="136" t="s">
        <v>13</v>
      </c>
      <c r="F1107" s="463"/>
      <c r="G1107" s="136" t="s">
        <v>481</v>
      </c>
      <c r="H1107" s="137"/>
      <c r="I1107" s="137" t="str">
        <f t="shared" si="25"/>
        <v>11,25</v>
      </c>
    </row>
    <row r="1108" spans="1:9" ht="19.5" hidden="1" thickBot="1" x14ac:dyDescent="0.3">
      <c r="A1108" s="461"/>
      <c r="B1108" s="175" t="s">
        <v>479</v>
      </c>
      <c r="C1108" s="134" t="s">
        <v>116</v>
      </c>
      <c r="D1108" s="135">
        <v>2.25</v>
      </c>
      <c r="E1108" s="136" t="s">
        <v>13</v>
      </c>
      <c r="F1108" s="463"/>
      <c r="G1108" s="136" t="s">
        <v>481</v>
      </c>
      <c r="H1108" s="137" t="s">
        <v>416</v>
      </c>
      <c r="I1108" s="137" t="str">
        <f t="shared" si="25"/>
        <v>11,25</v>
      </c>
    </row>
    <row r="1109" spans="1:9" ht="19.5" hidden="1" thickBot="1" x14ac:dyDescent="0.3">
      <c r="A1109" s="461"/>
      <c r="B1109" s="175" t="s">
        <v>479</v>
      </c>
      <c r="C1109" s="134" t="s">
        <v>17</v>
      </c>
      <c r="D1109" s="135">
        <v>3.76</v>
      </c>
      <c r="E1109" s="136" t="s">
        <v>13</v>
      </c>
      <c r="F1109" s="463"/>
      <c r="G1109" s="136" t="s">
        <v>481</v>
      </c>
      <c r="H1109" s="137"/>
      <c r="I1109" s="137" t="str">
        <f t="shared" ref="I1109:I1173" si="26">RIGHT(G1109,5)</f>
        <v>11,25</v>
      </c>
    </row>
    <row r="1110" spans="1:9" ht="19.5" hidden="1" thickBot="1" x14ac:dyDescent="0.3">
      <c r="A1110" s="473"/>
      <c r="B1110" s="95" t="s">
        <v>479</v>
      </c>
      <c r="C1110" s="96" t="s">
        <v>277</v>
      </c>
      <c r="D1110" s="97">
        <v>2.5720000000000001</v>
      </c>
      <c r="E1110" s="98" t="s">
        <v>13</v>
      </c>
      <c r="F1110" s="474"/>
      <c r="G1110" s="98" t="s">
        <v>481</v>
      </c>
      <c r="H1110" s="129"/>
      <c r="I1110" s="129" t="str">
        <f t="shared" si="26"/>
        <v>11,25</v>
      </c>
    </row>
    <row r="1111" spans="1:9" ht="19.5" hidden="1" thickBot="1" x14ac:dyDescent="0.3">
      <c r="A1111" s="454">
        <f t="shared" ref="A1111" si="27">MAX(A1088:A1110)+1</f>
        <v>215</v>
      </c>
      <c r="B1111" s="102" t="s">
        <v>479</v>
      </c>
      <c r="C1111" s="103" t="s">
        <v>18</v>
      </c>
      <c r="D1111" s="104">
        <v>0.12</v>
      </c>
      <c r="E1111" s="105" t="s">
        <v>34</v>
      </c>
      <c r="F1111" s="457" t="s">
        <v>482</v>
      </c>
      <c r="G1111" s="105" t="s">
        <v>481</v>
      </c>
      <c r="H1111" s="107"/>
      <c r="I1111" s="107" t="str">
        <f t="shared" si="26"/>
        <v>11,25</v>
      </c>
    </row>
    <row r="1112" spans="1:9" ht="19.5" hidden="1" thickBot="1" x14ac:dyDescent="0.3">
      <c r="A1112" s="455"/>
      <c r="B1112" s="108" t="s">
        <v>479</v>
      </c>
      <c r="C1112" s="109" t="s">
        <v>19</v>
      </c>
      <c r="D1112" s="110">
        <v>0.46</v>
      </c>
      <c r="E1112" s="111" t="s">
        <v>34</v>
      </c>
      <c r="F1112" s="458"/>
      <c r="G1112" s="111" t="s">
        <v>481</v>
      </c>
      <c r="H1112" s="113"/>
      <c r="I1112" s="113" t="str">
        <f t="shared" si="26"/>
        <v>11,25</v>
      </c>
    </row>
    <row r="1113" spans="1:9" ht="19.5" hidden="1" thickBot="1" x14ac:dyDescent="0.3">
      <c r="A1113" s="455"/>
      <c r="B1113" s="108" t="s">
        <v>479</v>
      </c>
      <c r="C1113" s="109" t="s">
        <v>116</v>
      </c>
      <c r="D1113" s="110">
        <v>0.1</v>
      </c>
      <c r="E1113" s="111" t="s">
        <v>34</v>
      </c>
      <c r="F1113" s="458"/>
      <c r="G1113" s="111" t="s">
        <v>481</v>
      </c>
      <c r="H1113" s="113"/>
      <c r="I1113" s="113" t="str">
        <f t="shared" si="26"/>
        <v>11,25</v>
      </c>
    </row>
    <row r="1114" spans="1:9" ht="19.5" hidden="1" thickBot="1" x14ac:dyDescent="0.3">
      <c r="A1114" s="455"/>
      <c r="B1114" s="108" t="s">
        <v>479</v>
      </c>
      <c r="C1114" s="109" t="s">
        <v>17</v>
      </c>
      <c r="D1114" s="110">
        <v>0.91</v>
      </c>
      <c r="E1114" s="111" t="s">
        <v>34</v>
      </c>
      <c r="F1114" s="458"/>
      <c r="G1114" s="111" t="s">
        <v>481</v>
      </c>
      <c r="H1114" s="113"/>
      <c r="I1114" s="113" t="str">
        <f t="shared" si="26"/>
        <v>11,25</v>
      </c>
    </row>
    <row r="1115" spans="1:9" ht="19.5" hidden="1" thickBot="1" x14ac:dyDescent="0.3">
      <c r="A1115" s="455"/>
      <c r="B1115" s="108" t="s">
        <v>479</v>
      </c>
      <c r="C1115" s="109" t="s">
        <v>19</v>
      </c>
      <c r="D1115" s="212">
        <v>4.4999999999999998E-2</v>
      </c>
      <c r="E1115" s="111" t="s">
        <v>45</v>
      </c>
      <c r="F1115" s="458"/>
      <c r="G1115" s="111" t="s">
        <v>481</v>
      </c>
      <c r="H1115" s="113"/>
      <c r="I1115" s="113" t="str">
        <f t="shared" si="26"/>
        <v>11,25</v>
      </c>
    </row>
    <row r="1116" spans="1:9" ht="19.5" hidden="1" thickBot="1" x14ac:dyDescent="0.3">
      <c r="A1116" s="455"/>
      <c r="B1116" s="164" t="s">
        <v>479</v>
      </c>
      <c r="C1116" s="165" t="s">
        <v>17</v>
      </c>
      <c r="D1116" s="166">
        <v>0.20699999999999999</v>
      </c>
      <c r="E1116" s="167" t="s">
        <v>45</v>
      </c>
      <c r="F1116" s="458"/>
      <c r="G1116" s="167" t="s">
        <v>481</v>
      </c>
      <c r="H1116" s="163"/>
      <c r="I1116" s="163" t="str">
        <f t="shared" si="26"/>
        <v>11,25</v>
      </c>
    </row>
    <row r="1117" spans="1:9" ht="19.5" hidden="1" thickBot="1" x14ac:dyDescent="0.3">
      <c r="A1117" s="460">
        <f>MAX(A1095:A1116)+1</f>
        <v>216</v>
      </c>
      <c r="B1117" s="91" t="s">
        <v>483</v>
      </c>
      <c r="C1117" s="92" t="s">
        <v>367</v>
      </c>
      <c r="D1117" s="93">
        <v>2.5499999999999998</v>
      </c>
      <c r="E1117" s="94" t="s">
        <v>13</v>
      </c>
      <c r="F1117" s="462" t="s">
        <v>487</v>
      </c>
      <c r="G1117" s="94" t="s">
        <v>484</v>
      </c>
      <c r="H1117" s="132" t="s">
        <v>416</v>
      </c>
      <c r="I1117" s="132" t="str">
        <f t="shared" si="26"/>
        <v>11,25</v>
      </c>
    </row>
    <row r="1118" spans="1:9" ht="19.5" hidden="1" thickBot="1" x14ac:dyDescent="0.3">
      <c r="A1118" s="461"/>
      <c r="B1118" s="175" t="s">
        <v>483</v>
      </c>
      <c r="C1118" s="134" t="s">
        <v>18</v>
      </c>
      <c r="D1118" s="135">
        <v>2.0030000000000001</v>
      </c>
      <c r="E1118" s="136" t="s">
        <v>13</v>
      </c>
      <c r="F1118" s="463"/>
      <c r="G1118" s="136" t="s">
        <v>484</v>
      </c>
      <c r="H1118" s="137"/>
      <c r="I1118" s="137" t="str">
        <f t="shared" si="26"/>
        <v>11,25</v>
      </c>
    </row>
    <row r="1119" spans="1:9" ht="19.5" hidden="1" thickBot="1" x14ac:dyDescent="0.3">
      <c r="A1119" s="461"/>
      <c r="B1119" s="175" t="s">
        <v>483</v>
      </c>
      <c r="C1119" s="134" t="s">
        <v>19</v>
      </c>
      <c r="D1119" s="135">
        <v>4.4660000000000002</v>
      </c>
      <c r="E1119" s="136" t="s">
        <v>13</v>
      </c>
      <c r="F1119" s="463"/>
      <c r="G1119" s="136" t="s">
        <v>484</v>
      </c>
      <c r="H1119" s="137"/>
      <c r="I1119" s="137" t="str">
        <f t="shared" si="26"/>
        <v>11,25</v>
      </c>
    </row>
    <row r="1120" spans="1:9" ht="19.5" hidden="1" thickBot="1" x14ac:dyDescent="0.3">
      <c r="A1120" s="461"/>
      <c r="B1120" s="175" t="s">
        <v>483</v>
      </c>
      <c r="C1120" s="134" t="s">
        <v>116</v>
      </c>
      <c r="D1120" s="135">
        <v>1.8260000000000001</v>
      </c>
      <c r="E1120" s="136" t="s">
        <v>13</v>
      </c>
      <c r="F1120" s="463"/>
      <c r="G1120" s="136" t="s">
        <v>484</v>
      </c>
      <c r="H1120" s="137" t="s">
        <v>416</v>
      </c>
      <c r="I1120" s="137" t="str">
        <f t="shared" si="26"/>
        <v>11,25</v>
      </c>
    </row>
    <row r="1121" spans="1:9" ht="19.5" hidden="1" thickBot="1" x14ac:dyDescent="0.3">
      <c r="A1121" s="473"/>
      <c r="B1121" s="95" t="s">
        <v>483</v>
      </c>
      <c r="C1121" s="96" t="s">
        <v>17</v>
      </c>
      <c r="D1121" s="97">
        <v>2.8</v>
      </c>
      <c r="E1121" s="98" t="s">
        <v>13</v>
      </c>
      <c r="F1121" s="474"/>
      <c r="G1121" s="98" t="s">
        <v>484</v>
      </c>
      <c r="H1121" s="129"/>
      <c r="I1121" s="129" t="str">
        <f t="shared" si="26"/>
        <v>11,25</v>
      </c>
    </row>
    <row r="1122" spans="1:9" ht="19.5" hidden="1" thickBot="1" x14ac:dyDescent="0.3">
      <c r="A1122" s="454">
        <f>MAX(A1100:A1121)+1</f>
        <v>217</v>
      </c>
      <c r="B1122" s="102" t="s">
        <v>483</v>
      </c>
      <c r="C1122" s="103" t="s">
        <v>18</v>
      </c>
      <c r="D1122" s="104">
        <v>1.33</v>
      </c>
      <c r="E1122" s="105" t="s">
        <v>13</v>
      </c>
      <c r="F1122" s="457" t="s">
        <v>486</v>
      </c>
      <c r="G1122" s="105" t="s">
        <v>485</v>
      </c>
      <c r="H1122" s="107"/>
      <c r="I1122" s="107" t="str">
        <f t="shared" si="26"/>
        <v>11,25</v>
      </c>
    </row>
    <row r="1123" spans="1:9" ht="19.5" hidden="1" thickBot="1" x14ac:dyDescent="0.3">
      <c r="A1123" s="455"/>
      <c r="B1123" s="108" t="s">
        <v>483</v>
      </c>
      <c r="C1123" s="109" t="s">
        <v>19</v>
      </c>
      <c r="D1123" s="110">
        <v>2.7010000000000001</v>
      </c>
      <c r="E1123" s="111" t="s">
        <v>13</v>
      </c>
      <c r="F1123" s="458"/>
      <c r="G1123" s="111" t="s">
        <v>485</v>
      </c>
      <c r="H1123" s="113"/>
      <c r="I1123" s="113" t="str">
        <f t="shared" si="26"/>
        <v>11,25</v>
      </c>
    </row>
    <row r="1124" spans="1:9" ht="19.5" hidden="1" thickBot="1" x14ac:dyDescent="0.3">
      <c r="A1124" s="455"/>
      <c r="B1124" s="108" t="s">
        <v>483</v>
      </c>
      <c r="C1124" s="109" t="s">
        <v>116</v>
      </c>
      <c r="D1124" s="110">
        <v>1.1000000000000001</v>
      </c>
      <c r="E1124" s="111" t="s">
        <v>13</v>
      </c>
      <c r="F1124" s="458"/>
      <c r="G1124" s="111" t="s">
        <v>485</v>
      </c>
      <c r="H1124" s="113" t="s">
        <v>416</v>
      </c>
      <c r="I1124" s="113" t="str">
        <f t="shared" si="26"/>
        <v>11,25</v>
      </c>
    </row>
    <row r="1125" spans="1:9" ht="19.5" hidden="1" thickBot="1" x14ac:dyDescent="0.3">
      <c r="A1125" s="455"/>
      <c r="B1125" s="108" t="s">
        <v>483</v>
      </c>
      <c r="C1125" s="109" t="s">
        <v>17</v>
      </c>
      <c r="D1125" s="110">
        <v>1.766</v>
      </c>
      <c r="E1125" s="111" t="s">
        <v>13</v>
      </c>
      <c r="F1125" s="458"/>
      <c r="G1125" s="111" t="s">
        <v>485</v>
      </c>
      <c r="H1125" s="113"/>
      <c r="I1125" s="113" t="str">
        <f t="shared" si="26"/>
        <v>11,25</v>
      </c>
    </row>
    <row r="1126" spans="1:9" ht="19.5" hidden="1" thickBot="1" x14ac:dyDescent="0.3">
      <c r="A1126" s="456"/>
      <c r="B1126" s="114" t="s">
        <v>483</v>
      </c>
      <c r="C1126" s="115" t="s">
        <v>277</v>
      </c>
      <c r="D1126" s="116">
        <v>3.7749999999999999</v>
      </c>
      <c r="E1126" s="117" t="s">
        <v>13</v>
      </c>
      <c r="F1126" s="459"/>
      <c r="G1126" s="117" t="s">
        <v>485</v>
      </c>
      <c r="H1126" s="119"/>
      <c r="I1126" s="119" t="str">
        <f t="shared" si="26"/>
        <v>11,25</v>
      </c>
    </row>
    <row r="1127" spans="1:9" ht="19.5" hidden="1" thickBot="1" x14ac:dyDescent="0.3">
      <c r="A1127" s="460">
        <f t="shared" ref="A1127:A1182" si="28">MAX(A1105:A1126)+1</f>
        <v>218</v>
      </c>
      <c r="B1127" s="91" t="s">
        <v>483</v>
      </c>
      <c r="C1127" s="92" t="s">
        <v>18</v>
      </c>
      <c r="D1127" s="93">
        <v>0.43</v>
      </c>
      <c r="E1127" s="94" t="s">
        <v>34</v>
      </c>
      <c r="F1127" s="462" t="s">
        <v>451</v>
      </c>
      <c r="G1127" s="94" t="s">
        <v>485</v>
      </c>
      <c r="H1127" s="132"/>
      <c r="I1127" s="132" t="str">
        <f t="shared" si="26"/>
        <v>11,25</v>
      </c>
    </row>
    <row r="1128" spans="1:9" ht="19.5" hidden="1" thickBot="1" x14ac:dyDescent="0.3">
      <c r="A1128" s="461"/>
      <c r="B1128" s="175" t="s">
        <v>483</v>
      </c>
      <c r="C1128" s="134" t="s">
        <v>19</v>
      </c>
      <c r="D1128" s="135">
        <v>0.55000000000000004</v>
      </c>
      <c r="E1128" s="136" t="s">
        <v>34</v>
      </c>
      <c r="F1128" s="463"/>
      <c r="G1128" s="136" t="s">
        <v>485</v>
      </c>
      <c r="H1128" s="137"/>
      <c r="I1128" s="137" t="str">
        <f t="shared" si="26"/>
        <v>11,25</v>
      </c>
    </row>
    <row r="1129" spans="1:9" ht="19.5" hidden="1" thickBot="1" x14ac:dyDescent="0.3">
      <c r="A1129" s="461"/>
      <c r="B1129" s="175" t="s">
        <v>483</v>
      </c>
      <c r="C1129" s="134" t="s">
        <v>116</v>
      </c>
      <c r="D1129" s="135">
        <v>0.17</v>
      </c>
      <c r="E1129" s="136" t="s">
        <v>34</v>
      </c>
      <c r="F1129" s="463"/>
      <c r="G1129" s="136" t="s">
        <v>485</v>
      </c>
      <c r="H1129" s="137"/>
      <c r="I1129" s="137" t="str">
        <f t="shared" si="26"/>
        <v>11,25</v>
      </c>
    </row>
    <row r="1130" spans="1:9" ht="19.5" hidden="1" thickBot="1" x14ac:dyDescent="0.3">
      <c r="A1130" s="461"/>
      <c r="B1130" s="175" t="s">
        <v>483</v>
      </c>
      <c r="C1130" s="134" t="s">
        <v>17</v>
      </c>
      <c r="D1130" s="135">
        <v>0.73</v>
      </c>
      <c r="E1130" s="136" t="s">
        <v>34</v>
      </c>
      <c r="F1130" s="463"/>
      <c r="G1130" s="136" t="s">
        <v>485</v>
      </c>
      <c r="H1130" s="137"/>
      <c r="I1130" s="137" t="str">
        <f t="shared" si="26"/>
        <v>11,25</v>
      </c>
    </row>
    <row r="1131" spans="1:9" ht="19.5" hidden="1" thickBot="1" x14ac:dyDescent="0.3">
      <c r="A1131" s="461"/>
      <c r="B1131" s="175" t="s">
        <v>483</v>
      </c>
      <c r="C1131" s="134" t="s">
        <v>18</v>
      </c>
      <c r="D1131" s="135">
        <v>0.18</v>
      </c>
      <c r="E1131" s="136" t="s">
        <v>45</v>
      </c>
      <c r="F1131" s="463"/>
      <c r="G1131" s="136" t="s">
        <v>485</v>
      </c>
      <c r="H1131" s="137"/>
      <c r="I1131" s="137" t="str">
        <f t="shared" si="26"/>
        <v>11,25</v>
      </c>
    </row>
    <row r="1132" spans="1:9" ht="19.5" hidden="1" thickBot="1" x14ac:dyDescent="0.3">
      <c r="A1132" s="461"/>
      <c r="B1132" s="175" t="s">
        <v>483</v>
      </c>
      <c r="C1132" s="134" t="s">
        <v>19</v>
      </c>
      <c r="D1132" s="211">
        <v>3.5999999999999997E-2</v>
      </c>
      <c r="E1132" s="136" t="s">
        <v>45</v>
      </c>
      <c r="F1132" s="463"/>
      <c r="G1132" s="136" t="s">
        <v>485</v>
      </c>
      <c r="H1132" s="137"/>
      <c r="I1132" s="137" t="str">
        <f t="shared" si="26"/>
        <v>11,25</v>
      </c>
    </row>
    <row r="1133" spans="1:9" ht="19.5" hidden="1" thickBot="1" x14ac:dyDescent="0.3">
      <c r="A1133" s="461"/>
      <c r="B1133" s="141" t="s">
        <v>483</v>
      </c>
      <c r="C1133" s="142" t="s">
        <v>17</v>
      </c>
      <c r="D1133" s="143">
        <v>0.32400000000000001</v>
      </c>
      <c r="E1133" s="144" t="s">
        <v>45</v>
      </c>
      <c r="F1133" s="463"/>
      <c r="G1133" s="144" t="s">
        <v>485</v>
      </c>
      <c r="H1133" s="145"/>
      <c r="I1133" s="145" t="str">
        <f t="shared" si="26"/>
        <v>11,25</v>
      </c>
    </row>
    <row r="1134" spans="1:9" ht="19.5" hidden="1" thickBot="1" x14ac:dyDescent="0.3">
      <c r="A1134" s="454">
        <f t="shared" si="28"/>
        <v>219</v>
      </c>
      <c r="B1134" s="102" t="s">
        <v>488</v>
      </c>
      <c r="C1134" s="103" t="s">
        <v>319</v>
      </c>
      <c r="D1134" s="104">
        <v>1.304</v>
      </c>
      <c r="E1134" s="105" t="s">
        <v>13</v>
      </c>
      <c r="F1134" s="106"/>
      <c r="G1134" s="105" t="s">
        <v>489</v>
      </c>
      <c r="H1134" s="107"/>
      <c r="I1134" s="107" t="str">
        <f t="shared" si="26"/>
        <v>11,25</v>
      </c>
    </row>
    <row r="1135" spans="1:9" ht="19.5" hidden="1" thickBot="1" x14ac:dyDescent="0.3">
      <c r="A1135" s="455"/>
      <c r="B1135" s="108" t="s">
        <v>488</v>
      </c>
      <c r="C1135" s="109" t="s">
        <v>367</v>
      </c>
      <c r="D1135" s="110">
        <v>2.4380000000000002</v>
      </c>
      <c r="E1135" s="111" t="s">
        <v>13</v>
      </c>
      <c r="F1135" s="112"/>
      <c r="G1135" s="111" t="s">
        <v>489</v>
      </c>
      <c r="H1135" s="113" t="s">
        <v>416</v>
      </c>
      <c r="I1135" s="113" t="str">
        <f t="shared" si="26"/>
        <v>11,25</v>
      </c>
    </row>
    <row r="1136" spans="1:9" ht="19.5" hidden="1" thickBot="1" x14ac:dyDescent="0.3">
      <c r="A1136" s="455"/>
      <c r="B1136" s="108" t="s">
        <v>488</v>
      </c>
      <c r="C1136" s="109" t="s">
        <v>18</v>
      </c>
      <c r="D1136" s="110">
        <v>2.427</v>
      </c>
      <c r="E1136" s="111" t="s">
        <v>13</v>
      </c>
      <c r="F1136" s="112"/>
      <c r="G1136" s="111" t="s">
        <v>489</v>
      </c>
      <c r="H1136" s="113"/>
      <c r="I1136" s="113" t="str">
        <f t="shared" si="26"/>
        <v>11,25</v>
      </c>
    </row>
    <row r="1137" spans="1:9" ht="19.5" hidden="1" thickBot="1" x14ac:dyDescent="0.3">
      <c r="A1137" s="455"/>
      <c r="B1137" s="108" t="s">
        <v>488</v>
      </c>
      <c r="C1137" s="109" t="s">
        <v>19</v>
      </c>
      <c r="D1137" s="110">
        <v>4.2930000000000001</v>
      </c>
      <c r="E1137" s="111" t="s">
        <v>13</v>
      </c>
      <c r="F1137" s="112"/>
      <c r="G1137" s="111" t="s">
        <v>489</v>
      </c>
      <c r="H1137" s="113"/>
      <c r="I1137" s="113" t="str">
        <f t="shared" si="26"/>
        <v>11,25</v>
      </c>
    </row>
    <row r="1138" spans="1:9" ht="19.5" hidden="1" thickBot="1" x14ac:dyDescent="0.3">
      <c r="A1138" s="455"/>
      <c r="B1138" s="108" t="s">
        <v>488</v>
      </c>
      <c r="C1138" s="109" t="s">
        <v>116</v>
      </c>
      <c r="D1138" s="110">
        <v>2.2829999999999999</v>
      </c>
      <c r="E1138" s="111" t="s">
        <v>13</v>
      </c>
      <c r="F1138" s="112"/>
      <c r="G1138" s="111" t="s">
        <v>489</v>
      </c>
      <c r="H1138" s="113" t="s">
        <v>416</v>
      </c>
      <c r="I1138" s="113" t="str">
        <f t="shared" si="26"/>
        <v>11,25</v>
      </c>
    </row>
    <row r="1139" spans="1:9" ht="19.5" hidden="1" thickBot="1" x14ac:dyDescent="0.3">
      <c r="A1139" s="456"/>
      <c r="B1139" s="114" t="s">
        <v>488</v>
      </c>
      <c r="C1139" s="115" t="s">
        <v>17</v>
      </c>
      <c r="D1139" s="116">
        <v>4.3540000000000001</v>
      </c>
      <c r="E1139" s="117" t="s">
        <v>13</v>
      </c>
      <c r="F1139" s="118"/>
      <c r="G1139" s="117" t="s">
        <v>489</v>
      </c>
      <c r="H1139" s="119"/>
      <c r="I1139" s="119" t="str">
        <f t="shared" si="26"/>
        <v>11,25</v>
      </c>
    </row>
    <row r="1140" spans="1:9" ht="19.5" hidden="1" thickBot="1" x14ac:dyDescent="0.3">
      <c r="A1140" s="460">
        <f t="shared" si="28"/>
        <v>220</v>
      </c>
      <c r="B1140" s="91" t="s">
        <v>488</v>
      </c>
      <c r="C1140" s="92" t="s">
        <v>18</v>
      </c>
      <c r="D1140" s="93">
        <v>2.4020000000000001</v>
      </c>
      <c r="E1140" s="94" t="s">
        <v>13</v>
      </c>
      <c r="F1140" s="462" t="s">
        <v>491</v>
      </c>
      <c r="G1140" s="94" t="s">
        <v>490</v>
      </c>
      <c r="H1140" s="132"/>
      <c r="I1140" s="132" t="str">
        <f t="shared" si="26"/>
        <v>11,25</v>
      </c>
    </row>
    <row r="1141" spans="1:9" ht="19.5" hidden="1" thickBot="1" x14ac:dyDescent="0.3">
      <c r="A1141" s="461"/>
      <c r="B1141" s="175" t="s">
        <v>488</v>
      </c>
      <c r="C1141" s="134" t="s">
        <v>19</v>
      </c>
      <c r="D1141" s="135">
        <v>4.242</v>
      </c>
      <c r="E1141" s="136" t="s">
        <v>13</v>
      </c>
      <c r="F1141" s="463"/>
      <c r="G1141" s="136" t="s">
        <v>490</v>
      </c>
      <c r="H1141" s="137"/>
      <c r="I1141" s="137" t="str">
        <f t="shared" si="26"/>
        <v>11,25</v>
      </c>
    </row>
    <row r="1142" spans="1:9" ht="19.5" hidden="1" thickBot="1" x14ac:dyDescent="0.3">
      <c r="A1142" s="461"/>
      <c r="B1142" s="175" t="s">
        <v>488</v>
      </c>
      <c r="C1142" s="134" t="s">
        <v>116</v>
      </c>
      <c r="D1142" s="135">
        <v>2.2519999999999998</v>
      </c>
      <c r="E1142" s="136" t="s">
        <v>13</v>
      </c>
      <c r="F1142" s="463"/>
      <c r="G1142" s="136" t="s">
        <v>490</v>
      </c>
      <c r="H1142" s="137" t="s">
        <v>416</v>
      </c>
      <c r="I1142" s="137" t="str">
        <f t="shared" si="26"/>
        <v>11,25</v>
      </c>
    </row>
    <row r="1143" spans="1:9" ht="19.5" hidden="1" thickBot="1" x14ac:dyDescent="0.3">
      <c r="A1143" s="461"/>
      <c r="B1143" s="175" t="s">
        <v>488</v>
      </c>
      <c r="C1143" s="134" t="s">
        <v>17</v>
      </c>
      <c r="D1143" s="135">
        <v>4.2789999999999999</v>
      </c>
      <c r="E1143" s="136" t="s">
        <v>13</v>
      </c>
      <c r="F1143" s="463"/>
      <c r="G1143" s="136" t="s">
        <v>490</v>
      </c>
      <c r="H1143" s="137"/>
      <c r="I1143" s="137" t="str">
        <f t="shared" si="26"/>
        <v>11,25</v>
      </c>
    </row>
    <row r="1144" spans="1:9" ht="19.5" hidden="1" thickBot="1" x14ac:dyDescent="0.3">
      <c r="A1144" s="473"/>
      <c r="B1144" s="95" t="s">
        <v>488</v>
      </c>
      <c r="C1144" s="96" t="s">
        <v>277</v>
      </c>
      <c r="D1144" s="97">
        <v>3.0190000000000001</v>
      </c>
      <c r="E1144" s="98" t="s">
        <v>13</v>
      </c>
      <c r="F1144" s="474"/>
      <c r="G1144" s="98" t="s">
        <v>490</v>
      </c>
      <c r="H1144" s="129"/>
      <c r="I1144" s="129" t="str">
        <f t="shared" si="26"/>
        <v>11,25</v>
      </c>
    </row>
    <row r="1145" spans="1:9" ht="19.5" hidden="1" thickBot="1" x14ac:dyDescent="0.3">
      <c r="A1145" s="454">
        <f t="shared" si="28"/>
        <v>221</v>
      </c>
      <c r="B1145" s="102" t="s">
        <v>488</v>
      </c>
      <c r="C1145" s="103" t="s">
        <v>18</v>
      </c>
      <c r="D1145" s="104">
        <v>1.34</v>
      </c>
      <c r="E1145" s="105" t="s">
        <v>34</v>
      </c>
      <c r="F1145" s="457" t="s">
        <v>462</v>
      </c>
      <c r="G1145" s="105" t="s">
        <v>490</v>
      </c>
      <c r="H1145" s="107"/>
      <c r="I1145" s="107" t="str">
        <f t="shared" si="26"/>
        <v>11,25</v>
      </c>
    </row>
    <row r="1146" spans="1:9" ht="19.5" hidden="1" thickBot="1" x14ac:dyDescent="0.3">
      <c r="A1146" s="455"/>
      <c r="B1146" s="108" t="s">
        <v>488</v>
      </c>
      <c r="C1146" s="109" t="s">
        <v>19</v>
      </c>
      <c r="D1146" s="110">
        <v>0.52</v>
      </c>
      <c r="E1146" s="111" t="s">
        <v>34</v>
      </c>
      <c r="F1146" s="458"/>
      <c r="G1146" s="111" t="s">
        <v>490</v>
      </c>
      <c r="H1146" s="113"/>
      <c r="I1146" s="113" t="str">
        <f t="shared" si="26"/>
        <v>11,25</v>
      </c>
    </row>
    <row r="1147" spans="1:9" ht="19.5" hidden="1" thickBot="1" x14ac:dyDescent="0.3">
      <c r="A1147" s="455"/>
      <c r="B1147" s="108" t="s">
        <v>488</v>
      </c>
      <c r="C1147" s="109" t="s">
        <v>116</v>
      </c>
      <c r="D1147" s="110">
        <v>0.27</v>
      </c>
      <c r="E1147" s="111" t="s">
        <v>34</v>
      </c>
      <c r="F1147" s="458"/>
      <c r="G1147" s="111" t="s">
        <v>490</v>
      </c>
      <c r="H1147" s="113"/>
      <c r="I1147" s="113" t="str">
        <f t="shared" si="26"/>
        <v>11,25</v>
      </c>
    </row>
    <row r="1148" spans="1:9" ht="19.5" hidden="1" thickBot="1" x14ac:dyDescent="0.3">
      <c r="A1148" s="455"/>
      <c r="B1148" s="108" t="s">
        <v>488</v>
      </c>
      <c r="C1148" s="109" t="s">
        <v>17</v>
      </c>
      <c r="D1148" s="110">
        <v>1.1299999999999999</v>
      </c>
      <c r="E1148" s="111" t="s">
        <v>34</v>
      </c>
      <c r="F1148" s="458"/>
      <c r="G1148" s="111" t="s">
        <v>490</v>
      </c>
      <c r="H1148" s="113"/>
      <c r="I1148" s="113" t="str">
        <f t="shared" si="26"/>
        <v>11,25</v>
      </c>
    </row>
    <row r="1149" spans="1:9" ht="19.5" hidden="1" thickBot="1" x14ac:dyDescent="0.3">
      <c r="A1149" s="455"/>
      <c r="B1149" s="108" t="s">
        <v>488</v>
      </c>
      <c r="C1149" s="109" t="s">
        <v>18</v>
      </c>
      <c r="D1149" s="110">
        <v>0.1</v>
      </c>
      <c r="E1149" s="111" t="s">
        <v>45</v>
      </c>
      <c r="F1149" s="458"/>
      <c r="G1149" s="111" t="s">
        <v>490</v>
      </c>
      <c r="H1149" s="113"/>
      <c r="I1149" s="113" t="str">
        <f t="shared" si="26"/>
        <v>11,25</v>
      </c>
    </row>
    <row r="1150" spans="1:9" ht="19.5" hidden="1" thickBot="1" x14ac:dyDescent="0.3">
      <c r="A1150" s="455"/>
      <c r="B1150" s="108" t="s">
        <v>488</v>
      </c>
      <c r="C1150" s="109" t="s">
        <v>19</v>
      </c>
      <c r="D1150" s="212">
        <v>0.03</v>
      </c>
      <c r="E1150" s="111" t="s">
        <v>45</v>
      </c>
      <c r="F1150" s="458"/>
      <c r="G1150" s="111" t="s">
        <v>490</v>
      </c>
      <c r="H1150" s="113"/>
      <c r="I1150" s="113" t="str">
        <f t="shared" si="26"/>
        <v>11,25</v>
      </c>
    </row>
    <row r="1151" spans="1:9" ht="19.5" hidden="1" thickBot="1" x14ac:dyDescent="0.3">
      <c r="A1151" s="455"/>
      <c r="B1151" s="108" t="s">
        <v>488</v>
      </c>
      <c r="C1151" s="109" t="s">
        <v>116</v>
      </c>
      <c r="D1151" s="212">
        <v>0.01</v>
      </c>
      <c r="E1151" s="111" t="s">
        <v>45</v>
      </c>
      <c r="F1151" s="458"/>
      <c r="G1151" s="111" t="s">
        <v>490</v>
      </c>
      <c r="H1151" s="113"/>
      <c r="I1151" s="113" t="str">
        <f t="shared" si="26"/>
        <v>11,25</v>
      </c>
    </row>
    <row r="1152" spans="1:9" ht="19.5" hidden="1" thickBot="1" x14ac:dyDescent="0.3">
      <c r="A1152" s="455"/>
      <c r="B1152" s="164" t="s">
        <v>488</v>
      </c>
      <c r="C1152" s="165" t="s">
        <v>17</v>
      </c>
      <c r="D1152" s="166">
        <v>0.27</v>
      </c>
      <c r="E1152" s="167" t="s">
        <v>45</v>
      </c>
      <c r="F1152" s="458"/>
      <c r="G1152" s="167" t="s">
        <v>490</v>
      </c>
      <c r="H1152" s="163"/>
      <c r="I1152" s="163" t="str">
        <f t="shared" si="26"/>
        <v>11,25</v>
      </c>
    </row>
    <row r="1153" spans="1:9" ht="19.5" hidden="1" thickBot="1" x14ac:dyDescent="0.3">
      <c r="A1153" s="460">
        <f t="shared" si="28"/>
        <v>222</v>
      </c>
      <c r="B1153" s="91" t="s">
        <v>494</v>
      </c>
      <c r="C1153" s="92" t="s">
        <v>319</v>
      </c>
      <c r="D1153" s="93">
        <v>1.1739999999999999</v>
      </c>
      <c r="E1153" s="94" t="s">
        <v>13</v>
      </c>
      <c r="F1153" s="462" t="s">
        <v>493</v>
      </c>
      <c r="G1153" s="94" t="s">
        <v>495</v>
      </c>
      <c r="H1153" s="132"/>
      <c r="I1153" s="132" t="str">
        <f t="shared" si="26"/>
        <v>11,25</v>
      </c>
    </row>
    <row r="1154" spans="1:9" ht="19.5" hidden="1" thickBot="1" x14ac:dyDescent="0.3">
      <c r="A1154" s="461"/>
      <c r="B1154" s="175" t="s">
        <v>494</v>
      </c>
      <c r="C1154" s="134" t="s">
        <v>367</v>
      </c>
      <c r="D1154" s="135">
        <v>2.1379999999999999</v>
      </c>
      <c r="E1154" s="136" t="s">
        <v>13</v>
      </c>
      <c r="F1154" s="463"/>
      <c r="G1154" s="136" t="s">
        <v>495</v>
      </c>
      <c r="H1154" s="137" t="s">
        <v>416</v>
      </c>
      <c r="I1154" s="137" t="str">
        <f t="shared" si="26"/>
        <v>11,25</v>
      </c>
    </row>
    <row r="1155" spans="1:9" ht="19.5" hidden="1" thickBot="1" x14ac:dyDescent="0.3">
      <c r="A1155" s="461"/>
      <c r="B1155" s="175" t="s">
        <v>494</v>
      </c>
      <c r="C1155" s="134" t="s">
        <v>18</v>
      </c>
      <c r="D1155" s="135">
        <v>1.7649999999999999</v>
      </c>
      <c r="E1155" s="136" t="s">
        <v>13</v>
      </c>
      <c r="F1155" s="463"/>
      <c r="G1155" s="136" t="s">
        <v>495</v>
      </c>
      <c r="H1155" s="137"/>
      <c r="I1155" s="137" t="str">
        <f t="shared" si="26"/>
        <v>11,25</v>
      </c>
    </row>
    <row r="1156" spans="1:9" ht="19.5" hidden="1" thickBot="1" x14ac:dyDescent="0.3">
      <c r="A1156" s="461"/>
      <c r="B1156" s="175" t="s">
        <v>494</v>
      </c>
      <c r="C1156" s="134" t="s">
        <v>19</v>
      </c>
      <c r="D1156" s="135">
        <v>3.8740000000000001</v>
      </c>
      <c r="E1156" s="136" t="s">
        <v>13</v>
      </c>
      <c r="F1156" s="463"/>
      <c r="G1156" s="136" t="s">
        <v>495</v>
      </c>
      <c r="H1156" s="137"/>
      <c r="I1156" s="137" t="str">
        <f t="shared" si="26"/>
        <v>11,25</v>
      </c>
    </row>
    <row r="1157" spans="1:9" ht="19.5" hidden="1" thickBot="1" x14ac:dyDescent="0.3">
      <c r="A1157" s="461"/>
      <c r="B1157" s="175" t="s">
        <v>494</v>
      </c>
      <c r="C1157" s="134" t="s">
        <v>116</v>
      </c>
      <c r="D1157" s="135">
        <v>2.8109999999999999</v>
      </c>
      <c r="E1157" s="136" t="s">
        <v>13</v>
      </c>
      <c r="F1157" s="463"/>
      <c r="G1157" s="136" t="s">
        <v>495</v>
      </c>
      <c r="H1157" s="137" t="s">
        <v>416</v>
      </c>
      <c r="I1157" s="137" t="str">
        <f t="shared" si="26"/>
        <v>11,25</v>
      </c>
    </row>
    <row r="1158" spans="1:9" ht="19.5" hidden="1" thickBot="1" x14ac:dyDescent="0.3">
      <c r="A1158" s="473"/>
      <c r="B1158" s="95" t="s">
        <v>494</v>
      </c>
      <c r="C1158" s="96" t="s">
        <v>17</v>
      </c>
      <c r="D1158" s="97">
        <v>3.24</v>
      </c>
      <c r="E1158" s="98" t="s">
        <v>13</v>
      </c>
      <c r="F1158" s="474"/>
      <c r="G1158" s="98" t="s">
        <v>495</v>
      </c>
      <c r="H1158" s="129"/>
      <c r="I1158" s="129" t="str">
        <f t="shared" si="26"/>
        <v>11,25</v>
      </c>
    </row>
    <row r="1159" spans="1:9" ht="19.5" hidden="1" thickBot="1" x14ac:dyDescent="0.3">
      <c r="A1159" s="454">
        <f t="shared" si="28"/>
        <v>223</v>
      </c>
      <c r="B1159" s="102" t="s">
        <v>494</v>
      </c>
      <c r="C1159" s="103" t="s">
        <v>18</v>
      </c>
      <c r="D1159" s="104">
        <v>1.4710000000000001</v>
      </c>
      <c r="E1159" s="105" t="s">
        <v>13</v>
      </c>
      <c r="F1159" s="457" t="s">
        <v>492</v>
      </c>
      <c r="G1159" s="105" t="s">
        <v>496</v>
      </c>
      <c r="H1159" s="107"/>
      <c r="I1159" s="107" t="str">
        <f t="shared" si="26"/>
        <v>12,25</v>
      </c>
    </row>
    <row r="1160" spans="1:9" ht="19.5" hidden="1" thickBot="1" x14ac:dyDescent="0.3">
      <c r="A1160" s="455"/>
      <c r="B1160" s="108" t="s">
        <v>494</v>
      </c>
      <c r="C1160" s="109" t="s">
        <v>19</v>
      </c>
      <c r="D1160" s="110">
        <v>3.2210000000000001</v>
      </c>
      <c r="E1160" s="111" t="s">
        <v>13</v>
      </c>
      <c r="F1160" s="458"/>
      <c r="G1160" s="111" t="s">
        <v>496</v>
      </c>
      <c r="H1160" s="113"/>
      <c r="I1160" s="113" t="str">
        <f t="shared" si="26"/>
        <v>12,25</v>
      </c>
    </row>
    <row r="1161" spans="1:9" ht="19.5" hidden="1" thickBot="1" x14ac:dyDescent="0.3">
      <c r="A1161" s="455"/>
      <c r="B1161" s="108" t="s">
        <v>494</v>
      </c>
      <c r="C1161" s="109" t="s">
        <v>116</v>
      </c>
      <c r="D1161" s="110">
        <v>2.3530000000000002</v>
      </c>
      <c r="E1161" s="111" t="s">
        <v>13</v>
      </c>
      <c r="F1161" s="458"/>
      <c r="G1161" s="111" t="s">
        <v>496</v>
      </c>
      <c r="H1161" s="113" t="s">
        <v>416</v>
      </c>
      <c r="I1161" s="113" t="str">
        <f t="shared" si="26"/>
        <v>12,25</v>
      </c>
    </row>
    <row r="1162" spans="1:9" ht="19.5" hidden="1" thickBot="1" x14ac:dyDescent="0.3">
      <c r="A1162" s="455"/>
      <c r="B1162" s="108" t="s">
        <v>494</v>
      </c>
      <c r="C1162" s="109" t="s">
        <v>17</v>
      </c>
      <c r="D1162" s="110">
        <v>2.7029999999999998</v>
      </c>
      <c r="E1162" s="111" t="s">
        <v>13</v>
      </c>
      <c r="F1162" s="458"/>
      <c r="G1162" s="111" t="s">
        <v>496</v>
      </c>
      <c r="H1162" s="113"/>
      <c r="I1162" s="113" t="str">
        <f t="shared" si="26"/>
        <v>12,25</v>
      </c>
    </row>
    <row r="1163" spans="1:9" ht="19.5" hidden="1" thickBot="1" x14ac:dyDescent="0.3">
      <c r="A1163" s="456"/>
      <c r="B1163" s="114" t="s">
        <v>494</v>
      </c>
      <c r="C1163" s="115" t="s">
        <v>277</v>
      </c>
      <c r="D1163" s="116">
        <v>6.4130000000000003</v>
      </c>
      <c r="E1163" s="117" t="s">
        <v>13</v>
      </c>
      <c r="F1163" s="459"/>
      <c r="G1163" s="117" t="s">
        <v>496</v>
      </c>
      <c r="H1163" s="119"/>
      <c r="I1163" s="119" t="str">
        <f t="shared" si="26"/>
        <v>12,25</v>
      </c>
    </row>
    <row r="1164" spans="1:9" ht="19.5" hidden="1" thickBot="1" x14ac:dyDescent="0.3">
      <c r="A1164" s="460">
        <f t="shared" si="28"/>
        <v>224</v>
      </c>
      <c r="B1164" s="91" t="s">
        <v>494</v>
      </c>
      <c r="C1164" s="92" t="s">
        <v>18</v>
      </c>
      <c r="D1164" s="93">
        <v>0.7</v>
      </c>
      <c r="E1164" s="94" t="s">
        <v>34</v>
      </c>
      <c r="F1164" s="462" t="s">
        <v>451</v>
      </c>
      <c r="G1164" s="94" t="s">
        <v>496</v>
      </c>
      <c r="H1164" s="132"/>
      <c r="I1164" s="132" t="str">
        <f t="shared" si="26"/>
        <v>12,25</v>
      </c>
    </row>
    <row r="1165" spans="1:9" ht="19.5" hidden="1" thickBot="1" x14ac:dyDescent="0.3">
      <c r="A1165" s="461"/>
      <c r="B1165" s="175" t="s">
        <v>494</v>
      </c>
      <c r="C1165" s="147" t="s">
        <v>19</v>
      </c>
      <c r="D1165" s="148">
        <v>0.5</v>
      </c>
      <c r="E1165" s="146" t="s">
        <v>34</v>
      </c>
      <c r="F1165" s="463"/>
      <c r="G1165" s="136" t="s">
        <v>496</v>
      </c>
      <c r="H1165" s="137"/>
      <c r="I1165" s="137" t="str">
        <f t="shared" si="26"/>
        <v>12,25</v>
      </c>
    </row>
    <row r="1166" spans="1:9" ht="19.5" hidden="1" thickBot="1" x14ac:dyDescent="0.3">
      <c r="A1166" s="461"/>
      <c r="B1166" s="175" t="s">
        <v>494</v>
      </c>
      <c r="C1166" s="147" t="s">
        <v>116</v>
      </c>
      <c r="D1166" s="148">
        <v>0.2</v>
      </c>
      <c r="E1166" s="146" t="s">
        <v>34</v>
      </c>
      <c r="F1166" s="463"/>
      <c r="G1166" s="136" t="s">
        <v>496</v>
      </c>
      <c r="H1166" s="137"/>
      <c r="I1166" s="137" t="str">
        <f t="shared" si="26"/>
        <v>12,25</v>
      </c>
    </row>
    <row r="1167" spans="1:9" ht="19.5" hidden="1" thickBot="1" x14ac:dyDescent="0.3">
      <c r="A1167" s="461"/>
      <c r="B1167" s="175" t="s">
        <v>494</v>
      </c>
      <c r="C1167" s="147" t="s">
        <v>17</v>
      </c>
      <c r="D1167" s="148">
        <v>0.69</v>
      </c>
      <c r="E1167" s="146" t="s">
        <v>34</v>
      </c>
      <c r="F1167" s="463"/>
      <c r="G1167" s="136" t="s">
        <v>496</v>
      </c>
      <c r="H1167" s="137"/>
      <c r="I1167" s="137" t="str">
        <f t="shared" si="26"/>
        <v>12,25</v>
      </c>
    </row>
    <row r="1168" spans="1:9" ht="19.5" hidden="1" thickBot="1" x14ac:dyDescent="0.3">
      <c r="A1168" s="461"/>
      <c r="B1168" s="175" t="s">
        <v>494</v>
      </c>
      <c r="C1168" s="147" t="s">
        <v>18</v>
      </c>
      <c r="D1168" s="148">
        <v>7.0000000000000007E-2</v>
      </c>
      <c r="E1168" s="146" t="s">
        <v>45</v>
      </c>
      <c r="F1168" s="463"/>
      <c r="G1168" s="136" t="s">
        <v>496</v>
      </c>
      <c r="H1168" s="137"/>
      <c r="I1168" s="137" t="str">
        <f t="shared" si="26"/>
        <v>12,25</v>
      </c>
    </row>
    <row r="1169" spans="1:9" ht="19.5" hidden="1" thickBot="1" x14ac:dyDescent="0.3">
      <c r="A1169" s="461"/>
      <c r="B1169" s="175" t="s">
        <v>494</v>
      </c>
      <c r="C1169" s="147" t="s">
        <v>19</v>
      </c>
      <c r="D1169" s="246">
        <v>0.04</v>
      </c>
      <c r="E1169" s="146" t="s">
        <v>45</v>
      </c>
      <c r="F1169" s="463"/>
      <c r="G1169" s="136" t="s">
        <v>496</v>
      </c>
      <c r="H1169" s="137"/>
      <c r="I1169" s="137" t="str">
        <f t="shared" si="26"/>
        <v>12,25</v>
      </c>
    </row>
    <row r="1170" spans="1:9" ht="19.5" hidden="1" thickBot="1" x14ac:dyDescent="0.3">
      <c r="A1170" s="461"/>
      <c r="B1170" s="175" t="s">
        <v>494</v>
      </c>
      <c r="C1170" s="147" t="s">
        <v>116</v>
      </c>
      <c r="D1170" s="246">
        <v>0.01</v>
      </c>
      <c r="E1170" s="146" t="s">
        <v>45</v>
      </c>
      <c r="F1170" s="463"/>
      <c r="G1170" s="136" t="s">
        <v>496</v>
      </c>
      <c r="H1170" s="137"/>
      <c r="I1170" s="137" t="str">
        <f t="shared" si="26"/>
        <v>12,25</v>
      </c>
    </row>
    <row r="1171" spans="1:9" ht="19.5" hidden="1" thickBot="1" x14ac:dyDescent="0.3">
      <c r="A1171" s="461"/>
      <c r="B1171" s="141" t="s">
        <v>494</v>
      </c>
      <c r="C1171" s="247" t="s">
        <v>17</v>
      </c>
      <c r="D1171" s="248">
        <v>0.23</v>
      </c>
      <c r="E1171" s="249" t="s">
        <v>45</v>
      </c>
      <c r="F1171" s="463"/>
      <c r="G1171" s="144" t="s">
        <v>496</v>
      </c>
      <c r="H1171" s="145"/>
      <c r="I1171" s="145" t="str">
        <f t="shared" si="26"/>
        <v>12,25</v>
      </c>
    </row>
    <row r="1172" spans="1:9" ht="19.5" hidden="1" thickBot="1" x14ac:dyDescent="0.3">
      <c r="A1172" s="454">
        <f t="shared" si="28"/>
        <v>225</v>
      </c>
      <c r="B1172" s="102" t="s">
        <v>497</v>
      </c>
      <c r="C1172" s="103" t="s">
        <v>367</v>
      </c>
      <c r="D1172" s="104">
        <v>2.0539999999999998</v>
      </c>
      <c r="E1172" s="105" t="s">
        <v>13</v>
      </c>
      <c r="F1172" s="457" t="s">
        <v>500</v>
      </c>
      <c r="G1172" s="105" t="s">
        <v>498</v>
      </c>
      <c r="H1172" s="107"/>
      <c r="I1172" s="107" t="str">
        <f t="shared" si="26"/>
        <v>12,25</v>
      </c>
    </row>
    <row r="1173" spans="1:9" ht="19.5" hidden="1" thickBot="1" x14ac:dyDescent="0.3">
      <c r="A1173" s="455"/>
      <c r="B1173" s="108" t="s">
        <v>497</v>
      </c>
      <c r="C1173" s="109" t="s">
        <v>18</v>
      </c>
      <c r="D1173" s="110">
        <v>3.85</v>
      </c>
      <c r="E1173" s="111" t="s">
        <v>13</v>
      </c>
      <c r="F1173" s="458"/>
      <c r="G1173" s="111" t="s">
        <v>498</v>
      </c>
      <c r="H1173" s="113"/>
      <c r="I1173" s="113" t="str">
        <f t="shared" si="26"/>
        <v>12,25</v>
      </c>
    </row>
    <row r="1174" spans="1:9" ht="19.5" hidden="1" thickBot="1" x14ac:dyDescent="0.3">
      <c r="A1174" s="455"/>
      <c r="B1174" s="108" t="s">
        <v>497</v>
      </c>
      <c r="C1174" s="109" t="s">
        <v>19</v>
      </c>
      <c r="D1174" s="110">
        <v>3.7149999999999999</v>
      </c>
      <c r="E1174" s="111" t="s">
        <v>13</v>
      </c>
      <c r="F1174" s="458"/>
      <c r="G1174" s="111" t="s">
        <v>498</v>
      </c>
      <c r="H1174" s="113"/>
      <c r="I1174" s="113" t="str">
        <f t="shared" ref="I1174:I1237" si="29">RIGHT(G1174,5)</f>
        <v>12,25</v>
      </c>
    </row>
    <row r="1175" spans="1:9" ht="19.5" hidden="1" thickBot="1" x14ac:dyDescent="0.3">
      <c r="A1175" s="455"/>
      <c r="B1175" s="108" t="s">
        <v>497</v>
      </c>
      <c r="C1175" s="109" t="s">
        <v>116</v>
      </c>
      <c r="D1175" s="110">
        <v>1.889</v>
      </c>
      <c r="E1175" s="111" t="s">
        <v>13</v>
      </c>
      <c r="F1175" s="458"/>
      <c r="G1175" s="111" t="s">
        <v>498</v>
      </c>
      <c r="H1175" s="113"/>
      <c r="I1175" s="113" t="str">
        <f t="shared" si="29"/>
        <v>12,25</v>
      </c>
    </row>
    <row r="1176" spans="1:9" ht="19.5" hidden="1" thickBot="1" x14ac:dyDescent="0.3">
      <c r="A1176" s="456"/>
      <c r="B1176" s="114" t="s">
        <v>497</v>
      </c>
      <c r="C1176" s="115" t="s">
        <v>17</v>
      </c>
      <c r="D1176" s="116">
        <v>3.9910000000000001</v>
      </c>
      <c r="E1176" s="117" t="s">
        <v>13</v>
      </c>
      <c r="F1176" s="459"/>
      <c r="G1176" s="117" t="s">
        <v>498</v>
      </c>
      <c r="H1176" s="119"/>
      <c r="I1176" s="119" t="str">
        <f t="shared" si="29"/>
        <v>12,25</v>
      </c>
    </row>
    <row r="1177" spans="1:9" ht="19.5" hidden="1" thickBot="1" x14ac:dyDescent="0.3">
      <c r="A1177" s="460">
        <f t="shared" si="28"/>
        <v>226</v>
      </c>
      <c r="B1177" s="91" t="s">
        <v>497</v>
      </c>
      <c r="C1177" s="92" t="s">
        <v>18</v>
      </c>
      <c r="D1177" s="93">
        <v>3.3530000000000002</v>
      </c>
      <c r="E1177" s="94" t="s">
        <v>13</v>
      </c>
      <c r="F1177" s="462" t="s">
        <v>501</v>
      </c>
      <c r="G1177" s="94" t="s">
        <v>499</v>
      </c>
      <c r="H1177" s="132"/>
      <c r="I1177" s="132" t="str">
        <f t="shared" si="29"/>
        <v>12,25</v>
      </c>
    </row>
    <row r="1178" spans="1:9" ht="19.5" hidden="1" thickBot="1" x14ac:dyDescent="0.3">
      <c r="A1178" s="461"/>
      <c r="B1178" s="175" t="s">
        <v>497</v>
      </c>
      <c r="C1178" s="134" t="s">
        <v>19</v>
      </c>
      <c r="D1178" s="135">
        <v>3.2389999999999999</v>
      </c>
      <c r="E1178" s="136" t="s">
        <v>13</v>
      </c>
      <c r="F1178" s="463"/>
      <c r="G1178" s="136" t="s">
        <v>499</v>
      </c>
      <c r="H1178" s="137"/>
      <c r="I1178" s="137" t="str">
        <f t="shared" si="29"/>
        <v>12,25</v>
      </c>
    </row>
    <row r="1179" spans="1:9" ht="19.5" hidden="1" thickBot="1" x14ac:dyDescent="0.3">
      <c r="A1179" s="461"/>
      <c r="B1179" s="175" t="s">
        <v>497</v>
      </c>
      <c r="C1179" s="134" t="s">
        <v>116</v>
      </c>
      <c r="D1179" s="135">
        <v>1.653</v>
      </c>
      <c r="E1179" s="136" t="s">
        <v>13</v>
      </c>
      <c r="F1179" s="463"/>
      <c r="G1179" s="136" t="s">
        <v>499</v>
      </c>
      <c r="H1179" s="137"/>
      <c r="I1179" s="137" t="str">
        <f t="shared" si="29"/>
        <v>12,25</v>
      </c>
    </row>
    <row r="1180" spans="1:9" ht="19.5" hidden="1" thickBot="1" x14ac:dyDescent="0.3">
      <c r="A1180" s="461"/>
      <c r="B1180" s="175" t="s">
        <v>497</v>
      </c>
      <c r="C1180" s="134" t="s">
        <v>17</v>
      </c>
      <c r="D1180" s="135">
        <v>3.4849999999999999</v>
      </c>
      <c r="E1180" s="136" t="s">
        <v>13</v>
      </c>
      <c r="F1180" s="463"/>
      <c r="G1180" s="136" t="s">
        <v>499</v>
      </c>
      <c r="H1180" s="137"/>
      <c r="I1180" s="137" t="str">
        <f t="shared" si="29"/>
        <v>12,25</v>
      </c>
    </row>
    <row r="1181" spans="1:9" ht="19.5" hidden="1" thickBot="1" x14ac:dyDescent="0.3">
      <c r="A1181" s="473"/>
      <c r="B1181" s="95" t="s">
        <v>497</v>
      </c>
      <c r="C1181" s="96" t="s">
        <v>277</v>
      </c>
      <c r="D1181" s="97">
        <v>3.8919999999999999</v>
      </c>
      <c r="E1181" s="98" t="s">
        <v>13</v>
      </c>
      <c r="F1181" s="474"/>
      <c r="G1181" s="98" t="s">
        <v>499</v>
      </c>
      <c r="H1181" s="129"/>
      <c r="I1181" s="129" t="str">
        <f t="shared" si="29"/>
        <v>12,25</v>
      </c>
    </row>
    <row r="1182" spans="1:9" ht="19.5" hidden="1" thickBot="1" x14ac:dyDescent="0.3">
      <c r="A1182" s="454">
        <f t="shared" si="28"/>
        <v>227</v>
      </c>
      <c r="B1182" s="102" t="s">
        <v>497</v>
      </c>
      <c r="C1182" s="103" t="s">
        <v>18</v>
      </c>
      <c r="D1182" s="104">
        <v>0.56999999999999995</v>
      </c>
      <c r="E1182" s="105" t="s">
        <v>34</v>
      </c>
      <c r="F1182" s="457" t="s">
        <v>502</v>
      </c>
      <c r="G1182" s="105" t="s">
        <v>499</v>
      </c>
      <c r="H1182" s="107"/>
      <c r="I1182" s="107" t="str">
        <f t="shared" si="29"/>
        <v>12,25</v>
      </c>
    </row>
    <row r="1183" spans="1:9" ht="19.5" hidden="1" thickBot="1" x14ac:dyDescent="0.3">
      <c r="A1183" s="455"/>
      <c r="B1183" s="108" t="s">
        <v>497</v>
      </c>
      <c r="C1183" s="109" t="s">
        <v>19</v>
      </c>
      <c r="D1183" s="110">
        <v>0.56000000000000005</v>
      </c>
      <c r="E1183" s="111" t="s">
        <v>34</v>
      </c>
      <c r="F1183" s="458"/>
      <c r="G1183" s="111" t="s">
        <v>499</v>
      </c>
      <c r="H1183" s="113"/>
      <c r="I1183" s="113" t="str">
        <f t="shared" si="29"/>
        <v>12,25</v>
      </c>
    </row>
    <row r="1184" spans="1:9" ht="19.5" hidden="1" thickBot="1" x14ac:dyDescent="0.3">
      <c r="A1184" s="455"/>
      <c r="B1184" s="108" t="s">
        <v>497</v>
      </c>
      <c r="C1184" s="109" t="s">
        <v>116</v>
      </c>
      <c r="D1184" s="110">
        <v>0.16</v>
      </c>
      <c r="E1184" s="111" t="s">
        <v>34</v>
      </c>
      <c r="F1184" s="458"/>
      <c r="G1184" s="111" t="s">
        <v>499</v>
      </c>
      <c r="H1184" s="113"/>
      <c r="I1184" s="113" t="str">
        <f t="shared" si="29"/>
        <v>12,25</v>
      </c>
    </row>
    <row r="1185" spans="1:9" ht="19.5" hidden="1" thickBot="1" x14ac:dyDescent="0.3">
      <c r="A1185" s="455"/>
      <c r="B1185" s="108" t="s">
        <v>497</v>
      </c>
      <c r="C1185" s="109" t="s">
        <v>17</v>
      </c>
      <c r="D1185" s="110">
        <v>0.52</v>
      </c>
      <c r="E1185" s="111" t="s">
        <v>34</v>
      </c>
      <c r="F1185" s="458"/>
      <c r="G1185" s="111" t="s">
        <v>499</v>
      </c>
      <c r="H1185" s="113"/>
      <c r="I1185" s="113" t="str">
        <f t="shared" si="29"/>
        <v>12,25</v>
      </c>
    </row>
    <row r="1186" spans="1:9" ht="19.5" hidden="1" thickBot="1" x14ac:dyDescent="0.3">
      <c r="A1186" s="455"/>
      <c r="B1186" s="108" t="s">
        <v>497</v>
      </c>
      <c r="C1186" s="109" t="s">
        <v>18</v>
      </c>
      <c r="D1186" s="212">
        <v>0.04</v>
      </c>
      <c r="E1186" s="111" t="s">
        <v>45</v>
      </c>
      <c r="F1186" s="458"/>
      <c r="G1186" s="111" t="s">
        <v>499</v>
      </c>
      <c r="H1186" s="113"/>
      <c r="I1186" s="113" t="str">
        <f t="shared" si="29"/>
        <v>12,25</v>
      </c>
    </row>
    <row r="1187" spans="1:9" ht="19.5" hidden="1" thickBot="1" x14ac:dyDescent="0.3">
      <c r="A1187" s="455"/>
      <c r="B1187" s="108" t="s">
        <v>497</v>
      </c>
      <c r="C1187" s="109" t="s">
        <v>19</v>
      </c>
      <c r="D1187" s="212">
        <v>0.01</v>
      </c>
      <c r="E1187" s="111" t="s">
        <v>45</v>
      </c>
      <c r="F1187" s="458"/>
      <c r="G1187" s="111" t="s">
        <v>499</v>
      </c>
      <c r="H1187" s="113"/>
      <c r="I1187" s="113" t="str">
        <f t="shared" si="29"/>
        <v>12,25</v>
      </c>
    </row>
    <row r="1188" spans="1:9" ht="19.5" hidden="1" thickBot="1" x14ac:dyDescent="0.3">
      <c r="A1188" s="455"/>
      <c r="B1188" s="164" t="s">
        <v>497</v>
      </c>
      <c r="C1188" s="165" t="s">
        <v>17</v>
      </c>
      <c r="D1188" s="166">
        <v>0.27</v>
      </c>
      <c r="E1188" s="167" t="s">
        <v>45</v>
      </c>
      <c r="F1188" s="458"/>
      <c r="G1188" s="167" t="s">
        <v>499</v>
      </c>
      <c r="H1188" s="163"/>
      <c r="I1188" s="163" t="str">
        <f t="shared" si="29"/>
        <v>12,25</v>
      </c>
    </row>
    <row r="1189" spans="1:9" ht="19.5" hidden="1" thickBot="1" x14ac:dyDescent="0.3">
      <c r="A1189" s="460">
        <f>MAX(A1168:A1188)+1</f>
        <v>228</v>
      </c>
      <c r="B1189" s="91" t="s">
        <v>503</v>
      </c>
      <c r="C1189" s="92" t="s">
        <v>319</v>
      </c>
      <c r="D1189" s="93">
        <v>1.3620000000000001</v>
      </c>
      <c r="E1189" s="94" t="s">
        <v>13</v>
      </c>
      <c r="F1189" s="462" t="s">
        <v>506</v>
      </c>
      <c r="G1189" s="94" t="s">
        <v>504</v>
      </c>
      <c r="H1189" s="132"/>
      <c r="I1189" s="132" t="str">
        <f t="shared" si="29"/>
        <v>12,25</v>
      </c>
    </row>
    <row r="1190" spans="1:9" ht="19.5" hidden="1" thickBot="1" x14ac:dyDescent="0.3">
      <c r="A1190" s="461"/>
      <c r="B1190" s="175" t="s">
        <v>503</v>
      </c>
      <c r="C1190" s="134" t="s">
        <v>367</v>
      </c>
      <c r="D1190" s="135">
        <v>1.982</v>
      </c>
      <c r="E1190" s="136" t="s">
        <v>13</v>
      </c>
      <c r="F1190" s="463"/>
      <c r="G1190" s="136" t="s">
        <v>504</v>
      </c>
      <c r="H1190" s="137" t="s">
        <v>416</v>
      </c>
      <c r="I1190" s="137" t="str">
        <f t="shared" si="29"/>
        <v>12,25</v>
      </c>
    </row>
    <row r="1191" spans="1:9" ht="19.5" hidden="1" thickBot="1" x14ac:dyDescent="0.3">
      <c r="A1191" s="461"/>
      <c r="B1191" s="175" t="s">
        <v>503</v>
      </c>
      <c r="C1191" s="134" t="s">
        <v>18</v>
      </c>
      <c r="D1191" s="135">
        <v>2.6669999999999998</v>
      </c>
      <c r="E1191" s="136" t="s">
        <v>13</v>
      </c>
      <c r="F1191" s="463"/>
      <c r="G1191" s="136" t="s">
        <v>504</v>
      </c>
      <c r="H1191" s="137"/>
      <c r="I1191" s="137" t="str">
        <f t="shared" si="29"/>
        <v>12,25</v>
      </c>
    </row>
    <row r="1192" spans="1:9" ht="19.5" hidden="1" thickBot="1" x14ac:dyDescent="0.3">
      <c r="A1192" s="461"/>
      <c r="B1192" s="175" t="s">
        <v>503</v>
      </c>
      <c r="C1192" s="134" t="s">
        <v>19</v>
      </c>
      <c r="D1192" s="135">
        <v>3.9990000000000001</v>
      </c>
      <c r="E1192" s="136" t="s">
        <v>13</v>
      </c>
      <c r="F1192" s="463"/>
      <c r="G1192" s="136" t="s">
        <v>504</v>
      </c>
      <c r="H1192" s="137"/>
      <c r="I1192" s="137" t="str">
        <f t="shared" si="29"/>
        <v>12,25</v>
      </c>
    </row>
    <row r="1193" spans="1:9" ht="19.5" hidden="1" thickBot="1" x14ac:dyDescent="0.3">
      <c r="A1193" s="461"/>
      <c r="B1193" s="175" t="s">
        <v>503</v>
      </c>
      <c r="C1193" s="134" t="s">
        <v>116</v>
      </c>
      <c r="D1193" s="135">
        <v>3.7389999999999999</v>
      </c>
      <c r="E1193" s="136" t="s">
        <v>13</v>
      </c>
      <c r="F1193" s="463"/>
      <c r="G1193" s="136" t="s">
        <v>504</v>
      </c>
      <c r="H1193" s="137" t="s">
        <v>416</v>
      </c>
      <c r="I1193" s="137" t="str">
        <f t="shared" si="29"/>
        <v>12,25</v>
      </c>
    </row>
    <row r="1194" spans="1:9" ht="19.5" hidden="1" thickBot="1" x14ac:dyDescent="0.3">
      <c r="A1194" s="473"/>
      <c r="B1194" s="95" t="s">
        <v>503</v>
      </c>
      <c r="C1194" s="96" t="s">
        <v>17</v>
      </c>
      <c r="D1194" s="97">
        <v>3.3050000000000002</v>
      </c>
      <c r="E1194" s="98" t="s">
        <v>13</v>
      </c>
      <c r="F1194" s="474"/>
      <c r="G1194" s="98" t="s">
        <v>504</v>
      </c>
      <c r="H1194" s="129"/>
      <c r="I1194" s="129" t="str">
        <f t="shared" si="29"/>
        <v>12,25</v>
      </c>
    </row>
    <row r="1195" spans="1:9" ht="19.5" hidden="1" thickBot="1" x14ac:dyDescent="0.3">
      <c r="A1195" s="454">
        <f t="shared" ref="A1195:A1200" si="30">MAX(A1174:A1194)+1</f>
        <v>229</v>
      </c>
      <c r="B1195" s="102" t="s">
        <v>503</v>
      </c>
      <c r="C1195" s="103" t="s">
        <v>18</v>
      </c>
      <c r="D1195" s="104">
        <v>2.7879999999999998</v>
      </c>
      <c r="E1195" s="105" t="s">
        <v>13</v>
      </c>
      <c r="F1195" s="457" t="s">
        <v>507</v>
      </c>
      <c r="G1195" s="105" t="s">
        <v>505</v>
      </c>
      <c r="H1195" s="107"/>
      <c r="I1195" s="107" t="str">
        <f t="shared" si="29"/>
        <v>12,25</v>
      </c>
    </row>
    <row r="1196" spans="1:9" ht="19.5" hidden="1" thickBot="1" x14ac:dyDescent="0.3">
      <c r="A1196" s="455"/>
      <c r="B1196" s="108" t="s">
        <v>503</v>
      </c>
      <c r="C1196" s="109" t="s">
        <v>19</v>
      </c>
      <c r="D1196" s="110">
        <v>4.1820000000000004</v>
      </c>
      <c r="E1196" s="111" t="s">
        <v>13</v>
      </c>
      <c r="F1196" s="458"/>
      <c r="G1196" s="111" t="s">
        <v>505</v>
      </c>
      <c r="H1196" s="113"/>
      <c r="I1196" s="113" t="str">
        <f t="shared" si="29"/>
        <v>12,25</v>
      </c>
    </row>
    <row r="1197" spans="1:9" ht="19.5" hidden="1" thickBot="1" x14ac:dyDescent="0.3">
      <c r="A1197" s="455"/>
      <c r="B1197" s="108" t="s">
        <v>503</v>
      </c>
      <c r="C1197" s="109" t="s">
        <v>116</v>
      </c>
      <c r="D1197" s="110">
        <v>3.9049999999999998</v>
      </c>
      <c r="E1197" s="111" t="s">
        <v>13</v>
      </c>
      <c r="F1197" s="458"/>
      <c r="G1197" s="111" t="s">
        <v>505</v>
      </c>
      <c r="H1197" s="113" t="s">
        <v>416</v>
      </c>
      <c r="I1197" s="113" t="str">
        <f t="shared" si="29"/>
        <v>12,25</v>
      </c>
    </row>
    <row r="1198" spans="1:9" ht="19.5" hidden="1" thickBot="1" x14ac:dyDescent="0.3">
      <c r="A1198" s="455"/>
      <c r="B1198" s="108" t="s">
        <v>503</v>
      </c>
      <c r="C1198" s="109" t="s">
        <v>17</v>
      </c>
      <c r="D1198" s="110">
        <v>3.4390000000000001</v>
      </c>
      <c r="E1198" s="111" t="s">
        <v>13</v>
      </c>
      <c r="F1198" s="458"/>
      <c r="G1198" s="111" t="s">
        <v>505</v>
      </c>
      <c r="H1198" s="113"/>
      <c r="I1198" s="113" t="str">
        <f t="shared" si="29"/>
        <v>12,25</v>
      </c>
    </row>
    <row r="1199" spans="1:9" ht="19.5" hidden="1" thickBot="1" x14ac:dyDescent="0.3">
      <c r="A1199" s="456"/>
      <c r="B1199" s="114" t="s">
        <v>503</v>
      </c>
      <c r="C1199" s="115" t="s">
        <v>277</v>
      </c>
      <c r="D1199" s="116">
        <v>2.63</v>
      </c>
      <c r="E1199" s="117" t="s">
        <v>13</v>
      </c>
      <c r="F1199" s="459"/>
      <c r="G1199" s="117" t="s">
        <v>505</v>
      </c>
      <c r="H1199" s="119"/>
      <c r="I1199" s="119" t="str">
        <f t="shared" si="29"/>
        <v>12,25</v>
      </c>
    </row>
    <row r="1200" spans="1:9" ht="19.5" hidden="1" thickBot="1" x14ac:dyDescent="0.3">
      <c r="A1200" s="460">
        <f t="shared" si="30"/>
        <v>230</v>
      </c>
      <c r="B1200" s="91" t="s">
        <v>503</v>
      </c>
      <c r="C1200" s="92" t="s">
        <v>18</v>
      </c>
      <c r="D1200" s="93">
        <v>0.41</v>
      </c>
      <c r="E1200" s="94" t="s">
        <v>34</v>
      </c>
      <c r="F1200" s="462" t="s">
        <v>509</v>
      </c>
      <c r="G1200" s="94" t="s">
        <v>505</v>
      </c>
      <c r="H1200" s="132"/>
      <c r="I1200" s="132" t="str">
        <f t="shared" si="29"/>
        <v>12,25</v>
      </c>
    </row>
    <row r="1201" spans="1:9" ht="19.5" hidden="1" thickBot="1" x14ac:dyDescent="0.3">
      <c r="A1201" s="461"/>
      <c r="B1201" s="175" t="s">
        <v>503</v>
      </c>
      <c r="C1201" s="134" t="s">
        <v>19</v>
      </c>
      <c r="D1201" s="135">
        <v>0.23</v>
      </c>
      <c r="E1201" s="136" t="s">
        <v>34</v>
      </c>
      <c r="F1201" s="463"/>
      <c r="G1201" s="136" t="s">
        <v>505</v>
      </c>
      <c r="H1201" s="137"/>
      <c r="I1201" s="137" t="str">
        <f t="shared" si="29"/>
        <v>12,25</v>
      </c>
    </row>
    <row r="1202" spans="1:9" ht="19.5" hidden="1" thickBot="1" x14ac:dyDescent="0.3">
      <c r="A1202" s="461"/>
      <c r="B1202" s="175" t="s">
        <v>503</v>
      </c>
      <c r="C1202" s="134" t="s">
        <v>17</v>
      </c>
      <c r="D1202" s="135">
        <v>2</v>
      </c>
      <c r="E1202" s="136" t="s">
        <v>34</v>
      </c>
      <c r="F1202" s="463"/>
      <c r="G1202" s="136" t="s">
        <v>505</v>
      </c>
      <c r="H1202" s="137"/>
      <c r="I1202" s="137" t="str">
        <f t="shared" si="29"/>
        <v>12,25</v>
      </c>
    </row>
    <row r="1203" spans="1:9" ht="19.5" hidden="1" thickBot="1" x14ac:dyDescent="0.3">
      <c r="A1203" s="461"/>
      <c r="B1203" s="175" t="s">
        <v>503</v>
      </c>
      <c r="C1203" s="134" t="s">
        <v>18</v>
      </c>
      <c r="D1203" s="135">
        <v>0.12</v>
      </c>
      <c r="E1203" s="136" t="s">
        <v>45</v>
      </c>
      <c r="F1203" s="463"/>
      <c r="G1203" s="136" t="s">
        <v>505</v>
      </c>
      <c r="H1203" s="137"/>
      <c r="I1203" s="137" t="str">
        <f t="shared" si="29"/>
        <v>12,25</v>
      </c>
    </row>
    <row r="1204" spans="1:9" ht="19.5" hidden="1" thickBot="1" x14ac:dyDescent="0.3">
      <c r="A1204" s="461"/>
      <c r="B1204" s="175" t="s">
        <v>503</v>
      </c>
      <c r="C1204" s="134" t="s">
        <v>19</v>
      </c>
      <c r="D1204" s="135">
        <v>0.05</v>
      </c>
      <c r="E1204" s="136" t="s">
        <v>45</v>
      </c>
      <c r="F1204" s="463"/>
      <c r="G1204" s="136" t="s">
        <v>505</v>
      </c>
      <c r="H1204" s="137"/>
      <c r="I1204" s="137" t="str">
        <f t="shared" si="29"/>
        <v>12,25</v>
      </c>
    </row>
    <row r="1205" spans="1:9" ht="19.5" hidden="1" thickBot="1" x14ac:dyDescent="0.3">
      <c r="A1205" s="461"/>
      <c r="B1205" s="175" t="s">
        <v>503</v>
      </c>
      <c r="C1205" s="134" t="s">
        <v>17</v>
      </c>
      <c r="D1205" s="135">
        <v>0.27</v>
      </c>
      <c r="E1205" s="136" t="s">
        <v>45</v>
      </c>
      <c r="F1205" s="463"/>
      <c r="G1205" s="136" t="s">
        <v>505</v>
      </c>
      <c r="H1205" s="137"/>
      <c r="I1205" s="137" t="str">
        <f t="shared" si="29"/>
        <v>12,25</v>
      </c>
    </row>
    <row r="1206" spans="1:9" ht="19.5" hidden="1" thickBot="1" x14ac:dyDescent="0.3">
      <c r="A1206" s="461"/>
      <c r="B1206" s="175" t="s">
        <v>503</v>
      </c>
      <c r="C1206" s="134" t="s">
        <v>18</v>
      </c>
      <c r="D1206" s="135">
        <v>0.79</v>
      </c>
      <c r="E1206" s="136" t="s">
        <v>508</v>
      </c>
      <c r="F1206" s="463"/>
      <c r="G1206" s="136" t="s">
        <v>505</v>
      </c>
      <c r="H1206" s="137"/>
      <c r="I1206" s="137" t="str">
        <f t="shared" si="29"/>
        <v>12,25</v>
      </c>
    </row>
    <row r="1207" spans="1:9" ht="19.5" hidden="1" thickBot="1" x14ac:dyDescent="0.3">
      <c r="A1207" s="461"/>
      <c r="B1207" s="175" t="s">
        <v>503</v>
      </c>
      <c r="C1207" s="134" t="s">
        <v>19</v>
      </c>
      <c r="D1207" s="135">
        <v>0.79</v>
      </c>
      <c r="E1207" s="136" t="s">
        <v>508</v>
      </c>
      <c r="F1207" s="463"/>
      <c r="G1207" s="136" t="s">
        <v>505</v>
      </c>
      <c r="H1207" s="137"/>
      <c r="I1207" s="137" t="str">
        <f t="shared" si="29"/>
        <v>12,25</v>
      </c>
    </row>
    <row r="1208" spans="1:9" ht="19.5" hidden="1" thickBot="1" x14ac:dyDescent="0.3">
      <c r="A1208" s="461"/>
      <c r="B1208" s="175" t="s">
        <v>503</v>
      </c>
      <c r="C1208" s="134" t="s">
        <v>116</v>
      </c>
      <c r="D1208" s="135">
        <v>0.79</v>
      </c>
      <c r="E1208" s="136" t="s">
        <v>508</v>
      </c>
      <c r="F1208" s="463"/>
      <c r="G1208" s="136" t="s">
        <v>505</v>
      </c>
      <c r="H1208" s="137"/>
      <c r="I1208" s="137" t="str">
        <f t="shared" si="29"/>
        <v>12,25</v>
      </c>
    </row>
    <row r="1209" spans="1:9" ht="19.5" hidden="1" thickBot="1" x14ac:dyDescent="0.3">
      <c r="A1209" s="473"/>
      <c r="B1209" s="95" t="s">
        <v>503</v>
      </c>
      <c r="C1209" s="96" t="s">
        <v>17</v>
      </c>
      <c r="D1209" s="97">
        <v>1.0900000000000001</v>
      </c>
      <c r="E1209" s="98" t="s">
        <v>508</v>
      </c>
      <c r="F1209" s="474"/>
      <c r="G1209" s="98" t="s">
        <v>505</v>
      </c>
      <c r="H1209" s="129"/>
      <c r="I1209" s="129" t="str">
        <f t="shared" si="29"/>
        <v>12,25</v>
      </c>
    </row>
    <row r="1210" spans="1:9" ht="19.5" hidden="1" thickBot="1" x14ac:dyDescent="0.3">
      <c r="A1210" s="454">
        <f t="shared" ref="A1210:A1228" si="31">MAX(A1189:A1209)+1</f>
        <v>231</v>
      </c>
      <c r="B1210" s="102" t="s">
        <v>510</v>
      </c>
      <c r="C1210" s="103" t="s">
        <v>367</v>
      </c>
      <c r="D1210" s="104">
        <v>1.95</v>
      </c>
      <c r="E1210" s="105" t="s">
        <v>13</v>
      </c>
      <c r="F1210" s="106"/>
      <c r="G1210" s="105" t="s">
        <v>511</v>
      </c>
      <c r="H1210" s="107" t="s">
        <v>416</v>
      </c>
      <c r="I1210" s="107" t="str">
        <f t="shared" si="29"/>
        <v>12,25</v>
      </c>
    </row>
    <row r="1211" spans="1:9" ht="19.5" hidden="1" thickBot="1" x14ac:dyDescent="0.3">
      <c r="A1211" s="455"/>
      <c r="B1211" s="108" t="s">
        <v>510</v>
      </c>
      <c r="C1211" s="109" t="s">
        <v>18</v>
      </c>
      <c r="D1211" s="110">
        <v>3.1589999999999998</v>
      </c>
      <c r="E1211" s="111" t="s">
        <v>13</v>
      </c>
      <c r="F1211" s="112"/>
      <c r="G1211" s="111" t="s">
        <v>511</v>
      </c>
      <c r="H1211" s="113"/>
      <c r="I1211" s="113" t="str">
        <f t="shared" si="29"/>
        <v>12,25</v>
      </c>
    </row>
    <row r="1212" spans="1:9" ht="19.5" hidden="1" thickBot="1" x14ac:dyDescent="0.3">
      <c r="A1212" s="455"/>
      <c r="B1212" s="108" t="s">
        <v>510</v>
      </c>
      <c r="C1212" s="109" t="s">
        <v>19</v>
      </c>
      <c r="D1212" s="110">
        <v>6.5709999999999997</v>
      </c>
      <c r="E1212" s="111" t="s">
        <v>13</v>
      </c>
      <c r="F1212" s="112"/>
      <c r="G1212" s="111" t="s">
        <v>511</v>
      </c>
      <c r="H1212" s="113"/>
      <c r="I1212" s="113" t="str">
        <f t="shared" si="29"/>
        <v>12,25</v>
      </c>
    </row>
    <row r="1213" spans="1:9" ht="19.5" hidden="1" thickBot="1" x14ac:dyDescent="0.3">
      <c r="A1213" s="455"/>
      <c r="B1213" s="108" t="s">
        <v>510</v>
      </c>
      <c r="C1213" s="109" t="s">
        <v>116</v>
      </c>
      <c r="D1213" s="110">
        <v>1.67</v>
      </c>
      <c r="E1213" s="111" t="s">
        <v>13</v>
      </c>
      <c r="F1213" s="112"/>
      <c r="G1213" s="111" t="s">
        <v>511</v>
      </c>
      <c r="H1213" s="113" t="s">
        <v>416</v>
      </c>
      <c r="I1213" s="113" t="str">
        <f t="shared" si="29"/>
        <v>12,25</v>
      </c>
    </row>
    <row r="1214" spans="1:9" ht="19.5" hidden="1" thickBot="1" x14ac:dyDescent="0.3">
      <c r="A1214" s="456"/>
      <c r="B1214" s="114" t="s">
        <v>510</v>
      </c>
      <c r="C1214" s="115" t="s">
        <v>17</v>
      </c>
      <c r="D1214" s="116">
        <v>4.806</v>
      </c>
      <c r="E1214" s="117" t="s">
        <v>13</v>
      </c>
      <c r="F1214" s="118"/>
      <c r="G1214" s="117" t="s">
        <v>511</v>
      </c>
      <c r="H1214" s="119"/>
      <c r="I1214" s="119" t="str">
        <f t="shared" si="29"/>
        <v>12,25</v>
      </c>
    </row>
    <row r="1215" spans="1:9" ht="19.5" hidden="1" thickBot="1" x14ac:dyDescent="0.3">
      <c r="A1215" s="460">
        <f t="shared" si="31"/>
        <v>232</v>
      </c>
      <c r="B1215" s="91" t="s">
        <v>510</v>
      </c>
      <c r="C1215" s="92" t="s">
        <v>18</v>
      </c>
      <c r="D1215" s="93">
        <v>2.931</v>
      </c>
      <c r="E1215" s="94" t="s">
        <v>13</v>
      </c>
      <c r="F1215" s="131"/>
      <c r="G1215" s="94" t="s">
        <v>512</v>
      </c>
      <c r="H1215" s="132"/>
      <c r="I1215" s="132" t="str">
        <f t="shared" si="29"/>
        <v>12,25</v>
      </c>
    </row>
    <row r="1216" spans="1:9" ht="19.5" hidden="1" thickBot="1" x14ac:dyDescent="0.3">
      <c r="A1216" s="461"/>
      <c r="B1216" s="175" t="s">
        <v>510</v>
      </c>
      <c r="C1216" s="134" t="s">
        <v>19</v>
      </c>
      <c r="D1216" s="135">
        <v>6.1050000000000004</v>
      </c>
      <c r="E1216" s="136" t="s">
        <v>13</v>
      </c>
      <c r="F1216" s="171"/>
      <c r="G1216" s="136" t="s">
        <v>512</v>
      </c>
      <c r="H1216" s="137"/>
      <c r="I1216" s="137" t="str">
        <f t="shared" si="29"/>
        <v>12,25</v>
      </c>
    </row>
    <row r="1217" spans="1:9" ht="19.5" hidden="1" thickBot="1" x14ac:dyDescent="0.3">
      <c r="A1217" s="461"/>
      <c r="B1217" s="175" t="s">
        <v>510</v>
      </c>
      <c r="C1217" s="134" t="s">
        <v>116</v>
      </c>
      <c r="D1217" s="135">
        <v>1.554</v>
      </c>
      <c r="E1217" s="136" t="s">
        <v>13</v>
      </c>
      <c r="F1217" s="171"/>
      <c r="G1217" s="136" t="s">
        <v>512</v>
      </c>
      <c r="H1217" s="137" t="s">
        <v>416</v>
      </c>
      <c r="I1217" s="137" t="str">
        <f t="shared" si="29"/>
        <v>12,25</v>
      </c>
    </row>
    <row r="1218" spans="1:9" ht="19.5" hidden="1" thickBot="1" x14ac:dyDescent="0.3">
      <c r="A1218" s="461"/>
      <c r="B1218" s="175" t="s">
        <v>510</v>
      </c>
      <c r="C1218" s="134" t="s">
        <v>17</v>
      </c>
      <c r="D1218" s="135">
        <v>4.4539999999999997</v>
      </c>
      <c r="E1218" s="136" t="s">
        <v>13</v>
      </c>
      <c r="F1218" s="171"/>
      <c r="G1218" s="136" t="s">
        <v>512</v>
      </c>
      <c r="H1218" s="137"/>
      <c r="I1218" s="137" t="str">
        <f t="shared" si="29"/>
        <v>12,25</v>
      </c>
    </row>
    <row r="1219" spans="1:9" ht="19.5" hidden="1" thickBot="1" x14ac:dyDescent="0.3">
      <c r="A1219" s="473"/>
      <c r="B1219" s="95" t="s">
        <v>510</v>
      </c>
      <c r="C1219" s="96" t="s">
        <v>277</v>
      </c>
      <c r="D1219" s="97">
        <v>3.113</v>
      </c>
      <c r="E1219" s="98" t="s">
        <v>13</v>
      </c>
      <c r="F1219" s="133"/>
      <c r="G1219" s="98" t="s">
        <v>512</v>
      </c>
      <c r="H1219" s="129"/>
      <c r="I1219" s="129" t="str">
        <f t="shared" si="29"/>
        <v>12,25</v>
      </c>
    </row>
    <row r="1220" spans="1:9" ht="38.25" hidden="1" thickBot="1" x14ac:dyDescent="0.3">
      <c r="A1220" s="454">
        <f t="shared" si="31"/>
        <v>233</v>
      </c>
      <c r="B1220" s="102" t="s">
        <v>513</v>
      </c>
      <c r="C1220" s="103" t="s">
        <v>18</v>
      </c>
      <c r="D1220" s="104">
        <f>0.83+0.85</f>
        <v>1.68</v>
      </c>
      <c r="E1220" s="105" t="s">
        <v>34</v>
      </c>
      <c r="F1220" s="457" t="s">
        <v>515</v>
      </c>
      <c r="G1220" s="105" t="s">
        <v>512</v>
      </c>
      <c r="H1220" s="107" t="s">
        <v>514</v>
      </c>
      <c r="I1220" s="107" t="str">
        <f t="shared" si="29"/>
        <v>12,25</v>
      </c>
    </row>
    <row r="1221" spans="1:9" ht="19.5" hidden="1" thickBot="1" x14ac:dyDescent="0.3">
      <c r="A1221" s="455"/>
      <c r="B1221" s="108" t="s">
        <v>513</v>
      </c>
      <c r="C1221" s="109" t="s">
        <v>19</v>
      </c>
      <c r="D1221" s="110">
        <v>0.8</v>
      </c>
      <c r="E1221" s="111" t="s">
        <v>34</v>
      </c>
      <c r="F1221" s="458"/>
      <c r="G1221" s="111" t="s">
        <v>512</v>
      </c>
      <c r="H1221" s="113"/>
      <c r="I1221" s="113" t="str">
        <f t="shared" si="29"/>
        <v>12,25</v>
      </c>
    </row>
    <row r="1222" spans="1:9" ht="19.5" hidden="1" thickBot="1" x14ac:dyDescent="0.3">
      <c r="A1222" s="455"/>
      <c r="B1222" s="108" t="s">
        <v>513</v>
      </c>
      <c r="C1222" s="109" t="s">
        <v>116</v>
      </c>
      <c r="D1222" s="110">
        <v>0.13</v>
      </c>
      <c r="E1222" s="111" t="s">
        <v>34</v>
      </c>
      <c r="F1222" s="458"/>
      <c r="G1222" s="111" t="s">
        <v>512</v>
      </c>
      <c r="H1222" s="113"/>
      <c r="I1222" s="113" t="str">
        <f t="shared" si="29"/>
        <v>12,25</v>
      </c>
    </row>
    <row r="1223" spans="1:9" ht="19.5" hidden="1" thickBot="1" x14ac:dyDescent="0.3">
      <c r="A1223" s="455"/>
      <c r="B1223" s="108" t="s">
        <v>513</v>
      </c>
      <c r="C1223" s="109" t="s">
        <v>17</v>
      </c>
      <c r="D1223" s="110">
        <v>3.28</v>
      </c>
      <c r="E1223" s="111" t="s">
        <v>34</v>
      </c>
      <c r="F1223" s="458"/>
      <c r="G1223" s="111" t="s">
        <v>512</v>
      </c>
      <c r="H1223" s="113"/>
      <c r="I1223" s="113" t="str">
        <f t="shared" si="29"/>
        <v>12,25</v>
      </c>
    </row>
    <row r="1224" spans="1:9" ht="19.5" hidden="1" thickBot="1" x14ac:dyDescent="0.3">
      <c r="A1224" s="455"/>
      <c r="B1224" s="108" t="s">
        <v>513</v>
      </c>
      <c r="C1224" s="109" t="s">
        <v>18</v>
      </c>
      <c r="D1224" s="110">
        <v>0.23</v>
      </c>
      <c r="E1224" s="111" t="s">
        <v>45</v>
      </c>
      <c r="F1224" s="458"/>
      <c r="G1224" s="111" t="s">
        <v>512</v>
      </c>
      <c r="H1224" s="113"/>
      <c r="I1224" s="113" t="str">
        <f t="shared" si="29"/>
        <v>12,25</v>
      </c>
    </row>
    <row r="1225" spans="1:9" ht="19.5" hidden="1" thickBot="1" x14ac:dyDescent="0.3">
      <c r="A1225" s="455"/>
      <c r="B1225" s="108" t="s">
        <v>513</v>
      </c>
      <c r="C1225" s="109" t="s">
        <v>19</v>
      </c>
      <c r="D1225" s="110">
        <v>0.08</v>
      </c>
      <c r="E1225" s="111" t="s">
        <v>45</v>
      </c>
      <c r="F1225" s="458"/>
      <c r="G1225" s="111" t="s">
        <v>512</v>
      </c>
      <c r="H1225" s="113"/>
      <c r="I1225" s="113" t="str">
        <f t="shared" si="29"/>
        <v>12,25</v>
      </c>
    </row>
    <row r="1226" spans="1:9" ht="19.5" hidden="1" thickBot="1" x14ac:dyDescent="0.3">
      <c r="A1226" s="455"/>
      <c r="B1226" s="108" t="s">
        <v>513</v>
      </c>
      <c r="C1226" s="109" t="s">
        <v>116</v>
      </c>
      <c r="D1226" s="212">
        <v>0.01</v>
      </c>
      <c r="E1226" s="111" t="s">
        <v>45</v>
      </c>
      <c r="F1226" s="458"/>
      <c r="G1226" s="111" t="s">
        <v>512</v>
      </c>
      <c r="H1226" s="113"/>
      <c r="I1226" s="113" t="str">
        <f t="shared" si="29"/>
        <v>12,25</v>
      </c>
    </row>
    <row r="1227" spans="1:9" ht="19.5" hidden="1" thickBot="1" x14ac:dyDescent="0.3">
      <c r="A1227" s="455"/>
      <c r="B1227" s="164" t="s">
        <v>513</v>
      </c>
      <c r="C1227" s="165" t="s">
        <v>17</v>
      </c>
      <c r="D1227" s="166">
        <v>0.47</v>
      </c>
      <c r="E1227" s="167" t="s">
        <v>45</v>
      </c>
      <c r="F1227" s="458"/>
      <c r="G1227" s="167" t="s">
        <v>512</v>
      </c>
      <c r="H1227" s="163"/>
      <c r="I1227" s="163" t="str">
        <f t="shared" si="29"/>
        <v>12,25</v>
      </c>
    </row>
    <row r="1228" spans="1:9" ht="19.5" hidden="1" thickBot="1" x14ac:dyDescent="0.3">
      <c r="A1228" s="460">
        <f t="shared" si="31"/>
        <v>234</v>
      </c>
      <c r="B1228" s="91" t="s">
        <v>516</v>
      </c>
      <c r="C1228" s="92" t="s">
        <v>18</v>
      </c>
      <c r="D1228" s="93">
        <v>1.6970000000000001</v>
      </c>
      <c r="E1228" s="94" t="s">
        <v>13</v>
      </c>
      <c r="F1228" s="131"/>
      <c r="G1228" s="94" t="s">
        <v>517</v>
      </c>
      <c r="H1228" s="132"/>
      <c r="I1228" s="132" t="str">
        <f t="shared" si="29"/>
        <v>12,25</v>
      </c>
    </row>
    <row r="1229" spans="1:9" ht="19.5" hidden="1" thickBot="1" x14ac:dyDescent="0.3">
      <c r="A1229" s="461"/>
      <c r="B1229" s="175" t="s">
        <v>516</v>
      </c>
      <c r="C1229" s="134" t="s">
        <v>19</v>
      </c>
      <c r="D1229" s="135">
        <v>4.5010000000000003</v>
      </c>
      <c r="E1229" s="136" t="s">
        <v>13</v>
      </c>
      <c r="F1229" s="171"/>
      <c r="G1229" s="136" t="s">
        <v>517</v>
      </c>
      <c r="H1229" s="137"/>
      <c r="I1229" s="137" t="str">
        <f t="shared" si="29"/>
        <v>12,25</v>
      </c>
    </row>
    <row r="1230" spans="1:9" ht="19.5" hidden="1" thickBot="1" x14ac:dyDescent="0.3">
      <c r="A1230" s="461"/>
      <c r="B1230" s="175" t="s">
        <v>516</v>
      </c>
      <c r="C1230" s="134" t="s">
        <v>116</v>
      </c>
      <c r="D1230" s="135">
        <v>2.7229999999999999</v>
      </c>
      <c r="E1230" s="136" t="s">
        <v>13</v>
      </c>
      <c r="F1230" s="171"/>
      <c r="G1230" s="136" t="s">
        <v>517</v>
      </c>
      <c r="H1230" s="137" t="s">
        <v>416</v>
      </c>
      <c r="I1230" s="137" t="str">
        <f t="shared" si="29"/>
        <v>12,25</v>
      </c>
    </row>
    <row r="1231" spans="1:9" ht="19.5" hidden="1" thickBot="1" x14ac:dyDescent="0.3">
      <c r="A1231" s="461"/>
      <c r="B1231" s="175" t="s">
        <v>516</v>
      </c>
      <c r="C1231" s="134" t="s">
        <v>17</v>
      </c>
      <c r="D1231" s="135">
        <v>2.5249999999999999</v>
      </c>
      <c r="E1231" s="136" t="s">
        <v>13</v>
      </c>
      <c r="F1231" s="171"/>
      <c r="G1231" s="136" t="s">
        <v>517</v>
      </c>
      <c r="H1231" s="137"/>
      <c r="I1231" s="137" t="str">
        <f t="shared" si="29"/>
        <v>12,25</v>
      </c>
    </row>
    <row r="1232" spans="1:9" ht="19.5" hidden="1" thickBot="1" x14ac:dyDescent="0.3">
      <c r="A1232" s="473"/>
      <c r="B1232" s="95" t="s">
        <v>516</v>
      </c>
      <c r="C1232" s="96" t="s">
        <v>277</v>
      </c>
      <c r="D1232" s="97">
        <v>0.97399999999999998</v>
      </c>
      <c r="E1232" s="98" t="s">
        <v>13</v>
      </c>
      <c r="F1232" s="133"/>
      <c r="G1232" s="98" t="s">
        <v>517</v>
      </c>
      <c r="H1232" s="129"/>
      <c r="I1232" s="129" t="str">
        <f t="shared" si="29"/>
        <v>12,25</v>
      </c>
    </row>
    <row r="1233" spans="1:9" ht="19.5" hidden="1" thickBot="1" x14ac:dyDescent="0.3">
      <c r="A1233" s="475">
        <f>MAX(A1212:A1232)+1</f>
        <v>235</v>
      </c>
      <c r="B1233" s="126" t="s">
        <v>516</v>
      </c>
      <c r="C1233" s="103" t="s">
        <v>18</v>
      </c>
      <c r="D1233" s="104">
        <v>2.15</v>
      </c>
      <c r="E1233" s="105" t="s">
        <v>13</v>
      </c>
      <c r="F1233" s="106"/>
      <c r="G1233" s="105" t="s">
        <v>518</v>
      </c>
      <c r="H1233" s="107"/>
      <c r="I1233" s="107" t="str">
        <f t="shared" si="29"/>
        <v>01,26</v>
      </c>
    </row>
    <row r="1234" spans="1:9" ht="19.5" hidden="1" thickBot="1" x14ac:dyDescent="0.3">
      <c r="A1234" s="476"/>
      <c r="B1234" s="223" t="s">
        <v>516</v>
      </c>
      <c r="C1234" s="214" t="s">
        <v>19</v>
      </c>
      <c r="D1234" s="215">
        <v>4.3570000000000002</v>
      </c>
      <c r="E1234" s="213" t="s">
        <v>13</v>
      </c>
      <c r="F1234" s="250"/>
      <c r="G1234" s="213" t="s">
        <v>518</v>
      </c>
      <c r="H1234" s="219"/>
      <c r="I1234" s="219" t="str">
        <f t="shared" si="29"/>
        <v>01,26</v>
      </c>
    </row>
    <row r="1235" spans="1:9" ht="19.5" hidden="1" thickBot="1" x14ac:dyDescent="0.3">
      <c r="A1235" s="476"/>
      <c r="B1235" s="223" t="s">
        <v>516</v>
      </c>
      <c r="C1235" s="214" t="s">
        <v>116</v>
      </c>
      <c r="D1235" s="215">
        <v>3.24</v>
      </c>
      <c r="E1235" s="213" t="s">
        <v>13</v>
      </c>
      <c r="F1235" s="250"/>
      <c r="G1235" s="213" t="s">
        <v>518</v>
      </c>
      <c r="H1235" s="219" t="s">
        <v>416</v>
      </c>
      <c r="I1235" s="219" t="str">
        <f t="shared" si="29"/>
        <v>01,26</v>
      </c>
    </row>
    <row r="1236" spans="1:9" ht="19.5" hidden="1" thickBot="1" x14ac:dyDescent="0.3">
      <c r="A1236" s="476"/>
      <c r="B1236" s="223" t="s">
        <v>516</v>
      </c>
      <c r="C1236" s="214" t="s">
        <v>17</v>
      </c>
      <c r="D1236" s="215">
        <v>3.097</v>
      </c>
      <c r="E1236" s="213" t="s">
        <v>13</v>
      </c>
      <c r="F1236" s="250"/>
      <c r="G1236" s="213" t="s">
        <v>518</v>
      </c>
      <c r="H1236" s="219"/>
      <c r="I1236" s="219" t="str">
        <f t="shared" si="29"/>
        <v>01,26</v>
      </c>
    </row>
    <row r="1237" spans="1:9" ht="19.5" hidden="1" thickBot="1" x14ac:dyDescent="0.3">
      <c r="A1237" s="477"/>
      <c r="B1237" s="128" t="s">
        <v>522</v>
      </c>
      <c r="C1237" s="115" t="s">
        <v>319</v>
      </c>
      <c r="D1237" s="116">
        <v>0.55200000000000005</v>
      </c>
      <c r="E1237" s="213" t="s">
        <v>13</v>
      </c>
      <c r="F1237" s="118"/>
      <c r="G1237" s="117" t="s">
        <v>518</v>
      </c>
      <c r="H1237" s="119"/>
      <c r="I1237" s="119" t="str">
        <f t="shared" si="29"/>
        <v>01,26</v>
      </c>
    </row>
    <row r="1238" spans="1:9" ht="19.5" hidden="1" thickBot="1" x14ac:dyDescent="0.3">
      <c r="A1238" s="460">
        <f>MAX(A1216:A1237)+1</f>
        <v>236</v>
      </c>
      <c r="B1238" s="91" t="s">
        <v>520</v>
      </c>
      <c r="C1238" s="92" t="s">
        <v>18</v>
      </c>
      <c r="D1238" s="93">
        <f>1.63+0.15</f>
        <v>1.7799999999999998</v>
      </c>
      <c r="E1238" s="94" t="s">
        <v>519</v>
      </c>
      <c r="F1238" s="462" t="s">
        <v>521</v>
      </c>
      <c r="G1238" s="94" t="s">
        <v>518</v>
      </c>
      <c r="H1238" s="132"/>
      <c r="I1238" s="132" t="str">
        <f t="shared" ref="I1238:I1301" si="32">RIGHT(G1238,5)</f>
        <v>01,26</v>
      </c>
    </row>
    <row r="1239" spans="1:9" ht="19.5" hidden="1" thickBot="1" x14ac:dyDescent="0.3">
      <c r="A1239" s="461"/>
      <c r="B1239" s="175" t="s">
        <v>520</v>
      </c>
      <c r="C1239" s="134" t="s">
        <v>19</v>
      </c>
      <c r="D1239" s="135">
        <f>1.47+0.1</f>
        <v>1.57</v>
      </c>
      <c r="E1239" s="136" t="s">
        <v>519</v>
      </c>
      <c r="F1239" s="463"/>
      <c r="G1239" s="136" t="s">
        <v>518</v>
      </c>
      <c r="H1239" s="137"/>
      <c r="I1239" s="137" t="str">
        <f t="shared" si="32"/>
        <v>01,26</v>
      </c>
    </row>
    <row r="1240" spans="1:9" ht="19.5" hidden="1" thickBot="1" x14ac:dyDescent="0.3">
      <c r="A1240" s="461"/>
      <c r="B1240" s="175" t="s">
        <v>520</v>
      </c>
      <c r="C1240" s="134" t="s">
        <v>116</v>
      </c>
      <c r="D1240" s="135">
        <v>0.91</v>
      </c>
      <c r="E1240" s="136" t="s">
        <v>519</v>
      </c>
      <c r="F1240" s="463"/>
      <c r="G1240" s="136" t="s">
        <v>518</v>
      </c>
      <c r="H1240" s="137"/>
      <c r="I1240" s="137" t="str">
        <f t="shared" si="32"/>
        <v>01,26</v>
      </c>
    </row>
    <row r="1241" spans="1:9" ht="19.5" hidden="1" thickBot="1" x14ac:dyDescent="0.3">
      <c r="A1241" s="461"/>
      <c r="B1241" s="175" t="s">
        <v>520</v>
      </c>
      <c r="C1241" s="134" t="s">
        <v>17</v>
      </c>
      <c r="D1241" s="135">
        <f>2.47+0.15+0.3</f>
        <v>2.92</v>
      </c>
      <c r="E1241" s="136" t="s">
        <v>519</v>
      </c>
      <c r="F1241" s="463"/>
      <c r="G1241" s="136" t="s">
        <v>518</v>
      </c>
      <c r="H1241" s="137"/>
      <c r="I1241" s="137" t="str">
        <f t="shared" si="32"/>
        <v>01,26</v>
      </c>
    </row>
    <row r="1242" spans="1:9" ht="19.5" hidden="1" thickBot="1" x14ac:dyDescent="0.3">
      <c r="A1242" s="461"/>
      <c r="B1242" s="175" t="s">
        <v>520</v>
      </c>
      <c r="C1242" s="134" t="s">
        <v>18</v>
      </c>
      <c r="D1242" s="135">
        <v>0.18</v>
      </c>
      <c r="E1242" s="136" t="s">
        <v>45</v>
      </c>
      <c r="F1242" s="463"/>
      <c r="G1242" s="136" t="s">
        <v>518</v>
      </c>
      <c r="H1242" s="137"/>
      <c r="I1242" s="137" t="str">
        <f t="shared" si="32"/>
        <v>01,26</v>
      </c>
    </row>
    <row r="1243" spans="1:9" ht="19.5" hidden="1" thickBot="1" x14ac:dyDescent="0.3">
      <c r="A1243" s="473"/>
      <c r="B1243" s="95" t="s">
        <v>520</v>
      </c>
      <c r="C1243" s="96" t="s">
        <v>17</v>
      </c>
      <c r="D1243" s="97">
        <v>0.34</v>
      </c>
      <c r="E1243" s="98" t="s">
        <v>45</v>
      </c>
      <c r="F1243" s="474"/>
      <c r="G1243" s="98" t="s">
        <v>518</v>
      </c>
      <c r="H1243" s="129"/>
      <c r="I1243" s="129" t="str">
        <f t="shared" si="32"/>
        <v>01,26</v>
      </c>
    </row>
    <row r="1244" spans="1:9" ht="19.5" hidden="1" thickBot="1" x14ac:dyDescent="0.3">
      <c r="A1244" s="454">
        <f t="shared" ref="A1244" si="33">MAX(A1222:A1243)+1</f>
        <v>237</v>
      </c>
      <c r="B1244" s="102" t="s">
        <v>523</v>
      </c>
      <c r="C1244" s="103" t="s">
        <v>18</v>
      </c>
      <c r="D1244" s="104">
        <v>3.4319999999999999</v>
      </c>
      <c r="E1244" s="105" t="s">
        <v>13</v>
      </c>
      <c r="F1244" s="106"/>
      <c r="G1244" s="105" t="s">
        <v>524</v>
      </c>
      <c r="H1244" s="107"/>
      <c r="I1244" s="107" t="str">
        <f t="shared" si="32"/>
        <v>01,26</v>
      </c>
    </row>
    <row r="1245" spans="1:9" ht="19.5" hidden="1" thickBot="1" x14ac:dyDescent="0.3">
      <c r="A1245" s="455"/>
      <c r="B1245" s="108" t="s">
        <v>523</v>
      </c>
      <c r="C1245" s="109" t="s">
        <v>19</v>
      </c>
      <c r="D1245" s="110">
        <v>5.0389999999999997</v>
      </c>
      <c r="E1245" s="111" t="s">
        <v>13</v>
      </c>
      <c r="F1245" s="112"/>
      <c r="G1245" s="111" t="s">
        <v>524</v>
      </c>
      <c r="H1245" s="113"/>
      <c r="I1245" s="113" t="str">
        <f t="shared" si="32"/>
        <v>01,26</v>
      </c>
    </row>
    <row r="1246" spans="1:9" ht="19.5" hidden="1" thickBot="1" x14ac:dyDescent="0.3">
      <c r="A1246" s="455"/>
      <c r="B1246" s="108" t="s">
        <v>523</v>
      </c>
      <c r="C1246" s="109" t="s">
        <v>116</v>
      </c>
      <c r="D1246" s="110">
        <v>2.7810000000000001</v>
      </c>
      <c r="E1246" s="111" t="s">
        <v>13</v>
      </c>
      <c r="F1246" s="112"/>
      <c r="G1246" s="111" t="s">
        <v>524</v>
      </c>
      <c r="H1246" s="113" t="s">
        <v>416</v>
      </c>
      <c r="I1246" s="113" t="str">
        <f t="shared" si="32"/>
        <v>01,26</v>
      </c>
    </row>
    <row r="1247" spans="1:9" ht="19.5" hidden="1" thickBot="1" x14ac:dyDescent="0.3">
      <c r="A1247" s="455"/>
      <c r="B1247" s="108" t="s">
        <v>523</v>
      </c>
      <c r="C1247" s="109" t="s">
        <v>17</v>
      </c>
      <c r="D1247" s="110">
        <v>6.0810000000000004</v>
      </c>
      <c r="E1247" s="111" t="s">
        <v>13</v>
      </c>
      <c r="F1247" s="112"/>
      <c r="G1247" s="111" t="s">
        <v>524</v>
      </c>
      <c r="H1247" s="113"/>
      <c r="I1247" s="113" t="str">
        <f t="shared" si="32"/>
        <v>01,26</v>
      </c>
    </row>
    <row r="1248" spans="1:9" ht="19.5" hidden="1" thickBot="1" x14ac:dyDescent="0.3">
      <c r="A1248" s="455"/>
      <c r="B1248" s="108" t="s">
        <v>526</v>
      </c>
      <c r="C1248" s="109" t="s">
        <v>319</v>
      </c>
      <c r="D1248" s="110">
        <v>0.80500000000000005</v>
      </c>
      <c r="E1248" s="111" t="s">
        <v>13</v>
      </c>
      <c r="F1248" s="112"/>
      <c r="G1248" s="111" t="s">
        <v>524</v>
      </c>
      <c r="H1248" s="113"/>
      <c r="I1248" s="113" t="str">
        <f t="shared" si="32"/>
        <v>01,26</v>
      </c>
    </row>
    <row r="1249" spans="1:9" ht="19.5" hidden="1" thickBot="1" x14ac:dyDescent="0.3">
      <c r="A1249" s="456"/>
      <c r="B1249" s="114" t="s">
        <v>528</v>
      </c>
      <c r="C1249" s="115" t="s">
        <v>367</v>
      </c>
      <c r="D1249" s="116">
        <v>1.982</v>
      </c>
      <c r="E1249" s="117" t="s">
        <v>13</v>
      </c>
      <c r="F1249" s="118"/>
      <c r="G1249" s="117" t="s">
        <v>524</v>
      </c>
      <c r="H1249" s="119" t="s">
        <v>416</v>
      </c>
      <c r="I1249" s="119" t="str">
        <f t="shared" si="32"/>
        <v>01,26</v>
      </c>
    </row>
    <row r="1250" spans="1:9" ht="19.5" hidden="1" thickBot="1" x14ac:dyDescent="0.3">
      <c r="A1250" s="460">
        <f>MAX(A1227:A1249)+1</f>
        <v>238</v>
      </c>
      <c r="B1250" s="91" t="s">
        <v>523</v>
      </c>
      <c r="C1250" s="92" t="s">
        <v>18</v>
      </c>
      <c r="D1250" s="93">
        <v>2.6589999999999998</v>
      </c>
      <c r="E1250" s="94" t="s">
        <v>13</v>
      </c>
      <c r="F1250" s="131"/>
      <c r="G1250" s="94" t="s">
        <v>525</v>
      </c>
      <c r="H1250" s="132"/>
      <c r="I1250" s="132" t="str">
        <f t="shared" si="32"/>
        <v>01,26</v>
      </c>
    </row>
    <row r="1251" spans="1:9" ht="19.5" hidden="1" thickBot="1" x14ac:dyDescent="0.3">
      <c r="A1251" s="461"/>
      <c r="B1251" s="175" t="s">
        <v>523</v>
      </c>
      <c r="C1251" s="134" t="s">
        <v>19</v>
      </c>
      <c r="D1251" s="135">
        <v>3.91</v>
      </c>
      <c r="E1251" s="136" t="s">
        <v>13</v>
      </c>
      <c r="F1251" s="171"/>
      <c r="G1251" s="136" t="s">
        <v>525</v>
      </c>
      <c r="H1251" s="137"/>
      <c r="I1251" s="137" t="str">
        <f t="shared" si="32"/>
        <v>01,26</v>
      </c>
    </row>
    <row r="1252" spans="1:9" ht="19.5" hidden="1" thickBot="1" x14ac:dyDescent="0.3">
      <c r="A1252" s="461"/>
      <c r="B1252" s="175" t="s">
        <v>523</v>
      </c>
      <c r="C1252" s="134" t="s">
        <v>116</v>
      </c>
      <c r="D1252" s="135">
        <v>2.169</v>
      </c>
      <c r="E1252" s="136" t="s">
        <v>13</v>
      </c>
      <c r="F1252" s="171"/>
      <c r="G1252" s="136" t="s">
        <v>525</v>
      </c>
      <c r="H1252" s="137" t="s">
        <v>416</v>
      </c>
      <c r="I1252" s="137" t="str">
        <f t="shared" si="32"/>
        <v>01,26</v>
      </c>
    </row>
    <row r="1253" spans="1:9" ht="19.5" hidden="1" thickBot="1" x14ac:dyDescent="0.3">
      <c r="A1253" s="461"/>
      <c r="B1253" s="175" t="s">
        <v>523</v>
      </c>
      <c r="C1253" s="134" t="s">
        <v>17</v>
      </c>
      <c r="D1253" s="135">
        <v>4.7119999999999997</v>
      </c>
      <c r="E1253" s="136" t="s">
        <v>13</v>
      </c>
      <c r="F1253" s="171"/>
      <c r="G1253" s="136" t="s">
        <v>525</v>
      </c>
      <c r="H1253" s="137"/>
      <c r="I1253" s="137" t="str">
        <f t="shared" si="32"/>
        <v>01,26</v>
      </c>
    </row>
    <row r="1254" spans="1:9" ht="19.5" hidden="1" thickBot="1" x14ac:dyDescent="0.3">
      <c r="A1254" s="461"/>
      <c r="B1254" s="175" t="s">
        <v>523</v>
      </c>
      <c r="C1254" s="134" t="s">
        <v>277</v>
      </c>
      <c r="D1254" s="135">
        <v>3.8849999999999998</v>
      </c>
      <c r="E1254" s="136" t="s">
        <v>13</v>
      </c>
      <c r="F1254" s="171"/>
      <c r="G1254" s="136" t="s">
        <v>525</v>
      </c>
      <c r="H1254" s="137"/>
      <c r="I1254" s="137" t="str">
        <f t="shared" si="32"/>
        <v>01,26</v>
      </c>
    </row>
    <row r="1255" spans="1:9" ht="19.5" hidden="1" thickBot="1" x14ac:dyDescent="0.3">
      <c r="A1255" s="473"/>
      <c r="B1255" s="95" t="s">
        <v>526</v>
      </c>
      <c r="C1255" s="96" t="s">
        <v>277</v>
      </c>
      <c r="D1255" s="97">
        <v>3.99</v>
      </c>
      <c r="E1255" s="98" t="s">
        <v>13</v>
      </c>
      <c r="F1255" s="133" t="s">
        <v>527</v>
      </c>
      <c r="G1255" s="98" t="s">
        <v>525</v>
      </c>
      <c r="H1255" s="129"/>
      <c r="I1255" s="129" t="str">
        <f t="shared" si="32"/>
        <v>01,26</v>
      </c>
    </row>
    <row r="1256" spans="1:9" ht="19.5" hidden="1" thickBot="1" x14ac:dyDescent="0.3">
      <c r="A1256" s="454">
        <f t="shared" ref="A1256:A1310" si="34">MAX(A1233:A1255)+1</f>
        <v>239</v>
      </c>
      <c r="B1256" s="102" t="s">
        <v>528</v>
      </c>
      <c r="C1256" s="103" t="s">
        <v>18</v>
      </c>
      <c r="D1256" s="104">
        <v>2.17</v>
      </c>
      <c r="E1256" s="105" t="s">
        <v>519</v>
      </c>
      <c r="F1256" s="457" t="s">
        <v>529</v>
      </c>
      <c r="G1256" s="105" t="s">
        <v>525</v>
      </c>
      <c r="H1256" s="107"/>
      <c r="I1256" s="107" t="str">
        <f t="shared" si="32"/>
        <v>01,26</v>
      </c>
    </row>
    <row r="1257" spans="1:9" ht="19.5" hidden="1" thickBot="1" x14ac:dyDescent="0.3">
      <c r="A1257" s="455"/>
      <c r="B1257" s="108" t="s">
        <v>528</v>
      </c>
      <c r="C1257" s="109" t="s">
        <v>19</v>
      </c>
      <c r="D1257" s="110">
        <v>0.77</v>
      </c>
      <c r="E1257" s="111" t="s">
        <v>519</v>
      </c>
      <c r="F1257" s="458"/>
      <c r="G1257" s="111" t="s">
        <v>525</v>
      </c>
      <c r="H1257" s="113"/>
      <c r="I1257" s="113" t="str">
        <f t="shared" si="32"/>
        <v>01,26</v>
      </c>
    </row>
    <row r="1258" spans="1:9" ht="19.5" hidden="1" thickBot="1" x14ac:dyDescent="0.3">
      <c r="A1258" s="455"/>
      <c r="B1258" s="108" t="s">
        <v>528</v>
      </c>
      <c r="C1258" s="109" t="s">
        <v>116</v>
      </c>
      <c r="D1258" s="110">
        <v>0.57999999999999996</v>
      </c>
      <c r="E1258" s="111" t="s">
        <v>519</v>
      </c>
      <c r="F1258" s="458"/>
      <c r="G1258" s="111" t="s">
        <v>525</v>
      </c>
      <c r="H1258" s="113"/>
      <c r="I1258" s="113" t="str">
        <f t="shared" si="32"/>
        <v>01,26</v>
      </c>
    </row>
    <row r="1259" spans="1:9" ht="19.5" hidden="1" thickBot="1" x14ac:dyDescent="0.3">
      <c r="A1259" s="455"/>
      <c r="B1259" s="108" t="s">
        <v>528</v>
      </c>
      <c r="C1259" s="109" t="s">
        <v>17</v>
      </c>
      <c r="D1259" s="110">
        <v>2.65</v>
      </c>
      <c r="E1259" s="111" t="s">
        <v>519</v>
      </c>
      <c r="F1259" s="458"/>
      <c r="G1259" s="111" t="s">
        <v>525</v>
      </c>
      <c r="H1259" s="113"/>
      <c r="I1259" s="113" t="str">
        <f t="shared" si="32"/>
        <v>01,26</v>
      </c>
    </row>
    <row r="1260" spans="1:9" ht="19.5" hidden="1" thickBot="1" x14ac:dyDescent="0.3">
      <c r="A1260" s="455"/>
      <c r="B1260" s="108" t="s">
        <v>528</v>
      </c>
      <c r="C1260" s="109" t="s">
        <v>18</v>
      </c>
      <c r="D1260" s="110">
        <v>0.11</v>
      </c>
      <c r="E1260" s="111" t="s">
        <v>45</v>
      </c>
      <c r="F1260" s="458"/>
      <c r="G1260" s="111" t="s">
        <v>525</v>
      </c>
      <c r="H1260" s="113"/>
      <c r="I1260" s="113" t="str">
        <f t="shared" si="32"/>
        <v>01,26</v>
      </c>
    </row>
    <row r="1261" spans="1:9" ht="19.5" hidden="1" thickBot="1" x14ac:dyDescent="0.3">
      <c r="A1261" s="455"/>
      <c r="B1261" s="108" t="s">
        <v>528</v>
      </c>
      <c r="C1261" s="109" t="s">
        <v>19</v>
      </c>
      <c r="D1261" s="110">
        <v>0.12</v>
      </c>
      <c r="E1261" s="111" t="s">
        <v>45</v>
      </c>
      <c r="F1261" s="458"/>
      <c r="G1261" s="111" t="s">
        <v>525</v>
      </c>
      <c r="H1261" s="113"/>
      <c r="I1261" s="113" t="str">
        <f t="shared" si="32"/>
        <v>01,26</v>
      </c>
    </row>
    <row r="1262" spans="1:9" ht="19.5" hidden="1" thickBot="1" x14ac:dyDescent="0.3">
      <c r="A1262" s="455"/>
      <c r="B1262" s="108" t="s">
        <v>528</v>
      </c>
      <c r="C1262" s="109" t="s">
        <v>116</v>
      </c>
      <c r="D1262" s="212">
        <v>0.01</v>
      </c>
      <c r="E1262" s="111" t="s">
        <v>45</v>
      </c>
      <c r="F1262" s="458"/>
      <c r="G1262" s="111" t="s">
        <v>525</v>
      </c>
      <c r="H1262" s="113"/>
      <c r="I1262" s="113" t="str">
        <f t="shared" si="32"/>
        <v>01,26</v>
      </c>
    </row>
    <row r="1263" spans="1:9" ht="19.5" hidden="1" thickBot="1" x14ac:dyDescent="0.3">
      <c r="A1263" s="455"/>
      <c r="B1263" s="164" t="s">
        <v>528</v>
      </c>
      <c r="C1263" s="165" t="s">
        <v>17</v>
      </c>
      <c r="D1263" s="166">
        <v>0.45</v>
      </c>
      <c r="E1263" s="167" t="s">
        <v>45</v>
      </c>
      <c r="F1263" s="458"/>
      <c r="G1263" s="167" t="s">
        <v>525</v>
      </c>
      <c r="H1263" s="163"/>
      <c r="I1263" s="163" t="str">
        <f t="shared" si="32"/>
        <v>01,26</v>
      </c>
    </row>
    <row r="1264" spans="1:9" ht="19.5" hidden="1" thickBot="1" x14ac:dyDescent="0.3">
      <c r="A1264" s="460">
        <f t="shared" si="34"/>
        <v>240</v>
      </c>
      <c r="B1264" s="91" t="s">
        <v>530</v>
      </c>
      <c r="C1264" s="92" t="s">
        <v>18</v>
      </c>
      <c r="D1264" s="93">
        <v>3.4220000000000002</v>
      </c>
      <c r="E1264" s="94" t="s">
        <v>13</v>
      </c>
      <c r="F1264" s="131"/>
      <c r="G1264" s="94" t="s">
        <v>531</v>
      </c>
      <c r="H1264" s="132"/>
      <c r="I1264" s="132" t="str">
        <f t="shared" si="32"/>
        <v>01,26</v>
      </c>
    </row>
    <row r="1265" spans="1:9" ht="19.5" hidden="1" thickBot="1" x14ac:dyDescent="0.3">
      <c r="A1265" s="461"/>
      <c r="B1265" s="175" t="s">
        <v>530</v>
      </c>
      <c r="C1265" s="134" t="s">
        <v>19</v>
      </c>
      <c r="D1265" s="135">
        <v>5.1980000000000004</v>
      </c>
      <c r="E1265" s="136" t="s">
        <v>13</v>
      </c>
      <c r="F1265" s="171"/>
      <c r="G1265" s="136" t="s">
        <v>531</v>
      </c>
      <c r="H1265" s="137"/>
      <c r="I1265" s="137" t="str">
        <f t="shared" si="32"/>
        <v>01,26</v>
      </c>
    </row>
    <row r="1266" spans="1:9" ht="19.5" hidden="1" thickBot="1" x14ac:dyDescent="0.3">
      <c r="A1266" s="461"/>
      <c r="B1266" s="175" t="s">
        <v>530</v>
      </c>
      <c r="C1266" s="134" t="s">
        <v>116</v>
      </c>
      <c r="D1266" s="135">
        <v>1.7430000000000001</v>
      </c>
      <c r="E1266" s="136" t="s">
        <v>13</v>
      </c>
      <c r="F1266" s="171"/>
      <c r="G1266" s="136" t="s">
        <v>531</v>
      </c>
      <c r="H1266" s="137" t="s">
        <v>416</v>
      </c>
      <c r="I1266" s="137" t="str">
        <f t="shared" si="32"/>
        <v>01,26</v>
      </c>
    </row>
    <row r="1267" spans="1:9" ht="19.5" hidden="1" thickBot="1" x14ac:dyDescent="0.3">
      <c r="A1267" s="461"/>
      <c r="B1267" s="175" t="s">
        <v>530</v>
      </c>
      <c r="C1267" s="134" t="s">
        <v>17</v>
      </c>
      <c r="D1267" s="135">
        <v>4.569</v>
      </c>
      <c r="E1267" s="136" t="s">
        <v>13</v>
      </c>
      <c r="F1267" s="171"/>
      <c r="G1267" s="136" t="s">
        <v>531</v>
      </c>
      <c r="H1267" s="137"/>
      <c r="I1267" s="137" t="str">
        <f t="shared" si="32"/>
        <v>01,26</v>
      </c>
    </row>
    <row r="1268" spans="1:9" ht="19.5" hidden="1" thickBot="1" x14ac:dyDescent="0.3">
      <c r="A1268" s="461"/>
      <c r="B1268" s="175" t="s">
        <v>530</v>
      </c>
      <c r="C1268" s="134" t="s">
        <v>319</v>
      </c>
      <c r="D1268" s="135">
        <v>1.8260000000000001</v>
      </c>
      <c r="E1268" s="136" t="s">
        <v>13</v>
      </c>
      <c r="F1268" s="171"/>
      <c r="G1268" s="136" t="s">
        <v>531</v>
      </c>
      <c r="H1268" s="137"/>
      <c r="I1268" s="137" t="str">
        <f t="shared" si="32"/>
        <v>01,26</v>
      </c>
    </row>
    <row r="1269" spans="1:9" ht="19.5" hidden="1" thickBot="1" x14ac:dyDescent="0.3">
      <c r="A1269" s="473"/>
      <c r="B1269" s="95" t="s">
        <v>530</v>
      </c>
      <c r="C1269" s="96" t="s">
        <v>367</v>
      </c>
      <c r="D1269" s="97">
        <v>3.964</v>
      </c>
      <c r="E1269" s="98" t="s">
        <v>13</v>
      </c>
      <c r="F1269" s="133"/>
      <c r="G1269" s="98" t="s">
        <v>531</v>
      </c>
      <c r="H1269" s="129" t="s">
        <v>416</v>
      </c>
      <c r="I1269" s="129" t="str">
        <f t="shared" si="32"/>
        <v>01,26</v>
      </c>
    </row>
    <row r="1270" spans="1:9" ht="19.5" hidden="1" thickBot="1" x14ac:dyDescent="0.3">
      <c r="A1270" s="454">
        <f t="shared" si="34"/>
        <v>241</v>
      </c>
      <c r="B1270" s="102" t="s">
        <v>530</v>
      </c>
      <c r="C1270" s="103" t="s">
        <v>18</v>
      </c>
      <c r="D1270" s="104">
        <v>3.37</v>
      </c>
      <c r="E1270" s="105" t="s">
        <v>13</v>
      </c>
      <c r="F1270" s="106"/>
      <c r="G1270" s="105" t="s">
        <v>532</v>
      </c>
      <c r="H1270" s="107"/>
      <c r="I1270" s="107" t="str">
        <f t="shared" si="32"/>
        <v>01,26</v>
      </c>
    </row>
    <row r="1271" spans="1:9" ht="19.5" hidden="1" thickBot="1" x14ac:dyDescent="0.3">
      <c r="A1271" s="455"/>
      <c r="B1271" s="108" t="s">
        <v>530</v>
      </c>
      <c r="C1271" s="109" t="s">
        <v>19</v>
      </c>
      <c r="D1271" s="110">
        <v>5.1120000000000001</v>
      </c>
      <c r="E1271" s="111" t="s">
        <v>13</v>
      </c>
      <c r="F1271" s="112"/>
      <c r="G1271" s="111" t="s">
        <v>532</v>
      </c>
      <c r="H1271" s="113"/>
      <c r="I1271" s="113" t="str">
        <f t="shared" si="32"/>
        <v>01,26</v>
      </c>
    </row>
    <row r="1272" spans="1:9" ht="19.5" hidden="1" thickBot="1" x14ac:dyDescent="0.3">
      <c r="A1272" s="455"/>
      <c r="B1272" s="108" t="s">
        <v>530</v>
      </c>
      <c r="C1272" s="109" t="s">
        <v>116</v>
      </c>
      <c r="D1272" s="110">
        <v>1.712</v>
      </c>
      <c r="E1272" s="111" t="s">
        <v>13</v>
      </c>
      <c r="F1272" s="112"/>
      <c r="G1272" s="111" t="s">
        <v>532</v>
      </c>
      <c r="H1272" s="113" t="s">
        <v>416</v>
      </c>
      <c r="I1272" s="113" t="str">
        <f t="shared" si="32"/>
        <v>01,26</v>
      </c>
    </row>
    <row r="1273" spans="1:9" ht="19.5" hidden="1" thickBot="1" x14ac:dyDescent="0.3">
      <c r="A1273" s="455"/>
      <c r="B1273" s="108" t="s">
        <v>530</v>
      </c>
      <c r="C1273" s="109" t="s">
        <v>17</v>
      </c>
      <c r="D1273" s="110">
        <v>4.5010000000000003</v>
      </c>
      <c r="E1273" s="111" t="s">
        <v>13</v>
      </c>
      <c r="F1273" s="112"/>
      <c r="G1273" s="111" t="s">
        <v>532</v>
      </c>
      <c r="H1273" s="113"/>
      <c r="I1273" s="113" t="str">
        <f t="shared" si="32"/>
        <v>01,26</v>
      </c>
    </row>
    <row r="1274" spans="1:9" ht="19.5" hidden="1" thickBot="1" x14ac:dyDescent="0.3">
      <c r="A1274" s="456"/>
      <c r="B1274" s="114" t="s">
        <v>530</v>
      </c>
      <c r="C1274" s="115" t="s">
        <v>277</v>
      </c>
      <c r="D1274" s="116">
        <v>4.0430000000000001</v>
      </c>
      <c r="E1274" s="117" t="s">
        <v>13</v>
      </c>
      <c r="F1274" s="118"/>
      <c r="G1274" s="117" t="s">
        <v>532</v>
      </c>
      <c r="H1274" s="119"/>
      <c r="I1274" s="119" t="str">
        <f t="shared" si="32"/>
        <v>01,26</v>
      </c>
    </row>
    <row r="1275" spans="1:9" ht="19.5" hidden="1" thickBot="1" x14ac:dyDescent="0.3">
      <c r="A1275" s="460">
        <f t="shared" si="34"/>
        <v>242</v>
      </c>
      <c r="B1275" s="91" t="s">
        <v>530</v>
      </c>
      <c r="C1275" s="92" t="s">
        <v>18</v>
      </c>
      <c r="D1275" s="93">
        <v>0.31</v>
      </c>
      <c r="E1275" s="94" t="s">
        <v>519</v>
      </c>
      <c r="F1275" s="462" t="s">
        <v>533</v>
      </c>
      <c r="G1275" s="94" t="s">
        <v>532</v>
      </c>
      <c r="H1275" s="132"/>
      <c r="I1275" s="132" t="str">
        <f t="shared" si="32"/>
        <v>01,26</v>
      </c>
    </row>
    <row r="1276" spans="1:9" ht="19.5" hidden="1" thickBot="1" x14ac:dyDescent="0.3">
      <c r="A1276" s="461"/>
      <c r="B1276" s="175" t="s">
        <v>530</v>
      </c>
      <c r="C1276" s="134" t="s">
        <v>19</v>
      </c>
      <c r="D1276" s="135">
        <v>0.22</v>
      </c>
      <c r="E1276" s="136" t="s">
        <v>519</v>
      </c>
      <c r="F1276" s="463"/>
      <c r="G1276" s="136" t="s">
        <v>532</v>
      </c>
      <c r="H1276" s="137"/>
      <c r="I1276" s="137" t="str">
        <f t="shared" si="32"/>
        <v>01,26</v>
      </c>
    </row>
    <row r="1277" spans="1:9" ht="19.5" hidden="1" thickBot="1" x14ac:dyDescent="0.3">
      <c r="A1277" s="461"/>
      <c r="B1277" s="175" t="s">
        <v>530</v>
      </c>
      <c r="C1277" s="134" t="s">
        <v>116</v>
      </c>
      <c r="D1277" s="135">
        <v>0.12</v>
      </c>
      <c r="E1277" s="136" t="s">
        <v>519</v>
      </c>
      <c r="F1277" s="463"/>
      <c r="G1277" s="136" t="s">
        <v>532</v>
      </c>
      <c r="H1277" s="137"/>
      <c r="I1277" s="137" t="str">
        <f t="shared" si="32"/>
        <v>01,26</v>
      </c>
    </row>
    <row r="1278" spans="1:9" ht="19.5" hidden="1" thickBot="1" x14ac:dyDescent="0.3">
      <c r="A1278" s="461"/>
      <c r="B1278" s="175" t="s">
        <v>530</v>
      </c>
      <c r="C1278" s="134" t="s">
        <v>17</v>
      </c>
      <c r="D1278" s="135">
        <v>1.84</v>
      </c>
      <c r="E1278" s="136" t="s">
        <v>519</v>
      </c>
      <c r="F1278" s="463"/>
      <c r="G1278" s="136" t="s">
        <v>532</v>
      </c>
      <c r="H1278" s="137"/>
      <c r="I1278" s="137" t="str">
        <f t="shared" si="32"/>
        <v>01,26</v>
      </c>
    </row>
    <row r="1279" spans="1:9" ht="19.5" hidden="1" thickBot="1" x14ac:dyDescent="0.3">
      <c r="A1279" s="461"/>
      <c r="B1279" s="175" t="s">
        <v>530</v>
      </c>
      <c r="C1279" s="134" t="s">
        <v>18</v>
      </c>
      <c r="D1279" s="211">
        <v>0.02</v>
      </c>
      <c r="E1279" s="136" t="s">
        <v>45</v>
      </c>
      <c r="F1279" s="463"/>
      <c r="G1279" s="136" t="s">
        <v>532</v>
      </c>
      <c r="H1279" s="137"/>
      <c r="I1279" s="137" t="str">
        <f t="shared" si="32"/>
        <v>01,26</v>
      </c>
    </row>
    <row r="1280" spans="1:9" ht="19.5" hidden="1" thickBot="1" x14ac:dyDescent="0.3">
      <c r="A1280" s="461"/>
      <c r="B1280" s="175" t="s">
        <v>530</v>
      </c>
      <c r="C1280" s="134" t="s">
        <v>116</v>
      </c>
      <c r="D1280" s="211">
        <v>0.01</v>
      </c>
      <c r="E1280" s="136" t="s">
        <v>45</v>
      </c>
      <c r="F1280" s="463"/>
      <c r="G1280" s="136" t="s">
        <v>532</v>
      </c>
      <c r="H1280" s="137"/>
      <c r="I1280" s="137" t="str">
        <f t="shared" si="32"/>
        <v>01,26</v>
      </c>
    </row>
    <row r="1281" spans="1:9" ht="19.5" hidden="1" thickBot="1" x14ac:dyDescent="0.3">
      <c r="A1281" s="461"/>
      <c r="B1281" s="141" t="s">
        <v>530</v>
      </c>
      <c r="C1281" s="142" t="s">
        <v>17</v>
      </c>
      <c r="D1281" s="143">
        <v>0.23</v>
      </c>
      <c r="E1281" s="144" t="s">
        <v>45</v>
      </c>
      <c r="F1281" s="463"/>
      <c r="G1281" s="144" t="s">
        <v>532</v>
      </c>
      <c r="H1281" s="145"/>
      <c r="I1281" s="145" t="str">
        <f t="shared" si="32"/>
        <v>01,26</v>
      </c>
    </row>
    <row r="1282" spans="1:9" ht="19.5" hidden="1" thickBot="1" x14ac:dyDescent="0.3">
      <c r="A1282" s="454">
        <f t="shared" si="34"/>
        <v>243</v>
      </c>
      <c r="B1282" s="102" t="s">
        <v>534</v>
      </c>
      <c r="C1282" s="103" t="s">
        <v>18</v>
      </c>
      <c r="D1282" s="104">
        <v>3.5310000000000001</v>
      </c>
      <c r="E1282" s="105" t="s">
        <v>13</v>
      </c>
      <c r="F1282" s="106"/>
      <c r="G1282" s="105" t="s">
        <v>535</v>
      </c>
      <c r="H1282" s="107"/>
      <c r="I1282" s="107" t="str">
        <f t="shared" si="32"/>
        <v>01,26</v>
      </c>
    </row>
    <row r="1283" spans="1:9" ht="19.5" hidden="1" thickBot="1" x14ac:dyDescent="0.3">
      <c r="A1283" s="455"/>
      <c r="B1283" s="108" t="s">
        <v>534</v>
      </c>
      <c r="C1283" s="109" t="s">
        <v>19</v>
      </c>
      <c r="D1283" s="110">
        <v>3.5880000000000001</v>
      </c>
      <c r="E1283" s="111" t="s">
        <v>13</v>
      </c>
      <c r="F1283" s="112"/>
      <c r="G1283" s="111" t="s">
        <v>535</v>
      </c>
      <c r="H1283" s="113"/>
      <c r="I1283" s="113" t="str">
        <f t="shared" si="32"/>
        <v>01,26</v>
      </c>
    </row>
    <row r="1284" spans="1:9" ht="19.5" hidden="1" thickBot="1" x14ac:dyDescent="0.3">
      <c r="A1284" s="455"/>
      <c r="B1284" s="108" t="s">
        <v>534</v>
      </c>
      <c r="C1284" s="109" t="s">
        <v>116</v>
      </c>
      <c r="D1284" s="110">
        <v>2.27</v>
      </c>
      <c r="E1284" s="111" t="s">
        <v>13</v>
      </c>
      <c r="F1284" s="112"/>
      <c r="G1284" s="111" t="s">
        <v>535</v>
      </c>
      <c r="H1284" s="113" t="s">
        <v>416</v>
      </c>
      <c r="I1284" s="113" t="str">
        <f t="shared" si="32"/>
        <v>01,26</v>
      </c>
    </row>
    <row r="1285" spans="1:9" ht="19.5" hidden="1" thickBot="1" x14ac:dyDescent="0.3">
      <c r="A1285" s="455"/>
      <c r="B1285" s="108" t="s">
        <v>534</v>
      </c>
      <c r="C1285" s="109" t="s">
        <v>17</v>
      </c>
      <c r="D1285" s="110">
        <v>2.8780000000000001</v>
      </c>
      <c r="E1285" s="111" t="s">
        <v>13</v>
      </c>
      <c r="F1285" s="112"/>
      <c r="G1285" s="111" t="s">
        <v>535</v>
      </c>
      <c r="H1285" s="113"/>
      <c r="I1285" s="113" t="str">
        <f t="shared" si="32"/>
        <v>01,26</v>
      </c>
    </row>
    <row r="1286" spans="1:9" ht="19.5" hidden="1" thickBot="1" x14ac:dyDescent="0.3">
      <c r="A1286" s="455"/>
      <c r="B1286" s="108" t="s">
        <v>534</v>
      </c>
      <c r="C1286" s="109" t="s">
        <v>319</v>
      </c>
      <c r="D1286" s="110">
        <v>2.7370000000000001</v>
      </c>
      <c r="E1286" s="111" t="s">
        <v>13</v>
      </c>
      <c r="F1286" s="112"/>
      <c r="G1286" s="111" t="s">
        <v>535</v>
      </c>
      <c r="H1286" s="113"/>
      <c r="I1286" s="113" t="str">
        <f t="shared" si="32"/>
        <v>01,26</v>
      </c>
    </row>
    <row r="1287" spans="1:9" ht="19.5" hidden="1" thickBot="1" x14ac:dyDescent="0.3">
      <c r="A1287" s="456"/>
      <c r="B1287" s="114" t="s">
        <v>534</v>
      </c>
      <c r="C1287" s="115" t="s">
        <v>367</v>
      </c>
      <c r="D1287" s="116">
        <v>4.3239999999999998</v>
      </c>
      <c r="E1287" s="117" t="s">
        <v>13</v>
      </c>
      <c r="F1287" s="118"/>
      <c r="G1287" s="117" t="s">
        <v>535</v>
      </c>
      <c r="H1287" s="119" t="s">
        <v>416</v>
      </c>
      <c r="I1287" s="119" t="str">
        <f t="shared" si="32"/>
        <v>01,26</v>
      </c>
    </row>
    <row r="1288" spans="1:9" ht="19.5" hidden="1" thickBot="1" x14ac:dyDescent="0.3">
      <c r="A1288" s="460">
        <f t="shared" si="34"/>
        <v>244</v>
      </c>
      <c r="B1288" s="91" t="s">
        <v>534</v>
      </c>
      <c r="C1288" s="92" t="s">
        <v>18</v>
      </c>
      <c r="D1288" s="93">
        <v>4.7530000000000001</v>
      </c>
      <c r="E1288" s="94" t="s">
        <v>13</v>
      </c>
      <c r="F1288" s="131"/>
      <c r="G1288" s="94" t="s">
        <v>536</v>
      </c>
      <c r="H1288" s="132"/>
      <c r="I1288" s="132" t="str">
        <f t="shared" si="32"/>
        <v>01,26</v>
      </c>
    </row>
    <row r="1289" spans="1:9" ht="19.5" hidden="1" thickBot="1" x14ac:dyDescent="0.3">
      <c r="A1289" s="461"/>
      <c r="B1289" s="175" t="s">
        <v>534</v>
      </c>
      <c r="C1289" s="134" t="s">
        <v>19</v>
      </c>
      <c r="D1289" s="135">
        <v>4.8440000000000003</v>
      </c>
      <c r="E1289" s="136" t="s">
        <v>13</v>
      </c>
      <c r="F1289" s="171"/>
      <c r="G1289" s="136" t="s">
        <v>536</v>
      </c>
      <c r="H1289" s="137"/>
      <c r="I1289" s="137" t="str">
        <f t="shared" si="32"/>
        <v>01,26</v>
      </c>
    </row>
    <row r="1290" spans="1:9" ht="19.5" hidden="1" thickBot="1" x14ac:dyDescent="0.3">
      <c r="A1290" s="461"/>
      <c r="B1290" s="175" t="s">
        <v>534</v>
      </c>
      <c r="C1290" s="134" t="s">
        <v>116</v>
      </c>
      <c r="D1290" s="135">
        <v>3.0649999999999999</v>
      </c>
      <c r="E1290" s="136" t="s">
        <v>13</v>
      </c>
      <c r="F1290" s="171"/>
      <c r="G1290" s="136" t="s">
        <v>536</v>
      </c>
      <c r="H1290" s="137" t="s">
        <v>416</v>
      </c>
      <c r="I1290" s="137" t="str">
        <f t="shared" si="32"/>
        <v>01,26</v>
      </c>
    </row>
    <row r="1291" spans="1:9" ht="19.5" hidden="1" thickBot="1" x14ac:dyDescent="0.3">
      <c r="A1291" s="473"/>
      <c r="B1291" s="95" t="s">
        <v>534</v>
      </c>
      <c r="C1291" s="96" t="s">
        <v>17</v>
      </c>
      <c r="D1291" s="97">
        <v>3.87</v>
      </c>
      <c r="E1291" s="98" t="s">
        <v>13</v>
      </c>
      <c r="F1291" s="133"/>
      <c r="G1291" s="98" t="s">
        <v>536</v>
      </c>
      <c r="H1291" s="129"/>
      <c r="I1291" s="129" t="str">
        <f t="shared" si="32"/>
        <v>01,26</v>
      </c>
    </row>
    <row r="1292" spans="1:9" ht="19.5" hidden="1" thickBot="1" x14ac:dyDescent="0.3">
      <c r="A1292" s="454">
        <f t="shared" si="34"/>
        <v>245</v>
      </c>
      <c r="B1292" s="102" t="s">
        <v>534</v>
      </c>
      <c r="C1292" s="103" t="s">
        <v>18</v>
      </c>
      <c r="D1292" s="104">
        <v>1.48</v>
      </c>
      <c r="E1292" s="105" t="s">
        <v>519</v>
      </c>
      <c r="F1292" s="457" t="s">
        <v>537</v>
      </c>
      <c r="G1292" s="105" t="s">
        <v>536</v>
      </c>
      <c r="H1292" s="107"/>
      <c r="I1292" s="107" t="str">
        <f t="shared" si="32"/>
        <v>01,26</v>
      </c>
    </row>
    <row r="1293" spans="1:9" ht="19.5" hidden="1" thickBot="1" x14ac:dyDescent="0.3">
      <c r="A1293" s="455"/>
      <c r="B1293" s="108" t="s">
        <v>534</v>
      </c>
      <c r="C1293" s="109" t="s">
        <v>19</v>
      </c>
      <c r="D1293" s="110">
        <v>0.33</v>
      </c>
      <c r="E1293" s="111" t="s">
        <v>519</v>
      </c>
      <c r="F1293" s="458"/>
      <c r="G1293" s="111" t="s">
        <v>536</v>
      </c>
      <c r="H1293" s="113"/>
      <c r="I1293" s="113" t="str">
        <f t="shared" si="32"/>
        <v>01,26</v>
      </c>
    </row>
    <row r="1294" spans="1:9" ht="19.5" hidden="1" thickBot="1" x14ac:dyDescent="0.3">
      <c r="A1294" s="455"/>
      <c r="B1294" s="108" t="s">
        <v>534</v>
      </c>
      <c r="C1294" s="109" t="s">
        <v>116</v>
      </c>
      <c r="D1294" s="110">
        <v>0.28999999999999998</v>
      </c>
      <c r="E1294" s="111" t="s">
        <v>519</v>
      </c>
      <c r="F1294" s="458"/>
      <c r="G1294" s="111" t="s">
        <v>536</v>
      </c>
      <c r="H1294" s="113"/>
      <c r="I1294" s="113" t="str">
        <f t="shared" si="32"/>
        <v>01,26</v>
      </c>
    </row>
    <row r="1295" spans="1:9" ht="19.5" hidden="1" thickBot="1" x14ac:dyDescent="0.3">
      <c r="A1295" s="455"/>
      <c r="B1295" s="108" t="s">
        <v>534</v>
      </c>
      <c r="C1295" s="109" t="s">
        <v>17</v>
      </c>
      <c r="D1295" s="110">
        <v>1.99</v>
      </c>
      <c r="E1295" s="111" t="s">
        <v>519</v>
      </c>
      <c r="F1295" s="458"/>
      <c r="G1295" s="111" t="s">
        <v>536</v>
      </c>
      <c r="H1295" s="113"/>
      <c r="I1295" s="113" t="str">
        <f t="shared" si="32"/>
        <v>01,26</v>
      </c>
    </row>
    <row r="1296" spans="1:9" ht="19.5" hidden="1" thickBot="1" x14ac:dyDescent="0.3">
      <c r="A1296" s="455"/>
      <c r="B1296" s="108" t="s">
        <v>534</v>
      </c>
      <c r="C1296" s="109" t="s">
        <v>18</v>
      </c>
      <c r="D1296" s="110">
        <f>0.42+0.18</f>
        <v>0.6</v>
      </c>
      <c r="E1296" s="111" t="s">
        <v>45</v>
      </c>
      <c r="F1296" s="458"/>
      <c r="G1296" s="111" t="s">
        <v>536</v>
      </c>
      <c r="H1296" s="113"/>
      <c r="I1296" s="113" t="str">
        <f t="shared" si="32"/>
        <v>01,26</v>
      </c>
    </row>
    <row r="1297" spans="1:9" ht="19.5" hidden="1" thickBot="1" x14ac:dyDescent="0.3">
      <c r="A1297" s="455"/>
      <c r="B1297" s="108" t="s">
        <v>534</v>
      </c>
      <c r="C1297" s="109" t="s">
        <v>19</v>
      </c>
      <c r="D1297" s="110">
        <f>0.07+0.126</f>
        <v>0.19600000000000001</v>
      </c>
      <c r="E1297" s="111" t="s">
        <v>45</v>
      </c>
      <c r="F1297" s="458"/>
      <c r="G1297" s="111" t="s">
        <v>536</v>
      </c>
      <c r="H1297" s="113"/>
      <c r="I1297" s="113" t="str">
        <f t="shared" si="32"/>
        <v>01,26</v>
      </c>
    </row>
    <row r="1298" spans="1:9" ht="19.5" hidden="1" thickBot="1" x14ac:dyDescent="0.3">
      <c r="A1298" s="455"/>
      <c r="B1298" s="164" t="s">
        <v>534</v>
      </c>
      <c r="C1298" s="165" t="s">
        <v>17</v>
      </c>
      <c r="D1298" s="166">
        <f>0.36+0.252</f>
        <v>0.61199999999999999</v>
      </c>
      <c r="E1298" s="167" t="s">
        <v>45</v>
      </c>
      <c r="F1298" s="458"/>
      <c r="G1298" s="167" t="s">
        <v>536</v>
      </c>
      <c r="H1298" s="163"/>
      <c r="I1298" s="163" t="str">
        <f t="shared" si="32"/>
        <v>01,26</v>
      </c>
    </row>
    <row r="1299" spans="1:9" ht="19.5" hidden="1" thickBot="1" x14ac:dyDescent="0.3">
      <c r="A1299" s="460">
        <f t="shared" si="34"/>
        <v>246</v>
      </c>
      <c r="B1299" s="91" t="s">
        <v>538</v>
      </c>
      <c r="C1299" s="92" t="s">
        <v>18</v>
      </c>
      <c r="D1299" s="93">
        <v>2.6030000000000002</v>
      </c>
      <c r="E1299" s="94" t="s">
        <v>13</v>
      </c>
      <c r="F1299" s="131"/>
      <c r="G1299" s="94" t="s">
        <v>539</v>
      </c>
      <c r="H1299" s="132"/>
      <c r="I1299" s="132" t="str">
        <f t="shared" si="32"/>
        <v>02,26</v>
      </c>
    </row>
    <row r="1300" spans="1:9" ht="19.5" hidden="1" thickBot="1" x14ac:dyDescent="0.3">
      <c r="A1300" s="461"/>
      <c r="B1300" s="175" t="s">
        <v>538</v>
      </c>
      <c r="C1300" s="134" t="s">
        <v>19</v>
      </c>
      <c r="D1300" s="135">
        <v>5.2779999999999996</v>
      </c>
      <c r="E1300" s="136" t="s">
        <v>13</v>
      </c>
      <c r="F1300" s="171"/>
      <c r="G1300" s="136" t="s">
        <v>539</v>
      </c>
      <c r="H1300" s="137"/>
      <c r="I1300" s="137" t="str">
        <f t="shared" si="32"/>
        <v>02,26</v>
      </c>
    </row>
    <row r="1301" spans="1:9" ht="19.5" hidden="1" thickBot="1" x14ac:dyDescent="0.3">
      <c r="A1301" s="461"/>
      <c r="B1301" s="175" t="s">
        <v>538</v>
      </c>
      <c r="C1301" s="134" t="s">
        <v>116</v>
      </c>
      <c r="D1301" s="135">
        <v>2.5219999999999998</v>
      </c>
      <c r="E1301" s="136" t="s">
        <v>13</v>
      </c>
      <c r="F1301" s="171"/>
      <c r="G1301" s="136" t="s">
        <v>539</v>
      </c>
      <c r="H1301" s="137" t="s">
        <v>416</v>
      </c>
      <c r="I1301" s="137" t="str">
        <f t="shared" si="32"/>
        <v>02,26</v>
      </c>
    </row>
    <row r="1302" spans="1:9" ht="19.5" hidden="1" thickBot="1" x14ac:dyDescent="0.3">
      <c r="A1302" s="461"/>
      <c r="B1302" s="175" t="s">
        <v>538</v>
      </c>
      <c r="C1302" s="134" t="s">
        <v>17</v>
      </c>
      <c r="D1302" s="135">
        <v>4</v>
      </c>
      <c r="E1302" s="136" t="s">
        <v>13</v>
      </c>
      <c r="F1302" s="171"/>
      <c r="G1302" s="136" t="s">
        <v>539</v>
      </c>
      <c r="H1302" s="137"/>
      <c r="I1302" s="137" t="str">
        <f t="shared" ref="I1302:I1365" si="35">RIGHT(G1302,5)</f>
        <v>02,26</v>
      </c>
    </row>
    <row r="1303" spans="1:9" ht="19.5" hidden="1" thickBot="1" x14ac:dyDescent="0.3">
      <c r="A1303" s="461"/>
      <c r="B1303" s="175" t="s">
        <v>538</v>
      </c>
      <c r="C1303" s="134" t="s">
        <v>319</v>
      </c>
      <c r="D1303" s="135">
        <v>1.609</v>
      </c>
      <c r="E1303" s="136" t="s">
        <v>13</v>
      </c>
      <c r="F1303" s="171"/>
      <c r="G1303" s="136" t="s">
        <v>539</v>
      </c>
      <c r="H1303" s="137"/>
      <c r="I1303" s="137" t="str">
        <f t="shared" si="35"/>
        <v>02,26</v>
      </c>
    </row>
    <row r="1304" spans="1:9" ht="19.5" hidden="1" thickBot="1" x14ac:dyDescent="0.3">
      <c r="A1304" s="461"/>
      <c r="B1304" s="175" t="s">
        <v>538</v>
      </c>
      <c r="C1304" s="147" t="s">
        <v>367</v>
      </c>
      <c r="D1304" s="135">
        <v>2.3090000000000002</v>
      </c>
      <c r="E1304" s="136" t="s">
        <v>13</v>
      </c>
      <c r="F1304" s="171"/>
      <c r="G1304" s="136" t="s">
        <v>539</v>
      </c>
      <c r="H1304" s="137" t="s">
        <v>416</v>
      </c>
      <c r="I1304" s="137" t="str">
        <f t="shared" si="35"/>
        <v>02,26</v>
      </c>
    </row>
    <row r="1305" spans="1:9" ht="19.5" hidden="1" thickBot="1" x14ac:dyDescent="0.3">
      <c r="A1305" s="473"/>
      <c r="B1305" s="95" t="s">
        <v>538</v>
      </c>
      <c r="C1305" s="154" t="s">
        <v>20</v>
      </c>
      <c r="D1305" s="97">
        <v>1.1279999999999999</v>
      </c>
      <c r="E1305" s="98" t="s">
        <v>13</v>
      </c>
      <c r="F1305" s="133"/>
      <c r="G1305" s="98" t="s">
        <v>539</v>
      </c>
      <c r="H1305" s="129"/>
      <c r="I1305" s="129" t="str">
        <f t="shared" si="35"/>
        <v>02,26</v>
      </c>
    </row>
    <row r="1306" spans="1:9" ht="19.5" hidden="1" thickBot="1" x14ac:dyDescent="0.3">
      <c r="A1306" s="454">
        <f t="shared" si="34"/>
        <v>247</v>
      </c>
      <c r="B1306" s="102" t="s">
        <v>538</v>
      </c>
      <c r="C1306" s="103" t="s">
        <v>18</v>
      </c>
      <c r="D1306" s="104">
        <v>2.9060000000000001</v>
      </c>
      <c r="E1306" s="105" t="s">
        <v>13</v>
      </c>
      <c r="F1306" s="106"/>
      <c r="G1306" s="105" t="s">
        <v>540</v>
      </c>
      <c r="H1306" s="107"/>
      <c r="I1306" s="107" t="str">
        <f t="shared" si="35"/>
        <v>02,26</v>
      </c>
    </row>
    <row r="1307" spans="1:9" ht="19.5" hidden="1" thickBot="1" x14ac:dyDescent="0.3">
      <c r="A1307" s="455"/>
      <c r="B1307" s="108" t="s">
        <v>538</v>
      </c>
      <c r="C1307" s="109" t="s">
        <v>19</v>
      </c>
      <c r="D1307" s="110">
        <v>5.8</v>
      </c>
      <c r="E1307" s="111" t="s">
        <v>13</v>
      </c>
      <c r="F1307" s="112"/>
      <c r="G1307" s="111" t="s">
        <v>540</v>
      </c>
      <c r="H1307" s="113"/>
      <c r="I1307" s="113" t="str">
        <f t="shared" si="35"/>
        <v>02,26</v>
      </c>
    </row>
    <row r="1308" spans="1:9" ht="19.5" hidden="1" thickBot="1" x14ac:dyDescent="0.3">
      <c r="A1308" s="455"/>
      <c r="B1308" s="108" t="s">
        <v>538</v>
      </c>
      <c r="C1308" s="109" t="s">
        <v>116</v>
      </c>
      <c r="D1308" s="110">
        <v>2.7989999999999999</v>
      </c>
      <c r="E1308" s="111" t="s">
        <v>13</v>
      </c>
      <c r="F1308" s="112"/>
      <c r="G1308" s="111" t="s">
        <v>540</v>
      </c>
      <c r="H1308" s="113" t="s">
        <v>416</v>
      </c>
      <c r="I1308" s="113" t="str">
        <f t="shared" si="35"/>
        <v>02,26</v>
      </c>
    </row>
    <row r="1309" spans="1:9" ht="19.5" hidden="1" thickBot="1" x14ac:dyDescent="0.3">
      <c r="A1309" s="456"/>
      <c r="B1309" s="114" t="s">
        <v>538</v>
      </c>
      <c r="C1309" s="115" t="s">
        <v>17</v>
      </c>
      <c r="D1309" s="116">
        <v>4.3019999999999996</v>
      </c>
      <c r="E1309" s="117" t="s">
        <v>13</v>
      </c>
      <c r="F1309" s="118"/>
      <c r="G1309" s="117" t="s">
        <v>540</v>
      </c>
      <c r="H1309" s="119"/>
      <c r="I1309" s="119" t="str">
        <f t="shared" si="35"/>
        <v>02,26</v>
      </c>
    </row>
    <row r="1310" spans="1:9" ht="19.5" hidden="1" thickBot="1" x14ac:dyDescent="0.3">
      <c r="A1310" s="460">
        <f t="shared" si="34"/>
        <v>248</v>
      </c>
      <c r="B1310" s="91" t="s">
        <v>538</v>
      </c>
      <c r="C1310" s="92" t="s">
        <v>18</v>
      </c>
      <c r="D1310" s="93">
        <v>0.91</v>
      </c>
      <c r="E1310" s="94" t="s">
        <v>519</v>
      </c>
      <c r="F1310" s="462" t="s">
        <v>541</v>
      </c>
      <c r="G1310" s="94" t="s">
        <v>540</v>
      </c>
      <c r="H1310" s="132"/>
      <c r="I1310" s="132" t="str">
        <f t="shared" si="35"/>
        <v>02,26</v>
      </c>
    </row>
    <row r="1311" spans="1:9" ht="19.5" hidden="1" thickBot="1" x14ac:dyDescent="0.3">
      <c r="A1311" s="461"/>
      <c r="B1311" s="175" t="s">
        <v>538</v>
      </c>
      <c r="C1311" s="134" t="s">
        <v>19</v>
      </c>
      <c r="D1311" s="135">
        <v>0.57999999999999996</v>
      </c>
      <c r="E1311" s="136" t="s">
        <v>519</v>
      </c>
      <c r="F1311" s="463"/>
      <c r="G1311" s="136" t="s">
        <v>540</v>
      </c>
      <c r="H1311" s="137"/>
      <c r="I1311" s="137" t="str">
        <f t="shared" si="35"/>
        <v>02,26</v>
      </c>
    </row>
    <row r="1312" spans="1:9" ht="19.5" hidden="1" thickBot="1" x14ac:dyDescent="0.3">
      <c r="A1312" s="461"/>
      <c r="B1312" s="175" t="s">
        <v>538</v>
      </c>
      <c r="C1312" s="134" t="s">
        <v>116</v>
      </c>
      <c r="D1312" s="135">
        <v>0.38</v>
      </c>
      <c r="E1312" s="136" t="s">
        <v>519</v>
      </c>
      <c r="F1312" s="463"/>
      <c r="G1312" s="136" t="s">
        <v>540</v>
      </c>
      <c r="H1312" s="137"/>
      <c r="I1312" s="137" t="str">
        <f t="shared" si="35"/>
        <v>02,26</v>
      </c>
    </row>
    <row r="1313" spans="1:9" ht="19.5" hidden="1" thickBot="1" x14ac:dyDescent="0.3">
      <c r="A1313" s="461"/>
      <c r="B1313" s="175" t="s">
        <v>538</v>
      </c>
      <c r="C1313" s="142" t="s">
        <v>17</v>
      </c>
      <c r="D1313" s="135">
        <v>1.08</v>
      </c>
      <c r="E1313" s="136" t="s">
        <v>519</v>
      </c>
      <c r="F1313" s="463"/>
      <c r="G1313" s="136" t="s">
        <v>540</v>
      </c>
      <c r="H1313" s="137"/>
      <c r="I1313" s="137" t="str">
        <f t="shared" si="35"/>
        <v>02,26</v>
      </c>
    </row>
    <row r="1314" spans="1:9" ht="19.5" hidden="1" thickBot="1" x14ac:dyDescent="0.3">
      <c r="A1314" s="461"/>
      <c r="B1314" s="175" t="s">
        <v>538</v>
      </c>
      <c r="C1314" s="147" t="s">
        <v>18</v>
      </c>
      <c r="D1314" s="211">
        <v>0.04</v>
      </c>
      <c r="E1314" s="136" t="s">
        <v>45</v>
      </c>
      <c r="F1314" s="463"/>
      <c r="G1314" s="136" t="s">
        <v>540</v>
      </c>
      <c r="H1314" s="137"/>
      <c r="I1314" s="137" t="str">
        <f t="shared" si="35"/>
        <v>02,26</v>
      </c>
    </row>
    <row r="1315" spans="1:9" ht="19.5" hidden="1" thickBot="1" x14ac:dyDescent="0.3">
      <c r="A1315" s="461"/>
      <c r="B1315" s="175" t="s">
        <v>538</v>
      </c>
      <c r="C1315" s="134" t="s">
        <v>19</v>
      </c>
      <c r="D1315" s="135">
        <v>0.12</v>
      </c>
      <c r="E1315" s="136" t="s">
        <v>45</v>
      </c>
      <c r="F1315" s="463"/>
      <c r="G1315" s="136" t="s">
        <v>540</v>
      </c>
      <c r="H1315" s="137"/>
      <c r="I1315" s="137" t="str">
        <f t="shared" si="35"/>
        <v>02,26</v>
      </c>
    </row>
    <row r="1316" spans="1:9" ht="19.5" hidden="1" thickBot="1" x14ac:dyDescent="0.3">
      <c r="A1316" s="461"/>
      <c r="B1316" s="175" t="s">
        <v>538</v>
      </c>
      <c r="C1316" s="134" t="s">
        <v>116</v>
      </c>
      <c r="D1316" s="211">
        <v>0.02</v>
      </c>
      <c r="E1316" s="136" t="s">
        <v>45</v>
      </c>
      <c r="F1316" s="463"/>
      <c r="G1316" s="136" t="s">
        <v>540</v>
      </c>
      <c r="H1316" s="137"/>
      <c r="I1316" s="137" t="str">
        <f t="shared" si="35"/>
        <v>02,26</v>
      </c>
    </row>
    <row r="1317" spans="1:9" ht="19.5" hidden="1" thickBot="1" x14ac:dyDescent="0.3">
      <c r="A1317" s="461"/>
      <c r="B1317" s="141" t="s">
        <v>538</v>
      </c>
      <c r="C1317" s="142" t="s">
        <v>17</v>
      </c>
      <c r="D1317" s="143">
        <v>0.21</v>
      </c>
      <c r="E1317" s="144" t="s">
        <v>45</v>
      </c>
      <c r="F1317" s="463"/>
      <c r="G1317" s="144" t="s">
        <v>540</v>
      </c>
      <c r="H1317" s="145"/>
      <c r="I1317" s="145" t="str">
        <f t="shared" si="35"/>
        <v>02,26</v>
      </c>
    </row>
    <row r="1318" spans="1:9" ht="19.5" hidden="1" thickBot="1" x14ac:dyDescent="0.3">
      <c r="A1318" s="525">
        <f>MAX(A1295:A1317)+1</f>
        <v>249</v>
      </c>
      <c r="B1318" s="256" t="s">
        <v>542</v>
      </c>
      <c r="C1318" s="257" t="s">
        <v>18</v>
      </c>
      <c r="D1318" s="258">
        <v>4.5030000000000001</v>
      </c>
      <c r="E1318" s="256" t="s">
        <v>13</v>
      </c>
      <c r="F1318" s="259"/>
      <c r="G1318" s="256" t="s">
        <v>543</v>
      </c>
      <c r="H1318" s="259"/>
      <c r="I1318" s="259" t="str">
        <f t="shared" si="35"/>
        <v>02,26</v>
      </c>
    </row>
    <row r="1319" spans="1:9" ht="19.5" hidden="1" thickBot="1" x14ac:dyDescent="0.3">
      <c r="A1319" s="526"/>
      <c r="B1319" s="252" t="s">
        <v>542</v>
      </c>
      <c r="C1319" s="253" t="s">
        <v>19</v>
      </c>
      <c r="D1319" s="254">
        <v>6.9420000000000002</v>
      </c>
      <c r="E1319" s="252" t="s">
        <v>13</v>
      </c>
      <c r="F1319" s="255"/>
      <c r="G1319" s="252" t="s">
        <v>543</v>
      </c>
      <c r="H1319" s="255"/>
      <c r="I1319" s="255" t="str">
        <f t="shared" si="35"/>
        <v>02,26</v>
      </c>
    </row>
    <row r="1320" spans="1:9" ht="19.5" hidden="1" thickBot="1" x14ac:dyDescent="0.3">
      <c r="A1320" s="526"/>
      <c r="B1320" s="252" t="s">
        <v>542</v>
      </c>
      <c r="C1320" s="253" t="s">
        <v>116</v>
      </c>
      <c r="D1320" s="254">
        <v>3.76</v>
      </c>
      <c r="E1320" s="252" t="s">
        <v>13</v>
      </c>
      <c r="F1320" s="255"/>
      <c r="G1320" s="252" t="s">
        <v>543</v>
      </c>
      <c r="H1320" s="255" t="s">
        <v>416</v>
      </c>
      <c r="I1320" s="255" t="str">
        <f t="shared" si="35"/>
        <v>02,26</v>
      </c>
    </row>
    <row r="1321" spans="1:9" ht="19.5" hidden="1" thickBot="1" x14ac:dyDescent="0.3">
      <c r="A1321" s="526"/>
      <c r="B1321" s="252" t="s">
        <v>542</v>
      </c>
      <c r="C1321" s="253" t="s">
        <v>17</v>
      </c>
      <c r="D1321" s="254">
        <v>5.2779999999999996</v>
      </c>
      <c r="E1321" s="252" t="s">
        <v>13</v>
      </c>
      <c r="F1321" s="255"/>
      <c r="G1321" s="252" t="s">
        <v>543</v>
      </c>
      <c r="H1321" s="255"/>
      <c r="I1321" s="255" t="str">
        <f t="shared" si="35"/>
        <v>02,26</v>
      </c>
    </row>
    <row r="1322" spans="1:9" ht="19.5" hidden="1" thickBot="1" x14ac:dyDescent="0.3">
      <c r="A1322" s="526"/>
      <c r="B1322" s="252" t="s">
        <v>542</v>
      </c>
      <c r="C1322" s="253" t="s">
        <v>319</v>
      </c>
      <c r="D1322" s="254">
        <v>1.175</v>
      </c>
      <c r="E1322" s="252" t="s">
        <v>13</v>
      </c>
      <c r="F1322" s="255"/>
      <c r="G1322" s="252" t="s">
        <v>543</v>
      </c>
      <c r="H1322" s="255"/>
      <c r="I1322" s="255" t="str">
        <f t="shared" si="35"/>
        <v>02,26</v>
      </c>
    </row>
    <row r="1323" spans="1:9" ht="19.5" hidden="1" thickBot="1" x14ac:dyDescent="0.3">
      <c r="A1323" s="527"/>
      <c r="B1323" s="260" t="s">
        <v>542</v>
      </c>
      <c r="C1323" s="261" t="s">
        <v>367</v>
      </c>
      <c r="D1323" s="262">
        <v>3.61</v>
      </c>
      <c r="E1323" s="260" t="s">
        <v>13</v>
      </c>
      <c r="F1323" s="263"/>
      <c r="G1323" s="260" t="s">
        <v>543</v>
      </c>
      <c r="H1323" s="264" t="s">
        <v>416</v>
      </c>
      <c r="I1323" s="264" t="str">
        <f t="shared" si="35"/>
        <v>02,26</v>
      </c>
    </row>
    <row r="1324" spans="1:9" ht="19.5" hidden="1" thickBot="1" x14ac:dyDescent="0.3">
      <c r="A1324" s="518">
        <f>MAX(A1296:A1322)+1</f>
        <v>250</v>
      </c>
      <c r="B1324" s="94" t="s">
        <v>542</v>
      </c>
      <c r="C1324" s="92" t="s">
        <v>18</v>
      </c>
      <c r="D1324" s="93">
        <v>4.5030000000000001</v>
      </c>
      <c r="E1324" s="94" t="s">
        <v>13</v>
      </c>
      <c r="F1324" s="131"/>
      <c r="G1324" s="94" t="s">
        <v>544</v>
      </c>
      <c r="H1324" s="150"/>
      <c r="I1324" s="150" t="str">
        <f t="shared" si="35"/>
        <v>02,26</v>
      </c>
    </row>
    <row r="1325" spans="1:9" ht="19.5" hidden="1" thickBot="1" x14ac:dyDescent="0.3">
      <c r="A1325" s="519"/>
      <c r="B1325" s="146" t="s">
        <v>542</v>
      </c>
      <c r="C1325" s="147" t="s">
        <v>17</v>
      </c>
      <c r="D1325" s="148">
        <v>5.2779999999999996</v>
      </c>
      <c r="E1325" s="146" t="s">
        <v>13</v>
      </c>
      <c r="F1325" s="265"/>
      <c r="G1325" s="146" t="s">
        <v>544</v>
      </c>
      <c r="H1325" s="149"/>
      <c r="I1325" s="149" t="str">
        <f t="shared" si="35"/>
        <v>02,26</v>
      </c>
    </row>
    <row r="1326" spans="1:9" ht="19.5" hidden="1" thickBot="1" x14ac:dyDescent="0.3">
      <c r="A1326" s="519"/>
      <c r="B1326" s="146" t="s">
        <v>542</v>
      </c>
      <c r="C1326" s="147" t="s">
        <v>19</v>
      </c>
      <c r="D1326" s="148">
        <v>6.9420000000000002</v>
      </c>
      <c r="E1326" s="146" t="s">
        <v>13</v>
      </c>
      <c r="F1326" s="265"/>
      <c r="G1326" s="146" t="s">
        <v>544</v>
      </c>
      <c r="H1326" s="149"/>
      <c r="I1326" s="149" t="str">
        <f t="shared" si="35"/>
        <v>02,26</v>
      </c>
    </row>
    <row r="1327" spans="1:9" ht="19.5" hidden="1" thickBot="1" x14ac:dyDescent="0.3">
      <c r="A1327" s="519"/>
      <c r="B1327" s="146" t="s">
        <v>542</v>
      </c>
      <c r="C1327" s="147" t="s">
        <v>116</v>
      </c>
      <c r="D1327" s="148">
        <v>3.76</v>
      </c>
      <c r="E1327" s="146" t="s">
        <v>13</v>
      </c>
      <c r="F1327" s="265"/>
      <c r="G1327" s="146" t="s">
        <v>544</v>
      </c>
      <c r="H1327" s="149" t="s">
        <v>416</v>
      </c>
      <c r="I1327" s="149" t="str">
        <f t="shared" si="35"/>
        <v>02,26</v>
      </c>
    </row>
    <row r="1328" spans="1:9" ht="19.5" hidden="1" thickBot="1" x14ac:dyDescent="0.3">
      <c r="A1328" s="519"/>
      <c r="B1328" s="146" t="s">
        <v>542</v>
      </c>
      <c r="C1328" s="147" t="s">
        <v>277</v>
      </c>
      <c r="D1328" s="148">
        <v>1.0609999999999999</v>
      </c>
      <c r="E1328" s="146" t="s">
        <v>13</v>
      </c>
      <c r="F1328" s="265"/>
      <c r="G1328" s="146" t="s">
        <v>544</v>
      </c>
      <c r="H1328" s="149"/>
      <c r="I1328" s="149" t="str">
        <f t="shared" si="35"/>
        <v>02,26</v>
      </c>
    </row>
    <row r="1329" spans="1:9" ht="19.5" hidden="1" thickBot="1" x14ac:dyDescent="0.3">
      <c r="A1329" s="520"/>
      <c r="B1329" s="249" t="s">
        <v>542</v>
      </c>
      <c r="C1329" s="247" t="s">
        <v>20</v>
      </c>
      <c r="D1329" s="248">
        <v>0.82299999999999995</v>
      </c>
      <c r="E1329" s="249" t="s">
        <v>13</v>
      </c>
      <c r="F1329" s="266"/>
      <c r="G1329" s="249" t="s">
        <v>544</v>
      </c>
      <c r="H1329" s="251"/>
      <c r="I1329" s="251" t="str">
        <f t="shared" si="35"/>
        <v>02,26</v>
      </c>
    </row>
    <row r="1330" spans="1:9" ht="19.5" hidden="1" thickBot="1" x14ac:dyDescent="0.3">
      <c r="A1330" s="525">
        <f>MAX(A1297:A1328)+1</f>
        <v>251</v>
      </c>
      <c r="B1330" s="256" t="s">
        <v>545</v>
      </c>
      <c r="C1330" s="257" t="s">
        <v>18</v>
      </c>
      <c r="D1330" s="258">
        <v>1.68</v>
      </c>
      <c r="E1330" s="256" t="s">
        <v>34</v>
      </c>
      <c r="F1330" s="523" t="s">
        <v>546</v>
      </c>
      <c r="G1330" s="256" t="s">
        <v>544</v>
      </c>
      <c r="H1330" s="259"/>
      <c r="I1330" s="259" t="str">
        <f t="shared" si="35"/>
        <v>02,26</v>
      </c>
    </row>
    <row r="1331" spans="1:9" ht="19.5" hidden="1" thickBot="1" x14ac:dyDescent="0.3">
      <c r="A1331" s="526"/>
      <c r="B1331" s="252" t="s">
        <v>545</v>
      </c>
      <c r="C1331" s="253" t="s">
        <v>19</v>
      </c>
      <c r="D1331" s="254">
        <v>0.46</v>
      </c>
      <c r="E1331" s="252" t="s">
        <v>34</v>
      </c>
      <c r="F1331" s="524"/>
      <c r="G1331" s="252" t="s">
        <v>544</v>
      </c>
      <c r="H1331" s="255"/>
      <c r="I1331" s="255" t="str">
        <f t="shared" si="35"/>
        <v>02,26</v>
      </c>
    </row>
    <row r="1332" spans="1:9" ht="19.5" hidden="1" thickBot="1" x14ac:dyDescent="0.3">
      <c r="A1332" s="526"/>
      <c r="B1332" s="252" t="s">
        <v>545</v>
      </c>
      <c r="C1332" s="253" t="s">
        <v>116</v>
      </c>
      <c r="D1332" s="254">
        <v>0.47599999999999998</v>
      </c>
      <c r="E1332" s="252" t="s">
        <v>34</v>
      </c>
      <c r="F1332" s="524"/>
      <c r="G1332" s="252" t="s">
        <v>544</v>
      </c>
      <c r="H1332" s="255"/>
      <c r="I1332" s="255" t="str">
        <f t="shared" si="35"/>
        <v>02,26</v>
      </c>
    </row>
    <row r="1333" spans="1:9" ht="19.5" hidden="1" thickBot="1" x14ac:dyDescent="0.3">
      <c r="A1333" s="527"/>
      <c r="B1333" s="260" t="s">
        <v>545</v>
      </c>
      <c r="C1333" s="261" t="s">
        <v>17</v>
      </c>
      <c r="D1333" s="262">
        <v>2.08</v>
      </c>
      <c r="E1333" s="260" t="s">
        <v>34</v>
      </c>
      <c r="F1333" s="524"/>
      <c r="G1333" s="260" t="s">
        <v>544</v>
      </c>
      <c r="H1333" s="264"/>
      <c r="I1333" s="264" t="str">
        <f t="shared" si="35"/>
        <v>02,26</v>
      </c>
    </row>
    <row r="1334" spans="1:9" ht="19.5" hidden="1" thickBot="1" x14ac:dyDescent="0.3">
      <c r="A1334" s="518">
        <f>MAX(A1298:A1332)+1</f>
        <v>252</v>
      </c>
      <c r="B1334" s="94" t="s">
        <v>547</v>
      </c>
      <c r="C1334" s="92" t="s">
        <v>18</v>
      </c>
      <c r="D1334" s="93">
        <v>1.1299999999999999</v>
      </c>
      <c r="E1334" s="94" t="s">
        <v>519</v>
      </c>
      <c r="F1334" s="462" t="s">
        <v>549</v>
      </c>
      <c r="G1334" s="94" t="s">
        <v>548</v>
      </c>
      <c r="H1334" s="150"/>
      <c r="I1334" s="150" t="str">
        <f t="shared" si="35"/>
        <v>02,26</v>
      </c>
    </row>
    <row r="1335" spans="1:9" ht="19.5" hidden="1" thickBot="1" x14ac:dyDescent="0.3">
      <c r="A1335" s="519"/>
      <c r="B1335" s="146" t="s">
        <v>547</v>
      </c>
      <c r="C1335" s="147" t="s">
        <v>19</v>
      </c>
      <c r="D1335" s="148">
        <v>0.36</v>
      </c>
      <c r="E1335" s="146" t="s">
        <v>519</v>
      </c>
      <c r="F1335" s="463"/>
      <c r="G1335" s="146" t="s">
        <v>548</v>
      </c>
      <c r="H1335" s="149"/>
      <c r="I1335" s="149" t="str">
        <f t="shared" si="35"/>
        <v>02,26</v>
      </c>
    </row>
    <row r="1336" spans="1:9" ht="19.5" hidden="1" thickBot="1" x14ac:dyDescent="0.3">
      <c r="A1336" s="519"/>
      <c r="B1336" s="146" t="s">
        <v>547</v>
      </c>
      <c r="C1336" s="147" t="s">
        <v>116</v>
      </c>
      <c r="D1336" s="148">
        <v>0.96</v>
      </c>
      <c r="E1336" s="146" t="s">
        <v>519</v>
      </c>
      <c r="F1336" s="463"/>
      <c r="G1336" s="146" t="s">
        <v>548</v>
      </c>
      <c r="H1336" s="149"/>
      <c r="I1336" s="149" t="str">
        <f t="shared" si="35"/>
        <v>02,26</v>
      </c>
    </row>
    <row r="1337" spans="1:9" ht="19.5" hidden="1" thickBot="1" x14ac:dyDescent="0.3">
      <c r="A1337" s="519"/>
      <c r="B1337" s="146" t="s">
        <v>547</v>
      </c>
      <c r="C1337" s="147" t="s">
        <v>17</v>
      </c>
      <c r="D1337" s="148">
        <v>2</v>
      </c>
      <c r="E1337" s="146" t="s">
        <v>519</v>
      </c>
      <c r="F1337" s="463"/>
      <c r="G1337" s="146" t="s">
        <v>548</v>
      </c>
      <c r="H1337" s="149"/>
      <c r="I1337" s="149" t="str">
        <f t="shared" si="35"/>
        <v>02,26</v>
      </c>
    </row>
    <row r="1338" spans="1:9" ht="19.5" hidden="1" thickBot="1" x14ac:dyDescent="0.3">
      <c r="A1338" s="519"/>
      <c r="B1338" s="146" t="s">
        <v>547</v>
      </c>
      <c r="C1338" s="147" t="s">
        <v>18</v>
      </c>
      <c r="D1338" s="267">
        <v>0.27</v>
      </c>
      <c r="E1338" s="146" t="s">
        <v>45</v>
      </c>
      <c r="F1338" s="463"/>
      <c r="G1338" s="146" t="s">
        <v>548</v>
      </c>
      <c r="H1338" s="149"/>
      <c r="I1338" s="149" t="str">
        <f t="shared" si="35"/>
        <v>02,26</v>
      </c>
    </row>
    <row r="1339" spans="1:9" ht="19.5" hidden="1" thickBot="1" x14ac:dyDescent="0.3">
      <c r="A1339" s="519"/>
      <c r="B1339" s="146" t="s">
        <v>547</v>
      </c>
      <c r="C1339" s="147" t="s">
        <v>19</v>
      </c>
      <c r="D1339" s="267">
        <v>0.04</v>
      </c>
      <c r="E1339" s="146" t="s">
        <v>45</v>
      </c>
      <c r="F1339" s="463"/>
      <c r="G1339" s="146" t="s">
        <v>548</v>
      </c>
      <c r="H1339" s="149"/>
      <c r="I1339" s="149" t="str">
        <f t="shared" si="35"/>
        <v>02,26</v>
      </c>
    </row>
    <row r="1340" spans="1:9" ht="19.5" hidden="1" thickBot="1" x14ac:dyDescent="0.3">
      <c r="A1340" s="519"/>
      <c r="B1340" s="146" t="s">
        <v>547</v>
      </c>
      <c r="C1340" s="147" t="s">
        <v>116</v>
      </c>
      <c r="D1340" s="267">
        <v>0.03</v>
      </c>
      <c r="E1340" s="146" t="s">
        <v>45</v>
      </c>
      <c r="F1340" s="463"/>
      <c r="G1340" s="146" t="s">
        <v>548</v>
      </c>
      <c r="H1340" s="149"/>
      <c r="I1340" s="149" t="str">
        <f t="shared" si="35"/>
        <v>02,26</v>
      </c>
    </row>
    <row r="1341" spans="1:9" ht="19.5" hidden="1" thickBot="1" x14ac:dyDescent="0.3">
      <c r="A1341" s="520"/>
      <c r="B1341" s="249" t="s">
        <v>547</v>
      </c>
      <c r="C1341" s="247" t="s">
        <v>17</v>
      </c>
      <c r="D1341" s="268">
        <v>0.45</v>
      </c>
      <c r="E1341" s="249" t="s">
        <v>45</v>
      </c>
      <c r="F1341" s="463"/>
      <c r="G1341" s="249" t="s">
        <v>548</v>
      </c>
      <c r="H1341" s="251"/>
      <c r="I1341" s="251" t="str">
        <f t="shared" si="35"/>
        <v>02,26</v>
      </c>
    </row>
    <row r="1342" spans="1:9" ht="19.5" hidden="1" thickBot="1" x14ac:dyDescent="0.3">
      <c r="A1342" s="525">
        <f>MAX(A1299:A1340)+1</f>
        <v>253</v>
      </c>
      <c r="B1342" s="256" t="s">
        <v>547</v>
      </c>
      <c r="C1342" s="257" t="s">
        <v>18</v>
      </c>
      <c r="D1342" s="270">
        <v>1.1819999999999999</v>
      </c>
      <c r="E1342" s="256" t="s">
        <v>13</v>
      </c>
      <c r="F1342" s="259"/>
      <c r="G1342" s="256" t="s">
        <v>551</v>
      </c>
      <c r="H1342" s="259"/>
      <c r="I1342" s="259" t="str">
        <f t="shared" si="35"/>
        <v>02,26</v>
      </c>
    </row>
    <row r="1343" spans="1:9" ht="19.5" hidden="1" thickBot="1" x14ac:dyDescent="0.3">
      <c r="A1343" s="526"/>
      <c r="B1343" s="252" t="s">
        <v>547</v>
      </c>
      <c r="C1343" s="253" t="s">
        <v>19</v>
      </c>
      <c r="D1343" s="269">
        <v>0.79100000000000004</v>
      </c>
      <c r="E1343" s="252" t="s">
        <v>13</v>
      </c>
      <c r="F1343" s="255"/>
      <c r="G1343" s="252" t="s">
        <v>551</v>
      </c>
      <c r="H1343" s="255"/>
      <c r="I1343" s="255" t="str">
        <f t="shared" si="35"/>
        <v>02,26</v>
      </c>
    </row>
    <row r="1344" spans="1:9" ht="19.5" hidden="1" thickBot="1" x14ac:dyDescent="0.3">
      <c r="A1344" s="526"/>
      <c r="B1344" s="252" t="s">
        <v>547</v>
      </c>
      <c r="C1344" s="253" t="s">
        <v>116</v>
      </c>
      <c r="D1344" s="269">
        <v>1.58</v>
      </c>
      <c r="E1344" s="252" t="s">
        <v>13</v>
      </c>
      <c r="F1344" s="255"/>
      <c r="G1344" s="252" t="s">
        <v>551</v>
      </c>
      <c r="H1344" s="255" t="s">
        <v>416</v>
      </c>
      <c r="I1344" s="255" t="str">
        <f t="shared" si="35"/>
        <v>02,26</v>
      </c>
    </row>
    <row r="1345" spans="1:9" ht="19.5" hidden="1" thickBot="1" x14ac:dyDescent="0.3">
      <c r="A1345" s="526"/>
      <c r="B1345" s="252" t="s">
        <v>547</v>
      </c>
      <c r="C1345" s="253" t="s">
        <v>17</v>
      </c>
      <c r="D1345" s="269">
        <v>3.3149999999999999</v>
      </c>
      <c r="E1345" s="252" t="s">
        <v>13</v>
      </c>
      <c r="F1345" s="255"/>
      <c r="G1345" s="252" t="s">
        <v>551</v>
      </c>
      <c r="H1345" s="255"/>
      <c r="I1345" s="255" t="str">
        <f t="shared" si="35"/>
        <v>02,26</v>
      </c>
    </row>
    <row r="1346" spans="1:9" ht="19.5" hidden="1" thickBot="1" x14ac:dyDescent="0.3">
      <c r="A1346" s="526"/>
      <c r="B1346" s="252" t="s">
        <v>547</v>
      </c>
      <c r="C1346" s="253" t="s">
        <v>319</v>
      </c>
      <c r="D1346" s="269">
        <v>2.4780000000000002</v>
      </c>
      <c r="E1346" s="252" t="s">
        <v>13</v>
      </c>
      <c r="F1346" s="255"/>
      <c r="G1346" s="252" t="s">
        <v>551</v>
      </c>
      <c r="H1346" s="255"/>
      <c r="I1346" s="255" t="str">
        <f t="shared" si="35"/>
        <v>02,26</v>
      </c>
    </row>
    <row r="1347" spans="1:9" ht="19.5" hidden="1" thickBot="1" x14ac:dyDescent="0.3">
      <c r="A1347" s="526"/>
      <c r="B1347" s="252" t="s">
        <v>547</v>
      </c>
      <c r="C1347" s="253" t="s">
        <v>367</v>
      </c>
      <c r="D1347" s="269">
        <v>3.61</v>
      </c>
      <c r="E1347" s="252" t="s">
        <v>13</v>
      </c>
      <c r="F1347" s="255"/>
      <c r="G1347" s="252" t="s">
        <v>551</v>
      </c>
      <c r="H1347" s="255" t="s">
        <v>416</v>
      </c>
      <c r="I1347" s="255" t="str">
        <f t="shared" si="35"/>
        <v>02,26</v>
      </c>
    </row>
    <row r="1348" spans="1:9" ht="19.5" hidden="1" thickBot="1" x14ac:dyDescent="0.3">
      <c r="A1348" s="527"/>
      <c r="B1348" s="260" t="s">
        <v>547</v>
      </c>
      <c r="C1348" s="261" t="s">
        <v>550</v>
      </c>
      <c r="D1348" s="262">
        <v>1.409</v>
      </c>
      <c r="E1348" s="260" t="s">
        <v>13</v>
      </c>
      <c r="F1348" s="263"/>
      <c r="G1348" s="260" t="s">
        <v>551</v>
      </c>
      <c r="H1348" s="264" t="s">
        <v>416</v>
      </c>
      <c r="I1348" s="264" t="str">
        <f t="shared" si="35"/>
        <v>02,26</v>
      </c>
    </row>
    <row r="1349" spans="1:9" ht="19.5" hidden="1" thickBot="1" x14ac:dyDescent="0.3">
      <c r="A1349" s="518">
        <f>MAX(A1300:A1347)+1</f>
        <v>254</v>
      </c>
      <c r="B1349" s="94" t="s">
        <v>547</v>
      </c>
      <c r="C1349" s="92" t="s">
        <v>18</v>
      </c>
      <c r="D1349" s="93">
        <v>1.1819999999999999</v>
      </c>
      <c r="E1349" s="94" t="s">
        <v>13</v>
      </c>
      <c r="F1349" s="131"/>
      <c r="G1349" s="94" t="s">
        <v>548</v>
      </c>
      <c r="H1349" s="150"/>
      <c r="I1349" s="150" t="str">
        <f t="shared" si="35"/>
        <v>02,26</v>
      </c>
    </row>
    <row r="1350" spans="1:9" ht="19.5" hidden="1" thickBot="1" x14ac:dyDescent="0.3">
      <c r="A1350" s="519"/>
      <c r="B1350" s="146" t="s">
        <v>547</v>
      </c>
      <c r="C1350" s="147" t="s">
        <v>19</v>
      </c>
      <c r="D1350" s="148">
        <v>0.79100000000000004</v>
      </c>
      <c r="E1350" s="146" t="s">
        <v>13</v>
      </c>
      <c r="F1350" s="265"/>
      <c r="G1350" s="146" t="s">
        <v>548</v>
      </c>
      <c r="H1350" s="149"/>
      <c r="I1350" s="149" t="str">
        <f t="shared" si="35"/>
        <v>02,26</v>
      </c>
    </row>
    <row r="1351" spans="1:9" ht="19.5" hidden="1" thickBot="1" x14ac:dyDescent="0.3">
      <c r="A1351" s="519"/>
      <c r="B1351" s="146" t="s">
        <v>547</v>
      </c>
      <c r="C1351" s="147" t="s">
        <v>116</v>
      </c>
      <c r="D1351" s="148">
        <v>1.58</v>
      </c>
      <c r="E1351" s="146" t="s">
        <v>13</v>
      </c>
      <c r="F1351" s="265"/>
      <c r="G1351" s="146" t="s">
        <v>548</v>
      </c>
      <c r="H1351" s="149" t="s">
        <v>416</v>
      </c>
      <c r="I1351" s="149" t="str">
        <f t="shared" si="35"/>
        <v>02,26</v>
      </c>
    </row>
    <row r="1352" spans="1:9" ht="19.5" hidden="1" thickBot="1" x14ac:dyDescent="0.3">
      <c r="A1352" s="519"/>
      <c r="B1352" s="146" t="s">
        <v>547</v>
      </c>
      <c r="C1352" s="147" t="s">
        <v>17</v>
      </c>
      <c r="D1352" s="148">
        <v>3.3149999999999999</v>
      </c>
      <c r="E1352" s="146" t="s">
        <v>13</v>
      </c>
      <c r="F1352" s="265"/>
      <c r="G1352" s="146" t="s">
        <v>548</v>
      </c>
      <c r="H1352" s="149"/>
      <c r="I1352" s="149" t="str">
        <f t="shared" si="35"/>
        <v>02,26</v>
      </c>
    </row>
    <row r="1353" spans="1:9" ht="19.5" hidden="1" thickBot="1" x14ac:dyDescent="0.3">
      <c r="A1353" s="520"/>
      <c r="B1353" s="249" t="s">
        <v>547</v>
      </c>
      <c r="C1353" s="247" t="s">
        <v>20</v>
      </c>
      <c r="D1353" s="248">
        <v>0.57799999999999996</v>
      </c>
      <c r="E1353" s="249" t="s">
        <v>13</v>
      </c>
      <c r="F1353" s="266"/>
      <c r="G1353" s="249" t="s">
        <v>548</v>
      </c>
      <c r="H1353" s="251"/>
      <c r="I1353" s="251" t="str">
        <f t="shared" si="35"/>
        <v>02,26</v>
      </c>
    </row>
    <row r="1354" spans="1:9" ht="19.5" hidden="1" thickBot="1" x14ac:dyDescent="0.3">
      <c r="A1354" s="521">
        <f>MAX(A1301:A1352)+1</f>
        <v>255</v>
      </c>
      <c r="B1354" s="256" t="s">
        <v>552</v>
      </c>
      <c r="C1354" s="257" t="s">
        <v>18</v>
      </c>
      <c r="D1354" s="258">
        <v>1.8</v>
      </c>
      <c r="E1354" s="256" t="s">
        <v>519</v>
      </c>
      <c r="F1354" s="523" t="s">
        <v>549</v>
      </c>
      <c r="G1354" s="256" t="s">
        <v>554</v>
      </c>
      <c r="H1354" s="259"/>
      <c r="I1354" s="259" t="str">
        <f t="shared" si="35"/>
        <v>02,26</v>
      </c>
    </row>
    <row r="1355" spans="1:9" ht="19.5" hidden="1" thickBot="1" x14ac:dyDescent="0.3">
      <c r="A1355" s="522"/>
      <c r="B1355" s="252" t="s">
        <v>552</v>
      </c>
      <c r="C1355" s="253" t="s">
        <v>19</v>
      </c>
      <c r="D1355" s="254">
        <v>0.2</v>
      </c>
      <c r="E1355" s="252" t="s">
        <v>519</v>
      </c>
      <c r="F1355" s="524"/>
      <c r="G1355" s="252" t="s">
        <v>554</v>
      </c>
      <c r="H1355" s="255"/>
      <c r="I1355" s="255" t="str">
        <f t="shared" si="35"/>
        <v>02,26</v>
      </c>
    </row>
    <row r="1356" spans="1:9" ht="19.5" hidden="1" thickBot="1" x14ac:dyDescent="0.3">
      <c r="A1356" s="522"/>
      <c r="B1356" s="252" t="s">
        <v>552</v>
      </c>
      <c r="C1356" s="253" t="s">
        <v>116</v>
      </c>
      <c r="D1356" s="254">
        <v>0.47</v>
      </c>
      <c r="E1356" s="252" t="s">
        <v>519</v>
      </c>
      <c r="F1356" s="524"/>
      <c r="G1356" s="252" t="s">
        <v>554</v>
      </c>
      <c r="H1356" s="255"/>
      <c r="I1356" s="255" t="str">
        <f t="shared" si="35"/>
        <v>02,26</v>
      </c>
    </row>
    <row r="1357" spans="1:9" ht="19.5" hidden="1" thickBot="1" x14ac:dyDescent="0.3">
      <c r="A1357" s="522"/>
      <c r="B1357" s="252" t="s">
        <v>552</v>
      </c>
      <c r="C1357" s="253" t="s">
        <v>17</v>
      </c>
      <c r="D1357" s="254">
        <v>1.5</v>
      </c>
      <c r="E1357" s="252" t="s">
        <v>519</v>
      </c>
      <c r="F1357" s="524"/>
      <c r="G1357" s="252" t="s">
        <v>554</v>
      </c>
      <c r="H1357" s="255"/>
      <c r="I1357" s="255" t="str">
        <f t="shared" si="35"/>
        <v>02,26</v>
      </c>
    </row>
    <row r="1358" spans="1:9" ht="19.5" hidden="1" thickBot="1" x14ac:dyDescent="0.3">
      <c r="A1358" s="522"/>
      <c r="B1358" s="252" t="s">
        <v>552</v>
      </c>
      <c r="C1358" s="253" t="s">
        <v>18</v>
      </c>
      <c r="D1358" s="254">
        <v>0.18</v>
      </c>
      <c r="E1358" s="252" t="s">
        <v>45</v>
      </c>
      <c r="F1358" s="524"/>
      <c r="G1358" s="252" t="s">
        <v>554</v>
      </c>
      <c r="H1358" s="255"/>
      <c r="I1358" s="255" t="str">
        <f t="shared" si="35"/>
        <v>02,26</v>
      </c>
    </row>
    <row r="1359" spans="1:9" ht="19.5" hidden="1" thickBot="1" x14ac:dyDescent="0.3">
      <c r="A1359" s="522"/>
      <c r="B1359" s="252" t="s">
        <v>552</v>
      </c>
      <c r="C1359" s="253" t="s">
        <v>19</v>
      </c>
      <c r="D1359" s="254">
        <v>0.11</v>
      </c>
      <c r="E1359" s="252" t="s">
        <v>45</v>
      </c>
      <c r="F1359" s="524"/>
      <c r="G1359" s="252" t="s">
        <v>554</v>
      </c>
      <c r="H1359" s="255"/>
      <c r="I1359" s="255" t="str">
        <f t="shared" si="35"/>
        <v>02,26</v>
      </c>
    </row>
    <row r="1360" spans="1:9" ht="19.5" hidden="1" thickBot="1" x14ac:dyDescent="0.3">
      <c r="A1360" s="522"/>
      <c r="B1360" s="252" t="s">
        <v>552</v>
      </c>
      <c r="C1360" s="253" t="s">
        <v>116</v>
      </c>
      <c r="D1360" s="254">
        <v>0</v>
      </c>
      <c r="E1360" s="252" t="s">
        <v>45</v>
      </c>
      <c r="F1360" s="524"/>
      <c r="G1360" s="252" t="s">
        <v>554</v>
      </c>
      <c r="H1360" s="255"/>
      <c r="I1360" s="255" t="str">
        <f t="shared" si="35"/>
        <v>02,26</v>
      </c>
    </row>
    <row r="1361" spans="1:9" ht="19.5" hidden="1" thickBot="1" x14ac:dyDescent="0.3">
      <c r="A1361" s="522"/>
      <c r="B1361" s="260" t="s">
        <v>552</v>
      </c>
      <c r="C1361" s="261" t="s">
        <v>17</v>
      </c>
      <c r="D1361" s="262">
        <v>0.27</v>
      </c>
      <c r="E1361" s="260" t="s">
        <v>45</v>
      </c>
      <c r="F1361" s="524"/>
      <c r="G1361" s="260" t="s">
        <v>554</v>
      </c>
      <c r="H1361" s="264"/>
      <c r="I1361" s="264" t="str">
        <f t="shared" si="35"/>
        <v>02,26</v>
      </c>
    </row>
    <row r="1362" spans="1:9" ht="19.5" hidden="1" thickBot="1" x14ac:dyDescent="0.3">
      <c r="A1362" s="522"/>
      <c r="B1362" s="260" t="s">
        <v>553</v>
      </c>
      <c r="C1362" s="261" t="s">
        <v>367</v>
      </c>
      <c r="D1362" s="262">
        <v>0.6</v>
      </c>
      <c r="E1362" s="260" t="s">
        <v>34</v>
      </c>
      <c r="F1362" s="524"/>
      <c r="G1362" s="260" t="s">
        <v>554</v>
      </c>
      <c r="H1362" s="264" t="s">
        <v>416</v>
      </c>
      <c r="I1362" s="264" t="str">
        <f t="shared" si="35"/>
        <v>02,26</v>
      </c>
    </row>
    <row r="1363" spans="1:9" ht="19.5" hidden="1" thickBot="1" x14ac:dyDescent="0.3">
      <c r="A1363" s="522"/>
      <c r="B1363" s="260" t="s">
        <v>553</v>
      </c>
      <c r="C1363" s="261" t="s">
        <v>367</v>
      </c>
      <c r="D1363" s="262">
        <v>0.05</v>
      </c>
      <c r="E1363" s="260" t="s">
        <v>45</v>
      </c>
      <c r="F1363" s="524"/>
      <c r="G1363" s="260" t="s">
        <v>554</v>
      </c>
      <c r="H1363" s="264" t="s">
        <v>416</v>
      </c>
      <c r="I1363" s="264" t="str">
        <f t="shared" si="35"/>
        <v>02,26</v>
      </c>
    </row>
    <row r="1364" spans="1:9" ht="19.5" hidden="1" thickBot="1" x14ac:dyDescent="0.3">
      <c r="A1364" s="488">
        <f>MAX(A1302:A1360)+1</f>
        <v>256</v>
      </c>
      <c r="B1364" s="94" t="s">
        <v>552</v>
      </c>
      <c r="C1364" s="92" t="s">
        <v>18</v>
      </c>
      <c r="D1364" s="93">
        <v>2.7759999999999998</v>
      </c>
      <c r="E1364" s="94" t="s">
        <v>13</v>
      </c>
      <c r="F1364" s="150"/>
      <c r="G1364" s="94" t="s">
        <v>555</v>
      </c>
      <c r="H1364" s="150"/>
      <c r="I1364" s="150" t="str">
        <f t="shared" si="35"/>
        <v>02,26</v>
      </c>
    </row>
    <row r="1365" spans="1:9" ht="19.5" hidden="1" thickBot="1" x14ac:dyDescent="0.3">
      <c r="A1365" s="489"/>
      <c r="B1365" s="146" t="s">
        <v>552</v>
      </c>
      <c r="C1365" s="147" t="s">
        <v>19</v>
      </c>
      <c r="D1365" s="148">
        <v>3.2290000000000001</v>
      </c>
      <c r="E1365" s="146" t="s">
        <v>13</v>
      </c>
      <c r="F1365" s="149"/>
      <c r="G1365" s="146" t="s">
        <v>555</v>
      </c>
      <c r="H1365" s="149"/>
      <c r="I1365" s="149" t="str">
        <f t="shared" si="35"/>
        <v>02,26</v>
      </c>
    </row>
    <row r="1366" spans="1:9" ht="19.5" hidden="1" thickBot="1" x14ac:dyDescent="0.3">
      <c r="A1366" s="489"/>
      <c r="B1366" s="146" t="s">
        <v>552</v>
      </c>
      <c r="C1366" s="147" t="s">
        <v>116</v>
      </c>
      <c r="D1366" s="148">
        <v>2.1150000000000002</v>
      </c>
      <c r="E1366" s="146" t="s">
        <v>13</v>
      </c>
      <c r="F1366" s="149"/>
      <c r="G1366" s="146" t="s">
        <v>555</v>
      </c>
      <c r="H1366" s="149" t="s">
        <v>416</v>
      </c>
      <c r="I1366" s="149" t="str">
        <f t="shared" ref="I1366:I1429" si="36">RIGHT(G1366,5)</f>
        <v>02,26</v>
      </c>
    </row>
    <row r="1367" spans="1:9" ht="19.5" hidden="1" thickBot="1" x14ac:dyDescent="0.3">
      <c r="A1367" s="489"/>
      <c r="B1367" s="146" t="s">
        <v>552</v>
      </c>
      <c r="C1367" s="147" t="s">
        <v>17</v>
      </c>
      <c r="D1367" s="148">
        <v>3.4089999999999998</v>
      </c>
      <c r="E1367" s="146" t="s">
        <v>13</v>
      </c>
      <c r="F1367" s="149"/>
      <c r="G1367" s="146" t="s">
        <v>555</v>
      </c>
      <c r="H1367" s="149"/>
      <c r="I1367" s="149" t="str">
        <f t="shared" si="36"/>
        <v>02,26</v>
      </c>
    </row>
    <row r="1368" spans="1:9" ht="19.5" hidden="1" thickBot="1" x14ac:dyDescent="0.3">
      <c r="A1368" s="489"/>
      <c r="B1368" s="146" t="s">
        <v>552</v>
      </c>
      <c r="C1368" s="147" t="s">
        <v>319</v>
      </c>
      <c r="D1368" s="148">
        <v>2.452</v>
      </c>
      <c r="E1368" s="146" t="s">
        <v>13</v>
      </c>
      <c r="F1368" s="149"/>
      <c r="G1368" s="146" t="s">
        <v>555</v>
      </c>
      <c r="H1368" s="149"/>
      <c r="I1368" s="149" t="str">
        <f t="shared" si="36"/>
        <v>02,26</v>
      </c>
    </row>
    <row r="1369" spans="1:9" ht="19.5" hidden="1" thickBot="1" x14ac:dyDescent="0.3">
      <c r="A1369" s="489"/>
      <c r="B1369" s="146" t="s">
        <v>552</v>
      </c>
      <c r="C1369" s="147" t="s">
        <v>20</v>
      </c>
      <c r="D1369" s="148">
        <v>1.105</v>
      </c>
      <c r="E1369" s="146" t="s">
        <v>13</v>
      </c>
      <c r="F1369" s="149"/>
      <c r="G1369" s="146" t="s">
        <v>555</v>
      </c>
      <c r="H1369" s="149"/>
      <c r="I1369" s="149" t="str">
        <f t="shared" si="36"/>
        <v>02,26</v>
      </c>
    </row>
    <row r="1370" spans="1:9" ht="19.5" hidden="1" thickBot="1" x14ac:dyDescent="0.3">
      <c r="A1370" s="536"/>
      <c r="B1370" s="249" t="s">
        <v>552</v>
      </c>
      <c r="C1370" s="247" t="s">
        <v>556</v>
      </c>
      <c r="D1370" s="248">
        <v>3.61</v>
      </c>
      <c r="E1370" s="249" t="s">
        <v>13</v>
      </c>
      <c r="F1370" s="266"/>
      <c r="G1370" s="249" t="s">
        <v>555</v>
      </c>
      <c r="H1370" s="251" t="s">
        <v>416</v>
      </c>
      <c r="I1370" s="251" t="str">
        <f t="shared" si="36"/>
        <v>02,26</v>
      </c>
    </row>
    <row r="1371" spans="1:9" ht="19.5" hidden="1" thickBot="1" x14ac:dyDescent="0.3">
      <c r="A1371" s="537">
        <f>MAX(A1303:A1369)+1</f>
        <v>257</v>
      </c>
      <c r="B1371" s="271" t="s">
        <v>552</v>
      </c>
      <c r="C1371" s="257" t="s">
        <v>18</v>
      </c>
      <c r="D1371" s="258">
        <v>2.7759999999999998</v>
      </c>
      <c r="E1371" s="256" t="s">
        <v>13</v>
      </c>
      <c r="F1371" s="274"/>
      <c r="G1371" s="256" t="s">
        <v>554</v>
      </c>
      <c r="H1371" s="259"/>
      <c r="I1371" s="259" t="str">
        <f t="shared" si="36"/>
        <v>02,26</v>
      </c>
    </row>
    <row r="1372" spans="1:9" ht="19.5" hidden="1" thickBot="1" x14ac:dyDescent="0.3">
      <c r="A1372" s="538"/>
      <c r="B1372" s="272" t="s">
        <v>552</v>
      </c>
      <c r="C1372" s="253" t="s">
        <v>19</v>
      </c>
      <c r="D1372" s="254">
        <v>3.2290000000000001</v>
      </c>
      <c r="E1372" s="252" t="s">
        <v>13</v>
      </c>
      <c r="F1372" s="275"/>
      <c r="G1372" s="252" t="s">
        <v>554</v>
      </c>
      <c r="H1372" s="255"/>
      <c r="I1372" s="255" t="str">
        <f t="shared" si="36"/>
        <v>02,26</v>
      </c>
    </row>
    <row r="1373" spans="1:9" ht="19.5" hidden="1" thickBot="1" x14ac:dyDescent="0.3">
      <c r="A1373" s="538"/>
      <c r="B1373" s="272" t="s">
        <v>552</v>
      </c>
      <c r="C1373" s="253" t="s">
        <v>116</v>
      </c>
      <c r="D1373" s="254">
        <v>2.1150000000000002</v>
      </c>
      <c r="E1373" s="252" t="s">
        <v>13</v>
      </c>
      <c r="F1373" s="275"/>
      <c r="G1373" s="252" t="s">
        <v>554</v>
      </c>
      <c r="H1373" s="255" t="s">
        <v>416</v>
      </c>
      <c r="I1373" s="255" t="str">
        <f t="shared" si="36"/>
        <v>02,26</v>
      </c>
    </row>
    <row r="1374" spans="1:9" ht="19.5" hidden="1" thickBot="1" x14ac:dyDescent="0.3">
      <c r="A1374" s="538"/>
      <c r="B1374" s="273" t="s">
        <v>552</v>
      </c>
      <c r="C1374" s="261" t="s">
        <v>17</v>
      </c>
      <c r="D1374" s="262">
        <v>3.4089999999999998</v>
      </c>
      <c r="E1374" s="260" t="s">
        <v>13</v>
      </c>
      <c r="F1374" s="263"/>
      <c r="G1374" s="260" t="s">
        <v>554</v>
      </c>
      <c r="H1374" s="264"/>
      <c r="I1374" s="264" t="str">
        <f t="shared" si="36"/>
        <v>02,26</v>
      </c>
    </row>
    <row r="1375" spans="1:9" ht="19.5" hidden="1" thickBot="1" x14ac:dyDescent="0.3">
      <c r="A1375" s="538"/>
      <c r="B1375" s="273" t="s">
        <v>552</v>
      </c>
      <c r="C1375" s="261" t="s">
        <v>550</v>
      </c>
      <c r="D1375" s="262">
        <v>0.23499999999999999</v>
      </c>
      <c r="E1375" s="260" t="s">
        <v>13</v>
      </c>
      <c r="F1375" s="263"/>
      <c r="G1375" s="260" t="s">
        <v>554</v>
      </c>
      <c r="H1375" s="264" t="s">
        <v>416</v>
      </c>
      <c r="I1375" s="264" t="str">
        <f t="shared" si="36"/>
        <v>02,26</v>
      </c>
    </row>
    <row r="1376" spans="1:9" ht="19.5" hidden="1" thickBot="1" x14ac:dyDescent="0.3">
      <c r="A1376" s="528">
        <f>MAX(A1304:A1373)+1</f>
        <v>258</v>
      </c>
      <c r="B1376" s="94" t="s">
        <v>557</v>
      </c>
      <c r="C1376" s="92" t="s">
        <v>18</v>
      </c>
      <c r="D1376" s="93">
        <v>1.19</v>
      </c>
      <c r="E1376" s="249" t="s">
        <v>13</v>
      </c>
      <c r="F1376" s="131"/>
      <c r="G1376" s="249" t="s">
        <v>558</v>
      </c>
      <c r="H1376" s="150"/>
      <c r="I1376" s="150" t="str">
        <f t="shared" si="36"/>
        <v>03,26</v>
      </c>
    </row>
    <row r="1377" spans="1:9" ht="19.5" hidden="1" thickBot="1" x14ac:dyDescent="0.3">
      <c r="A1377" s="529"/>
      <c r="B1377" s="146" t="s">
        <v>557</v>
      </c>
      <c r="C1377" s="147" t="s">
        <v>19</v>
      </c>
      <c r="D1377" s="148">
        <v>3.31</v>
      </c>
      <c r="E1377" s="249" t="s">
        <v>13</v>
      </c>
      <c r="F1377" s="265"/>
      <c r="G1377" s="249" t="s">
        <v>558</v>
      </c>
      <c r="H1377" s="149"/>
      <c r="I1377" s="149" t="str">
        <f t="shared" si="36"/>
        <v>03,26</v>
      </c>
    </row>
    <row r="1378" spans="1:9" ht="19.5" hidden="1" thickBot="1" x14ac:dyDescent="0.3">
      <c r="A1378" s="529"/>
      <c r="B1378" s="146" t="s">
        <v>557</v>
      </c>
      <c r="C1378" s="147" t="s">
        <v>116</v>
      </c>
      <c r="D1378" s="148">
        <v>3.25</v>
      </c>
      <c r="E1378" s="249" t="s">
        <v>13</v>
      </c>
      <c r="F1378" s="265"/>
      <c r="G1378" s="249" t="s">
        <v>558</v>
      </c>
      <c r="H1378" s="149" t="s">
        <v>416</v>
      </c>
      <c r="I1378" s="149" t="str">
        <f t="shared" si="36"/>
        <v>03,26</v>
      </c>
    </row>
    <row r="1379" spans="1:9" ht="19.5" hidden="1" thickBot="1" x14ac:dyDescent="0.3">
      <c r="A1379" s="529"/>
      <c r="B1379" s="249" t="s">
        <v>557</v>
      </c>
      <c r="C1379" s="247" t="s">
        <v>17</v>
      </c>
      <c r="D1379" s="248">
        <v>3.14</v>
      </c>
      <c r="E1379" s="249" t="s">
        <v>13</v>
      </c>
      <c r="F1379" s="266"/>
      <c r="G1379" s="249" t="s">
        <v>558</v>
      </c>
      <c r="H1379" s="251"/>
      <c r="I1379" s="251" t="str">
        <f t="shared" si="36"/>
        <v>03,26</v>
      </c>
    </row>
    <row r="1380" spans="1:9" ht="19.5" hidden="1" thickBot="1" x14ac:dyDescent="0.3">
      <c r="A1380" s="530"/>
      <c r="B1380" s="249" t="s">
        <v>557</v>
      </c>
      <c r="C1380" s="247" t="s">
        <v>319</v>
      </c>
      <c r="D1380" s="248">
        <v>3.4969999999999999</v>
      </c>
      <c r="E1380" s="249" t="s">
        <v>13</v>
      </c>
      <c r="F1380" s="266"/>
      <c r="G1380" s="249" t="s">
        <v>558</v>
      </c>
      <c r="H1380" s="251"/>
      <c r="I1380" s="251" t="str">
        <f t="shared" si="36"/>
        <v>03,26</v>
      </c>
    </row>
    <row r="1381" spans="1:9" ht="19.5" hidden="1" thickBot="1" x14ac:dyDescent="0.3">
      <c r="A1381" s="531">
        <f>MAX(A1308:A1377)+1</f>
        <v>259</v>
      </c>
      <c r="B1381" s="277" t="s">
        <v>557</v>
      </c>
      <c r="C1381" s="278" t="s">
        <v>18</v>
      </c>
      <c r="D1381" s="279">
        <v>1.19</v>
      </c>
      <c r="E1381" s="277" t="s">
        <v>13</v>
      </c>
      <c r="F1381" s="276"/>
      <c r="G1381" s="277" t="s">
        <v>559</v>
      </c>
      <c r="H1381" s="280"/>
      <c r="I1381" s="280" t="str">
        <f t="shared" si="36"/>
        <v>03,26</v>
      </c>
    </row>
    <row r="1382" spans="1:9" ht="19.5" hidden="1" thickBot="1" x14ac:dyDescent="0.3">
      <c r="A1382" s="532"/>
      <c r="B1382" s="277" t="s">
        <v>557</v>
      </c>
      <c r="C1382" s="278" t="s">
        <v>19</v>
      </c>
      <c r="D1382" s="279">
        <v>3.31</v>
      </c>
      <c r="E1382" s="277" t="s">
        <v>13</v>
      </c>
      <c r="F1382" s="281"/>
      <c r="G1382" s="277" t="s">
        <v>559</v>
      </c>
      <c r="H1382" s="280"/>
      <c r="I1382" s="280" t="str">
        <f t="shared" si="36"/>
        <v>03,26</v>
      </c>
    </row>
    <row r="1383" spans="1:9" ht="19.5" hidden="1" thickBot="1" x14ac:dyDescent="0.3">
      <c r="A1383" s="532"/>
      <c r="B1383" s="277" t="s">
        <v>557</v>
      </c>
      <c r="C1383" s="278" t="s">
        <v>116</v>
      </c>
      <c r="D1383" s="279">
        <v>3.25</v>
      </c>
      <c r="E1383" s="277" t="s">
        <v>13</v>
      </c>
      <c r="F1383" s="281"/>
      <c r="G1383" s="277" t="s">
        <v>559</v>
      </c>
      <c r="H1383" s="280" t="s">
        <v>416</v>
      </c>
      <c r="I1383" s="280" t="str">
        <f t="shared" si="36"/>
        <v>03,26</v>
      </c>
    </row>
    <row r="1384" spans="1:9" ht="19.5" hidden="1" thickBot="1" x14ac:dyDescent="0.3">
      <c r="A1384" s="532"/>
      <c r="B1384" s="277" t="s">
        <v>557</v>
      </c>
      <c r="C1384" s="278" t="s">
        <v>17</v>
      </c>
      <c r="D1384" s="279">
        <v>3.14</v>
      </c>
      <c r="E1384" s="277" t="s">
        <v>13</v>
      </c>
      <c r="F1384" s="281"/>
      <c r="G1384" s="277" t="s">
        <v>559</v>
      </c>
      <c r="H1384" s="280"/>
      <c r="I1384" s="280" t="str">
        <f t="shared" si="36"/>
        <v>03,26</v>
      </c>
    </row>
    <row r="1385" spans="1:9" ht="19.5" hidden="1" thickBot="1" x14ac:dyDescent="0.3">
      <c r="A1385" s="533"/>
      <c r="B1385" s="277" t="s">
        <v>557</v>
      </c>
      <c r="C1385" s="283" t="s">
        <v>550</v>
      </c>
      <c r="D1385" s="284">
        <v>2.395</v>
      </c>
      <c r="E1385" s="282" t="s">
        <v>13</v>
      </c>
      <c r="F1385" s="285"/>
      <c r="G1385" s="277" t="s">
        <v>559</v>
      </c>
      <c r="H1385" s="286" t="s">
        <v>416</v>
      </c>
      <c r="I1385" s="286" t="str">
        <f t="shared" si="36"/>
        <v>03,26</v>
      </c>
    </row>
    <row r="1386" spans="1:9" ht="18.75" hidden="1" customHeight="1" x14ac:dyDescent="0.3">
      <c r="A1386" s="479">
        <f>MAX(A1313:A1382)+1</f>
        <v>260</v>
      </c>
      <c r="B1386" s="149" t="s">
        <v>560</v>
      </c>
      <c r="C1386" s="149" t="s">
        <v>18</v>
      </c>
      <c r="D1386" s="149">
        <v>0.23100000000000001</v>
      </c>
      <c r="E1386" s="149" t="s">
        <v>519</v>
      </c>
      <c r="F1386" s="541" t="s">
        <v>533</v>
      </c>
      <c r="G1386" s="149" t="s">
        <v>559</v>
      </c>
      <c r="H1386" s="149"/>
      <c r="I1386" s="149" t="str">
        <f t="shared" si="36"/>
        <v>03,26</v>
      </c>
    </row>
    <row r="1387" spans="1:9" ht="19.5" hidden="1" thickBot="1" x14ac:dyDescent="0.3">
      <c r="A1387" s="463"/>
      <c r="B1387" s="149" t="s">
        <v>560</v>
      </c>
      <c r="C1387" s="149" t="s">
        <v>19</v>
      </c>
      <c r="D1387" s="149">
        <v>0.13500000000000001</v>
      </c>
      <c r="E1387" s="149" t="s">
        <v>519</v>
      </c>
      <c r="F1387" s="541"/>
      <c r="G1387" s="149" t="s">
        <v>559</v>
      </c>
      <c r="H1387" s="149"/>
      <c r="I1387" s="149" t="str">
        <f t="shared" si="36"/>
        <v>03,26</v>
      </c>
    </row>
    <row r="1388" spans="1:9" ht="19.5" hidden="1" thickBot="1" x14ac:dyDescent="0.3">
      <c r="A1388" s="463"/>
      <c r="B1388" s="149" t="s">
        <v>560</v>
      </c>
      <c r="C1388" s="149" t="s">
        <v>116</v>
      </c>
      <c r="D1388" s="149">
        <v>0.59</v>
      </c>
      <c r="E1388" s="149" t="s">
        <v>519</v>
      </c>
      <c r="F1388" s="541"/>
      <c r="G1388" s="149" t="s">
        <v>559</v>
      </c>
      <c r="H1388" s="149"/>
      <c r="I1388" s="149" t="str">
        <f t="shared" si="36"/>
        <v>03,26</v>
      </c>
    </row>
    <row r="1389" spans="1:9" ht="19.5" hidden="1" thickBot="1" x14ac:dyDescent="0.3">
      <c r="A1389" s="463"/>
      <c r="B1389" s="149" t="s">
        <v>560</v>
      </c>
      <c r="C1389" s="149" t="s">
        <v>17</v>
      </c>
      <c r="D1389" s="149">
        <v>1.43</v>
      </c>
      <c r="E1389" s="149" t="s">
        <v>519</v>
      </c>
      <c r="F1389" s="541"/>
      <c r="G1389" s="149" t="s">
        <v>559</v>
      </c>
      <c r="H1389" s="149"/>
      <c r="I1389" s="149" t="str">
        <f t="shared" si="36"/>
        <v>03,26</v>
      </c>
    </row>
    <row r="1390" spans="1:9" ht="19.5" hidden="1" thickBot="1" x14ac:dyDescent="0.3">
      <c r="A1390" s="463"/>
      <c r="B1390" s="287" t="s">
        <v>560</v>
      </c>
      <c r="C1390" s="149" t="s">
        <v>17</v>
      </c>
      <c r="D1390" s="149">
        <v>0.45</v>
      </c>
      <c r="E1390" s="149" t="s">
        <v>45</v>
      </c>
      <c r="F1390" s="541"/>
      <c r="G1390" s="149" t="s">
        <v>559</v>
      </c>
      <c r="H1390" s="149"/>
      <c r="I1390" s="149" t="str">
        <f t="shared" si="36"/>
        <v>03,26</v>
      </c>
    </row>
    <row r="1391" spans="1:9" ht="19.5" hidden="1" thickBot="1" x14ac:dyDescent="0.3">
      <c r="A1391" s="534">
        <f>MAX(A1324:A1390)+1</f>
        <v>261</v>
      </c>
      <c r="B1391" s="146" t="s">
        <v>561</v>
      </c>
      <c r="C1391" s="147" t="s">
        <v>18</v>
      </c>
      <c r="D1391" s="148">
        <v>0.49099999999999999</v>
      </c>
      <c r="E1391" s="146" t="s">
        <v>13</v>
      </c>
      <c r="F1391" s="265"/>
      <c r="G1391" s="146" t="s">
        <v>563</v>
      </c>
      <c r="H1391" s="149"/>
      <c r="I1391" s="149" t="str">
        <f t="shared" si="36"/>
        <v>03,26</v>
      </c>
    </row>
    <row r="1392" spans="1:9" ht="19.5" hidden="1" thickBot="1" x14ac:dyDescent="0.3">
      <c r="A1392" s="514"/>
      <c r="B1392" s="146" t="s">
        <v>561</v>
      </c>
      <c r="C1392" s="147" t="s">
        <v>19</v>
      </c>
      <c r="D1392" s="148">
        <v>1.994</v>
      </c>
      <c r="E1392" s="146" t="s">
        <v>13</v>
      </c>
      <c r="F1392" s="265"/>
      <c r="G1392" s="146" t="s">
        <v>563</v>
      </c>
      <c r="H1392" s="149"/>
      <c r="I1392" s="149" t="str">
        <f t="shared" si="36"/>
        <v>03,26</v>
      </c>
    </row>
    <row r="1393" spans="1:9" ht="19.5" hidden="1" thickBot="1" x14ac:dyDescent="0.3">
      <c r="A1393" s="514"/>
      <c r="B1393" s="146" t="s">
        <v>561</v>
      </c>
      <c r="C1393" s="147" t="s">
        <v>116</v>
      </c>
      <c r="D1393" s="148">
        <v>1.256</v>
      </c>
      <c r="E1393" s="146" t="s">
        <v>13</v>
      </c>
      <c r="F1393" s="265"/>
      <c r="G1393" s="146" t="s">
        <v>563</v>
      </c>
      <c r="H1393" s="149" t="s">
        <v>416</v>
      </c>
      <c r="I1393" s="149" t="str">
        <f t="shared" si="36"/>
        <v>03,26</v>
      </c>
    </row>
    <row r="1394" spans="1:9" ht="19.5" hidden="1" thickBot="1" x14ac:dyDescent="0.3">
      <c r="A1394" s="514"/>
      <c r="B1394" s="146" t="s">
        <v>561</v>
      </c>
      <c r="C1394" s="147" t="s">
        <v>17</v>
      </c>
      <c r="D1394" s="148">
        <v>1.4159999999999999</v>
      </c>
      <c r="E1394" s="146" t="s">
        <v>13</v>
      </c>
      <c r="F1394" s="265"/>
      <c r="G1394" s="146" t="s">
        <v>563</v>
      </c>
      <c r="H1394" s="149"/>
      <c r="I1394" s="149" t="str">
        <f t="shared" si="36"/>
        <v>03,26</v>
      </c>
    </row>
    <row r="1395" spans="1:9" ht="19.5" hidden="1" thickBot="1" x14ac:dyDescent="0.3">
      <c r="A1395" s="514"/>
      <c r="B1395" s="249" t="s">
        <v>561</v>
      </c>
      <c r="C1395" s="247" t="s">
        <v>277</v>
      </c>
      <c r="D1395" s="248">
        <v>4.3570000000000002</v>
      </c>
      <c r="E1395" s="249" t="s">
        <v>13</v>
      </c>
      <c r="F1395" s="266"/>
      <c r="G1395" s="249" t="s">
        <v>563</v>
      </c>
      <c r="H1395" s="251"/>
      <c r="I1395" s="251" t="str">
        <f t="shared" si="36"/>
        <v>03,26</v>
      </c>
    </row>
    <row r="1396" spans="1:9" ht="19.5" hidden="1" thickBot="1" x14ac:dyDescent="0.3">
      <c r="A1396" s="514"/>
      <c r="B1396" s="249" t="s">
        <v>561</v>
      </c>
      <c r="C1396" s="147" t="s">
        <v>564</v>
      </c>
      <c r="D1396" s="148">
        <v>2.0270000000000001</v>
      </c>
      <c r="E1396" s="249" t="s">
        <v>13</v>
      </c>
      <c r="F1396" s="265"/>
      <c r="G1396" s="249" t="s">
        <v>563</v>
      </c>
      <c r="H1396" s="149" t="s">
        <v>416</v>
      </c>
      <c r="I1396" s="149" t="str">
        <f t="shared" si="36"/>
        <v>03,26</v>
      </c>
    </row>
    <row r="1397" spans="1:9" ht="19.5" hidden="1" thickBot="1" x14ac:dyDescent="0.3">
      <c r="A1397" s="535"/>
      <c r="B1397" s="249" t="s">
        <v>561</v>
      </c>
      <c r="C1397" s="247" t="s">
        <v>565</v>
      </c>
      <c r="D1397" s="248">
        <v>0.1</v>
      </c>
      <c r="E1397" s="249" t="s">
        <v>13</v>
      </c>
      <c r="F1397" s="266"/>
      <c r="G1397" s="249" t="s">
        <v>563</v>
      </c>
      <c r="H1397" s="251" t="s">
        <v>416</v>
      </c>
      <c r="I1397" s="251" t="str">
        <f t="shared" si="36"/>
        <v>03,26</v>
      </c>
    </row>
    <row r="1398" spans="1:9" ht="19.5" hidden="1" thickBot="1" x14ac:dyDescent="0.3">
      <c r="A1398" s="469">
        <f>MAX(A1329:A1392)+1</f>
        <v>262</v>
      </c>
      <c r="B1398" s="138" t="s">
        <v>561</v>
      </c>
      <c r="C1398" s="92" t="s">
        <v>18</v>
      </c>
      <c r="D1398" s="93">
        <v>0.49099999999999999</v>
      </c>
      <c r="E1398" s="94" t="s">
        <v>13</v>
      </c>
      <c r="F1398" s="131"/>
      <c r="G1398" s="94" t="s">
        <v>562</v>
      </c>
      <c r="H1398" s="150"/>
      <c r="I1398" s="150" t="str">
        <f t="shared" si="36"/>
        <v>03,26</v>
      </c>
    </row>
    <row r="1399" spans="1:9" ht="19.5" hidden="1" thickBot="1" x14ac:dyDescent="0.3">
      <c r="A1399" s="470"/>
      <c r="B1399" s="151" t="s">
        <v>561</v>
      </c>
      <c r="C1399" s="147" t="s">
        <v>19</v>
      </c>
      <c r="D1399" s="148">
        <v>1.994</v>
      </c>
      <c r="E1399" s="146" t="s">
        <v>13</v>
      </c>
      <c r="F1399" s="265"/>
      <c r="G1399" s="146" t="s">
        <v>562</v>
      </c>
      <c r="H1399" s="149"/>
      <c r="I1399" s="149" t="str">
        <f t="shared" si="36"/>
        <v>03,26</v>
      </c>
    </row>
    <row r="1400" spans="1:9" ht="19.5" hidden="1" thickBot="1" x14ac:dyDescent="0.3">
      <c r="A1400" s="470"/>
      <c r="B1400" s="151" t="s">
        <v>561</v>
      </c>
      <c r="C1400" s="147" t="s">
        <v>116</v>
      </c>
      <c r="D1400" s="148">
        <v>1.256</v>
      </c>
      <c r="E1400" s="146" t="s">
        <v>13</v>
      </c>
      <c r="F1400" s="265"/>
      <c r="G1400" s="146" t="s">
        <v>562</v>
      </c>
      <c r="H1400" s="149" t="s">
        <v>416</v>
      </c>
      <c r="I1400" s="149" t="str">
        <f t="shared" si="36"/>
        <v>03,26</v>
      </c>
    </row>
    <row r="1401" spans="1:9" ht="19.5" hidden="1" thickBot="1" x14ac:dyDescent="0.3">
      <c r="A1401" s="470"/>
      <c r="B1401" s="151" t="s">
        <v>561</v>
      </c>
      <c r="C1401" s="147" t="s">
        <v>17</v>
      </c>
      <c r="D1401" s="148">
        <v>1.4159999999999999</v>
      </c>
      <c r="E1401" s="146" t="s">
        <v>13</v>
      </c>
      <c r="F1401" s="265"/>
      <c r="G1401" s="146" t="s">
        <v>562</v>
      </c>
      <c r="H1401" s="149"/>
      <c r="I1401" s="149" t="str">
        <f t="shared" si="36"/>
        <v>03,26</v>
      </c>
    </row>
    <row r="1402" spans="1:9" ht="19.5" hidden="1" thickBot="1" x14ac:dyDescent="0.3">
      <c r="A1402" s="471"/>
      <c r="B1402" s="153" t="s">
        <v>561</v>
      </c>
      <c r="C1402" s="154" t="s">
        <v>20</v>
      </c>
      <c r="D1402" s="155">
        <v>1.538</v>
      </c>
      <c r="E1402" s="156" t="s">
        <v>13</v>
      </c>
      <c r="F1402" s="288"/>
      <c r="G1402" s="156" t="s">
        <v>562</v>
      </c>
      <c r="H1402" s="157"/>
      <c r="I1402" s="157" t="str">
        <f t="shared" si="36"/>
        <v>03,26</v>
      </c>
    </row>
    <row r="1403" spans="1:9" ht="19.5" hidden="1" thickBot="1" x14ac:dyDescent="0.3">
      <c r="A1403" s="467">
        <f>MAX(A1333:A1398)+1</f>
        <v>263</v>
      </c>
      <c r="B1403" s="289" t="s">
        <v>561</v>
      </c>
      <c r="C1403" s="289" t="s">
        <v>18</v>
      </c>
      <c r="D1403" s="289">
        <v>0.87</v>
      </c>
      <c r="E1403" s="289" t="s">
        <v>519</v>
      </c>
      <c r="F1403" s="466" t="s">
        <v>541</v>
      </c>
      <c r="G1403" s="289" t="s">
        <v>562</v>
      </c>
      <c r="H1403" s="289"/>
      <c r="I1403" s="289" t="str">
        <f t="shared" si="36"/>
        <v>03,26</v>
      </c>
    </row>
    <row r="1404" spans="1:9" ht="19.5" hidden="1" thickBot="1" x14ac:dyDescent="0.3">
      <c r="A1404" s="468"/>
      <c r="B1404" s="290" t="s">
        <v>561</v>
      </c>
      <c r="C1404" s="290" t="s">
        <v>19</v>
      </c>
      <c r="D1404" s="290">
        <v>0.18</v>
      </c>
      <c r="E1404" s="290" t="s">
        <v>519</v>
      </c>
      <c r="F1404" s="472"/>
      <c r="G1404" s="290" t="s">
        <v>562</v>
      </c>
      <c r="H1404" s="290"/>
      <c r="I1404" s="290" t="str">
        <f t="shared" si="36"/>
        <v>03,26</v>
      </c>
    </row>
    <row r="1405" spans="1:9" ht="19.5" hidden="1" thickBot="1" x14ac:dyDescent="0.3">
      <c r="A1405" s="468"/>
      <c r="B1405" s="290" t="s">
        <v>561</v>
      </c>
      <c r="C1405" s="290" t="s">
        <v>116</v>
      </c>
      <c r="D1405" s="290">
        <v>0.6</v>
      </c>
      <c r="E1405" s="290" t="s">
        <v>519</v>
      </c>
      <c r="F1405" s="472"/>
      <c r="G1405" s="290" t="s">
        <v>562</v>
      </c>
      <c r="H1405" s="290"/>
      <c r="I1405" s="290" t="str">
        <f t="shared" si="36"/>
        <v>03,26</v>
      </c>
    </row>
    <row r="1406" spans="1:9" ht="19.5" hidden="1" thickBot="1" x14ac:dyDescent="0.3">
      <c r="A1406" s="468"/>
      <c r="B1406" s="290" t="s">
        <v>561</v>
      </c>
      <c r="C1406" s="290" t="s">
        <v>17</v>
      </c>
      <c r="D1406" s="290">
        <v>1.1000000000000001</v>
      </c>
      <c r="E1406" s="290" t="s">
        <v>519</v>
      </c>
      <c r="F1406" s="472"/>
      <c r="G1406" s="290" t="s">
        <v>562</v>
      </c>
      <c r="H1406" s="290"/>
      <c r="I1406" s="290" t="str">
        <f t="shared" si="36"/>
        <v>03,26</v>
      </c>
    </row>
    <row r="1407" spans="1:9" ht="19.5" hidden="1" thickBot="1" x14ac:dyDescent="0.3">
      <c r="A1407" s="468"/>
      <c r="B1407" s="290" t="s">
        <v>561</v>
      </c>
      <c r="C1407" s="290" t="s">
        <v>17</v>
      </c>
      <c r="D1407" s="290">
        <v>0.63</v>
      </c>
      <c r="E1407" s="290" t="s">
        <v>45</v>
      </c>
      <c r="F1407" s="472"/>
      <c r="G1407" s="290" t="s">
        <v>562</v>
      </c>
      <c r="H1407" s="290"/>
      <c r="I1407" s="290" t="str">
        <f t="shared" si="36"/>
        <v>03,26</v>
      </c>
    </row>
    <row r="1408" spans="1:9" ht="19.5" hidden="1" thickBot="1" x14ac:dyDescent="0.3">
      <c r="A1408" s="468"/>
      <c r="B1408" s="290" t="s">
        <v>561</v>
      </c>
      <c r="C1408" s="290" t="s">
        <v>116</v>
      </c>
      <c r="D1408" s="290">
        <v>0.05</v>
      </c>
      <c r="E1408" s="290" t="s">
        <v>45</v>
      </c>
      <c r="F1408" s="472"/>
      <c r="G1408" s="290" t="s">
        <v>562</v>
      </c>
      <c r="H1408" s="290"/>
      <c r="I1408" s="290" t="str">
        <f t="shared" si="36"/>
        <v>03,26</v>
      </c>
    </row>
    <row r="1409" spans="1:9" ht="19.5" hidden="1" thickBot="1" x14ac:dyDescent="0.3">
      <c r="A1409" s="469">
        <f>MAX(A1340:A1403)+1</f>
        <v>264</v>
      </c>
      <c r="B1409" s="138" t="s">
        <v>567</v>
      </c>
      <c r="C1409" s="92" t="s">
        <v>18</v>
      </c>
      <c r="D1409" s="93">
        <v>3.145</v>
      </c>
      <c r="E1409" s="94" t="s">
        <v>13</v>
      </c>
      <c r="F1409" s="131"/>
      <c r="G1409" s="94" t="s">
        <v>566</v>
      </c>
      <c r="H1409" s="150"/>
      <c r="I1409" s="150" t="str">
        <f t="shared" si="36"/>
        <v>03,26</v>
      </c>
    </row>
    <row r="1410" spans="1:9" ht="19.5" hidden="1" thickBot="1" x14ac:dyDescent="0.3">
      <c r="A1410" s="470"/>
      <c r="B1410" s="138" t="s">
        <v>567</v>
      </c>
      <c r="C1410" s="147" t="s">
        <v>19</v>
      </c>
      <c r="D1410" s="148">
        <v>2.7709999999999999</v>
      </c>
      <c r="E1410" s="146" t="s">
        <v>13</v>
      </c>
      <c r="F1410" s="265"/>
      <c r="G1410" s="94" t="s">
        <v>566</v>
      </c>
      <c r="H1410" s="149"/>
      <c r="I1410" s="149" t="str">
        <f t="shared" si="36"/>
        <v>03,26</v>
      </c>
    </row>
    <row r="1411" spans="1:9" ht="19.5" hidden="1" thickBot="1" x14ac:dyDescent="0.3">
      <c r="A1411" s="470"/>
      <c r="B1411" s="138" t="s">
        <v>567</v>
      </c>
      <c r="C1411" s="147" t="s">
        <v>116</v>
      </c>
      <c r="D1411" s="148">
        <v>1.2969999999999999</v>
      </c>
      <c r="E1411" s="146" t="s">
        <v>13</v>
      </c>
      <c r="F1411" s="265"/>
      <c r="G1411" s="94" t="s">
        <v>566</v>
      </c>
      <c r="H1411" s="149" t="s">
        <v>416</v>
      </c>
      <c r="I1411" s="149" t="str">
        <f t="shared" si="36"/>
        <v>03,26</v>
      </c>
    </row>
    <row r="1412" spans="1:9" ht="19.5" hidden="1" thickBot="1" x14ac:dyDescent="0.3">
      <c r="A1412" s="470"/>
      <c r="B1412" s="138" t="s">
        <v>567</v>
      </c>
      <c r="C1412" s="147" t="s">
        <v>17</v>
      </c>
      <c r="D1412" s="148">
        <v>1.052</v>
      </c>
      <c r="E1412" s="146" t="s">
        <v>13</v>
      </c>
      <c r="F1412" s="265"/>
      <c r="G1412" s="94" t="s">
        <v>566</v>
      </c>
      <c r="H1412" s="149"/>
      <c r="I1412" s="149" t="str">
        <f t="shared" si="36"/>
        <v>03,26</v>
      </c>
    </row>
    <row r="1413" spans="1:9" ht="19.5" hidden="1" thickBot="1" x14ac:dyDescent="0.3">
      <c r="A1413" s="470"/>
      <c r="B1413" s="138" t="s">
        <v>567</v>
      </c>
      <c r="C1413" s="247" t="s">
        <v>367</v>
      </c>
      <c r="D1413" s="248">
        <v>1.071</v>
      </c>
      <c r="E1413" s="249" t="s">
        <v>13</v>
      </c>
      <c r="F1413" s="266"/>
      <c r="G1413" s="94" t="s">
        <v>566</v>
      </c>
      <c r="H1413" s="251" t="s">
        <v>416</v>
      </c>
      <c r="I1413" s="251" t="str">
        <f t="shared" si="36"/>
        <v>03,26</v>
      </c>
    </row>
    <row r="1414" spans="1:9" ht="19.5" hidden="1" thickBot="1" x14ac:dyDescent="0.3">
      <c r="A1414" s="471"/>
      <c r="B1414" s="138" t="s">
        <v>567</v>
      </c>
      <c r="C1414" s="154" t="s">
        <v>277</v>
      </c>
      <c r="D1414" s="155">
        <v>3.8980000000000001</v>
      </c>
      <c r="E1414" s="156" t="s">
        <v>13</v>
      </c>
      <c r="F1414" s="288"/>
      <c r="G1414" s="94" t="s">
        <v>566</v>
      </c>
      <c r="H1414" s="157"/>
      <c r="I1414" s="157" t="str">
        <f t="shared" si="36"/>
        <v>03,26</v>
      </c>
    </row>
    <row r="1415" spans="1:9" ht="19.5" hidden="1" thickBot="1" x14ac:dyDescent="0.3">
      <c r="A1415" s="469">
        <f>MAX(A1350:A1414)+1</f>
        <v>265</v>
      </c>
      <c r="B1415" s="138" t="s">
        <v>567</v>
      </c>
      <c r="C1415" s="92" t="s">
        <v>18</v>
      </c>
      <c r="D1415" s="93">
        <v>3.145</v>
      </c>
      <c r="E1415" s="94" t="s">
        <v>13</v>
      </c>
      <c r="F1415" s="131"/>
      <c r="G1415" s="94" t="s">
        <v>568</v>
      </c>
      <c r="H1415" s="150"/>
      <c r="I1415" s="150" t="str">
        <f t="shared" si="36"/>
        <v>03,26</v>
      </c>
    </row>
    <row r="1416" spans="1:9" ht="19.5" hidden="1" thickBot="1" x14ac:dyDescent="0.3">
      <c r="A1416" s="470"/>
      <c r="B1416" s="138" t="s">
        <v>567</v>
      </c>
      <c r="C1416" s="147" t="s">
        <v>19</v>
      </c>
      <c r="D1416" s="148">
        <v>2.7709999999999999</v>
      </c>
      <c r="E1416" s="146" t="s">
        <v>13</v>
      </c>
      <c r="F1416" s="265"/>
      <c r="G1416" s="94" t="s">
        <v>568</v>
      </c>
      <c r="H1416" s="149"/>
      <c r="I1416" s="149" t="str">
        <f t="shared" si="36"/>
        <v>03,26</v>
      </c>
    </row>
    <row r="1417" spans="1:9" ht="19.5" hidden="1" thickBot="1" x14ac:dyDescent="0.3">
      <c r="A1417" s="470"/>
      <c r="B1417" s="138" t="s">
        <v>567</v>
      </c>
      <c r="C1417" s="147" t="s">
        <v>116</v>
      </c>
      <c r="D1417" s="148">
        <v>1.2969999999999999</v>
      </c>
      <c r="E1417" s="146" t="s">
        <v>13</v>
      </c>
      <c r="F1417" s="265"/>
      <c r="G1417" s="94" t="s">
        <v>568</v>
      </c>
      <c r="H1417" s="149" t="s">
        <v>416</v>
      </c>
      <c r="I1417" s="149" t="str">
        <f t="shared" si="36"/>
        <v>03,26</v>
      </c>
    </row>
    <row r="1418" spans="1:9" ht="19.5" hidden="1" thickBot="1" x14ac:dyDescent="0.3">
      <c r="A1418" s="470"/>
      <c r="B1418" s="138" t="s">
        <v>567</v>
      </c>
      <c r="C1418" s="147" t="s">
        <v>17</v>
      </c>
      <c r="D1418" s="148">
        <v>1.052</v>
      </c>
      <c r="E1418" s="146" t="s">
        <v>13</v>
      </c>
      <c r="F1418" s="265"/>
      <c r="G1418" s="94" t="s">
        <v>568</v>
      </c>
      <c r="H1418" s="149"/>
      <c r="I1418" s="149" t="str">
        <f t="shared" si="36"/>
        <v>03,26</v>
      </c>
    </row>
    <row r="1419" spans="1:9" ht="19.5" hidden="1" thickBot="1" x14ac:dyDescent="0.3">
      <c r="A1419" s="470"/>
      <c r="B1419" s="138" t="s">
        <v>567</v>
      </c>
      <c r="C1419" s="247" t="s">
        <v>569</v>
      </c>
      <c r="D1419" s="248">
        <v>0.70099999999999996</v>
      </c>
      <c r="E1419" s="249" t="s">
        <v>13</v>
      </c>
      <c r="F1419" s="266"/>
      <c r="G1419" s="94" t="s">
        <v>568</v>
      </c>
      <c r="H1419" s="251" t="s">
        <v>416</v>
      </c>
      <c r="I1419" s="251" t="str">
        <f t="shared" si="36"/>
        <v>03,26</v>
      </c>
    </row>
    <row r="1420" spans="1:9" ht="19.5" hidden="1" thickBot="1" x14ac:dyDescent="0.3">
      <c r="A1420" s="471"/>
      <c r="B1420" s="138" t="s">
        <v>567</v>
      </c>
      <c r="C1420" s="154" t="s">
        <v>20</v>
      </c>
      <c r="D1420" s="155">
        <v>1.147</v>
      </c>
      <c r="E1420" s="156" t="s">
        <v>13</v>
      </c>
      <c r="F1420" s="288"/>
      <c r="G1420" s="94" t="s">
        <v>568</v>
      </c>
      <c r="H1420" s="157"/>
      <c r="I1420" s="157" t="str">
        <f t="shared" si="36"/>
        <v>03,26</v>
      </c>
    </row>
    <row r="1421" spans="1:9" ht="19.5" hidden="1" customHeight="1" thickBot="1" x14ac:dyDescent="0.3">
      <c r="A1421" s="467">
        <f>MAX(A1351:A1416)+1</f>
        <v>266</v>
      </c>
      <c r="B1421" s="289" t="s">
        <v>570</v>
      </c>
      <c r="C1421" s="289" t="s">
        <v>18</v>
      </c>
      <c r="D1421" s="291">
        <v>1.4379999999999999</v>
      </c>
      <c r="E1421" s="289" t="s">
        <v>519</v>
      </c>
      <c r="F1421" s="464" t="s">
        <v>537</v>
      </c>
      <c r="G1421" s="289" t="s">
        <v>568</v>
      </c>
      <c r="H1421" s="289"/>
      <c r="I1421" s="289" t="str">
        <f t="shared" si="36"/>
        <v>03,26</v>
      </c>
    </row>
    <row r="1422" spans="1:9" ht="19.5" hidden="1" thickBot="1" x14ac:dyDescent="0.3">
      <c r="A1422" s="468"/>
      <c r="B1422" s="289" t="s">
        <v>570</v>
      </c>
      <c r="C1422" s="290" t="s">
        <v>19</v>
      </c>
      <c r="D1422" s="291">
        <v>0.16300000000000001</v>
      </c>
      <c r="E1422" s="290" t="s">
        <v>519</v>
      </c>
      <c r="F1422" s="465"/>
      <c r="G1422" s="289" t="s">
        <v>568</v>
      </c>
      <c r="H1422" s="290"/>
      <c r="I1422" s="290" t="str">
        <f t="shared" si="36"/>
        <v>03,26</v>
      </c>
    </row>
    <row r="1423" spans="1:9" ht="19.5" hidden="1" thickBot="1" x14ac:dyDescent="0.3">
      <c r="A1423" s="468"/>
      <c r="B1423" s="289" t="s">
        <v>570</v>
      </c>
      <c r="C1423" s="290" t="s">
        <v>116</v>
      </c>
      <c r="D1423" s="291">
        <v>0.21</v>
      </c>
      <c r="E1423" s="290" t="s">
        <v>519</v>
      </c>
      <c r="F1423" s="465"/>
      <c r="G1423" s="289" t="s">
        <v>568</v>
      </c>
      <c r="H1423" s="290"/>
      <c r="I1423" s="290" t="str">
        <f t="shared" si="36"/>
        <v>03,26</v>
      </c>
    </row>
    <row r="1424" spans="1:9" ht="19.5" hidden="1" thickBot="1" x14ac:dyDescent="0.3">
      <c r="A1424" s="468"/>
      <c r="B1424" s="289" t="s">
        <v>570</v>
      </c>
      <c r="C1424" s="290" t="s">
        <v>17</v>
      </c>
      <c r="D1424" s="291">
        <v>2.298</v>
      </c>
      <c r="E1424" s="290" t="s">
        <v>519</v>
      </c>
      <c r="F1424" s="465"/>
      <c r="G1424" s="289" t="s">
        <v>568</v>
      </c>
      <c r="H1424" s="290"/>
      <c r="I1424" s="290" t="str">
        <f t="shared" si="36"/>
        <v>03,26</v>
      </c>
    </row>
    <row r="1425" spans="1:9" ht="19.5" hidden="1" thickBot="1" x14ac:dyDescent="0.3">
      <c r="A1425" s="468"/>
      <c r="B1425" s="289" t="s">
        <v>570</v>
      </c>
      <c r="C1425" s="290" t="s">
        <v>17</v>
      </c>
      <c r="D1425" s="291">
        <v>0.54</v>
      </c>
      <c r="E1425" s="290" t="s">
        <v>45</v>
      </c>
      <c r="F1425" s="465"/>
      <c r="G1425" s="289" t="s">
        <v>568</v>
      </c>
      <c r="H1425" s="290"/>
      <c r="I1425" s="290" t="str">
        <f t="shared" si="36"/>
        <v>03,26</v>
      </c>
    </row>
    <row r="1426" spans="1:9" ht="19.5" hidden="1" thickBot="1" x14ac:dyDescent="0.3">
      <c r="A1426" s="468"/>
      <c r="B1426" s="289" t="s">
        <v>570</v>
      </c>
      <c r="C1426" s="290" t="s">
        <v>116</v>
      </c>
      <c r="D1426" s="291">
        <v>5.0000000000000001E-3</v>
      </c>
      <c r="E1426" s="290" t="s">
        <v>45</v>
      </c>
      <c r="F1426" s="465"/>
      <c r="G1426" s="289" t="s">
        <v>568</v>
      </c>
      <c r="H1426" s="290"/>
      <c r="I1426" s="290" t="str">
        <f t="shared" si="36"/>
        <v>03,26</v>
      </c>
    </row>
    <row r="1427" spans="1:9" ht="19.5" hidden="1" customHeight="1" thickBot="1" x14ac:dyDescent="0.3">
      <c r="A1427" s="468"/>
      <c r="B1427" s="289" t="s">
        <v>570</v>
      </c>
      <c r="C1427" s="290" t="s">
        <v>367</v>
      </c>
      <c r="D1427" s="291">
        <v>0.60799999999999998</v>
      </c>
      <c r="E1427" s="290" t="s">
        <v>45</v>
      </c>
      <c r="F1427" s="466"/>
      <c r="G1427" s="289" t="s">
        <v>568</v>
      </c>
      <c r="H1427" s="290" t="s">
        <v>416</v>
      </c>
      <c r="I1427" s="290" t="str">
        <f t="shared" si="36"/>
        <v>03,26</v>
      </c>
    </row>
    <row r="1428" spans="1:9" ht="19.5" hidden="1" thickBot="1" x14ac:dyDescent="0.3">
      <c r="A1428" s="469">
        <f>MAX(A1359:A1422)+1</f>
        <v>267</v>
      </c>
      <c r="B1428" s="138" t="s">
        <v>571</v>
      </c>
      <c r="C1428" s="92" t="s">
        <v>18</v>
      </c>
      <c r="D1428" s="93">
        <v>2.5089999999999999</v>
      </c>
      <c r="E1428" s="94" t="s">
        <v>13</v>
      </c>
      <c r="F1428" s="131"/>
      <c r="G1428" s="94" t="s">
        <v>572</v>
      </c>
      <c r="H1428" s="150"/>
      <c r="I1428" s="150" t="str">
        <f t="shared" si="36"/>
        <v>03,26</v>
      </c>
    </row>
    <row r="1429" spans="1:9" ht="19.5" hidden="1" thickBot="1" x14ac:dyDescent="0.3">
      <c r="A1429" s="470"/>
      <c r="B1429" s="138" t="s">
        <v>571</v>
      </c>
      <c r="C1429" s="147" t="s">
        <v>19</v>
      </c>
      <c r="D1429" s="148">
        <v>6.3650000000000002</v>
      </c>
      <c r="E1429" s="146" t="s">
        <v>13</v>
      </c>
      <c r="F1429" s="265"/>
      <c r="G1429" s="94" t="s">
        <v>572</v>
      </c>
      <c r="H1429" s="149"/>
      <c r="I1429" s="149" t="str">
        <f t="shared" si="36"/>
        <v>03,26</v>
      </c>
    </row>
    <row r="1430" spans="1:9" ht="19.5" hidden="1" thickBot="1" x14ac:dyDescent="0.3">
      <c r="A1430" s="470"/>
      <c r="B1430" s="138" t="s">
        <v>571</v>
      </c>
      <c r="C1430" s="147" t="s">
        <v>116</v>
      </c>
      <c r="D1430" s="148">
        <v>0.88100000000000001</v>
      </c>
      <c r="E1430" s="146" t="s">
        <v>13</v>
      </c>
      <c r="F1430" s="265"/>
      <c r="G1430" s="94" t="s">
        <v>572</v>
      </c>
      <c r="H1430" s="149" t="s">
        <v>416</v>
      </c>
      <c r="I1430" s="149" t="str">
        <f t="shared" ref="I1430:I1493" si="37">RIGHT(G1430,5)</f>
        <v>03,26</v>
      </c>
    </row>
    <row r="1431" spans="1:9" ht="19.5" hidden="1" thickBot="1" x14ac:dyDescent="0.3">
      <c r="A1431" s="470"/>
      <c r="B1431" s="138" t="s">
        <v>571</v>
      </c>
      <c r="C1431" s="147" t="s">
        <v>17</v>
      </c>
      <c r="D1431" s="148">
        <v>3.343</v>
      </c>
      <c r="E1431" s="146" t="s">
        <v>13</v>
      </c>
      <c r="F1431" s="265"/>
      <c r="G1431" s="94" t="s">
        <v>572</v>
      </c>
      <c r="H1431" s="149"/>
      <c r="I1431" s="149" t="str">
        <f t="shared" si="37"/>
        <v>03,26</v>
      </c>
    </row>
    <row r="1432" spans="1:9" ht="19.5" hidden="1" thickBot="1" x14ac:dyDescent="0.3">
      <c r="A1432" s="470"/>
      <c r="B1432" s="138" t="s">
        <v>571</v>
      </c>
      <c r="C1432" s="247" t="s">
        <v>367</v>
      </c>
      <c r="D1432" s="248">
        <v>1.002</v>
      </c>
      <c r="E1432" s="249" t="s">
        <v>13</v>
      </c>
      <c r="F1432" s="266"/>
      <c r="G1432" s="94" t="s">
        <v>572</v>
      </c>
      <c r="H1432" s="251" t="s">
        <v>416</v>
      </c>
      <c r="I1432" s="251" t="str">
        <f t="shared" si="37"/>
        <v>03,26</v>
      </c>
    </row>
    <row r="1433" spans="1:9" ht="19.5" hidden="1" thickBot="1" x14ac:dyDescent="0.3">
      <c r="A1433" s="470"/>
      <c r="B1433" s="138" t="s">
        <v>571</v>
      </c>
      <c r="C1433" s="247" t="s">
        <v>564</v>
      </c>
      <c r="D1433" s="248">
        <v>1.272</v>
      </c>
      <c r="E1433" s="249" t="s">
        <v>13</v>
      </c>
      <c r="F1433" s="266"/>
      <c r="G1433" s="94" t="s">
        <v>572</v>
      </c>
      <c r="H1433" s="251" t="s">
        <v>416</v>
      </c>
      <c r="I1433" s="251" t="str">
        <f t="shared" si="37"/>
        <v>03,26</v>
      </c>
    </row>
    <row r="1434" spans="1:9" ht="19.5" hidden="1" thickBot="1" x14ac:dyDescent="0.3">
      <c r="A1434" s="471"/>
      <c r="B1434" s="198" t="s">
        <v>571</v>
      </c>
      <c r="C1434" s="247" t="s">
        <v>277</v>
      </c>
      <c r="D1434" s="248">
        <v>2.4670000000000001</v>
      </c>
      <c r="E1434" s="249" t="s">
        <v>13</v>
      </c>
      <c r="F1434" s="266"/>
      <c r="G1434" s="292" t="s">
        <v>572</v>
      </c>
      <c r="H1434" s="251"/>
      <c r="I1434" s="251" t="str">
        <f t="shared" si="37"/>
        <v>03,26</v>
      </c>
    </row>
    <row r="1435" spans="1:9" ht="19.5" hidden="1" thickBot="1" x14ac:dyDescent="0.3">
      <c r="A1435" s="539">
        <f>MAX(A1370:A1434)+1</f>
        <v>268</v>
      </c>
      <c r="B1435" s="146" t="s">
        <v>571</v>
      </c>
      <c r="C1435" s="147" t="s">
        <v>18</v>
      </c>
      <c r="D1435" s="148">
        <v>2.5089999999999999</v>
      </c>
      <c r="E1435" s="146" t="s">
        <v>13</v>
      </c>
      <c r="F1435" s="265"/>
      <c r="G1435" s="146" t="s">
        <v>573</v>
      </c>
      <c r="H1435" s="149"/>
      <c r="I1435" s="149" t="str">
        <f t="shared" si="37"/>
        <v>03,26</v>
      </c>
    </row>
    <row r="1436" spans="1:9" ht="19.5" hidden="1" thickBot="1" x14ac:dyDescent="0.3">
      <c r="A1436" s="540"/>
      <c r="B1436" s="146" t="s">
        <v>571</v>
      </c>
      <c r="C1436" s="147" t="s">
        <v>19</v>
      </c>
      <c r="D1436" s="148">
        <v>6.3650000000000002</v>
      </c>
      <c r="E1436" s="146" t="s">
        <v>13</v>
      </c>
      <c r="F1436" s="265"/>
      <c r="G1436" s="146" t="s">
        <v>573</v>
      </c>
      <c r="H1436" s="149"/>
      <c r="I1436" s="149" t="str">
        <f t="shared" si="37"/>
        <v>03,26</v>
      </c>
    </row>
    <row r="1437" spans="1:9" ht="19.5" hidden="1" thickBot="1" x14ac:dyDescent="0.3">
      <c r="A1437" s="540"/>
      <c r="B1437" s="146" t="s">
        <v>571</v>
      </c>
      <c r="C1437" s="147" t="s">
        <v>116</v>
      </c>
      <c r="D1437" s="148">
        <v>0.88100000000000001</v>
      </c>
      <c r="E1437" s="146" t="s">
        <v>13</v>
      </c>
      <c r="F1437" s="265"/>
      <c r="G1437" s="146" t="s">
        <v>573</v>
      </c>
      <c r="H1437" s="149" t="s">
        <v>416</v>
      </c>
      <c r="I1437" s="149" t="str">
        <f t="shared" si="37"/>
        <v>03,26</v>
      </c>
    </row>
    <row r="1438" spans="1:9" ht="19.5" hidden="1" thickBot="1" x14ac:dyDescent="0.3">
      <c r="A1438" s="540"/>
      <c r="B1438" s="146" t="s">
        <v>571</v>
      </c>
      <c r="C1438" s="147" t="s">
        <v>17</v>
      </c>
      <c r="D1438" s="148">
        <v>3.343</v>
      </c>
      <c r="E1438" s="146" t="s">
        <v>13</v>
      </c>
      <c r="F1438" s="265"/>
      <c r="G1438" s="146" t="s">
        <v>573</v>
      </c>
      <c r="H1438" s="149"/>
      <c r="I1438" s="149" t="str">
        <f t="shared" si="37"/>
        <v>03,26</v>
      </c>
    </row>
    <row r="1439" spans="1:9" ht="19.5" hidden="1" thickBot="1" x14ac:dyDescent="0.3">
      <c r="A1439" s="540"/>
      <c r="B1439" s="146" t="s">
        <v>571</v>
      </c>
      <c r="C1439" s="147" t="s">
        <v>569</v>
      </c>
      <c r="D1439" s="148">
        <v>0.1</v>
      </c>
      <c r="E1439" s="146" t="s">
        <v>13</v>
      </c>
      <c r="F1439" s="265"/>
      <c r="G1439" s="146" t="s">
        <v>573</v>
      </c>
      <c r="H1439" s="149" t="s">
        <v>416</v>
      </c>
      <c r="I1439" s="149" t="str">
        <f t="shared" si="37"/>
        <v>03,26</v>
      </c>
    </row>
    <row r="1440" spans="1:9" ht="19.5" hidden="1" thickBot="1" x14ac:dyDescent="0.3">
      <c r="A1440" s="467">
        <f>MAX(A1370:A1435)+1</f>
        <v>269</v>
      </c>
      <c r="B1440" s="289" t="s">
        <v>570</v>
      </c>
      <c r="C1440" s="289" t="s">
        <v>18</v>
      </c>
      <c r="D1440" s="291">
        <v>0.65700000000000003</v>
      </c>
      <c r="E1440" s="289" t="s">
        <v>519</v>
      </c>
      <c r="F1440" s="464" t="s">
        <v>574</v>
      </c>
      <c r="G1440" s="289" t="s">
        <v>573</v>
      </c>
      <c r="H1440" s="289"/>
      <c r="I1440" s="289" t="str">
        <f t="shared" si="37"/>
        <v>03,26</v>
      </c>
    </row>
    <row r="1441" spans="1:9" ht="19.5" hidden="1" thickBot="1" x14ac:dyDescent="0.3">
      <c r="A1441" s="468"/>
      <c r="B1441" s="289" t="s">
        <v>570</v>
      </c>
      <c r="C1441" s="290" t="s">
        <v>19</v>
      </c>
      <c r="D1441" s="291">
        <v>0.28000000000000003</v>
      </c>
      <c r="E1441" s="290" t="s">
        <v>519</v>
      </c>
      <c r="F1441" s="465"/>
      <c r="G1441" s="289" t="s">
        <v>573</v>
      </c>
      <c r="H1441" s="290"/>
      <c r="I1441" s="290" t="str">
        <f t="shared" si="37"/>
        <v>03,26</v>
      </c>
    </row>
    <row r="1442" spans="1:9" ht="19.5" hidden="1" thickBot="1" x14ac:dyDescent="0.3">
      <c r="A1442" s="468"/>
      <c r="B1442" s="289" t="s">
        <v>570</v>
      </c>
      <c r="C1442" s="290" t="s">
        <v>116</v>
      </c>
      <c r="D1442" s="291">
        <v>0.111</v>
      </c>
      <c r="E1442" s="290" t="s">
        <v>519</v>
      </c>
      <c r="F1442" s="465"/>
      <c r="G1442" s="289" t="s">
        <v>573</v>
      </c>
      <c r="H1442" s="290" t="s">
        <v>416</v>
      </c>
      <c r="I1442" s="290" t="str">
        <f t="shared" si="37"/>
        <v>03,26</v>
      </c>
    </row>
    <row r="1443" spans="1:9" ht="19.5" hidden="1" thickBot="1" x14ac:dyDescent="0.3">
      <c r="A1443" s="468"/>
      <c r="B1443" s="289" t="s">
        <v>570</v>
      </c>
      <c r="C1443" s="290" t="s">
        <v>17</v>
      </c>
      <c r="D1443" s="291">
        <v>2.1349999999999998</v>
      </c>
      <c r="E1443" s="290" t="s">
        <v>519</v>
      </c>
      <c r="F1443" s="465"/>
      <c r="G1443" s="289" t="s">
        <v>573</v>
      </c>
      <c r="H1443" s="290"/>
      <c r="I1443" s="290" t="str">
        <f t="shared" si="37"/>
        <v>03,26</v>
      </c>
    </row>
    <row r="1444" spans="1:9" ht="19.5" hidden="1" thickBot="1" x14ac:dyDescent="0.3">
      <c r="A1444" s="468"/>
      <c r="B1444" s="289" t="s">
        <v>570</v>
      </c>
      <c r="C1444" s="290" t="s">
        <v>17</v>
      </c>
      <c r="D1444" s="291">
        <v>0.216</v>
      </c>
      <c r="E1444" s="290" t="s">
        <v>45</v>
      </c>
      <c r="F1444" s="465"/>
      <c r="G1444" s="289" t="s">
        <v>573</v>
      </c>
      <c r="H1444" s="290"/>
      <c r="I1444" s="290" t="str">
        <f t="shared" si="37"/>
        <v>03,26</v>
      </c>
    </row>
    <row r="1445" spans="1:9" ht="19.5" hidden="1" thickBot="1" x14ac:dyDescent="0.3">
      <c r="A1445" s="468"/>
      <c r="B1445" s="289" t="s">
        <v>570</v>
      </c>
      <c r="C1445" s="290" t="s">
        <v>18</v>
      </c>
      <c r="D1445" s="291">
        <v>0.17100000000000001</v>
      </c>
      <c r="E1445" s="290" t="s">
        <v>45</v>
      </c>
      <c r="F1445" s="466"/>
      <c r="G1445" s="289" t="s">
        <v>573</v>
      </c>
      <c r="H1445" s="290" t="s">
        <v>416</v>
      </c>
      <c r="I1445" s="290" t="str">
        <f t="shared" si="37"/>
        <v>03,26</v>
      </c>
    </row>
    <row r="1446" spans="1:9" ht="19.5" hidden="1" thickBot="1" x14ac:dyDescent="0.3">
      <c r="A1446" s="469">
        <f>MAX(A1377:A1440)+1</f>
        <v>270</v>
      </c>
      <c r="B1446" s="138" t="s">
        <v>575</v>
      </c>
      <c r="C1446" s="92" t="s">
        <v>18</v>
      </c>
      <c r="D1446" s="93">
        <v>2.661</v>
      </c>
      <c r="E1446" s="94" t="s">
        <v>13</v>
      </c>
      <c r="F1446" s="131"/>
      <c r="G1446" s="94" t="s">
        <v>576</v>
      </c>
      <c r="H1446" s="150"/>
      <c r="I1446" s="150" t="str">
        <f t="shared" si="37"/>
        <v>03,26</v>
      </c>
    </row>
    <row r="1447" spans="1:9" ht="19.5" hidden="1" thickBot="1" x14ac:dyDescent="0.3">
      <c r="A1447" s="470"/>
      <c r="B1447" s="138" t="s">
        <v>575</v>
      </c>
      <c r="C1447" s="147" t="s">
        <v>19</v>
      </c>
      <c r="D1447" s="148">
        <v>6.9580000000000002</v>
      </c>
      <c r="E1447" s="146" t="s">
        <v>13</v>
      </c>
      <c r="F1447" s="265"/>
      <c r="G1447" s="94" t="s">
        <v>576</v>
      </c>
      <c r="H1447" s="149"/>
      <c r="I1447" s="149" t="str">
        <f t="shared" si="37"/>
        <v>03,26</v>
      </c>
    </row>
    <row r="1448" spans="1:9" ht="19.5" hidden="1" thickBot="1" x14ac:dyDescent="0.3">
      <c r="A1448" s="470"/>
      <c r="B1448" s="138" t="s">
        <v>575</v>
      </c>
      <c r="C1448" s="147" t="s">
        <v>17</v>
      </c>
      <c r="D1448" s="148">
        <v>2.8079999999999998</v>
      </c>
      <c r="E1448" s="146" t="s">
        <v>13</v>
      </c>
      <c r="F1448" s="265"/>
      <c r="G1448" s="94" t="s">
        <v>576</v>
      </c>
      <c r="H1448" s="149"/>
      <c r="I1448" s="149" t="str">
        <f t="shared" si="37"/>
        <v>03,26</v>
      </c>
    </row>
    <row r="1449" spans="1:9" ht="19.5" hidden="1" thickBot="1" x14ac:dyDescent="0.3">
      <c r="A1449" s="471"/>
      <c r="B1449" s="138" t="s">
        <v>575</v>
      </c>
      <c r="C1449" s="154" t="s">
        <v>277</v>
      </c>
      <c r="D1449" s="155">
        <v>3.5379999999999998</v>
      </c>
      <c r="E1449" s="156" t="s">
        <v>13</v>
      </c>
      <c r="F1449" s="288"/>
      <c r="G1449" s="94" t="s">
        <v>576</v>
      </c>
      <c r="H1449" s="157"/>
      <c r="I1449" s="157" t="str">
        <f t="shared" si="37"/>
        <v>03,26</v>
      </c>
    </row>
    <row r="1450" spans="1:9" ht="19.5" hidden="1" thickBot="1" x14ac:dyDescent="0.3">
      <c r="A1450" s="469">
        <f>MAX(A1387:A1449)+1</f>
        <v>271</v>
      </c>
      <c r="B1450" s="138" t="s">
        <v>575</v>
      </c>
      <c r="C1450" s="92" t="s">
        <v>18</v>
      </c>
      <c r="D1450" s="93">
        <v>2.661</v>
      </c>
      <c r="E1450" s="94" t="s">
        <v>13</v>
      </c>
      <c r="F1450" s="131"/>
      <c r="G1450" s="94" t="s">
        <v>577</v>
      </c>
      <c r="H1450" s="150"/>
      <c r="I1450" s="150" t="str">
        <f t="shared" si="37"/>
        <v>03,26</v>
      </c>
    </row>
    <row r="1451" spans="1:9" ht="19.5" hidden="1" thickBot="1" x14ac:dyDescent="0.3">
      <c r="A1451" s="470"/>
      <c r="B1451" s="138" t="s">
        <v>575</v>
      </c>
      <c r="C1451" s="147" t="s">
        <v>19</v>
      </c>
      <c r="D1451" s="148">
        <v>3.5739999999999998</v>
      </c>
      <c r="E1451" s="146" t="s">
        <v>13</v>
      </c>
      <c r="F1451" s="265"/>
      <c r="G1451" s="94" t="s">
        <v>577</v>
      </c>
      <c r="H1451" s="149"/>
      <c r="I1451" s="149" t="str">
        <f t="shared" si="37"/>
        <v>03,26</v>
      </c>
    </row>
    <row r="1452" spans="1:9" ht="19.5" hidden="1" thickBot="1" x14ac:dyDescent="0.3">
      <c r="A1452" s="470"/>
      <c r="B1452" s="138" t="s">
        <v>575</v>
      </c>
      <c r="C1452" s="147" t="s">
        <v>116</v>
      </c>
      <c r="D1452" s="148">
        <v>2.1469999999999998</v>
      </c>
      <c r="E1452" s="146" t="s">
        <v>13</v>
      </c>
      <c r="F1452" s="265"/>
      <c r="G1452" s="94" t="s">
        <v>577</v>
      </c>
      <c r="H1452" s="149" t="s">
        <v>416</v>
      </c>
      <c r="I1452" s="149" t="str">
        <f t="shared" si="37"/>
        <v>03,26</v>
      </c>
    </row>
    <row r="1453" spans="1:9" ht="19.5" hidden="1" thickBot="1" x14ac:dyDescent="0.3">
      <c r="A1453" s="470"/>
      <c r="B1453" s="138" t="s">
        <v>575</v>
      </c>
      <c r="C1453" s="147" t="s">
        <v>17</v>
      </c>
      <c r="D1453" s="148">
        <v>2.8079999999999998</v>
      </c>
      <c r="E1453" s="146" t="s">
        <v>13</v>
      </c>
      <c r="F1453" s="265"/>
      <c r="G1453" s="94" t="s">
        <v>577</v>
      </c>
      <c r="H1453" s="149"/>
      <c r="I1453" s="149" t="str">
        <f t="shared" si="37"/>
        <v>03,26</v>
      </c>
    </row>
    <row r="1454" spans="1:9" ht="19.5" hidden="1" thickBot="1" x14ac:dyDescent="0.3">
      <c r="A1454" s="470"/>
      <c r="B1454" s="138" t="s">
        <v>575</v>
      </c>
      <c r="C1454" s="247" t="s">
        <v>367</v>
      </c>
      <c r="D1454" s="248">
        <v>2.6560000000000001</v>
      </c>
      <c r="E1454" s="249" t="s">
        <v>13</v>
      </c>
      <c r="F1454" s="266"/>
      <c r="G1454" s="94" t="s">
        <v>577</v>
      </c>
      <c r="H1454" s="251" t="s">
        <v>416</v>
      </c>
      <c r="I1454" s="251" t="str">
        <f t="shared" si="37"/>
        <v>03,26</v>
      </c>
    </row>
    <row r="1455" spans="1:9" ht="19.5" hidden="1" thickBot="1" x14ac:dyDescent="0.3">
      <c r="A1455" s="469">
        <f>MAX(A1393:A1454)+1</f>
        <v>272</v>
      </c>
      <c r="B1455" s="138" t="s">
        <v>575</v>
      </c>
      <c r="C1455" s="92" t="s">
        <v>18</v>
      </c>
      <c r="D1455" s="93">
        <v>2.661</v>
      </c>
      <c r="E1455" s="94" t="s">
        <v>13</v>
      </c>
      <c r="F1455" s="131"/>
      <c r="G1455" s="94" t="s">
        <v>578</v>
      </c>
      <c r="H1455" s="150"/>
      <c r="I1455" s="150" t="str">
        <f t="shared" si="37"/>
        <v>03,26</v>
      </c>
    </row>
    <row r="1456" spans="1:9" ht="19.5" hidden="1" thickBot="1" x14ac:dyDescent="0.3">
      <c r="A1456" s="470"/>
      <c r="B1456" s="138" t="s">
        <v>575</v>
      </c>
      <c r="C1456" s="147" t="s">
        <v>19</v>
      </c>
      <c r="D1456" s="148">
        <v>3.5739999999999998</v>
      </c>
      <c r="E1456" s="146" t="s">
        <v>13</v>
      </c>
      <c r="F1456" s="265"/>
      <c r="G1456" s="94" t="s">
        <v>578</v>
      </c>
      <c r="H1456" s="149"/>
      <c r="I1456" s="149" t="str">
        <f t="shared" si="37"/>
        <v>03,26</v>
      </c>
    </row>
    <row r="1457" spans="1:9" ht="19.5" hidden="1" thickBot="1" x14ac:dyDescent="0.3">
      <c r="A1457" s="470"/>
      <c r="B1457" s="138" t="s">
        <v>575</v>
      </c>
      <c r="C1457" s="147" t="s">
        <v>116</v>
      </c>
      <c r="D1457" s="148">
        <v>2.1469999999999998</v>
      </c>
      <c r="E1457" s="146" t="s">
        <v>13</v>
      </c>
      <c r="F1457" s="265"/>
      <c r="G1457" s="94" t="s">
        <v>578</v>
      </c>
      <c r="H1457" s="149" t="s">
        <v>416</v>
      </c>
      <c r="I1457" s="149" t="str">
        <f t="shared" si="37"/>
        <v>03,26</v>
      </c>
    </row>
    <row r="1458" spans="1:9" ht="19.5" hidden="1" thickBot="1" x14ac:dyDescent="0.3">
      <c r="A1458" s="470"/>
      <c r="B1458" s="138" t="s">
        <v>575</v>
      </c>
      <c r="C1458" s="147" t="s">
        <v>17</v>
      </c>
      <c r="D1458" s="148">
        <v>2.8079999999999998</v>
      </c>
      <c r="E1458" s="146" t="s">
        <v>13</v>
      </c>
      <c r="F1458" s="265"/>
      <c r="G1458" s="94" t="s">
        <v>578</v>
      </c>
      <c r="H1458" s="149"/>
      <c r="I1458" s="149" t="str">
        <f t="shared" si="37"/>
        <v>03,26</v>
      </c>
    </row>
    <row r="1459" spans="1:9" ht="19.5" hidden="1" thickBot="1" x14ac:dyDescent="0.3">
      <c r="A1459" s="470"/>
      <c r="B1459" s="138" t="s">
        <v>575</v>
      </c>
      <c r="C1459" s="247" t="s">
        <v>569</v>
      </c>
      <c r="D1459" s="248">
        <v>0.78200000000000003</v>
      </c>
      <c r="E1459" s="249" t="s">
        <v>13</v>
      </c>
      <c r="F1459" s="266"/>
      <c r="G1459" s="94" t="s">
        <v>578</v>
      </c>
      <c r="H1459" s="251" t="s">
        <v>416</v>
      </c>
      <c r="I1459" s="251" t="str">
        <f t="shared" si="37"/>
        <v>03,26</v>
      </c>
    </row>
    <row r="1460" spans="1:9" ht="19.5" hidden="1" thickBot="1" x14ac:dyDescent="0.3">
      <c r="A1460" s="467">
        <f>MAX(A1390:A1455)+1</f>
        <v>273</v>
      </c>
      <c r="B1460" s="289" t="s">
        <v>579</v>
      </c>
      <c r="C1460" s="289" t="s">
        <v>18</v>
      </c>
      <c r="D1460" s="291">
        <v>0.55100000000000005</v>
      </c>
      <c r="E1460" s="289" t="s">
        <v>519</v>
      </c>
      <c r="F1460" s="464" t="s">
        <v>541</v>
      </c>
      <c r="G1460" s="289" t="s">
        <v>578</v>
      </c>
      <c r="H1460" s="289"/>
      <c r="I1460" s="289" t="str">
        <f t="shared" si="37"/>
        <v>03,26</v>
      </c>
    </row>
    <row r="1461" spans="1:9" ht="19.5" hidden="1" thickBot="1" x14ac:dyDescent="0.3">
      <c r="A1461" s="468"/>
      <c r="B1461" s="289" t="s">
        <v>579</v>
      </c>
      <c r="C1461" s="290" t="s">
        <v>19</v>
      </c>
      <c r="D1461" s="291">
        <v>0.22700000000000001</v>
      </c>
      <c r="E1461" s="290" t="s">
        <v>519</v>
      </c>
      <c r="F1461" s="465"/>
      <c r="G1461" s="289" t="s">
        <v>578</v>
      </c>
      <c r="H1461" s="290"/>
      <c r="I1461" s="290" t="str">
        <f t="shared" si="37"/>
        <v>03,26</v>
      </c>
    </row>
    <row r="1462" spans="1:9" ht="19.5" hidden="1" thickBot="1" x14ac:dyDescent="0.3">
      <c r="A1462" s="468"/>
      <c r="B1462" s="289" t="s">
        <v>579</v>
      </c>
      <c r="C1462" s="290" t="s">
        <v>116</v>
      </c>
      <c r="D1462" s="291">
        <v>0.92900000000000005</v>
      </c>
      <c r="E1462" s="290" t="s">
        <v>519</v>
      </c>
      <c r="F1462" s="465"/>
      <c r="G1462" s="289" t="s">
        <v>578</v>
      </c>
      <c r="H1462" s="290" t="s">
        <v>416</v>
      </c>
      <c r="I1462" s="290" t="str">
        <f t="shared" si="37"/>
        <v>03,26</v>
      </c>
    </row>
    <row r="1463" spans="1:9" ht="19.5" hidden="1" thickBot="1" x14ac:dyDescent="0.3">
      <c r="A1463" s="468"/>
      <c r="B1463" s="289" t="s">
        <v>579</v>
      </c>
      <c r="C1463" s="290" t="s">
        <v>17</v>
      </c>
      <c r="D1463" s="291">
        <v>1.333</v>
      </c>
      <c r="E1463" s="290" t="s">
        <v>519</v>
      </c>
      <c r="F1463" s="465"/>
      <c r="G1463" s="289" t="s">
        <v>578</v>
      </c>
      <c r="H1463" s="290"/>
      <c r="I1463" s="290" t="str">
        <f t="shared" si="37"/>
        <v>03,26</v>
      </c>
    </row>
    <row r="1464" spans="1:9" ht="19.5" hidden="1" thickBot="1" x14ac:dyDescent="0.3">
      <c r="A1464" s="468"/>
      <c r="B1464" s="289" t="s">
        <v>579</v>
      </c>
      <c r="C1464" s="290" t="s">
        <v>17</v>
      </c>
      <c r="D1464" s="291">
        <v>0.18</v>
      </c>
      <c r="E1464" s="290" t="s">
        <v>45</v>
      </c>
      <c r="F1464" s="465"/>
      <c r="G1464" s="289" t="s">
        <v>578</v>
      </c>
      <c r="H1464" s="290"/>
      <c r="I1464" s="290" t="str">
        <f t="shared" si="37"/>
        <v>03,26</v>
      </c>
    </row>
    <row r="1465" spans="1:9" ht="19.5" hidden="1" thickBot="1" x14ac:dyDescent="0.3">
      <c r="A1465" s="468"/>
      <c r="B1465" s="289" t="s">
        <v>579</v>
      </c>
      <c r="C1465" s="290" t="s">
        <v>19</v>
      </c>
      <c r="D1465" s="291">
        <v>2.7E-2</v>
      </c>
      <c r="E1465" s="290" t="s">
        <v>45</v>
      </c>
      <c r="F1465" s="465"/>
      <c r="G1465" s="289" t="s">
        <v>578</v>
      </c>
      <c r="H1465" s="290"/>
      <c r="I1465" s="290" t="str">
        <f t="shared" si="37"/>
        <v>03,26</v>
      </c>
    </row>
    <row r="1466" spans="1:9" ht="19.5" hidden="1" thickBot="1" x14ac:dyDescent="0.3">
      <c r="A1466" s="468"/>
      <c r="B1466" s="289" t="s">
        <v>579</v>
      </c>
      <c r="C1466" s="290" t="s">
        <v>18</v>
      </c>
      <c r="D1466" s="291">
        <v>7.1999999999999995E-2</v>
      </c>
      <c r="E1466" s="290" t="s">
        <v>45</v>
      </c>
      <c r="F1466" s="466"/>
      <c r="G1466" s="289" t="s">
        <v>578</v>
      </c>
      <c r="H1466" s="290"/>
      <c r="I1466" s="290" t="str">
        <f t="shared" si="37"/>
        <v>03,26</v>
      </c>
    </row>
    <row r="1467" spans="1:9" ht="19.5" hidden="1" thickBot="1" x14ac:dyDescent="0.3">
      <c r="A1467" s="469">
        <f>MAX(A1398:A1461)+1</f>
        <v>274</v>
      </c>
      <c r="B1467" s="138" t="s">
        <v>580</v>
      </c>
      <c r="C1467" s="92" t="s">
        <v>18</v>
      </c>
      <c r="D1467" s="93">
        <v>2.1840000000000002</v>
      </c>
      <c r="E1467" s="94" t="s">
        <v>13</v>
      </c>
      <c r="F1467" s="131"/>
      <c r="G1467" s="94" t="s">
        <v>581</v>
      </c>
      <c r="H1467" s="150"/>
      <c r="I1467" s="150" t="str">
        <f t="shared" si="37"/>
        <v>04,26</v>
      </c>
    </row>
    <row r="1468" spans="1:9" ht="19.5" hidden="1" thickBot="1" x14ac:dyDescent="0.3">
      <c r="A1468" s="470"/>
      <c r="B1468" s="138" t="s">
        <v>580</v>
      </c>
      <c r="C1468" s="147" t="s">
        <v>19</v>
      </c>
      <c r="D1468" s="148">
        <v>5.891</v>
      </c>
      <c r="E1468" s="146" t="s">
        <v>13</v>
      </c>
      <c r="F1468" s="265"/>
      <c r="G1468" s="94" t="s">
        <v>581</v>
      </c>
      <c r="H1468" s="149"/>
      <c r="I1468" s="149" t="str">
        <f t="shared" si="37"/>
        <v>04,26</v>
      </c>
    </row>
    <row r="1469" spans="1:9" ht="19.5" hidden="1" thickBot="1" x14ac:dyDescent="0.3">
      <c r="A1469" s="470"/>
      <c r="B1469" s="138" t="s">
        <v>580</v>
      </c>
      <c r="C1469" s="147" t="s">
        <v>116</v>
      </c>
      <c r="D1469" s="148">
        <v>2.605</v>
      </c>
      <c r="E1469" s="146" t="s">
        <v>13</v>
      </c>
      <c r="F1469" s="265"/>
      <c r="G1469" s="94" t="s">
        <v>581</v>
      </c>
      <c r="H1469" s="149" t="s">
        <v>416</v>
      </c>
      <c r="I1469" s="149" t="str">
        <f t="shared" si="37"/>
        <v>04,26</v>
      </c>
    </row>
    <row r="1470" spans="1:9" ht="19.5" hidden="1" thickBot="1" x14ac:dyDescent="0.3">
      <c r="A1470" s="470"/>
      <c r="B1470" s="138" t="s">
        <v>580</v>
      </c>
      <c r="C1470" s="147" t="s">
        <v>17</v>
      </c>
      <c r="D1470" s="148">
        <v>2.1259999999999999</v>
      </c>
      <c r="E1470" s="146" t="s">
        <v>13</v>
      </c>
      <c r="F1470" s="265"/>
      <c r="G1470" s="94" t="s">
        <v>581</v>
      </c>
      <c r="H1470" s="149"/>
      <c r="I1470" s="149" t="str">
        <f t="shared" si="37"/>
        <v>04,26</v>
      </c>
    </row>
    <row r="1471" spans="1:9" ht="19.5" hidden="1" thickBot="1" x14ac:dyDescent="0.3">
      <c r="A1471" s="470"/>
      <c r="B1471" s="138" t="s">
        <v>580</v>
      </c>
      <c r="C1471" s="247" t="s">
        <v>367</v>
      </c>
      <c r="D1471" s="248">
        <v>1.9950000000000001</v>
      </c>
      <c r="E1471" s="249" t="s">
        <v>13</v>
      </c>
      <c r="F1471" s="266"/>
      <c r="G1471" s="94" t="s">
        <v>581</v>
      </c>
      <c r="H1471" s="251" t="s">
        <v>416</v>
      </c>
      <c r="I1471" s="251" t="str">
        <f t="shared" si="37"/>
        <v>04,26</v>
      </c>
    </row>
    <row r="1472" spans="1:9" ht="19.5" hidden="1" thickBot="1" x14ac:dyDescent="0.3">
      <c r="A1472" s="470"/>
      <c r="B1472" s="138" t="s">
        <v>580</v>
      </c>
      <c r="C1472" s="247" t="s">
        <v>564</v>
      </c>
      <c r="D1472" s="248">
        <v>1.1339999999999999</v>
      </c>
      <c r="E1472" s="249" t="s">
        <v>13</v>
      </c>
      <c r="F1472" s="266"/>
      <c r="G1472" s="94" t="s">
        <v>581</v>
      </c>
      <c r="H1472" s="251" t="s">
        <v>416</v>
      </c>
      <c r="I1472" s="251" t="str">
        <f t="shared" si="37"/>
        <v>04,26</v>
      </c>
    </row>
    <row r="1473" spans="1:9" ht="19.5" hidden="1" thickBot="1" x14ac:dyDescent="0.3">
      <c r="A1473" s="471"/>
      <c r="B1473" s="138" t="s">
        <v>580</v>
      </c>
      <c r="C1473" s="247" t="s">
        <v>277</v>
      </c>
      <c r="D1473" s="248">
        <v>3.371</v>
      </c>
      <c r="E1473" s="249" t="s">
        <v>13</v>
      </c>
      <c r="F1473" s="266"/>
      <c r="G1473" s="94" t="s">
        <v>581</v>
      </c>
      <c r="H1473" s="251"/>
      <c r="I1473" s="251" t="str">
        <f t="shared" si="37"/>
        <v>04,26</v>
      </c>
    </row>
    <row r="1474" spans="1:9" ht="19.5" hidden="1" thickBot="1" x14ac:dyDescent="0.3">
      <c r="A1474" s="469">
        <f>MAX(A1411:A1473)+1</f>
        <v>275</v>
      </c>
      <c r="B1474" s="138" t="s">
        <v>580</v>
      </c>
      <c r="C1474" s="92" t="s">
        <v>18</v>
      </c>
      <c r="D1474" s="93">
        <v>2.1840000000000002</v>
      </c>
      <c r="E1474" s="94" t="s">
        <v>13</v>
      </c>
      <c r="F1474" s="131"/>
      <c r="G1474" s="94" t="s">
        <v>582</v>
      </c>
      <c r="H1474" s="150"/>
      <c r="I1474" s="150" t="str">
        <f t="shared" si="37"/>
        <v>04,26</v>
      </c>
    </row>
    <row r="1475" spans="1:9" ht="19.5" hidden="1" thickBot="1" x14ac:dyDescent="0.3">
      <c r="A1475" s="470"/>
      <c r="B1475" s="138" t="s">
        <v>580</v>
      </c>
      <c r="C1475" s="147" t="s">
        <v>19</v>
      </c>
      <c r="D1475" s="148">
        <v>5.891</v>
      </c>
      <c r="E1475" s="146" t="s">
        <v>13</v>
      </c>
      <c r="F1475" s="265"/>
      <c r="G1475" s="94" t="s">
        <v>582</v>
      </c>
      <c r="H1475" s="149"/>
      <c r="I1475" s="149" t="str">
        <f t="shared" si="37"/>
        <v>04,26</v>
      </c>
    </row>
    <row r="1476" spans="1:9" ht="19.5" hidden="1" thickBot="1" x14ac:dyDescent="0.3">
      <c r="A1476" s="470"/>
      <c r="B1476" s="138" t="s">
        <v>580</v>
      </c>
      <c r="C1476" s="147" t="s">
        <v>116</v>
      </c>
      <c r="D1476" s="148">
        <v>2.605</v>
      </c>
      <c r="E1476" s="146" t="s">
        <v>13</v>
      </c>
      <c r="F1476" s="265"/>
      <c r="G1476" s="94" t="s">
        <v>582</v>
      </c>
      <c r="H1476" s="149" t="s">
        <v>416</v>
      </c>
      <c r="I1476" s="149" t="str">
        <f t="shared" si="37"/>
        <v>04,26</v>
      </c>
    </row>
    <row r="1477" spans="1:9" ht="19.5" hidden="1" thickBot="1" x14ac:dyDescent="0.3">
      <c r="A1477" s="470"/>
      <c r="B1477" s="138" t="s">
        <v>580</v>
      </c>
      <c r="C1477" s="147" t="s">
        <v>17</v>
      </c>
      <c r="D1477" s="148">
        <v>2.1259999999999999</v>
      </c>
      <c r="E1477" s="146" t="s">
        <v>13</v>
      </c>
      <c r="F1477" s="265"/>
      <c r="G1477" s="94" t="s">
        <v>582</v>
      </c>
      <c r="H1477" s="149"/>
      <c r="I1477" s="149" t="str">
        <f t="shared" si="37"/>
        <v>04,26</v>
      </c>
    </row>
    <row r="1478" spans="1:9" ht="19.5" hidden="1" thickBot="1" x14ac:dyDescent="0.3">
      <c r="A1478" s="294"/>
      <c r="B1478" s="138" t="s">
        <v>580</v>
      </c>
      <c r="C1478" s="134" t="s">
        <v>584</v>
      </c>
      <c r="D1478" s="248">
        <v>0.7</v>
      </c>
      <c r="E1478" s="136" t="s">
        <v>585</v>
      </c>
      <c r="F1478" s="172"/>
      <c r="G1478" s="94" t="s">
        <v>582</v>
      </c>
      <c r="H1478" s="293" t="s">
        <v>416</v>
      </c>
      <c r="I1478" s="293" t="str">
        <f t="shared" si="37"/>
        <v>04,26</v>
      </c>
    </row>
    <row r="1479" spans="1:9" ht="19.5" hidden="1" thickBot="1" x14ac:dyDescent="0.3">
      <c r="A1479" s="467">
        <f>MAX(A1408:A1473)+1</f>
        <v>275</v>
      </c>
      <c r="B1479" s="289" t="s">
        <v>580</v>
      </c>
      <c r="C1479" s="289" t="s">
        <v>18</v>
      </c>
      <c r="D1479" s="291">
        <v>5.8000000000000003E-2</v>
      </c>
      <c r="E1479" s="289" t="s">
        <v>519</v>
      </c>
      <c r="F1479" s="464" t="s">
        <v>583</v>
      </c>
      <c r="G1479" s="289" t="s">
        <v>582</v>
      </c>
      <c r="H1479" s="289"/>
      <c r="I1479" s="289" t="str">
        <f t="shared" si="37"/>
        <v>04,26</v>
      </c>
    </row>
    <row r="1480" spans="1:9" ht="19.5" hidden="1" thickBot="1" x14ac:dyDescent="0.3">
      <c r="A1480" s="468"/>
      <c r="B1480" s="289" t="s">
        <v>580</v>
      </c>
      <c r="C1480" s="290" t="s">
        <v>19</v>
      </c>
      <c r="D1480" s="291">
        <v>0.182</v>
      </c>
      <c r="E1480" s="290" t="s">
        <v>519</v>
      </c>
      <c r="F1480" s="465"/>
      <c r="G1480" s="289" t="s">
        <v>582</v>
      </c>
      <c r="H1480" s="290"/>
      <c r="I1480" s="290" t="str">
        <f t="shared" si="37"/>
        <v>04,26</v>
      </c>
    </row>
    <row r="1481" spans="1:9" ht="19.5" hidden="1" thickBot="1" x14ac:dyDescent="0.3">
      <c r="A1481" s="468"/>
      <c r="B1481" s="289" t="s">
        <v>580</v>
      </c>
      <c r="C1481" s="290" t="s">
        <v>116</v>
      </c>
      <c r="D1481" s="291">
        <v>0.441</v>
      </c>
      <c r="E1481" s="290" t="s">
        <v>519</v>
      </c>
      <c r="F1481" s="465"/>
      <c r="G1481" s="289" t="s">
        <v>582</v>
      </c>
      <c r="H1481" s="290" t="s">
        <v>416</v>
      </c>
      <c r="I1481" s="290" t="str">
        <f t="shared" si="37"/>
        <v>04,26</v>
      </c>
    </row>
    <row r="1482" spans="1:9" ht="19.5" hidden="1" thickBot="1" x14ac:dyDescent="0.3">
      <c r="A1482" s="468"/>
      <c r="B1482" s="289" t="s">
        <v>580</v>
      </c>
      <c r="C1482" s="290" t="s">
        <v>17</v>
      </c>
      <c r="D1482" s="291">
        <v>0.53300000000000003</v>
      </c>
      <c r="E1482" s="290" t="s">
        <v>519</v>
      </c>
      <c r="F1482" s="465"/>
      <c r="G1482" s="289" t="s">
        <v>582</v>
      </c>
      <c r="H1482" s="290"/>
      <c r="I1482" s="290" t="str">
        <f t="shared" si="37"/>
        <v>04,26</v>
      </c>
    </row>
    <row r="1483" spans="1:9" ht="19.5" hidden="1" thickBot="1" x14ac:dyDescent="0.3">
      <c r="A1483" s="468"/>
      <c r="B1483" s="289" t="s">
        <v>580</v>
      </c>
      <c r="C1483" s="290" t="s">
        <v>116</v>
      </c>
      <c r="D1483" s="291">
        <v>4.2999999999999997E-2</v>
      </c>
      <c r="E1483" s="290" t="s">
        <v>45</v>
      </c>
      <c r="F1483" s="466"/>
      <c r="G1483" s="289" t="s">
        <v>582</v>
      </c>
      <c r="H1483" s="290" t="s">
        <v>416</v>
      </c>
      <c r="I1483" s="290" t="str">
        <f t="shared" si="37"/>
        <v>04,26</v>
      </c>
    </row>
    <row r="1484" spans="1:9" ht="19.5" hidden="1" thickBot="1" x14ac:dyDescent="0.3">
      <c r="A1484" s="469">
        <f>MAX(A1415:A1478)+1</f>
        <v>276</v>
      </c>
      <c r="B1484" s="138" t="s">
        <v>586</v>
      </c>
      <c r="C1484" s="92" t="s">
        <v>18</v>
      </c>
      <c r="D1484" s="93">
        <v>3.4089999999999998</v>
      </c>
      <c r="E1484" s="94" t="s">
        <v>13</v>
      </c>
      <c r="F1484" s="131"/>
      <c r="G1484" s="94" t="s">
        <v>587</v>
      </c>
      <c r="H1484" s="150"/>
      <c r="I1484" s="150" t="str">
        <f t="shared" si="37"/>
        <v>04,26</v>
      </c>
    </row>
    <row r="1485" spans="1:9" ht="19.5" hidden="1" thickBot="1" x14ac:dyDescent="0.3">
      <c r="A1485" s="470"/>
      <c r="B1485" s="138" t="s">
        <v>586</v>
      </c>
      <c r="C1485" s="147" t="s">
        <v>19</v>
      </c>
      <c r="D1485" s="148">
        <v>2.0859999999999999</v>
      </c>
      <c r="E1485" s="146" t="s">
        <v>13</v>
      </c>
      <c r="F1485" s="265"/>
      <c r="G1485" s="94" t="s">
        <v>587</v>
      </c>
      <c r="H1485" s="149"/>
      <c r="I1485" s="149" t="str">
        <f t="shared" si="37"/>
        <v>04,26</v>
      </c>
    </row>
    <row r="1486" spans="1:9" ht="19.5" hidden="1" thickBot="1" x14ac:dyDescent="0.3">
      <c r="A1486" s="470"/>
      <c r="B1486" s="138" t="s">
        <v>586</v>
      </c>
      <c r="C1486" s="147" t="s">
        <v>116</v>
      </c>
      <c r="D1486" s="148">
        <v>1.5009999999999999</v>
      </c>
      <c r="E1486" s="146" t="s">
        <v>13</v>
      </c>
      <c r="F1486" s="265"/>
      <c r="G1486" s="94" t="s">
        <v>587</v>
      </c>
      <c r="H1486" s="149" t="s">
        <v>416</v>
      </c>
      <c r="I1486" s="149" t="str">
        <f t="shared" si="37"/>
        <v>04,26</v>
      </c>
    </row>
    <row r="1487" spans="1:9" ht="19.5" hidden="1" thickBot="1" x14ac:dyDescent="0.3">
      <c r="A1487" s="470"/>
      <c r="B1487" s="138" t="s">
        <v>586</v>
      </c>
      <c r="C1487" s="147" t="s">
        <v>17</v>
      </c>
      <c r="D1487" s="148">
        <v>1.57</v>
      </c>
      <c r="E1487" s="146" t="s">
        <v>13</v>
      </c>
      <c r="F1487" s="265"/>
      <c r="G1487" s="94" t="s">
        <v>587</v>
      </c>
      <c r="H1487" s="149"/>
      <c r="I1487" s="149" t="str">
        <f t="shared" si="37"/>
        <v>04,26</v>
      </c>
    </row>
    <row r="1488" spans="1:9" ht="19.5" hidden="1" thickBot="1" x14ac:dyDescent="0.3">
      <c r="A1488" s="470"/>
      <c r="B1488" s="138" t="s">
        <v>586</v>
      </c>
      <c r="C1488" s="247" t="s">
        <v>367</v>
      </c>
      <c r="D1488" s="248">
        <v>4.2320000000000002</v>
      </c>
      <c r="E1488" s="249" t="s">
        <v>13</v>
      </c>
      <c r="F1488" s="266"/>
      <c r="G1488" s="94" t="s">
        <v>587</v>
      </c>
      <c r="H1488" s="251" t="s">
        <v>416</v>
      </c>
      <c r="I1488" s="251" t="str">
        <f t="shared" si="37"/>
        <v>04,26</v>
      </c>
    </row>
    <row r="1489" spans="1:9" ht="19.5" hidden="1" thickBot="1" x14ac:dyDescent="0.3">
      <c r="A1489" s="471"/>
      <c r="B1489" s="138" t="s">
        <v>586</v>
      </c>
      <c r="C1489" s="247" t="s">
        <v>277</v>
      </c>
      <c r="D1489" s="248">
        <v>3.105</v>
      </c>
      <c r="E1489" s="249" t="s">
        <v>13</v>
      </c>
      <c r="F1489" s="266"/>
      <c r="G1489" s="94" t="s">
        <v>587</v>
      </c>
      <c r="H1489" s="251"/>
      <c r="I1489" s="251" t="str">
        <f t="shared" si="37"/>
        <v>04,26</v>
      </c>
    </row>
    <row r="1490" spans="1:9" ht="19.5" hidden="1" thickBot="1" x14ac:dyDescent="0.3">
      <c r="A1490" s="469">
        <f>MAX(A1427:A1489)+1</f>
        <v>277</v>
      </c>
      <c r="B1490" s="138" t="s">
        <v>586</v>
      </c>
      <c r="C1490" s="92" t="s">
        <v>18</v>
      </c>
      <c r="D1490" s="93">
        <v>3.4089999999999998</v>
      </c>
      <c r="E1490" s="94" t="s">
        <v>13</v>
      </c>
      <c r="F1490" s="131"/>
      <c r="G1490" s="94" t="s">
        <v>588</v>
      </c>
      <c r="H1490" s="150"/>
      <c r="I1490" s="150" t="str">
        <f t="shared" si="37"/>
        <v>04,26</v>
      </c>
    </row>
    <row r="1491" spans="1:9" ht="19.5" hidden="1" thickBot="1" x14ac:dyDescent="0.3">
      <c r="A1491" s="470"/>
      <c r="B1491" s="138" t="s">
        <v>586</v>
      </c>
      <c r="C1491" s="147" t="s">
        <v>19</v>
      </c>
      <c r="D1491" s="148">
        <v>2.0859999999999999</v>
      </c>
      <c r="E1491" s="146" t="s">
        <v>13</v>
      </c>
      <c r="F1491" s="265"/>
      <c r="G1491" s="94" t="s">
        <v>588</v>
      </c>
      <c r="H1491" s="149"/>
      <c r="I1491" s="149" t="str">
        <f t="shared" si="37"/>
        <v>04,26</v>
      </c>
    </row>
    <row r="1492" spans="1:9" ht="19.5" hidden="1" thickBot="1" x14ac:dyDescent="0.3">
      <c r="A1492" s="470"/>
      <c r="B1492" s="138" t="s">
        <v>586</v>
      </c>
      <c r="C1492" s="147" t="s">
        <v>116</v>
      </c>
      <c r="D1492" s="148">
        <v>1.5009999999999999</v>
      </c>
      <c r="E1492" s="146" t="s">
        <v>13</v>
      </c>
      <c r="F1492" s="265"/>
      <c r="G1492" s="94" t="s">
        <v>588</v>
      </c>
      <c r="H1492" s="149" t="s">
        <v>416</v>
      </c>
      <c r="I1492" s="149" t="str">
        <f t="shared" si="37"/>
        <v>04,26</v>
      </c>
    </row>
    <row r="1493" spans="1:9" ht="19.5" hidden="1" thickBot="1" x14ac:dyDescent="0.3">
      <c r="A1493" s="470"/>
      <c r="B1493" s="198" t="s">
        <v>586</v>
      </c>
      <c r="C1493" s="247" t="s">
        <v>17</v>
      </c>
      <c r="D1493" s="248">
        <v>1.57</v>
      </c>
      <c r="E1493" s="249" t="s">
        <v>13</v>
      </c>
      <c r="F1493" s="266"/>
      <c r="G1493" s="292" t="s">
        <v>588</v>
      </c>
      <c r="H1493" s="251"/>
      <c r="I1493" s="251" t="str">
        <f t="shared" si="37"/>
        <v>04,26</v>
      </c>
    </row>
    <row r="1494" spans="1:9" ht="19.5" hidden="1" thickBot="1" x14ac:dyDescent="0.3">
      <c r="A1494" s="542">
        <f>MAX(A1431:A1493)+1</f>
        <v>278</v>
      </c>
      <c r="B1494" s="138" t="s">
        <v>589</v>
      </c>
      <c r="C1494" s="92" t="s">
        <v>19</v>
      </c>
      <c r="D1494" s="93">
        <v>4.9829999999999997</v>
      </c>
      <c r="E1494" s="94" t="s">
        <v>13</v>
      </c>
      <c r="F1494" s="131"/>
      <c r="G1494" s="94" t="s">
        <v>590</v>
      </c>
      <c r="H1494" s="150"/>
      <c r="I1494" s="150" t="str">
        <f t="shared" ref="I1494:I1557" si="38">RIGHT(G1494,5)</f>
        <v>04,26</v>
      </c>
    </row>
    <row r="1495" spans="1:9" ht="19.5" hidden="1" thickBot="1" x14ac:dyDescent="0.3">
      <c r="A1495" s="543"/>
      <c r="B1495" s="138" t="s">
        <v>589</v>
      </c>
      <c r="C1495" s="147" t="s">
        <v>116</v>
      </c>
      <c r="D1495" s="148">
        <v>0.90900000000000003</v>
      </c>
      <c r="E1495" s="146" t="s">
        <v>13</v>
      </c>
      <c r="F1495" s="265"/>
      <c r="G1495" s="94" t="s">
        <v>590</v>
      </c>
      <c r="H1495" s="149" t="s">
        <v>416</v>
      </c>
      <c r="I1495" s="149" t="str">
        <f t="shared" si="38"/>
        <v>04,26</v>
      </c>
    </row>
    <row r="1496" spans="1:9" ht="19.5" hidden="1" thickBot="1" x14ac:dyDescent="0.3">
      <c r="A1496" s="543"/>
      <c r="B1496" s="138" t="s">
        <v>589</v>
      </c>
      <c r="C1496" s="247" t="s">
        <v>367</v>
      </c>
      <c r="D1496" s="248">
        <v>3.5310000000000001</v>
      </c>
      <c r="E1496" s="249" t="s">
        <v>13</v>
      </c>
      <c r="F1496" s="266"/>
      <c r="G1496" s="94" t="s">
        <v>590</v>
      </c>
      <c r="H1496" s="251" t="s">
        <v>416</v>
      </c>
      <c r="I1496" s="251" t="str">
        <f t="shared" si="38"/>
        <v>04,26</v>
      </c>
    </row>
    <row r="1497" spans="1:9" ht="19.5" hidden="1" thickBot="1" x14ac:dyDescent="0.3">
      <c r="A1497" s="543"/>
      <c r="B1497" s="138" t="s">
        <v>589</v>
      </c>
      <c r="C1497" s="247" t="s">
        <v>564</v>
      </c>
      <c r="D1497" s="248">
        <v>1.1319999999999999</v>
      </c>
      <c r="E1497" s="249" t="s">
        <v>13</v>
      </c>
      <c r="F1497" s="266"/>
      <c r="G1497" s="94" t="s">
        <v>590</v>
      </c>
      <c r="H1497" s="251" t="s">
        <v>416</v>
      </c>
      <c r="I1497" s="251" t="str">
        <f t="shared" si="38"/>
        <v>04,26</v>
      </c>
    </row>
    <row r="1498" spans="1:9" ht="19.5" hidden="1" thickBot="1" x14ac:dyDescent="0.3">
      <c r="A1498" s="544"/>
      <c r="B1498" s="138" t="s">
        <v>589</v>
      </c>
      <c r="C1498" s="154" t="s">
        <v>277</v>
      </c>
      <c r="D1498" s="155">
        <v>2.0699999999999998</v>
      </c>
      <c r="E1498" s="156" t="s">
        <v>13</v>
      </c>
      <c r="F1498" s="288"/>
      <c r="G1498" s="94" t="s">
        <v>590</v>
      </c>
      <c r="H1498" s="157"/>
      <c r="I1498" s="157" t="str">
        <f t="shared" si="38"/>
        <v>04,26</v>
      </c>
    </row>
    <row r="1499" spans="1:9" ht="19.5" hidden="1" thickBot="1" x14ac:dyDescent="0.3">
      <c r="A1499" s="547">
        <f>MAX(A1436:A1498)+1</f>
        <v>279</v>
      </c>
      <c r="B1499" s="138" t="s">
        <v>589</v>
      </c>
      <c r="C1499" s="147" t="s">
        <v>116</v>
      </c>
      <c r="D1499" s="148">
        <v>0.90900000000000003</v>
      </c>
      <c r="E1499" s="146" t="s">
        <v>13</v>
      </c>
      <c r="F1499" s="265"/>
      <c r="G1499" s="94" t="s">
        <v>591</v>
      </c>
      <c r="H1499" s="149" t="s">
        <v>416</v>
      </c>
      <c r="I1499" s="149" t="str">
        <f t="shared" si="38"/>
        <v>04,26</v>
      </c>
    </row>
    <row r="1500" spans="1:9" ht="19.5" hidden="1" thickBot="1" x14ac:dyDescent="0.3">
      <c r="A1500" s="548"/>
      <c r="B1500" s="138" t="s">
        <v>589</v>
      </c>
      <c r="C1500" s="147" t="s">
        <v>18</v>
      </c>
      <c r="D1500" s="148">
        <v>2.6150000000000002</v>
      </c>
      <c r="E1500" s="146" t="s">
        <v>13</v>
      </c>
      <c r="F1500" s="265"/>
      <c r="G1500" s="94" t="s">
        <v>591</v>
      </c>
      <c r="H1500" s="149"/>
      <c r="I1500" s="149" t="str">
        <f t="shared" si="38"/>
        <v>04,26</v>
      </c>
    </row>
    <row r="1501" spans="1:9" ht="19.5" hidden="1" thickBot="1" x14ac:dyDescent="0.3">
      <c r="A1501" s="549"/>
      <c r="B1501" s="138" t="s">
        <v>589</v>
      </c>
      <c r="C1501" s="147" t="s">
        <v>19</v>
      </c>
      <c r="D1501" s="148">
        <v>4.9829999999999997</v>
      </c>
      <c r="E1501" s="146" t="s">
        <v>13</v>
      </c>
      <c r="F1501" s="265"/>
      <c r="G1501" s="94" t="s">
        <v>591</v>
      </c>
      <c r="H1501" s="149"/>
      <c r="I1501" s="149" t="str">
        <f t="shared" si="38"/>
        <v>04,26</v>
      </c>
    </row>
    <row r="1502" spans="1:9" ht="19.5" hidden="1" customHeight="1" thickBot="1" x14ac:dyDescent="0.3">
      <c r="A1502" s="545">
        <f>MAX(A1438:A1501)+1</f>
        <v>280</v>
      </c>
      <c r="B1502" s="289" t="s">
        <v>589</v>
      </c>
      <c r="C1502" s="290" t="s">
        <v>19</v>
      </c>
      <c r="D1502" s="291">
        <v>0.65400000000000003</v>
      </c>
      <c r="E1502" s="290" t="s">
        <v>519</v>
      </c>
      <c r="F1502" s="464" t="s">
        <v>583</v>
      </c>
      <c r="G1502" s="289" t="s">
        <v>591</v>
      </c>
      <c r="H1502" s="290"/>
      <c r="I1502" s="290" t="str">
        <f t="shared" si="38"/>
        <v>04,26</v>
      </c>
    </row>
    <row r="1503" spans="1:9" ht="19.5" hidden="1" thickBot="1" x14ac:dyDescent="0.3">
      <c r="A1503" s="546"/>
      <c r="B1503" s="289" t="s">
        <v>589</v>
      </c>
      <c r="C1503" s="290" t="s">
        <v>116</v>
      </c>
      <c r="D1503" s="291">
        <v>0.22</v>
      </c>
      <c r="E1503" s="290" t="s">
        <v>519</v>
      </c>
      <c r="F1503" s="465"/>
      <c r="G1503" s="289" t="s">
        <v>591</v>
      </c>
      <c r="H1503" s="290" t="s">
        <v>416</v>
      </c>
      <c r="I1503" s="290" t="str">
        <f t="shared" si="38"/>
        <v>04,26</v>
      </c>
    </row>
    <row r="1504" spans="1:9" ht="19.5" hidden="1" thickBot="1" x14ac:dyDescent="0.3">
      <c r="A1504" s="546"/>
      <c r="B1504" s="289" t="s">
        <v>589</v>
      </c>
      <c r="C1504" s="290" t="s">
        <v>18</v>
      </c>
      <c r="D1504" s="291">
        <v>0.21299999999999999</v>
      </c>
      <c r="E1504" s="290" t="s">
        <v>519</v>
      </c>
      <c r="F1504" s="465"/>
      <c r="G1504" s="289" t="s">
        <v>591</v>
      </c>
      <c r="H1504" s="290"/>
      <c r="I1504" s="290" t="str">
        <f t="shared" si="38"/>
        <v>04,26</v>
      </c>
    </row>
    <row r="1505" spans="1:9" ht="19.5" hidden="1" thickBot="1" x14ac:dyDescent="0.3">
      <c r="A1505" s="546"/>
      <c r="B1505" s="289" t="s">
        <v>589</v>
      </c>
      <c r="C1505" s="290" t="s">
        <v>17</v>
      </c>
      <c r="D1505" s="291">
        <v>0.14699999999999999</v>
      </c>
      <c r="E1505" s="290" t="s">
        <v>519</v>
      </c>
      <c r="F1505" s="465"/>
      <c r="G1505" s="289" t="s">
        <v>591</v>
      </c>
      <c r="H1505" s="290"/>
      <c r="I1505" s="290" t="str">
        <f t="shared" si="38"/>
        <v>04,26</v>
      </c>
    </row>
    <row r="1506" spans="1:9" ht="19.5" hidden="1" thickBot="1" x14ac:dyDescent="0.3">
      <c r="A1506" s="546"/>
      <c r="B1506" s="289" t="s">
        <v>589</v>
      </c>
      <c r="C1506" s="290" t="s">
        <v>116</v>
      </c>
      <c r="D1506" s="291">
        <v>0.02</v>
      </c>
      <c r="E1506" s="290" t="s">
        <v>45</v>
      </c>
      <c r="F1506" s="465"/>
      <c r="G1506" s="289" t="s">
        <v>591</v>
      </c>
      <c r="H1506" s="290" t="s">
        <v>416</v>
      </c>
      <c r="I1506" s="290" t="str">
        <f t="shared" si="38"/>
        <v>04,26</v>
      </c>
    </row>
    <row r="1507" spans="1:9" ht="19.5" hidden="1" thickBot="1" x14ac:dyDescent="0.3">
      <c r="A1507" s="546"/>
      <c r="B1507" s="289" t="s">
        <v>589</v>
      </c>
      <c r="C1507" s="290" t="s">
        <v>18</v>
      </c>
      <c r="D1507" s="291">
        <v>8.1000000000000003E-2</v>
      </c>
      <c r="E1507" s="290" t="s">
        <v>45</v>
      </c>
      <c r="F1507" s="465"/>
      <c r="G1507" s="289" t="s">
        <v>591</v>
      </c>
      <c r="H1507" s="290"/>
      <c r="I1507" s="290" t="str">
        <f t="shared" si="38"/>
        <v>04,26</v>
      </c>
    </row>
    <row r="1508" spans="1:9" ht="19.5" hidden="1" thickBot="1" x14ac:dyDescent="0.3">
      <c r="A1508" s="546"/>
      <c r="B1508" s="289" t="s">
        <v>589</v>
      </c>
      <c r="C1508" s="290" t="s">
        <v>19</v>
      </c>
      <c r="D1508" s="291">
        <v>7.1999999999999995E-2</v>
      </c>
      <c r="E1508" s="290" t="s">
        <v>45</v>
      </c>
      <c r="F1508" s="465"/>
      <c r="G1508" s="289" t="s">
        <v>591</v>
      </c>
      <c r="H1508" s="290"/>
      <c r="I1508" s="290" t="str">
        <f t="shared" si="38"/>
        <v>04,26</v>
      </c>
    </row>
    <row r="1509" spans="1:9" ht="19.5" hidden="1" thickBot="1" x14ac:dyDescent="0.3">
      <c r="A1509" s="469">
        <f>MAX(A1440:A1503)+1</f>
        <v>281</v>
      </c>
      <c r="B1509" s="138" t="s">
        <v>592</v>
      </c>
      <c r="C1509" s="92" t="s">
        <v>18</v>
      </c>
      <c r="D1509" s="93">
        <v>1.8340000000000001</v>
      </c>
      <c r="E1509" s="94" t="s">
        <v>13</v>
      </c>
      <c r="F1509" s="131"/>
      <c r="G1509" s="94" t="s">
        <v>593</v>
      </c>
      <c r="H1509" s="150"/>
      <c r="I1509" s="150" t="str">
        <f t="shared" si="38"/>
        <v>04,26</v>
      </c>
    </row>
    <row r="1510" spans="1:9" ht="19.5" hidden="1" thickBot="1" x14ac:dyDescent="0.3">
      <c r="A1510" s="470"/>
      <c r="B1510" s="138" t="s">
        <v>592</v>
      </c>
      <c r="C1510" s="147" t="s">
        <v>19</v>
      </c>
      <c r="D1510" s="148">
        <v>6.74</v>
      </c>
      <c r="E1510" s="146" t="s">
        <v>13</v>
      </c>
      <c r="F1510" s="265"/>
      <c r="G1510" s="94" t="s">
        <v>593</v>
      </c>
      <c r="H1510" s="149"/>
      <c r="I1510" s="149" t="str">
        <f t="shared" si="38"/>
        <v>04,26</v>
      </c>
    </row>
    <row r="1511" spans="1:9" ht="19.5" hidden="1" thickBot="1" x14ac:dyDescent="0.3">
      <c r="A1511" s="470"/>
      <c r="B1511" s="138" t="s">
        <v>592</v>
      </c>
      <c r="C1511" s="147" t="s">
        <v>116</v>
      </c>
      <c r="D1511" s="148">
        <v>1.7470000000000001</v>
      </c>
      <c r="E1511" s="146" t="s">
        <v>13</v>
      </c>
      <c r="F1511" s="265"/>
      <c r="G1511" s="94" t="s">
        <v>593</v>
      </c>
      <c r="H1511" s="149" t="s">
        <v>416</v>
      </c>
      <c r="I1511" s="149" t="str">
        <f t="shared" si="38"/>
        <v>04,26</v>
      </c>
    </row>
    <row r="1512" spans="1:9" ht="19.5" hidden="1" thickBot="1" x14ac:dyDescent="0.3">
      <c r="A1512" s="470"/>
      <c r="B1512" s="138" t="s">
        <v>592</v>
      </c>
      <c r="C1512" s="147" t="s">
        <v>17</v>
      </c>
      <c r="D1512" s="148">
        <v>3.3109999999999999</v>
      </c>
      <c r="E1512" s="146" t="s">
        <v>13</v>
      </c>
      <c r="F1512" s="265"/>
      <c r="G1512" s="94" t="s">
        <v>593</v>
      </c>
      <c r="H1512" s="149"/>
      <c r="I1512" s="149" t="str">
        <f t="shared" si="38"/>
        <v>04,26</v>
      </c>
    </row>
    <row r="1513" spans="1:9" ht="19.5" hidden="1" thickBot="1" x14ac:dyDescent="0.3">
      <c r="A1513" s="470"/>
      <c r="B1513" s="138" t="s">
        <v>592</v>
      </c>
      <c r="C1513" s="247" t="s">
        <v>367</v>
      </c>
      <c r="D1513" s="248">
        <v>4.3360000000000003</v>
      </c>
      <c r="E1513" s="249" t="s">
        <v>13</v>
      </c>
      <c r="F1513" s="266"/>
      <c r="G1513" s="94" t="s">
        <v>593</v>
      </c>
      <c r="H1513" s="251" t="s">
        <v>416</v>
      </c>
      <c r="I1513" s="251" t="str">
        <f t="shared" si="38"/>
        <v>04,26</v>
      </c>
    </row>
    <row r="1514" spans="1:9" ht="19.5" hidden="1" thickBot="1" x14ac:dyDescent="0.3">
      <c r="A1514" s="469">
        <f>MAX(A1451:A1513)+1</f>
        <v>282</v>
      </c>
      <c r="B1514" s="138" t="s">
        <v>592</v>
      </c>
      <c r="C1514" s="92" t="s">
        <v>18</v>
      </c>
      <c r="D1514" s="93">
        <v>1.8340000000000001</v>
      </c>
      <c r="E1514" s="94" t="s">
        <v>13</v>
      </c>
      <c r="F1514" s="131"/>
      <c r="G1514" s="94" t="s">
        <v>594</v>
      </c>
      <c r="H1514" s="150"/>
      <c r="I1514" s="150" t="str">
        <f t="shared" si="38"/>
        <v>04,26</v>
      </c>
    </row>
    <row r="1515" spans="1:9" ht="19.5" hidden="1" thickBot="1" x14ac:dyDescent="0.3">
      <c r="A1515" s="470"/>
      <c r="B1515" s="138" t="s">
        <v>592</v>
      </c>
      <c r="C1515" s="147" t="s">
        <v>19</v>
      </c>
      <c r="D1515" s="148">
        <v>6.74</v>
      </c>
      <c r="E1515" s="146" t="s">
        <v>13</v>
      </c>
      <c r="F1515" s="265"/>
      <c r="G1515" s="94" t="s">
        <v>594</v>
      </c>
      <c r="H1515" s="149"/>
      <c r="I1515" s="149" t="str">
        <f t="shared" si="38"/>
        <v>04,26</v>
      </c>
    </row>
    <row r="1516" spans="1:9" ht="19.5" hidden="1" thickBot="1" x14ac:dyDescent="0.3">
      <c r="A1516" s="470"/>
      <c r="B1516" s="138" t="s">
        <v>592</v>
      </c>
      <c r="C1516" s="147" t="s">
        <v>116</v>
      </c>
      <c r="D1516" s="148">
        <v>1.7470000000000001</v>
      </c>
      <c r="E1516" s="146" t="s">
        <v>13</v>
      </c>
      <c r="F1516" s="265"/>
      <c r="G1516" s="94" t="s">
        <v>594</v>
      </c>
      <c r="H1516" s="149" t="s">
        <v>416</v>
      </c>
      <c r="I1516" s="149" t="str">
        <f t="shared" si="38"/>
        <v>04,26</v>
      </c>
    </row>
    <row r="1517" spans="1:9" ht="19.5" hidden="1" thickBot="1" x14ac:dyDescent="0.3">
      <c r="A1517" s="470"/>
      <c r="B1517" s="138" t="s">
        <v>592</v>
      </c>
      <c r="C1517" s="247" t="s">
        <v>277</v>
      </c>
      <c r="D1517" s="248">
        <v>3.8780000000000001</v>
      </c>
      <c r="E1517" s="249" t="s">
        <v>13</v>
      </c>
      <c r="F1517" s="266"/>
      <c r="G1517" s="94" t="s">
        <v>594</v>
      </c>
      <c r="H1517" s="251" t="s">
        <v>416</v>
      </c>
      <c r="I1517" s="251" t="str">
        <f t="shared" si="38"/>
        <v>04,26</v>
      </c>
    </row>
    <row r="1518" spans="1:9" ht="19.5" hidden="1" thickBot="1" x14ac:dyDescent="0.3">
      <c r="A1518" s="470"/>
      <c r="B1518" s="138" t="s">
        <v>592</v>
      </c>
      <c r="C1518" s="247" t="s">
        <v>17</v>
      </c>
      <c r="D1518" s="248">
        <v>3.3109999999999999</v>
      </c>
      <c r="E1518" s="249" t="s">
        <v>13</v>
      </c>
      <c r="F1518" s="266"/>
      <c r="G1518" s="94" t="s">
        <v>594</v>
      </c>
      <c r="H1518" s="251"/>
      <c r="I1518" s="251" t="str">
        <f t="shared" si="38"/>
        <v>04,26</v>
      </c>
    </row>
    <row r="1519" spans="1:9" ht="19.5" hidden="1" customHeight="1" thickBot="1" x14ac:dyDescent="0.3">
      <c r="A1519" s="467">
        <f>MAX(A1447:A1512)+1</f>
        <v>282</v>
      </c>
      <c r="B1519" s="289" t="s">
        <v>592</v>
      </c>
      <c r="C1519" s="289" t="s">
        <v>18</v>
      </c>
      <c r="D1519" s="291">
        <v>3.2429999999999999</v>
      </c>
      <c r="E1519" s="289" t="s">
        <v>519</v>
      </c>
      <c r="F1519" s="464" t="s">
        <v>549</v>
      </c>
      <c r="G1519" s="289" t="s">
        <v>594</v>
      </c>
      <c r="H1519" s="289"/>
      <c r="I1519" s="289" t="str">
        <f t="shared" si="38"/>
        <v>04,26</v>
      </c>
    </row>
    <row r="1520" spans="1:9" ht="19.5" hidden="1" thickBot="1" x14ac:dyDescent="0.3">
      <c r="A1520" s="468"/>
      <c r="B1520" s="289" t="s">
        <v>592</v>
      </c>
      <c r="C1520" s="290" t="s">
        <v>19</v>
      </c>
      <c r="D1520" s="291">
        <v>0.75700000000000001</v>
      </c>
      <c r="E1520" s="290" t="s">
        <v>519</v>
      </c>
      <c r="F1520" s="465"/>
      <c r="G1520" s="289" t="s">
        <v>594</v>
      </c>
      <c r="H1520" s="290"/>
      <c r="I1520" s="290" t="str">
        <f t="shared" si="38"/>
        <v>04,26</v>
      </c>
    </row>
    <row r="1521" spans="1:9" ht="19.5" hidden="1" thickBot="1" x14ac:dyDescent="0.3">
      <c r="A1521" s="468"/>
      <c r="B1521" s="289" t="s">
        <v>592</v>
      </c>
      <c r="C1521" s="290" t="s">
        <v>116</v>
      </c>
      <c r="D1521" s="291">
        <v>0.35499999999999998</v>
      </c>
      <c r="E1521" s="290" t="s">
        <v>519</v>
      </c>
      <c r="F1521" s="465"/>
      <c r="G1521" s="289" t="s">
        <v>594</v>
      </c>
      <c r="H1521" s="290" t="s">
        <v>416</v>
      </c>
      <c r="I1521" s="290" t="str">
        <f t="shared" si="38"/>
        <v>04,26</v>
      </c>
    </row>
    <row r="1522" spans="1:9" ht="19.5" hidden="1" thickBot="1" x14ac:dyDescent="0.3">
      <c r="A1522" s="468"/>
      <c r="B1522" s="289" t="s">
        <v>592</v>
      </c>
      <c r="C1522" s="290" t="s">
        <v>19</v>
      </c>
      <c r="D1522" s="291">
        <v>1.0999999999999999E-2</v>
      </c>
      <c r="E1522" s="290" t="s">
        <v>45</v>
      </c>
      <c r="F1522" s="465"/>
      <c r="G1522" s="289" t="s">
        <v>594</v>
      </c>
      <c r="H1522" s="290"/>
      <c r="I1522" s="290" t="str">
        <f t="shared" si="38"/>
        <v>04,26</v>
      </c>
    </row>
    <row r="1523" spans="1:9" ht="19.5" hidden="1" thickBot="1" x14ac:dyDescent="0.3">
      <c r="A1523" s="468"/>
      <c r="B1523" s="289" t="s">
        <v>592</v>
      </c>
      <c r="C1523" s="290" t="s">
        <v>18</v>
      </c>
      <c r="D1523" s="291">
        <v>0.315</v>
      </c>
      <c r="E1523" s="290" t="s">
        <v>45</v>
      </c>
      <c r="F1523" s="466"/>
      <c r="G1523" s="289" t="s">
        <v>594</v>
      </c>
      <c r="H1523" s="290"/>
      <c r="I1523" s="290" t="str">
        <f t="shared" si="38"/>
        <v>04,26</v>
      </c>
    </row>
    <row r="1524" spans="1:9" ht="19.5" hidden="1" thickBot="1" x14ac:dyDescent="0.3">
      <c r="A1524" s="469">
        <f>MAX(A1455:A1518)+1</f>
        <v>283</v>
      </c>
      <c r="B1524" s="138" t="s">
        <v>595</v>
      </c>
      <c r="C1524" s="92" t="s">
        <v>18</v>
      </c>
      <c r="D1524" s="93">
        <v>1.875</v>
      </c>
      <c r="E1524" s="94" t="s">
        <v>13</v>
      </c>
      <c r="F1524" s="131"/>
      <c r="G1524" s="94" t="s">
        <v>596</v>
      </c>
      <c r="H1524" s="150"/>
      <c r="I1524" s="150" t="str">
        <f t="shared" si="38"/>
        <v>05,26</v>
      </c>
    </row>
    <row r="1525" spans="1:9" ht="19.5" hidden="1" thickBot="1" x14ac:dyDescent="0.3">
      <c r="A1525" s="470"/>
      <c r="B1525" s="138" t="s">
        <v>595</v>
      </c>
      <c r="C1525" s="147" t="s">
        <v>19</v>
      </c>
      <c r="D1525" s="148">
        <v>3.3769999999999998</v>
      </c>
      <c r="E1525" s="146" t="s">
        <v>13</v>
      </c>
      <c r="F1525" s="265"/>
      <c r="G1525" s="94" t="s">
        <v>596</v>
      </c>
      <c r="H1525" s="149"/>
      <c r="I1525" s="149" t="str">
        <f t="shared" si="38"/>
        <v>05,26</v>
      </c>
    </row>
    <row r="1526" spans="1:9" ht="19.5" hidden="1" thickBot="1" x14ac:dyDescent="0.3">
      <c r="A1526" s="470"/>
      <c r="B1526" s="138" t="s">
        <v>595</v>
      </c>
      <c r="C1526" s="147" t="s">
        <v>116</v>
      </c>
      <c r="D1526" s="148">
        <v>2.4009999999999998</v>
      </c>
      <c r="E1526" s="146" t="s">
        <v>13</v>
      </c>
      <c r="F1526" s="265"/>
      <c r="G1526" s="94" t="s">
        <v>596</v>
      </c>
      <c r="H1526" s="149" t="s">
        <v>416</v>
      </c>
      <c r="I1526" s="149" t="str">
        <f t="shared" si="38"/>
        <v>05,26</v>
      </c>
    </row>
    <row r="1527" spans="1:9" ht="19.5" hidden="1" thickBot="1" x14ac:dyDescent="0.3">
      <c r="A1527" s="470"/>
      <c r="B1527" s="138" t="s">
        <v>595</v>
      </c>
      <c r="C1527" s="147" t="s">
        <v>17</v>
      </c>
      <c r="D1527" s="148">
        <v>1.956</v>
      </c>
      <c r="E1527" s="146" t="s">
        <v>13</v>
      </c>
      <c r="F1527" s="265"/>
      <c r="G1527" s="94" t="s">
        <v>596</v>
      </c>
      <c r="H1527" s="149"/>
      <c r="I1527" s="149" t="str">
        <f t="shared" si="38"/>
        <v>05,26</v>
      </c>
    </row>
    <row r="1528" spans="1:9" ht="19.5" hidden="1" thickBot="1" x14ac:dyDescent="0.3">
      <c r="A1528" s="470"/>
      <c r="B1528" s="138" t="s">
        <v>595</v>
      </c>
      <c r="C1528" s="247" t="s">
        <v>367</v>
      </c>
      <c r="D1528" s="248">
        <v>2.823</v>
      </c>
      <c r="E1528" s="249" t="s">
        <v>13</v>
      </c>
      <c r="F1528" s="266"/>
      <c r="G1528" s="94" t="s">
        <v>596</v>
      </c>
      <c r="H1528" s="251" t="s">
        <v>416</v>
      </c>
      <c r="I1528" s="251" t="str">
        <f t="shared" si="38"/>
        <v>05,26</v>
      </c>
    </row>
    <row r="1529" spans="1:9" ht="19.5" hidden="1" thickBot="1" x14ac:dyDescent="0.3">
      <c r="A1529" s="470"/>
      <c r="B1529" s="138" t="s">
        <v>595</v>
      </c>
      <c r="C1529" s="247" t="s">
        <v>564</v>
      </c>
      <c r="D1529" s="248">
        <v>0.86499999999999999</v>
      </c>
      <c r="E1529" s="249" t="s">
        <v>13</v>
      </c>
      <c r="F1529" s="266"/>
      <c r="G1529" s="94" t="s">
        <v>596</v>
      </c>
      <c r="H1529" s="251" t="s">
        <v>416</v>
      </c>
      <c r="I1529" s="251" t="str">
        <f t="shared" si="38"/>
        <v>05,26</v>
      </c>
    </row>
    <row r="1530" spans="1:9" ht="19.5" hidden="1" thickBot="1" x14ac:dyDescent="0.3">
      <c r="A1530" s="471"/>
      <c r="B1530" s="138" t="s">
        <v>595</v>
      </c>
      <c r="C1530" s="247" t="s">
        <v>277</v>
      </c>
      <c r="D1530" s="248">
        <v>8.4209999999999994</v>
      </c>
      <c r="E1530" s="249" t="s">
        <v>13</v>
      </c>
      <c r="F1530" s="266"/>
      <c r="G1530" s="94" t="s">
        <v>596</v>
      </c>
      <c r="H1530" s="251" t="s">
        <v>416</v>
      </c>
      <c r="I1530" s="251" t="str">
        <f t="shared" si="38"/>
        <v>05,26</v>
      </c>
    </row>
    <row r="1531" spans="1:9" ht="19.5" hidden="1" thickBot="1" x14ac:dyDescent="0.3">
      <c r="A1531" s="469">
        <f>MAX(A1468:A1530)+1</f>
        <v>284</v>
      </c>
      <c r="B1531" s="138" t="s">
        <v>595</v>
      </c>
      <c r="C1531" s="92" t="s">
        <v>18</v>
      </c>
      <c r="D1531" s="93">
        <v>1.875</v>
      </c>
      <c r="E1531" s="94" t="s">
        <v>13</v>
      </c>
      <c r="F1531" s="131"/>
      <c r="G1531" s="94" t="s">
        <v>597</v>
      </c>
      <c r="H1531" s="150"/>
      <c r="I1531" s="150" t="str">
        <f t="shared" si="38"/>
        <v>05,26</v>
      </c>
    </row>
    <row r="1532" spans="1:9" ht="19.5" hidden="1" thickBot="1" x14ac:dyDescent="0.3">
      <c r="A1532" s="470"/>
      <c r="B1532" s="138" t="s">
        <v>595</v>
      </c>
      <c r="C1532" s="147" t="s">
        <v>19</v>
      </c>
      <c r="D1532" s="148">
        <v>3.3769999999999998</v>
      </c>
      <c r="E1532" s="146" t="s">
        <v>13</v>
      </c>
      <c r="F1532" s="265"/>
      <c r="G1532" s="94" t="s">
        <v>597</v>
      </c>
      <c r="H1532" s="149"/>
      <c r="I1532" s="149" t="str">
        <f t="shared" si="38"/>
        <v>05,26</v>
      </c>
    </row>
    <row r="1533" spans="1:9" ht="19.5" hidden="1" thickBot="1" x14ac:dyDescent="0.3">
      <c r="A1533" s="470"/>
      <c r="B1533" s="138" t="s">
        <v>595</v>
      </c>
      <c r="C1533" s="147" t="s">
        <v>116</v>
      </c>
      <c r="D1533" s="148">
        <v>2.4009999999999998</v>
      </c>
      <c r="E1533" s="146" t="s">
        <v>13</v>
      </c>
      <c r="F1533" s="265"/>
      <c r="G1533" s="94" t="s">
        <v>597</v>
      </c>
      <c r="H1533" s="149" t="s">
        <v>416</v>
      </c>
      <c r="I1533" s="149" t="str">
        <f t="shared" si="38"/>
        <v>05,26</v>
      </c>
    </row>
    <row r="1534" spans="1:9" ht="19.5" hidden="1" thickBot="1" x14ac:dyDescent="0.3">
      <c r="A1534" s="470"/>
      <c r="B1534" s="138" t="s">
        <v>595</v>
      </c>
      <c r="C1534" s="147" t="s">
        <v>17</v>
      </c>
      <c r="D1534" s="148">
        <v>1.956</v>
      </c>
      <c r="E1534" s="146" t="s">
        <v>13</v>
      </c>
      <c r="F1534" s="265"/>
      <c r="G1534" s="94" t="s">
        <v>597</v>
      </c>
      <c r="H1534" s="149"/>
      <c r="I1534" s="149" t="str">
        <f t="shared" si="38"/>
        <v>05,26</v>
      </c>
    </row>
    <row r="1535" spans="1:9" ht="19.5" hidden="1" customHeight="1" thickBot="1" x14ac:dyDescent="0.3">
      <c r="A1535" s="545">
        <f>MAX(A1471:A1534)+1</f>
        <v>285</v>
      </c>
      <c r="B1535" s="289" t="s">
        <v>595</v>
      </c>
      <c r="C1535" s="290" t="s">
        <v>19</v>
      </c>
      <c r="D1535" s="291">
        <v>0.877</v>
      </c>
      <c r="E1535" s="290" t="s">
        <v>519</v>
      </c>
      <c r="F1535" s="464" t="s">
        <v>533</v>
      </c>
      <c r="G1535" s="289" t="s">
        <v>597</v>
      </c>
      <c r="H1535" s="290"/>
      <c r="I1535" s="290" t="str">
        <f t="shared" si="38"/>
        <v>05,26</v>
      </c>
    </row>
    <row r="1536" spans="1:9" ht="19.5" hidden="1" thickBot="1" x14ac:dyDescent="0.3">
      <c r="A1536" s="546"/>
      <c r="B1536" s="289" t="s">
        <v>595</v>
      </c>
      <c r="C1536" s="290" t="s">
        <v>116</v>
      </c>
      <c r="D1536" s="291">
        <v>0.187</v>
      </c>
      <c r="E1536" s="290" t="s">
        <v>519</v>
      </c>
      <c r="F1536" s="465"/>
      <c r="G1536" s="289" t="s">
        <v>597</v>
      </c>
      <c r="H1536" s="290" t="s">
        <v>416</v>
      </c>
      <c r="I1536" s="290" t="str">
        <f t="shared" si="38"/>
        <v>05,26</v>
      </c>
    </row>
    <row r="1537" spans="1:9" ht="19.5" hidden="1" thickBot="1" x14ac:dyDescent="0.3">
      <c r="A1537" s="546"/>
      <c r="B1537" s="289" t="s">
        <v>595</v>
      </c>
      <c r="C1537" s="290" t="s">
        <v>18</v>
      </c>
      <c r="D1537" s="291">
        <v>1.052</v>
      </c>
      <c r="E1537" s="290" t="s">
        <v>519</v>
      </c>
      <c r="F1537" s="465"/>
      <c r="G1537" s="289" t="s">
        <v>597</v>
      </c>
      <c r="H1537" s="290"/>
      <c r="I1537" s="290" t="str">
        <f t="shared" si="38"/>
        <v>05,26</v>
      </c>
    </row>
    <row r="1538" spans="1:9" ht="19.5" hidden="1" thickBot="1" x14ac:dyDescent="0.3">
      <c r="A1538" s="546"/>
      <c r="B1538" s="289" t="s">
        <v>595</v>
      </c>
      <c r="C1538" s="290" t="s">
        <v>17</v>
      </c>
      <c r="D1538" s="291">
        <v>0.30099999999999999</v>
      </c>
      <c r="E1538" s="290" t="s">
        <v>519</v>
      </c>
      <c r="F1538" s="465"/>
      <c r="G1538" s="289" t="s">
        <v>597</v>
      </c>
      <c r="H1538" s="290"/>
      <c r="I1538" s="290" t="str">
        <f t="shared" si="38"/>
        <v>05,26</v>
      </c>
    </row>
    <row r="1539" spans="1:9" ht="19.5" hidden="1" thickBot="1" x14ac:dyDescent="0.3">
      <c r="A1539" s="546"/>
      <c r="B1539" s="289" t="s">
        <v>595</v>
      </c>
      <c r="C1539" s="290" t="s">
        <v>18</v>
      </c>
      <c r="D1539" s="291">
        <v>0.108</v>
      </c>
      <c r="E1539" s="290" t="s">
        <v>45</v>
      </c>
      <c r="F1539" s="465"/>
      <c r="G1539" s="289" t="s">
        <v>597</v>
      </c>
      <c r="H1539" s="290"/>
      <c r="I1539" s="290" t="str">
        <f t="shared" si="38"/>
        <v>05,26</v>
      </c>
    </row>
    <row r="1540" spans="1:9" ht="19.5" hidden="1" thickBot="1" x14ac:dyDescent="0.3">
      <c r="A1540" s="546"/>
      <c r="B1540" s="289" t="s">
        <v>595</v>
      </c>
      <c r="C1540" s="290" t="s">
        <v>19</v>
      </c>
      <c r="D1540" s="295">
        <v>2.1999999999999999E-2</v>
      </c>
      <c r="E1540" s="290" t="s">
        <v>45</v>
      </c>
      <c r="F1540" s="465"/>
      <c r="G1540" s="289" t="s">
        <v>597</v>
      </c>
      <c r="H1540" s="290"/>
      <c r="I1540" s="290" t="str">
        <f t="shared" si="38"/>
        <v>05,26</v>
      </c>
    </row>
    <row r="1541" spans="1:9" ht="19.5" hidden="1" thickBot="1" x14ac:dyDescent="0.3">
      <c r="A1541" s="546"/>
      <c r="B1541" s="289" t="s">
        <v>595</v>
      </c>
      <c r="C1541" s="290" t="s">
        <v>367</v>
      </c>
      <c r="D1541" s="291">
        <v>0.222</v>
      </c>
      <c r="E1541" s="290" t="s">
        <v>45</v>
      </c>
      <c r="F1541" s="465"/>
      <c r="G1541" s="289" t="s">
        <v>597</v>
      </c>
      <c r="H1541" s="290" t="s">
        <v>416</v>
      </c>
      <c r="I1541" s="290" t="str">
        <f t="shared" si="38"/>
        <v>05,26</v>
      </c>
    </row>
    <row r="1542" spans="1:9" ht="19.5" hidden="1" thickBot="1" x14ac:dyDescent="0.3">
      <c r="A1542" s="469">
        <f>MAX(A1473:A1536)+1</f>
        <v>286</v>
      </c>
      <c r="B1542" s="138" t="s">
        <v>598</v>
      </c>
      <c r="C1542" s="92" t="s">
        <v>18</v>
      </c>
      <c r="D1542" s="93">
        <v>2.92</v>
      </c>
      <c r="E1542" s="94" t="s">
        <v>13</v>
      </c>
      <c r="F1542" s="131"/>
      <c r="G1542" s="94" t="s">
        <v>600</v>
      </c>
      <c r="H1542" s="150"/>
      <c r="I1542" s="150" t="str">
        <f t="shared" si="38"/>
        <v>05,26</v>
      </c>
    </row>
    <row r="1543" spans="1:9" ht="19.5" hidden="1" thickBot="1" x14ac:dyDescent="0.3">
      <c r="A1543" s="470"/>
      <c r="B1543" s="138" t="s">
        <v>598</v>
      </c>
      <c r="C1543" s="147" t="s">
        <v>19</v>
      </c>
      <c r="D1543" s="148">
        <v>2.476</v>
      </c>
      <c r="E1543" s="146" t="s">
        <v>13</v>
      </c>
      <c r="F1543" s="265"/>
      <c r="G1543" s="94" t="s">
        <v>600</v>
      </c>
      <c r="H1543" s="149"/>
      <c r="I1543" s="149" t="str">
        <f t="shared" si="38"/>
        <v>05,26</v>
      </c>
    </row>
    <row r="1544" spans="1:9" ht="19.5" hidden="1" thickBot="1" x14ac:dyDescent="0.3">
      <c r="A1544" s="470"/>
      <c r="B1544" s="138" t="s">
        <v>598</v>
      </c>
      <c r="C1544" s="147" t="s">
        <v>116</v>
      </c>
      <c r="D1544" s="148">
        <v>3.1190000000000002</v>
      </c>
      <c r="E1544" s="146" t="s">
        <v>13</v>
      </c>
      <c r="F1544" s="265"/>
      <c r="G1544" s="94" t="s">
        <v>600</v>
      </c>
      <c r="H1544" s="149" t="s">
        <v>416</v>
      </c>
      <c r="I1544" s="149" t="str">
        <f t="shared" si="38"/>
        <v>05,26</v>
      </c>
    </row>
    <row r="1545" spans="1:9" ht="19.5" hidden="1" thickBot="1" x14ac:dyDescent="0.3">
      <c r="A1545" s="470"/>
      <c r="B1545" s="138" t="s">
        <v>598</v>
      </c>
      <c r="C1545" s="147" t="s">
        <v>17</v>
      </c>
      <c r="D1545" s="148">
        <v>1.9350000000000001</v>
      </c>
      <c r="E1545" s="146" t="s">
        <v>13</v>
      </c>
      <c r="F1545" s="265"/>
      <c r="G1545" s="94" t="s">
        <v>600</v>
      </c>
      <c r="H1545" s="149"/>
      <c r="I1545" s="149" t="str">
        <f t="shared" si="38"/>
        <v>05,26</v>
      </c>
    </row>
    <row r="1546" spans="1:9" ht="19.5" hidden="1" thickBot="1" x14ac:dyDescent="0.3">
      <c r="A1546" s="470"/>
      <c r="B1546" s="138" t="s">
        <v>598</v>
      </c>
      <c r="C1546" s="247" t="s">
        <v>367</v>
      </c>
      <c r="D1546" s="248">
        <v>2.9239999999999999</v>
      </c>
      <c r="E1546" s="249" t="s">
        <v>13</v>
      </c>
      <c r="F1546" s="266"/>
      <c r="G1546" s="94" t="s">
        <v>600</v>
      </c>
      <c r="H1546" s="251" t="s">
        <v>416</v>
      </c>
      <c r="I1546" s="251" t="str">
        <f t="shared" si="38"/>
        <v>05,26</v>
      </c>
    </row>
    <row r="1547" spans="1:9" ht="19.5" hidden="1" thickBot="1" x14ac:dyDescent="0.3">
      <c r="A1547" s="471"/>
      <c r="B1547" s="138" t="s">
        <v>598</v>
      </c>
      <c r="C1547" s="247" t="s">
        <v>277</v>
      </c>
      <c r="D1547" s="248">
        <v>7.73</v>
      </c>
      <c r="E1547" s="249" t="s">
        <v>13</v>
      </c>
      <c r="F1547" s="266"/>
      <c r="G1547" s="94" t="s">
        <v>600</v>
      </c>
      <c r="H1547" s="251" t="s">
        <v>416</v>
      </c>
      <c r="I1547" s="251" t="str">
        <f t="shared" si="38"/>
        <v>05,26</v>
      </c>
    </row>
    <row r="1548" spans="1:9" ht="19.5" hidden="1" thickBot="1" x14ac:dyDescent="0.3">
      <c r="A1548" s="469">
        <f>MAX(A1486:A1547)+1</f>
        <v>287</v>
      </c>
      <c r="B1548" s="138" t="s">
        <v>598</v>
      </c>
      <c r="C1548" s="92" t="s">
        <v>18</v>
      </c>
      <c r="D1548" s="93">
        <v>2.92</v>
      </c>
      <c r="E1548" s="94" t="s">
        <v>13</v>
      </c>
      <c r="F1548" s="131"/>
      <c r="G1548" s="94" t="s">
        <v>601</v>
      </c>
      <c r="H1548" s="150"/>
      <c r="I1548" s="150" t="str">
        <f t="shared" si="38"/>
        <v>05,26</v>
      </c>
    </row>
    <row r="1549" spans="1:9" ht="19.5" hidden="1" thickBot="1" x14ac:dyDescent="0.3">
      <c r="A1549" s="470"/>
      <c r="B1549" s="138" t="s">
        <v>598</v>
      </c>
      <c r="C1549" s="147" t="s">
        <v>19</v>
      </c>
      <c r="D1549" s="148">
        <v>2.476</v>
      </c>
      <c r="E1549" s="146" t="s">
        <v>13</v>
      </c>
      <c r="F1549" s="265"/>
      <c r="G1549" s="94" t="s">
        <v>601</v>
      </c>
      <c r="H1549" s="149"/>
      <c r="I1549" s="149" t="str">
        <f t="shared" si="38"/>
        <v>05,26</v>
      </c>
    </row>
    <row r="1550" spans="1:9" ht="19.5" hidden="1" thickBot="1" x14ac:dyDescent="0.3">
      <c r="A1550" s="470"/>
      <c r="B1550" s="138" t="s">
        <v>598</v>
      </c>
      <c r="C1550" s="147" t="s">
        <v>116</v>
      </c>
      <c r="D1550" s="148">
        <v>3.1190000000000002</v>
      </c>
      <c r="E1550" s="146" t="s">
        <v>13</v>
      </c>
      <c r="F1550" s="265"/>
      <c r="G1550" s="94" t="s">
        <v>601</v>
      </c>
      <c r="H1550" s="149" t="s">
        <v>416</v>
      </c>
      <c r="I1550" s="149" t="str">
        <f t="shared" si="38"/>
        <v>05,26</v>
      </c>
    </row>
    <row r="1551" spans="1:9" ht="19.5" hidden="1" thickBot="1" x14ac:dyDescent="0.3">
      <c r="A1551" s="470"/>
      <c r="B1551" s="138" t="s">
        <v>598</v>
      </c>
      <c r="C1551" s="147" t="s">
        <v>17</v>
      </c>
      <c r="D1551" s="148">
        <v>1.9350000000000001</v>
      </c>
      <c r="E1551" s="146" t="s">
        <v>13</v>
      </c>
      <c r="F1551" s="265"/>
      <c r="G1551" s="94" t="s">
        <v>601</v>
      </c>
      <c r="H1551" s="149"/>
      <c r="I1551" s="149" t="str">
        <f t="shared" si="38"/>
        <v>05,26</v>
      </c>
    </row>
    <row r="1552" spans="1:9" ht="19.5" hidden="1" thickBot="1" x14ac:dyDescent="0.3">
      <c r="A1552" s="545">
        <f>MAX(A1488:A1551)+1</f>
        <v>288</v>
      </c>
      <c r="B1552" s="289" t="s">
        <v>599</v>
      </c>
      <c r="C1552" s="290" t="s">
        <v>19</v>
      </c>
      <c r="D1552" s="291">
        <v>0.85799999999999998</v>
      </c>
      <c r="E1552" s="290" t="s">
        <v>519</v>
      </c>
      <c r="F1552" s="464" t="s">
        <v>541</v>
      </c>
      <c r="G1552" s="289" t="s">
        <v>601</v>
      </c>
      <c r="H1552" s="290"/>
      <c r="I1552" s="290" t="str">
        <f t="shared" si="38"/>
        <v>05,26</v>
      </c>
    </row>
    <row r="1553" spans="1:9" ht="19.5" hidden="1" thickBot="1" x14ac:dyDescent="0.3">
      <c r="A1553" s="546"/>
      <c r="B1553" s="289" t="s">
        <v>599</v>
      </c>
      <c r="C1553" s="290" t="s">
        <v>116</v>
      </c>
      <c r="D1553" s="291">
        <v>0.89700000000000002</v>
      </c>
      <c r="E1553" s="290" t="s">
        <v>519</v>
      </c>
      <c r="F1553" s="465"/>
      <c r="G1553" s="289" t="s">
        <v>601</v>
      </c>
      <c r="H1553" s="290" t="s">
        <v>416</v>
      </c>
      <c r="I1553" s="290" t="str">
        <f t="shared" si="38"/>
        <v>05,26</v>
      </c>
    </row>
    <row r="1554" spans="1:9" ht="19.5" hidden="1" thickBot="1" x14ac:dyDescent="0.3">
      <c r="A1554" s="546"/>
      <c r="B1554" s="289" t="s">
        <v>599</v>
      </c>
      <c r="C1554" s="290" t="s">
        <v>18</v>
      </c>
      <c r="D1554" s="291">
        <v>0.55400000000000005</v>
      </c>
      <c r="E1554" s="290" t="s">
        <v>519</v>
      </c>
      <c r="F1554" s="465"/>
      <c r="G1554" s="289" t="s">
        <v>601</v>
      </c>
      <c r="H1554" s="290"/>
      <c r="I1554" s="290" t="str">
        <f t="shared" si="38"/>
        <v>05,26</v>
      </c>
    </row>
    <row r="1555" spans="1:9" ht="19.5" hidden="1" thickBot="1" x14ac:dyDescent="0.3">
      <c r="A1555" s="546"/>
      <c r="B1555" s="289" t="s">
        <v>599</v>
      </c>
      <c r="C1555" s="290" t="s">
        <v>17</v>
      </c>
      <c r="D1555" s="291">
        <v>0.73099999999999998</v>
      </c>
      <c r="E1555" s="290" t="s">
        <v>519</v>
      </c>
      <c r="F1555" s="465"/>
      <c r="G1555" s="289" t="s">
        <v>601</v>
      </c>
      <c r="H1555" s="290"/>
      <c r="I1555" s="290" t="str">
        <f t="shared" si="38"/>
        <v>05,26</v>
      </c>
    </row>
    <row r="1556" spans="1:9" ht="19.5" hidden="1" thickBot="1" x14ac:dyDescent="0.3">
      <c r="A1556" s="546"/>
      <c r="B1556" s="289" t="s">
        <v>599</v>
      </c>
      <c r="C1556" s="290" t="s">
        <v>18</v>
      </c>
      <c r="D1556" s="291">
        <v>0.09</v>
      </c>
      <c r="E1556" s="290" t="s">
        <v>45</v>
      </c>
      <c r="F1556" s="465"/>
      <c r="G1556" s="289" t="s">
        <v>601</v>
      </c>
      <c r="H1556" s="290"/>
      <c r="I1556" s="290" t="str">
        <f t="shared" si="38"/>
        <v>05,26</v>
      </c>
    </row>
    <row r="1557" spans="1:9" ht="19.5" hidden="1" thickBot="1" x14ac:dyDescent="0.3">
      <c r="A1557" s="546"/>
      <c r="B1557" s="289" t="s">
        <v>599</v>
      </c>
      <c r="C1557" s="290" t="s">
        <v>19</v>
      </c>
      <c r="D1557" s="295">
        <v>3.5999999999999997E-2</v>
      </c>
      <c r="E1557" s="290" t="s">
        <v>45</v>
      </c>
      <c r="F1557" s="465"/>
      <c r="G1557" s="289" t="s">
        <v>601</v>
      </c>
      <c r="H1557" s="290"/>
      <c r="I1557" s="290" t="str">
        <f t="shared" si="38"/>
        <v>05,26</v>
      </c>
    </row>
    <row r="1558" spans="1:9" ht="19.5" hidden="1" thickBot="1" x14ac:dyDescent="0.3">
      <c r="A1558" s="546"/>
      <c r="B1558" s="289" t="s">
        <v>599</v>
      </c>
      <c r="C1558" s="290" t="s">
        <v>367</v>
      </c>
      <c r="D1558" s="291">
        <v>0.222</v>
      </c>
      <c r="E1558" s="290" t="s">
        <v>45</v>
      </c>
      <c r="F1558" s="465"/>
      <c r="G1558" s="289" t="s">
        <v>601</v>
      </c>
      <c r="H1558" s="290" t="s">
        <v>416</v>
      </c>
      <c r="I1558" s="290" t="str">
        <f t="shared" ref="I1558:I1621" si="39">RIGHT(G1558,5)</f>
        <v>05,26</v>
      </c>
    </row>
    <row r="1559" spans="1:9" ht="19.5" hidden="1" thickBot="1" x14ac:dyDescent="0.3">
      <c r="A1559" s="469">
        <f>MAX(A1490:A1553)+1</f>
        <v>289</v>
      </c>
      <c r="B1559" s="138" t="s">
        <v>602</v>
      </c>
      <c r="C1559" s="92" t="s">
        <v>18</v>
      </c>
      <c r="D1559" s="93">
        <v>3.863</v>
      </c>
      <c r="E1559" s="94" t="s">
        <v>13</v>
      </c>
      <c r="F1559" s="131"/>
      <c r="G1559" s="94" t="s">
        <v>603</v>
      </c>
      <c r="H1559" s="150"/>
      <c r="I1559" s="150" t="str">
        <f t="shared" si="39"/>
        <v>05,26</v>
      </c>
    </row>
    <row r="1560" spans="1:9" ht="19.5" hidden="1" thickBot="1" x14ac:dyDescent="0.3">
      <c r="A1560" s="470"/>
      <c r="B1560" s="138" t="s">
        <v>602</v>
      </c>
      <c r="C1560" s="147" t="s">
        <v>19</v>
      </c>
      <c r="D1560" s="148">
        <v>5.2640000000000002</v>
      </c>
      <c r="E1560" s="146" t="s">
        <v>13</v>
      </c>
      <c r="F1560" s="265"/>
      <c r="G1560" s="94" t="s">
        <v>603</v>
      </c>
      <c r="H1560" s="149"/>
      <c r="I1560" s="149" t="str">
        <f t="shared" si="39"/>
        <v>05,26</v>
      </c>
    </row>
    <row r="1561" spans="1:9" ht="19.5" hidden="1" thickBot="1" x14ac:dyDescent="0.3">
      <c r="A1561" s="470"/>
      <c r="B1561" s="138" t="s">
        <v>602</v>
      </c>
      <c r="C1561" s="147" t="s">
        <v>116</v>
      </c>
      <c r="D1561" s="148">
        <v>3.1760000000000002</v>
      </c>
      <c r="E1561" s="146" t="s">
        <v>13</v>
      </c>
      <c r="F1561" s="265"/>
      <c r="G1561" s="94" t="s">
        <v>603</v>
      </c>
      <c r="H1561" s="149" t="s">
        <v>416</v>
      </c>
      <c r="I1561" s="149" t="str">
        <f t="shared" si="39"/>
        <v>05,26</v>
      </c>
    </row>
    <row r="1562" spans="1:9" ht="19.5" hidden="1" thickBot="1" x14ac:dyDescent="0.3">
      <c r="A1562" s="470"/>
      <c r="B1562" s="138" t="s">
        <v>602</v>
      </c>
      <c r="C1562" s="147" t="s">
        <v>17</v>
      </c>
      <c r="D1562" s="148">
        <v>3.4079999999999999</v>
      </c>
      <c r="E1562" s="146" t="s">
        <v>13</v>
      </c>
      <c r="F1562" s="265"/>
      <c r="G1562" s="94" t="s">
        <v>603</v>
      </c>
      <c r="H1562" s="149"/>
      <c r="I1562" s="149" t="str">
        <f t="shared" si="39"/>
        <v>05,26</v>
      </c>
    </row>
    <row r="1563" spans="1:9" ht="19.5" hidden="1" thickBot="1" x14ac:dyDescent="0.3">
      <c r="A1563" s="471"/>
      <c r="B1563" s="138" t="s">
        <v>602</v>
      </c>
      <c r="C1563" s="247" t="s">
        <v>564</v>
      </c>
      <c r="D1563" s="248">
        <v>1.1120000000000001</v>
      </c>
      <c r="E1563" s="249" t="s">
        <v>13</v>
      </c>
      <c r="F1563" s="266"/>
      <c r="G1563" s="94" t="s">
        <v>603</v>
      </c>
      <c r="H1563" s="251" t="s">
        <v>416</v>
      </c>
      <c r="I1563" s="251" t="str">
        <f t="shared" si="39"/>
        <v>05,26</v>
      </c>
    </row>
    <row r="1564" spans="1:9" ht="19.5" hidden="1" thickBot="1" x14ac:dyDescent="0.3">
      <c r="A1564" s="469">
        <f>MAX(A1503:A1563)+1</f>
        <v>290</v>
      </c>
      <c r="B1564" s="138" t="s">
        <v>602</v>
      </c>
      <c r="C1564" s="92" t="s">
        <v>18</v>
      </c>
      <c r="D1564" s="93">
        <v>3.863</v>
      </c>
      <c r="E1564" s="94" t="s">
        <v>13</v>
      </c>
      <c r="F1564" s="131"/>
      <c r="G1564" s="94" t="s">
        <v>604</v>
      </c>
      <c r="H1564" s="150"/>
      <c r="I1564" s="150" t="str">
        <f t="shared" si="39"/>
        <v>05,26</v>
      </c>
    </row>
    <row r="1565" spans="1:9" ht="19.5" hidden="1" thickBot="1" x14ac:dyDescent="0.3">
      <c r="A1565" s="470"/>
      <c r="B1565" s="138" t="s">
        <v>602</v>
      </c>
      <c r="C1565" s="147" t="s">
        <v>19</v>
      </c>
      <c r="D1565" s="148">
        <v>5.2640000000000002</v>
      </c>
      <c r="E1565" s="146" t="s">
        <v>13</v>
      </c>
      <c r="F1565" s="265"/>
      <c r="G1565" s="94" t="s">
        <v>604</v>
      </c>
      <c r="H1565" s="149"/>
      <c r="I1565" s="149" t="str">
        <f t="shared" si="39"/>
        <v>05,26</v>
      </c>
    </row>
    <row r="1566" spans="1:9" ht="19.5" hidden="1" thickBot="1" x14ac:dyDescent="0.3">
      <c r="A1566" s="470"/>
      <c r="B1566" s="138" t="s">
        <v>602</v>
      </c>
      <c r="C1566" s="147" t="s">
        <v>116</v>
      </c>
      <c r="D1566" s="148">
        <v>3.1760000000000002</v>
      </c>
      <c r="E1566" s="146" t="s">
        <v>13</v>
      </c>
      <c r="F1566" s="265"/>
      <c r="G1566" s="94" t="s">
        <v>604</v>
      </c>
      <c r="H1566" s="149" t="s">
        <v>416</v>
      </c>
      <c r="I1566" s="149" t="str">
        <f t="shared" si="39"/>
        <v>05,26</v>
      </c>
    </row>
    <row r="1567" spans="1:9" ht="19.5" hidden="1" thickBot="1" x14ac:dyDescent="0.3">
      <c r="A1567" s="470"/>
      <c r="B1567" s="138" t="s">
        <v>602</v>
      </c>
      <c r="C1567" s="147" t="s">
        <v>17</v>
      </c>
      <c r="D1567" s="148">
        <v>3.4079999999999999</v>
      </c>
      <c r="E1567" s="146" t="s">
        <v>13</v>
      </c>
      <c r="F1567" s="265"/>
      <c r="G1567" s="94" t="s">
        <v>604</v>
      </c>
      <c r="H1567" s="149"/>
      <c r="I1567" s="149" t="str">
        <f t="shared" si="39"/>
        <v>05,26</v>
      </c>
    </row>
    <row r="1568" spans="1:9" ht="19.5" hidden="1" customHeight="1" thickBot="1" x14ac:dyDescent="0.3">
      <c r="A1568" s="545">
        <f>MAX(A1505:A1567)+1</f>
        <v>291</v>
      </c>
      <c r="B1568" s="289" t="s">
        <v>605</v>
      </c>
      <c r="C1568" s="290" t="s">
        <v>19</v>
      </c>
      <c r="D1568" s="291">
        <v>1.583</v>
      </c>
      <c r="E1568" s="290" t="s">
        <v>519</v>
      </c>
      <c r="F1568" s="464" t="s">
        <v>606</v>
      </c>
      <c r="G1568" s="289" t="s">
        <v>604</v>
      </c>
      <c r="H1568" s="290"/>
      <c r="I1568" s="290" t="str">
        <f t="shared" si="39"/>
        <v>05,26</v>
      </c>
    </row>
    <row r="1569" spans="1:9" ht="19.5" hidden="1" thickBot="1" x14ac:dyDescent="0.3">
      <c r="A1569" s="546"/>
      <c r="B1569" s="289" t="s">
        <v>605</v>
      </c>
      <c r="C1569" s="290" t="s">
        <v>116</v>
      </c>
      <c r="D1569" s="291">
        <v>1.4430000000000001</v>
      </c>
      <c r="E1569" s="290" t="s">
        <v>519</v>
      </c>
      <c r="F1569" s="465"/>
      <c r="G1569" s="289" t="s">
        <v>604</v>
      </c>
      <c r="H1569" s="290" t="s">
        <v>416</v>
      </c>
      <c r="I1569" s="290" t="str">
        <f t="shared" si="39"/>
        <v>05,26</v>
      </c>
    </row>
    <row r="1570" spans="1:9" ht="19.5" hidden="1" thickBot="1" x14ac:dyDescent="0.3">
      <c r="A1570" s="546"/>
      <c r="B1570" s="289" t="s">
        <v>605</v>
      </c>
      <c r="C1570" s="290" t="s">
        <v>18</v>
      </c>
      <c r="D1570" s="291">
        <v>1.885</v>
      </c>
      <c r="E1570" s="290" t="s">
        <v>519</v>
      </c>
      <c r="F1570" s="465"/>
      <c r="G1570" s="289" t="s">
        <v>604</v>
      </c>
      <c r="H1570" s="290"/>
      <c r="I1570" s="290" t="str">
        <f t="shared" si="39"/>
        <v>05,26</v>
      </c>
    </row>
    <row r="1571" spans="1:9" ht="19.5" hidden="1" thickBot="1" x14ac:dyDescent="0.3">
      <c r="A1571" s="546"/>
      <c r="B1571" s="289" t="s">
        <v>605</v>
      </c>
      <c r="C1571" s="290" t="s">
        <v>17</v>
      </c>
      <c r="D1571" s="291">
        <v>1.964</v>
      </c>
      <c r="E1571" s="290" t="s">
        <v>519</v>
      </c>
      <c r="F1571" s="465"/>
      <c r="G1571" s="289" t="s">
        <v>604</v>
      </c>
      <c r="H1571" s="290"/>
      <c r="I1571" s="290" t="str">
        <f t="shared" si="39"/>
        <v>05,26</v>
      </c>
    </row>
    <row r="1572" spans="1:9" ht="19.5" hidden="1" thickBot="1" x14ac:dyDescent="0.3">
      <c r="A1572" s="546"/>
      <c r="B1572" s="289" t="s">
        <v>605</v>
      </c>
      <c r="C1572" s="290" t="s">
        <v>18</v>
      </c>
      <c r="D1572" s="291">
        <v>0.19800000000000001</v>
      </c>
      <c r="E1572" s="290" t="s">
        <v>45</v>
      </c>
      <c r="F1572" s="465"/>
      <c r="G1572" s="289" t="s">
        <v>604</v>
      </c>
      <c r="H1572" s="290"/>
      <c r="I1572" s="290" t="str">
        <f t="shared" si="39"/>
        <v>05,26</v>
      </c>
    </row>
    <row r="1573" spans="1:9" ht="19.5" hidden="1" thickBot="1" x14ac:dyDescent="0.3">
      <c r="A1573" s="546"/>
      <c r="B1573" s="289" t="s">
        <v>605</v>
      </c>
      <c r="C1573" s="290" t="s">
        <v>19</v>
      </c>
      <c r="D1573" s="295">
        <v>0.09</v>
      </c>
      <c r="E1573" s="290" t="s">
        <v>45</v>
      </c>
      <c r="F1573" s="465"/>
      <c r="G1573" s="289" t="s">
        <v>604</v>
      </c>
      <c r="H1573" s="290"/>
      <c r="I1573" s="290" t="str">
        <f t="shared" si="39"/>
        <v>05,26</v>
      </c>
    </row>
    <row r="1574" spans="1:9" ht="19.5" hidden="1" thickBot="1" x14ac:dyDescent="0.3">
      <c r="A1574" s="546"/>
      <c r="B1574" s="289" t="s">
        <v>605</v>
      </c>
      <c r="C1574" s="290" t="s">
        <v>116</v>
      </c>
      <c r="D1574" s="291">
        <v>0.249</v>
      </c>
      <c r="E1574" s="290" t="s">
        <v>45</v>
      </c>
      <c r="F1574" s="465"/>
      <c r="G1574" s="289" t="s">
        <v>604</v>
      </c>
      <c r="H1574" s="290" t="s">
        <v>416</v>
      </c>
      <c r="I1574" s="290" t="str">
        <f t="shared" si="39"/>
        <v>05,26</v>
      </c>
    </row>
    <row r="1575" spans="1:9" ht="19.5" hidden="1" thickBot="1" x14ac:dyDescent="0.3">
      <c r="A1575" s="546"/>
      <c r="B1575" s="289" t="s">
        <v>605</v>
      </c>
      <c r="C1575" s="290" t="s">
        <v>17</v>
      </c>
      <c r="D1575" s="291">
        <v>0.126</v>
      </c>
      <c r="E1575" s="290" t="s">
        <v>45</v>
      </c>
      <c r="F1575" s="465"/>
      <c r="G1575" s="289" t="s">
        <v>604</v>
      </c>
      <c r="H1575" s="290"/>
      <c r="I1575" s="290" t="str">
        <f t="shared" si="39"/>
        <v>05,26</v>
      </c>
    </row>
    <row r="1576" spans="1:9" ht="19.5" hidden="1" thickBot="1" x14ac:dyDescent="0.3">
      <c r="A1576" s="469">
        <f>MAX(A1515:A1575)+1</f>
        <v>292</v>
      </c>
      <c r="B1576" s="138" t="s">
        <v>607</v>
      </c>
      <c r="C1576" s="92" t="s">
        <v>18</v>
      </c>
      <c r="D1576" s="93">
        <v>1.9279999999999999</v>
      </c>
      <c r="E1576" s="94" t="s">
        <v>13</v>
      </c>
      <c r="F1576" s="131"/>
      <c r="G1576" s="94" t="s">
        <v>608</v>
      </c>
      <c r="H1576" s="150"/>
      <c r="I1576" s="150" t="str">
        <f t="shared" si="39"/>
        <v>05,26</v>
      </c>
    </row>
    <row r="1577" spans="1:9" ht="19.5" hidden="1" thickBot="1" x14ac:dyDescent="0.3">
      <c r="A1577" s="470"/>
      <c r="B1577" s="138" t="s">
        <v>607</v>
      </c>
      <c r="C1577" s="147" t="s">
        <v>19</v>
      </c>
      <c r="D1577" s="148">
        <v>2.2050000000000001</v>
      </c>
      <c r="E1577" s="146" t="s">
        <v>13</v>
      </c>
      <c r="F1577" s="265"/>
      <c r="G1577" s="94" t="s">
        <v>608</v>
      </c>
      <c r="H1577" s="149"/>
      <c r="I1577" s="149" t="str">
        <f t="shared" si="39"/>
        <v>05,26</v>
      </c>
    </row>
    <row r="1578" spans="1:9" ht="19.5" hidden="1" thickBot="1" x14ac:dyDescent="0.3">
      <c r="A1578" s="470"/>
      <c r="B1578" s="138" t="s">
        <v>607</v>
      </c>
      <c r="C1578" s="147" t="s">
        <v>17</v>
      </c>
      <c r="D1578" s="148">
        <v>1.657</v>
      </c>
      <c r="E1578" s="146" t="s">
        <v>13</v>
      </c>
      <c r="F1578" s="265"/>
      <c r="G1578" s="94" t="s">
        <v>608</v>
      </c>
      <c r="H1578" s="149"/>
      <c r="I1578" s="149" t="str">
        <f t="shared" si="39"/>
        <v>05,26</v>
      </c>
    </row>
    <row r="1579" spans="1:9" ht="19.5" hidden="1" thickBot="1" x14ac:dyDescent="0.3">
      <c r="A1579" s="470"/>
      <c r="B1579" s="138" t="s">
        <v>607</v>
      </c>
      <c r="C1579" s="147" t="s">
        <v>116</v>
      </c>
      <c r="D1579" s="148">
        <v>3.032</v>
      </c>
      <c r="E1579" s="146" t="s">
        <v>13</v>
      </c>
      <c r="F1579" s="265"/>
      <c r="G1579" s="94" t="s">
        <v>608</v>
      </c>
      <c r="H1579" s="149" t="s">
        <v>416</v>
      </c>
      <c r="I1579" s="149" t="str">
        <f t="shared" si="39"/>
        <v>05,26</v>
      </c>
    </row>
    <row r="1580" spans="1:9" ht="19.5" hidden="1" thickBot="1" x14ac:dyDescent="0.3">
      <c r="A1580" s="469">
        <f>MAX(A1519:A1579)+1</f>
        <v>293</v>
      </c>
      <c r="B1580" s="138" t="s">
        <v>607</v>
      </c>
      <c r="C1580" s="92" t="s">
        <v>18</v>
      </c>
      <c r="D1580" s="93">
        <v>1.9279999999999999</v>
      </c>
      <c r="E1580" s="94" t="s">
        <v>13</v>
      </c>
      <c r="F1580" s="131"/>
      <c r="G1580" s="94" t="s">
        <v>609</v>
      </c>
      <c r="H1580" s="150"/>
      <c r="I1580" s="150" t="str">
        <f t="shared" si="39"/>
        <v>05,26</v>
      </c>
    </row>
    <row r="1581" spans="1:9" ht="19.5" hidden="1" thickBot="1" x14ac:dyDescent="0.3">
      <c r="A1581" s="470"/>
      <c r="B1581" s="138" t="s">
        <v>607</v>
      </c>
      <c r="C1581" s="147" t="s">
        <v>19</v>
      </c>
      <c r="D1581" s="148">
        <v>2.2050000000000001</v>
      </c>
      <c r="E1581" s="146" t="s">
        <v>13</v>
      </c>
      <c r="F1581" s="265"/>
      <c r="G1581" s="94" t="s">
        <v>609</v>
      </c>
      <c r="H1581" s="149"/>
      <c r="I1581" s="149" t="str">
        <f t="shared" si="39"/>
        <v>05,26</v>
      </c>
    </row>
    <row r="1582" spans="1:9" ht="19.5" hidden="1" thickBot="1" x14ac:dyDescent="0.3">
      <c r="A1582" s="470"/>
      <c r="B1582" s="138" t="s">
        <v>607</v>
      </c>
      <c r="C1582" s="147" t="s">
        <v>116</v>
      </c>
      <c r="D1582" s="148">
        <v>3.032</v>
      </c>
      <c r="E1582" s="146" t="s">
        <v>13</v>
      </c>
      <c r="F1582" s="265"/>
      <c r="G1582" s="94" t="s">
        <v>609</v>
      </c>
      <c r="H1582" s="149" t="s">
        <v>416</v>
      </c>
      <c r="I1582" s="149" t="str">
        <f t="shared" si="39"/>
        <v>05,26</v>
      </c>
    </row>
    <row r="1583" spans="1:9" ht="19.5" hidden="1" thickBot="1" x14ac:dyDescent="0.3">
      <c r="A1583" s="470"/>
      <c r="B1583" s="138" t="s">
        <v>607</v>
      </c>
      <c r="C1583" s="147" t="s">
        <v>17</v>
      </c>
      <c r="D1583" s="148">
        <v>1.657</v>
      </c>
      <c r="E1583" s="146" t="s">
        <v>13</v>
      </c>
      <c r="F1583" s="265"/>
      <c r="G1583" s="94" t="s">
        <v>609</v>
      </c>
      <c r="H1583" s="149"/>
      <c r="I1583" s="149" t="str">
        <f t="shared" si="39"/>
        <v>05,26</v>
      </c>
    </row>
    <row r="1584" spans="1:9" ht="19.5" hidden="1" thickBot="1" x14ac:dyDescent="0.3">
      <c r="A1584" s="545">
        <f>MAX(A1521:A1583)+1</f>
        <v>294</v>
      </c>
      <c r="B1584" s="289" t="s">
        <v>610</v>
      </c>
      <c r="C1584" s="290" t="s">
        <v>19</v>
      </c>
      <c r="D1584" s="291">
        <v>0.53100000000000003</v>
      </c>
      <c r="E1584" s="290" t="s">
        <v>519</v>
      </c>
      <c r="F1584" s="464" t="s">
        <v>574</v>
      </c>
      <c r="G1584" s="289" t="s">
        <v>609</v>
      </c>
      <c r="H1584" s="290"/>
      <c r="I1584" s="290" t="str">
        <f t="shared" si="39"/>
        <v>05,26</v>
      </c>
    </row>
    <row r="1585" spans="1:9" ht="19.5" hidden="1" thickBot="1" x14ac:dyDescent="0.3">
      <c r="A1585" s="546"/>
      <c r="B1585" s="289" t="s">
        <v>610</v>
      </c>
      <c r="C1585" s="290" t="s">
        <v>116</v>
      </c>
      <c r="D1585" s="291">
        <v>0.40200000000000002</v>
      </c>
      <c r="E1585" s="290" t="s">
        <v>519</v>
      </c>
      <c r="F1585" s="465"/>
      <c r="G1585" s="289" t="s">
        <v>609</v>
      </c>
      <c r="H1585" s="290" t="s">
        <v>416</v>
      </c>
      <c r="I1585" s="290" t="str">
        <f t="shared" si="39"/>
        <v>05,26</v>
      </c>
    </row>
    <row r="1586" spans="1:9" ht="19.5" hidden="1" thickBot="1" x14ac:dyDescent="0.3">
      <c r="A1586" s="546"/>
      <c r="B1586" s="289" t="s">
        <v>610</v>
      </c>
      <c r="C1586" s="290" t="s">
        <v>18</v>
      </c>
      <c r="D1586" s="291">
        <v>0.64200000000000002</v>
      </c>
      <c r="E1586" s="290" t="s">
        <v>519</v>
      </c>
      <c r="F1586" s="465"/>
      <c r="G1586" s="289" t="s">
        <v>609</v>
      </c>
      <c r="H1586" s="290"/>
      <c r="I1586" s="290" t="str">
        <f t="shared" si="39"/>
        <v>05,26</v>
      </c>
    </row>
    <row r="1587" spans="1:9" ht="19.5" hidden="1" thickBot="1" x14ac:dyDescent="0.3">
      <c r="A1587" s="546"/>
      <c r="B1587" s="289" t="s">
        <v>610</v>
      </c>
      <c r="C1587" s="290" t="s">
        <v>17</v>
      </c>
      <c r="D1587" s="291">
        <v>1.8979999999999999</v>
      </c>
      <c r="E1587" s="290" t="s">
        <v>519</v>
      </c>
      <c r="F1587" s="465"/>
      <c r="G1587" s="289" t="s">
        <v>609</v>
      </c>
      <c r="H1587" s="290"/>
      <c r="I1587" s="290" t="str">
        <f t="shared" si="39"/>
        <v>05,26</v>
      </c>
    </row>
    <row r="1588" spans="1:9" ht="19.5" hidden="1" thickBot="1" x14ac:dyDescent="0.3">
      <c r="A1588" s="546"/>
      <c r="B1588" s="289" t="s">
        <v>610</v>
      </c>
      <c r="C1588" s="290" t="s">
        <v>18</v>
      </c>
      <c r="D1588" s="291">
        <v>0.14399999999999999</v>
      </c>
      <c r="E1588" s="290" t="s">
        <v>45</v>
      </c>
      <c r="F1588" s="465"/>
      <c r="G1588" s="289" t="s">
        <v>609</v>
      </c>
      <c r="H1588" s="290"/>
      <c r="I1588" s="290" t="str">
        <f t="shared" si="39"/>
        <v>05,26</v>
      </c>
    </row>
    <row r="1589" spans="1:9" ht="19.5" hidden="1" thickBot="1" x14ac:dyDescent="0.3">
      <c r="A1589" s="546"/>
      <c r="B1589" s="289" t="s">
        <v>610</v>
      </c>
      <c r="C1589" s="290" t="s">
        <v>19</v>
      </c>
      <c r="D1589" s="295">
        <v>9.8000000000000004E-2</v>
      </c>
      <c r="E1589" s="290" t="s">
        <v>45</v>
      </c>
      <c r="F1589" s="465"/>
      <c r="G1589" s="289" t="s">
        <v>609</v>
      </c>
      <c r="H1589" s="290"/>
      <c r="I1589" s="290" t="str">
        <f t="shared" si="39"/>
        <v>05,26</v>
      </c>
    </row>
    <row r="1590" spans="1:9" ht="19.5" hidden="1" thickBot="1" x14ac:dyDescent="0.3">
      <c r="A1590" s="469">
        <f>MAX(A1521:A1584)+1</f>
        <v>295</v>
      </c>
      <c r="B1590" s="138" t="s">
        <v>613</v>
      </c>
      <c r="C1590" s="92" t="s">
        <v>18</v>
      </c>
      <c r="D1590" s="93">
        <v>2.5739999999999998</v>
      </c>
      <c r="E1590" s="94" t="s">
        <v>13</v>
      </c>
      <c r="F1590" s="131"/>
      <c r="G1590" s="94" t="s">
        <v>612</v>
      </c>
      <c r="H1590" s="150"/>
      <c r="I1590" s="150" t="str">
        <f t="shared" si="39"/>
        <v>05,26</v>
      </c>
    </row>
    <row r="1591" spans="1:9" ht="19.5" hidden="1" thickBot="1" x14ac:dyDescent="0.3">
      <c r="A1591" s="470"/>
      <c r="B1591" s="138" t="s">
        <v>613</v>
      </c>
      <c r="C1591" s="147" t="s">
        <v>19</v>
      </c>
      <c r="D1591" s="148">
        <v>4.34</v>
      </c>
      <c r="E1591" s="146" t="s">
        <v>13</v>
      </c>
      <c r="F1591" s="265"/>
      <c r="G1591" s="94" t="s">
        <v>612</v>
      </c>
      <c r="H1591" s="149"/>
      <c r="I1591" s="149" t="str">
        <f t="shared" si="39"/>
        <v>05,26</v>
      </c>
    </row>
    <row r="1592" spans="1:9" ht="19.5" hidden="1" thickBot="1" x14ac:dyDescent="0.3">
      <c r="A1592" s="470"/>
      <c r="B1592" s="138" t="s">
        <v>613</v>
      </c>
      <c r="C1592" s="147" t="s">
        <v>17</v>
      </c>
      <c r="D1592" s="148">
        <v>1.536</v>
      </c>
      <c r="E1592" s="146" t="s">
        <v>13</v>
      </c>
      <c r="F1592" s="265"/>
      <c r="G1592" s="94" t="s">
        <v>612</v>
      </c>
      <c r="H1592" s="149"/>
      <c r="I1592" s="149" t="str">
        <f t="shared" si="39"/>
        <v>05,26</v>
      </c>
    </row>
    <row r="1593" spans="1:9" ht="19.5" hidden="1" thickBot="1" x14ac:dyDescent="0.3">
      <c r="A1593" s="471"/>
      <c r="B1593" s="138" t="s">
        <v>613</v>
      </c>
      <c r="C1593" s="247" t="s">
        <v>564</v>
      </c>
      <c r="D1593" s="248">
        <v>1.2270000000000001</v>
      </c>
      <c r="E1593" s="249" t="s">
        <v>13</v>
      </c>
      <c r="F1593" s="266"/>
      <c r="G1593" s="94" t="s">
        <v>612</v>
      </c>
      <c r="H1593" s="251" t="s">
        <v>611</v>
      </c>
      <c r="I1593" s="251" t="str">
        <f t="shared" si="39"/>
        <v>05,26</v>
      </c>
    </row>
    <row r="1594" spans="1:9" ht="19.5" hidden="1" thickBot="1" x14ac:dyDescent="0.3">
      <c r="A1594" s="469">
        <f>MAX(A1535:A1593)+1</f>
        <v>296</v>
      </c>
      <c r="B1594" s="138" t="s">
        <v>613</v>
      </c>
      <c r="C1594" s="92" t="s">
        <v>18</v>
      </c>
      <c r="D1594" s="93">
        <v>2.5739999999999998</v>
      </c>
      <c r="E1594" s="94" t="s">
        <v>13</v>
      </c>
      <c r="F1594" s="131"/>
      <c r="G1594" s="94" t="s">
        <v>614</v>
      </c>
      <c r="H1594" s="150"/>
      <c r="I1594" s="150" t="str">
        <f t="shared" si="39"/>
        <v>06,26</v>
      </c>
    </row>
    <row r="1595" spans="1:9" ht="19.5" hidden="1" thickBot="1" x14ac:dyDescent="0.3">
      <c r="A1595" s="470"/>
      <c r="B1595" s="138" t="s">
        <v>613</v>
      </c>
      <c r="C1595" s="147" t="s">
        <v>19</v>
      </c>
      <c r="D1595" s="148">
        <v>4.34</v>
      </c>
      <c r="E1595" s="146" t="s">
        <v>13</v>
      </c>
      <c r="F1595" s="265"/>
      <c r="G1595" s="94" t="s">
        <v>614</v>
      </c>
      <c r="H1595" s="149"/>
      <c r="I1595" s="149" t="str">
        <f t="shared" si="39"/>
        <v>06,26</v>
      </c>
    </row>
    <row r="1596" spans="1:9" ht="19.5" hidden="1" thickBot="1" x14ac:dyDescent="0.3">
      <c r="A1596" s="470"/>
      <c r="B1596" s="138" t="s">
        <v>613</v>
      </c>
      <c r="C1596" s="147" t="s">
        <v>116</v>
      </c>
      <c r="D1596" s="148">
        <v>4.3819999999999997</v>
      </c>
      <c r="E1596" s="146" t="s">
        <v>13</v>
      </c>
      <c r="F1596" s="265"/>
      <c r="G1596" s="94" t="s">
        <v>614</v>
      </c>
      <c r="H1596" s="149" t="s">
        <v>416</v>
      </c>
      <c r="I1596" s="149" t="str">
        <f t="shared" si="39"/>
        <v>06,26</v>
      </c>
    </row>
    <row r="1597" spans="1:9" ht="19.5" hidden="1" thickBot="1" x14ac:dyDescent="0.3">
      <c r="A1597" s="470"/>
      <c r="B1597" s="138" t="s">
        <v>613</v>
      </c>
      <c r="C1597" s="147" t="s">
        <v>17</v>
      </c>
      <c r="D1597" s="148">
        <v>1.536</v>
      </c>
      <c r="E1597" s="146" t="s">
        <v>13</v>
      </c>
      <c r="F1597" s="265"/>
      <c r="G1597" s="94" t="s">
        <v>614</v>
      </c>
      <c r="H1597" s="149"/>
      <c r="I1597" s="149" t="str">
        <f t="shared" si="39"/>
        <v>06,26</v>
      </c>
    </row>
    <row r="1598" spans="1:9" ht="19.5" hidden="1" thickBot="1" x14ac:dyDescent="0.3">
      <c r="A1598" s="470"/>
      <c r="B1598" s="138" t="s">
        <v>613</v>
      </c>
      <c r="C1598" s="147" t="s">
        <v>367</v>
      </c>
      <c r="D1598" s="148">
        <v>2.8580000000000001</v>
      </c>
      <c r="E1598" s="146" t="s">
        <v>13</v>
      </c>
      <c r="F1598" s="265"/>
      <c r="G1598" s="94" t="s">
        <v>614</v>
      </c>
      <c r="H1598" s="149" t="s">
        <v>616</v>
      </c>
      <c r="I1598" s="149" t="str">
        <f t="shared" si="39"/>
        <v>06,26</v>
      </c>
    </row>
    <row r="1599" spans="1:9" ht="19.5" hidden="1" thickBot="1" x14ac:dyDescent="0.3">
      <c r="A1599" s="545">
        <f>MAX(A1536:A1598)+1</f>
        <v>297</v>
      </c>
      <c r="B1599" s="289" t="s">
        <v>615</v>
      </c>
      <c r="C1599" s="290" t="s">
        <v>19</v>
      </c>
      <c r="D1599" s="291">
        <v>0.16900000000000001</v>
      </c>
      <c r="E1599" s="290" t="s">
        <v>519</v>
      </c>
      <c r="F1599" s="464" t="s">
        <v>541</v>
      </c>
      <c r="G1599" s="289" t="s">
        <v>614</v>
      </c>
      <c r="H1599" s="290"/>
      <c r="I1599" s="290" t="str">
        <f t="shared" si="39"/>
        <v>06,26</v>
      </c>
    </row>
    <row r="1600" spans="1:9" ht="19.5" hidden="1" thickBot="1" x14ac:dyDescent="0.3">
      <c r="A1600" s="546"/>
      <c r="B1600" s="289" t="s">
        <v>615</v>
      </c>
      <c r="C1600" s="290" t="s">
        <v>116</v>
      </c>
      <c r="D1600" s="291">
        <v>1.1359999999999999</v>
      </c>
      <c r="E1600" s="290" t="s">
        <v>519</v>
      </c>
      <c r="F1600" s="465"/>
      <c r="G1600" s="289" t="s">
        <v>614</v>
      </c>
      <c r="H1600" s="290" t="s">
        <v>416</v>
      </c>
      <c r="I1600" s="290" t="str">
        <f t="shared" si="39"/>
        <v>06,26</v>
      </c>
    </row>
    <row r="1601" spans="1:9" ht="19.5" hidden="1" thickBot="1" x14ac:dyDescent="0.3">
      <c r="A1601" s="546"/>
      <c r="B1601" s="289" t="s">
        <v>615</v>
      </c>
      <c r="C1601" s="290" t="s">
        <v>18</v>
      </c>
      <c r="D1601" s="291">
        <v>1.075</v>
      </c>
      <c r="E1601" s="290" t="s">
        <v>519</v>
      </c>
      <c r="F1601" s="465"/>
      <c r="G1601" s="289" t="s">
        <v>614</v>
      </c>
      <c r="H1601" s="290"/>
      <c r="I1601" s="290" t="str">
        <f t="shared" si="39"/>
        <v>06,26</v>
      </c>
    </row>
    <row r="1602" spans="1:9" ht="19.5" hidden="1" thickBot="1" x14ac:dyDescent="0.3">
      <c r="A1602" s="546"/>
      <c r="B1602" s="289" t="s">
        <v>615</v>
      </c>
      <c r="C1602" s="290" t="s">
        <v>17</v>
      </c>
      <c r="D1602" s="291">
        <v>0.33</v>
      </c>
      <c r="E1602" s="290" t="s">
        <v>519</v>
      </c>
      <c r="F1602" s="465"/>
      <c r="G1602" s="289" t="s">
        <v>614</v>
      </c>
      <c r="H1602" s="290"/>
      <c r="I1602" s="290" t="str">
        <f t="shared" si="39"/>
        <v>06,26</v>
      </c>
    </row>
    <row r="1603" spans="1:9" ht="19.5" hidden="1" thickBot="1" x14ac:dyDescent="0.3">
      <c r="A1603" s="546"/>
      <c r="B1603" s="289" t="s">
        <v>615</v>
      </c>
      <c r="C1603" s="290" t="s">
        <v>18</v>
      </c>
      <c r="D1603" s="291">
        <v>0.216</v>
      </c>
      <c r="E1603" s="290" t="s">
        <v>45</v>
      </c>
      <c r="F1603" s="465"/>
      <c r="G1603" s="289" t="s">
        <v>614</v>
      </c>
      <c r="H1603" s="290"/>
      <c r="I1603" s="290" t="str">
        <f t="shared" si="39"/>
        <v>06,26</v>
      </c>
    </row>
    <row r="1604" spans="1:9" ht="19.5" hidden="1" thickBot="1" x14ac:dyDescent="0.3">
      <c r="A1604" s="546"/>
      <c r="B1604" s="289" t="s">
        <v>615</v>
      </c>
      <c r="C1604" s="290" t="s">
        <v>19</v>
      </c>
      <c r="D1604" s="295">
        <v>7.5999999999999998E-2</v>
      </c>
      <c r="E1604" s="290" t="s">
        <v>45</v>
      </c>
      <c r="F1604" s="465"/>
      <c r="G1604" s="289" t="s">
        <v>614</v>
      </c>
      <c r="H1604" s="290"/>
      <c r="I1604" s="290" t="str">
        <f t="shared" si="39"/>
        <v>06,26</v>
      </c>
    </row>
    <row r="1605" spans="1:9" ht="19.5" hidden="1" thickBot="1" x14ac:dyDescent="0.3">
      <c r="A1605" s="469">
        <f>MAX(A1544:A1604)+1</f>
        <v>298</v>
      </c>
      <c r="B1605" s="138" t="s">
        <v>617</v>
      </c>
      <c r="C1605" s="92" t="s">
        <v>18</v>
      </c>
      <c r="D1605" s="93">
        <v>1.966</v>
      </c>
      <c r="E1605" s="94" t="s">
        <v>13</v>
      </c>
      <c r="F1605" s="131"/>
      <c r="G1605" s="94" t="s">
        <v>618</v>
      </c>
      <c r="H1605" s="150"/>
      <c r="I1605" s="150" t="str">
        <f t="shared" si="39"/>
        <v>06,26</v>
      </c>
    </row>
    <row r="1606" spans="1:9" ht="19.5" hidden="1" thickBot="1" x14ac:dyDescent="0.3">
      <c r="A1606" s="470"/>
      <c r="B1606" s="138" t="s">
        <v>617</v>
      </c>
      <c r="C1606" s="147" t="s">
        <v>19</v>
      </c>
      <c r="D1606" s="148">
        <v>6.6150000000000002</v>
      </c>
      <c r="E1606" s="146" t="s">
        <v>13</v>
      </c>
      <c r="F1606" s="265"/>
      <c r="G1606" s="94" t="s">
        <v>618</v>
      </c>
      <c r="H1606" s="149"/>
      <c r="I1606" s="149" t="str">
        <f t="shared" si="39"/>
        <v>06,26</v>
      </c>
    </row>
    <row r="1607" spans="1:9" ht="19.5" hidden="1" thickBot="1" x14ac:dyDescent="0.3">
      <c r="A1607" s="470"/>
      <c r="B1607" s="138" t="s">
        <v>617</v>
      </c>
      <c r="C1607" s="147" t="s">
        <v>116</v>
      </c>
      <c r="D1607" s="148">
        <v>5.2270000000000003</v>
      </c>
      <c r="E1607" s="146" t="s">
        <v>13</v>
      </c>
      <c r="F1607" s="265"/>
      <c r="G1607" s="94" t="s">
        <v>618</v>
      </c>
      <c r="H1607" s="149" t="s">
        <v>416</v>
      </c>
      <c r="I1607" s="149" t="str">
        <f t="shared" si="39"/>
        <v>06,26</v>
      </c>
    </row>
    <row r="1608" spans="1:9" ht="19.5" hidden="1" thickBot="1" x14ac:dyDescent="0.3">
      <c r="A1608" s="470"/>
      <c r="B1608" s="138" t="s">
        <v>617</v>
      </c>
      <c r="C1608" s="147" t="s">
        <v>17</v>
      </c>
      <c r="D1608" s="148">
        <v>4.5019999999999998</v>
      </c>
      <c r="E1608" s="146" t="s">
        <v>13</v>
      </c>
      <c r="F1608" s="265"/>
      <c r="G1608" s="94" t="s">
        <v>618</v>
      </c>
      <c r="H1608" s="149"/>
      <c r="I1608" s="149" t="str">
        <f t="shared" si="39"/>
        <v>06,26</v>
      </c>
    </row>
    <row r="1609" spans="1:9" ht="19.5" hidden="1" thickBot="1" x14ac:dyDescent="0.3">
      <c r="A1609" s="550">
        <f>MAX(A1548:A1608)+1</f>
        <v>299</v>
      </c>
      <c r="B1609" s="296" t="s">
        <v>617</v>
      </c>
      <c r="C1609" s="297" t="s">
        <v>18</v>
      </c>
      <c r="D1609" s="298">
        <v>0.83199999999999996</v>
      </c>
      <c r="E1609" s="299" t="s">
        <v>619</v>
      </c>
      <c r="F1609" s="300"/>
      <c r="G1609" s="299" t="s">
        <v>618</v>
      </c>
      <c r="H1609" s="301"/>
      <c r="I1609" s="301" t="str">
        <f t="shared" si="39"/>
        <v>06,26</v>
      </c>
    </row>
    <row r="1610" spans="1:9" ht="19.5" hidden="1" thickBot="1" x14ac:dyDescent="0.3">
      <c r="A1610" s="551"/>
      <c r="B1610" s="296" t="s">
        <v>617</v>
      </c>
      <c r="C1610" s="302" t="s">
        <v>19</v>
      </c>
      <c r="D1610" s="303">
        <v>0.27500000000000002</v>
      </c>
      <c r="E1610" s="304" t="s">
        <v>619</v>
      </c>
      <c r="F1610" s="305"/>
      <c r="G1610" s="299" t="s">
        <v>618</v>
      </c>
      <c r="H1610" s="306"/>
      <c r="I1610" s="306" t="str">
        <f t="shared" si="39"/>
        <v>06,26</v>
      </c>
    </row>
    <row r="1611" spans="1:9" ht="19.5" hidden="1" thickBot="1" x14ac:dyDescent="0.3">
      <c r="A1611" s="469">
        <f>MAX(A1550:A1610)+1</f>
        <v>300</v>
      </c>
      <c r="B1611" s="138" t="s">
        <v>617</v>
      </c>
      <c r="C1611" s="92" t="s">
        <v>18</v>
      </c>
      <c r="D1611" s="93">
        <v>1.966</v>
      </c>
      <c r="E1611" s="94" t="s">
        <v>13</v>
      </c>
      <c r="F1611" s="131"/>
      <c r="G1611" s="94" t="s">
        <v>620</v>
      </c>
      <c r="H1611" s="150"/>
      <c r="I1611" s="150" t="str">
        <f t="shared" si="39"/>
        <v>06,26</v>
      </c>
    </row>
    <row r="1612" spans="1:9" ht="19.5" hidden="1" thickBot="1" x14ac:dyDescent="0.3">
      <c r="A1612" s="470"/>
      <c r="B1612" s="138" t="s">
        <v>617</v>
      </c>
      <c r="C1612" s="147" t="s">
        <v>19</v>
      </c>
      <c r="D1612" s="148">
        <v>6.6150000000000002</v>
      </c>
      <c r="E1612" s="146" t="s">
        <v>13</v>
      </c>
      <c r="F1612" s="265"/>
      <c r="G1612" s="94" t="s">
        <v>620</v>
      </c>
      <c r="H1612" s="149"/>
      <c r="I1612" s="149" t="str">
        <f t="shared" si="39"/>
        <v>06,26</v>
      </c>
    </row>
    <row r="1613" spans="1:9" ht="19.5" hidden="1" thickBot="1" x14ac:dyDescent="0.3">
      <c r="A1613" s="470"/>
      <c r="B1613" s="138" t="s">
        <v>617</v>
      </c>
      <c r="C1613" s="147" t="s">
        <v>17</v>
      </c>
      <c r="D1613" s="148">
        <v>4.5019999999999998</v>
      </c>
      <c r="E1613" s="146" t="s">
        <v>13</v>
      </c>
      <c r="F1613" s="265"/>
      <c r="G1613" s="94" t="s">
        <v>620</v>
      </c>
      <c r="H1613" s="149"/>
      <c r="I1613" s="149" t="str">
        <f t="shared" si="39"/>
        <v>06,26</v>
      </c>
    </row>
    <row r="1614" spans="1:9" ht="19.5" hidden="1" customHeight="1" thickBot="1" x14ac:dyDescent="0.3">
      <c r="A1614" s="545">
        <f>MAX(A1551:A1613)+1</f>
        <v>301</v>
      </c>
      <c r="B1614" s="289" t="s">
        <v>617</v>
      </c>
      <c r="C1614" s="290" t="s">
        <v>19</v>
      </c>
      <c r="D1614" s="291">
        <v>0.76</v>
      </c>
      <c r="E1614" s="290" t="s">
        <v>519</v>
      </c>
      <c r="F1614" s="464" t="s">
        <v>537</v>
      </c>
      <c r="G1614" s="289" t="s">
        <v>620</v>
      </c>
      <c r="H1614" s="290"/>
      <c r="I1614" s="290" t="str">
        <f t="shared" si="39"/>
        <v>06,26</v>
      </c>
    </row>
    <row r="1615" spans="1:9" ht="19.5" hidden="1" thickBot="1" x14ac:dyDescent="0.3">
      <c r="A1615" s="546"/>
      <c r="B1615" s="289" t="s">
        <v>617</v>
      </c>
      <c r="C1615" s="290" t="s">
        <v>116</v>
      </c>
      <c r="D1615" s="291">
        <v>0.91</v>
      </c>
      <c r="E1615" s="290" t="s">
        <v>519</v>
      </c>
      <c r="F1615" s="465"/>
      <c r="G1615" s="289" t="s">
        <v>620</v>
      </c>
      <c r="H1615" s="290" t="s">
        <v>416</v>
      </c>
      <c r="I1615" s="290" t="str">
        <f t="shared" si="39"/>
        <v>06,26</v>
      </c>
    </row>
    <row r="1616" spans="1:9" ht="19.5" hidden="1" thickBot="1" x14ac:dyDescent="0.3">
      <c r="A1616" s="546"/>
      <c r="B1616" s="289" t="s">
        <v>617</v>
      </c>
      <c r="C1616" s="290" t="s">
        <v>18</v>
      </c>
      <c r="D1616" s="291">
        <v>0.61899999999999999</v>
      </c>
      <c r="E1616" s="290" t="s">
        <v>519</v>
      </c>
      <c r="F1616" s="465"/>
      <c r="G1616" s="289" t="s">
        <v>620</v>
      </c>
      <c r="H1616" s="290"/>
      <c r="I1616" s="290" t="str">
        <f t="shared" si="39"/>
        <v>06,26</v>
      </c>
    </row>
    <row r="1617" spans="1:9" ht="19.5" hidden="1" thickBot="1" x14ac:dyDescent="0.3">
      <c r="A1617" s="546"/>
      <c r="B1617" s="289" t="s">
        <v>617</v>
      </c>
      <c r="C1617" s="290" t="s">
        <v>17</v>
      </c>
      <c r="D1617" s="291">
        <v>2.4830000000000001</v>
      </c>
      <c r="E1617" s="290" t="s">
        <v>519</v>
      </c>
      <c r="F1617" s="465"/>
      <c r="G1617" s="289" t="s">
        <v>620</v>
      </c>
      <c r="H1617" s="290"/>
      <c r="I1617" s="290" t="str">
        <f t="shared" si="39"/>
        <v>06,26</v>
      </c>
    </row>
    <row r="1618" spans="1:9" ht="19.5" hidden="1" thickBot="1" x14ac:dyDescent="0.3">
      <c r="A1618" s="546"/>
      <c r="B1618" s="289" t="s">
        <v>617</v>
      </c>
      <c r="C1618" s="290" t="s">
        <v>18</v>
      </c>
      <c r="D1618" s="291">
        <v>0.13100000000000001</v>
      </c>
      <c r="E1618" s="290" t="s">
        <v>45</v>
      </c>
      <c r="F1618" s="465"/>
      <c r="G1618" s="289" t="s">
        <v>620</v>
      </c>
      <c r="H1618" s="290"/>
      <c r="I1618" s="290" t="str">
        <f t="shared" si="39"/>
        <v>06,26</v>
      </c>
    </row>
    <row r="1619" spans="1:9" ht="19.5" hidden="1" thickBot="1" x14ac:dyDescent="0.3">
      <c r="A1619" s="546"/>
      <c r="B1619" s="289" t="s">
        <v>617</v>
      </c>
      <c r="C1619" s="290" t="s">
        <v>19</v>
      </c>
      <c r="D1619" s="295">
        <v>0.20699999999999999</v>
      </c>
      <c r="E1619" s="290" t="s">
        <v>45</v>
      </c>
      <c r="F1619" s="465"/>
      <c r="G1619" s="289" t="s">
        <v>620</v>
      </c>
      <c r="H1619" s="290"/>
      <c r="I1619" s="290" t="str">
        <f t="shared" si="39"/>
        <v>06,26</v>
      </c>
    </row>
    <row r="1620" spans="1:9" ht="19.5" hidden="1" customHeight="1" thickBot="1" x14ac:dyDescent="0.3">
      <c r="A1620" s="546"/>
      <c r="B1620" s="289" t="s">
        <v>617</v>
      </c>
      <c r="C1620" s="290" t="s">
        <v>17</v>
      </c>
      <c r="D1620" s="295">
        <v>7.0000000000000007E-2</v>
      </c>
      <c r="E1620" s="290" t="s">
        <v>45</v>
      </c>
      <c r="F1620" s="465"/>
      <c r="G1620" s="289" t="s">
        <v>620</v>
      </c>
      <c r="H1620" s="290"/>
      <c r="I1620" s="290" t="str">
        <f t="shared" si="39"/>
        <v>06,26</v>
      </c>
    </row>
    <row r="1621" spans="1:9" ht="19.5" hidden="1" thickBot="1" x14ac:dyDescent="0.3">
      <c r="A1621" s="546"/>
      <c r="B1621" s="289" t="s">
        <v>617</v>
      </c>
      <c r="C1621" s="290" t="s">
        <v>621</v>
      </c>
      <c r="D1621" s="295">
        <v>1.4999999999999999E-2</v>
      </c>
      <c r="E1621" s="290" t="s">
        <v>45</v>
      </c>
      <c r="F1621" s="465"/>
      <c r="G1621" s="289" t="s">
        <v>620</v>
      </c>
      <c r="H1621" s="290" t="s">
        <v>416</v>
      </c>
      <c r="I1621" s="290" t="str">
        <f t="shared" si="39"/>
        <v>06,26</v>
      </c>
    </row>
    <row r="1622" spans="1:9" ht="19.5" hidden="1" thickBot="1" x14ac:dyDescent="0.3">
      <c r="A1622" s="469">
        <f>MAX(A1563:A1621)+1</f>
        <v>302</v>
      </c>
      <c r="B1622" s="138" t="s">
        <v>623</v>
      </c>
      <c r="C1622" s="92" t="s">
        <v>18</v>
      </c>
      <c r="D1622" s="93">
        <v>3.9119999999999999</v>
      </c>
      <c r="E1622" s="94" t="s">
        <v>13</v>
      </c>
      <c r="F1622" s="131"/>
      <c r="G1622" s="94" t="s">
        <v>622</v>
      </c>
      <c r="H1622" s="150"/>
      <c r="I1622" s="150" t="str">
        <f t="shared" ref="I1622:I1685" si="40">RIGHT(G1622,5)</f>
        <v>06,26</v>
      </c>
    </row>
    <row r="1623" spans="1:9" ht="19.5" hidden="1" thickBot="1" x14ac:dyDescent="0.3">
      <c r="A1623" s="470"/>
      <c r="B1623" s="138" t="s">
        <v>623</v>
      </c>
      <c r="C1623" s="147" t="s">
        <v>19</v>
      </c>
      <c r="D1623" s="148">
        <v>5.2389999999999999</v>
      </c>
      <c r="E1623" s="146" t="s">
        <v>13</v>
      </c>
      <c r="F1623" s="265"/>
      <c r="G1623" s="94" t="s">
        <v>622</v>
      </c>
      <c r="H1623" s="149"/>
      <c r="I1623" s="149" t="str">
        <f t="shared" si="40"/>
        <v>06,26</v>
      </c>
    </row>
    <row r="1624" spans="1:9" ht="19.5" hidden="1" thickBot="1" x14ac:dyDescent="0.3">
      <c r="A1624" s="470"/>
      <c r="B1624" s="138" t="s">
        <v>623</v>
      </c>
      <c r="C1624" s="147" t="s">
        <v>17</v>
      </c>
      <c r="D1624" s="148">
        <v>3.2709999999999999</v>
      </c>
      <c r="E1624" s="146" t="s">
        <v>13</v>
      </c>
      <c r="F1624" s="265"/>
      <c r="G1624" s="94" t="s">
        <v>622</v>
      </c>
      <c r="H1624" s="149"/>
      <c r="I1624" s="149" t="str">
        <f t="shared" si="40"/>
        <v>06,26</v>
      </c>
    </row>
    <row r="1625" spans="1:9" ht="19.5" hidden="1" thickBot="1" x14ac:dyDescent="0.3">
      <c r="A1625" s="470"/>
      <c r="B1625" s="138" t="s">
        <v>623</v>
      </c>
      <c r="C1625" s="147" t="s">
        <v>564</v>
      </c>
      <c r="D1625" s="148">
        <v>1.3240000000000001</v>
      </c>
      <c r="E1625" s="146" t="s">
        <v>13</v>
      </c>
      <c r="F1625" s="265"/>
      <c r="G1625" s="94" t="s">
        <v>622</v>
      </c>
      <c r="H1625" s="149" t="s">
        <v>416</v>
      </c>
      <c r="I1625" s="149" t="str">
        <f t="shared" si="40"/>
        <v>06,26</v>
      </c>
    </row>
    <row r="1626" spans="1:9" ht="19.5" hidden="1" thickBot="1" x14ac:dyDescent="0.3">
      <c r="A1626" s="470"/>
      <c r="B1626" s="138" t="s">
        <v>623</v>
      </c>
      <c r="C1626" s="147" t="s">
        <v>367</v>
      </c>
      <c r="D1626" s="148">
        <v>0.89400000000000002</v>
      </c>
      <c r="E1626" s="146" t="s">
        <v>13</v>
      </c>
      <c r="F1626" s="265"/>
      <c r="G1626" s="94" t="s">
        <v>622</v>
      </c>
      <c r="H1626" s="149" t="s">
        <v>616</v>
      </c>
      <c r="I1626" s="149" t="str">
        <f t="shared" si="40"/>
        <v>06,26</v>
      </c>
    </row>
    <row r="1627" spans="1:9" ht="19.5" hidden="1" thickBot="1" x14ac:dyDescent="0.3">
      <c r="A1627" s="469">
        <f>MAX(A1566:A1626)+1</f>
        <v>303</v>
      </c>
      <c r="B1627" s="138" t="s">
        <v>623</v>
      </c>
      <c r="C1627" s="92" t="s">
        <v>18</v>
      </c>
      <c r="D1627" s="93">
        <v>3.4620000000000002</v>
      </c>
      <c r="E1627" s="94" t="s">
        <v>13</v>
      </c>
      <c r="F1627" s="131"/>
      <c r="G1627" s="94" t="s">
        <v>624</v>
      </c>
      <c r="H1627" s="150"/>
      <c r="I1627" s="150" t="str">
        <f t="shared" si="40"/>
        <v>06,26</v>
      </c>
    </row>
    <row r="1628" spans="1:9" ht="19.5" hidden="1" thickBot="1" x14ac:dyDescent="0.3">
      <c r="A1628" s="470"/>
      <c r="B1628" s="138" t="s">
        <v>623</v>
      </c>
      <c r="C1628" s="147" t="s">
        <v>19</v>
      </c>
      <c r="D1628" s="148">
        <v>4.7889999999999997</v>
      </c>
      <c r="E1628" s="146" t="s">
        <v>13</v>
      </c>
      <c r="F1628" s="265"/>
      <c r="G1628" s="94" t="s">
        <v>624</v>
      </c>
      <c r="H1628" s="149"/>
      <c r="I1628" s="149" t="str">
        <f t="shared" si="40"/>
        <v>06,26</v>
      </c>
    </row>
    <row r="1629" spans="1:9" ht="19.5" hidden="1" thickBot="1" x14ac:dyDescent="0.3">
      <c r="A1629" s="470"/>
      <c r="B1629" s="138" t="s">
        <v>623</v>
      </c>
      <c r="C1629" s="147" t="s">
        <v>116</v>
      </c>
      <c r="D1629" s="148">
        <v>10.747999999999999</v>
      </c>
      <c r="E1629" s="146" t="s">
        <v>13</v>
      </c>
      <c r="F1629" s="265"/>
      <c r="G1629" s="94" t="s">
        <v>624</v>
      </c>
      <c r="H1629" s="149" t="s">
        <v>416</v>
      </c>
      <c r="I1629" s="149" t="str">
        <f t="shared" si="40"/>
        <v>06,26</v>
      </c>
    </row>
    <row r="1630" spans="1:9" ht="19.5" hidden="1" thickBot="1" x14ac:dyDescent="0.3">
      <c r="A1630" s="470"/>
      <c r="B1630" s="138" t="s">
        <v>623</v>
      </c>
      <c r="C1630" s="147" t="s">
        <v>17</v>
      </c>
      <c r="D1630" s="148">
        <v>2.9209999999999998</v>
      </c>
      <c r="E1630" s="146" t="s">
        <v>13</v>
      </c>
      <c r="F1630" s="265"/>
      <c r="G1630" s="94" t="s">
        <v>624</v>
      </c>
      <c r="H1630" s="149"/>
      <c r="I1630" s="149" t="str">
        <f t="shared" si="40"/>
        <v>06,26</v>
      </c>
    </row>
    <row r="1631" spans="1:9" ht="19.5" hidden="1" thickBot="1" x14ac:dyDescent="0.3">
      <c r="A1631" s="550">
        <f>MAX(A1570:A1630)+1</f>
        <v>304</v>
      </c>
      <c r="B1631" s="296" t="s">
        <v>625</v>
      </c>
      <c r="C1631" s="297" t="s">
        <v>17</v>
      </c>
      <c r="D1631" s="298">
        <v>0.35199999999999998</v>
      </c>
      <c r="E1631" s="299" t="s">
        <v>619</v>
      </c>
      <c r="F1631" s="300"/>
      <c r="G1631" s="299" t="s">
        <v>622</v>
      </c>
      <c r="H1631" s="301"/>
      <c r="I1631" s="301" t="str">
        <f t="shared" si="40"/>
        <v>06,26</v>
      </c>
    </row>
    <row r="1632" spans="1:9" ht="19.5" hidden="1" thickBot="1" x14ac:dyDescent="0.3">
      <c r="A1632" s="551"/>
      <c r="B1632" s="296" t="s">
        <v>625</v>
      </c>
      <c r="C1632" s="302" t="s">
        <v>19</v>
      </c>
      <c r="D1632" s="303">
        <v>0.2</v>
      </c>
      <c r="E1632" s="304" t="s">
        <v>619</v>
      </c>
      <c r="F1632" s="305"/>
      <c r="G1632" s="299" t="s">
        <v>622</v>
      </c>
      <c r="H1632" s="306"/>
      <c r="I1632" s="306" t="str">
        <f t="shared" si="40"/>
        <v>06,26</v>
      </c>
    </row>
    <row r="1633" spans="1:9" ht="19.5" hidden="1" thickBot="1" x14ac:dyDescent="0.3">
      <c r="A1633" s="545">
        <f>MAX(A1570:A1632)+1</f>
        <v>305</v>
      </c>
      <c r="B1633" s="289" t="s">
        <v>625</v>
      </c>
      <c r="C1633" s="290" t="s">
        <v>19</v>
      </c>
      <c r="D1633" s="291">
        <v>0.32400000000000001</v>
      </c>
      <c r="E1633" s="290" t="s">
        <v>519</v>
      </c>
      <c r="F1633" s="464" t="s">
        <v>549</v>
      </c>
      <c r="G1633" s="289" t="s">
        <v>624</v>
      </c>
      <c r="H1633" s="290"/>
      <c r="I1633" s="290" t="str">
        <f t="shared" si="40"/>
        <v>06,26</v>
      </c>
    </row>
    <row r="1634" spans="1:9" ht="19.5" hidden="1" thickBot="1" x14ac:dyDescent="0.3">
      <c r="A1634" s="546"/>
      <c r="B1634" s="289" t="s">
        <v>625</v>
      </c>
      <c r="C1634" s="290" t="s">
        <v>116</v>
      </c>
      <c r="D1634" s="291">
        <v>0.28799999999999998</v>
      </c>
      <c r="E1634" s="290" t="s">
        <v>519</v>
      </c>
      <c r="F1634" s="465"/>
      <c r="G1634" s="289" t="s">
        <v>624</v>
      </c>
      <c r="H1634" s="290" t="s">
        <v>416</v>
      </c>
      <c r="I1634" s="290" t="str">
        <f t="shared" si="40"/>
        <v>06,26</v>
      </c>
    </row>
    <row r="1635" spans="1:9" ht="19.5" hidden="1" thickBot="1" x14ac:dyDescent="0.3">
      <c r="A1635" s="546"/>
      <c r="B1635" s="289" t="s">
        <v>625</v>
      </c>
      <c r="C1635" s="290" t="s">
        <v>18</v>
      </c>
      <c r="D1635" s="291">
        <v>0.90400000000000003</v>
      </c>
      <c r="E1635" s="290" t="s">
        <v>519</v>
      </c>
      <c r="F1635" s="465"/>
      <c r="G1635" s="289" t="s">
        <v>624</v>
      </c>
      <c r="H1635" s="290"/>
      <c r="I1635" s="290" t="str">
        <f t="shared" si="40"/>
        <v>06,26</v>
      </c>
    </row>
    <row r="1636" spans="1:9" ht="19.5" hidden="1" thickBot="1" x14ac:dyDescent="0.3">
      <c r="A1636" s="546"/>
      <c r="B1636" s="289" t="s">
        <v>625</v>
      </c>
      <c r="C1636" s="290" t="s">
        <v>17</v>
      </c>
      <c r="D1636" s="291">
        <v>2.7719999999999998</v>
      </c>
      <c r="E1636" s="290" t="s">
        <v>519</v>
      </c>
      <c r="F1636" s="465"/>
      <c r="G1636" s="289" t="s">
        <v>624</v>
      </c>
      <c r="H1636" s="290"/>
      <c r="I1636" s="290" t="str">
        <f t="shared" si="40"/>
        <v>06,26</v>
      </c>
    </row>
    <row r="1637" spans="1:9" ht="19.5" hidden="1" thickBot="1" x14ac:dyDescent="0.3">
      <c r="A1637" s="546"/>
      <c r="B1637" s="289" t="s">
        <v>625</v>
      </c>
      <c r="C1637" s="290" t="s">
        <v>18</v>
      </c>
      <c r="D1637" s="291">
        <v>0.252</v>
      </c>
      <c r="E1637" s="290" t="s">
        <v>45</v>
      </c>
      <c r="F1637" s="465"/>
      <c r="G1637" s="289" t="s">
        <v>624</v>
      </c>
      <c r="H1637" s="290"/>
      <c r="I1637" s="290" t="str">
        <f t="shared" si="40"/>
        <v>06,26</v>
      </c>
    </row>
    <row r="1638" spans="1:9" ht="19.5" hidden="1" thickBot="1" x14ac:dyDescent="0.3">
      <c r="A1638" s="546"/>
      <c r="B1638" s="289" t="s">
        <v>625</v>
      </c>
      <c r="C1638" s="290" t="s">
        <v>19</v>
      </c>
      <c r="D1638" s="295">
        <v>1.7999999999999999E-2</v>
      </c>
      <c r="E1638" s="290" t="s">
        <v>45</v>
      </c>
      <c r="F1638" s="465"/>
      <c r="G1638" s="289" t="s">
        <v>624</v>
      </c>
      <c r="H1638" s="290"/>
      <c r="I1638" s="290" t="str">
        <f t="shared" si="40"/>
        <v>06,26</v>
      </c>
    </row>
    <row r="1639" spans="1:9" ht="19.5" hidden="1" thickBot="1" x14ac:dyDescent="0.3">
      <c r="A1639" s="546"/>
      <c r="B1639" s="289" t="s">
        <v>625</v>
      </c>
      <c r="C1639" s="290" t="s">
        <v>621</v>
      </c>
      <c r="D1639" s="295">
        <v>0.04</v>
      </c>
      <c r="E1639" s="290" t="s">
        <v>45</v>
      </c>
      <c r="F1639" s="465"/>
      <c r="G1639" s="289" t="s">
        <v>624</v>
      </c>
      <c r="H1639" s="290" t="s">
        <v>416</v>
      </c>
      <c r="I1639" s="290" t="str">
        <f t="shared" si="40"/>
        <v>06,26</v>
      </c>
    </row>
    <row r="1640" spans="1:9" ht="19.5" hidden="1" thickBot="1" x14ac:dyDescent="0.3">
      <c r="A1640" s="469">
        <f>MAX(A1581:A1639)+1</f>
        <v>306</v>
      </c>
      <c r="B1640" s="138" t="s">
        <v>626</v>
      </c>
      <c r="C1640" s="92" t="s">
        <v>18</v>
      </c>
      <c r="D1640" s="93">
        <v>2.97</v>
      </c>
      <c r="E1640" s="94" t="s">
        <v>13</v>
      </c>
      <c r="F1640" s="131"/>
      <c r="G1640" s="94" t="s">
        <v>627</v>
      </c>
      <c r="H1640" s="150"/>
      <c r="I1640" s="150" t="str">
        <f t="shared" si="40"/>
        <v>06,26</v>
      </c>
    </row>
    <row r="1641" spans="1:9" ht="19.5" hidden="1" thickBot="1" x14ac:dyDescent="0.3">
      <c r="A1641" s="470"/>
      <c r="B1641" s="138" t="s">
        <v>626</v>
      </c>
      <c r="C1641" s="147" t="s">
        <v>19</v>
      </c>
      <c r="D1641" s="148">
        <v>5.0209999999999999</v>
      </c>
      <c r="E1641" s="146" t="s">
        <v>13</v>
      </c>
      <c r="F1641" s="265"/>
      <c r="G1641" s="94" t="s">
        <v>627</v>
      </c>
      <c r="H1641" s="149"/>
      <c r="I1641" s="149" t="str">
        <f t="shared" si="40"/>
        <v>06,26</v>
      </c>
    </row>
    <row r="1642" spans="1:9" ht="19.5" hidden="1" thickBot="1" x14ac:dyDescent="0.3">
      <c r="A1642" s="470"/>
      <c r="B1642" s="138" t="s">
        <v>626</v>
      </c>
      <c r="C1642" s="147" t="s">
        <v>17</v>
      </c>
      <c r="D1642" s="148">
        <v>2.59</v>
      </c>
      <c r="E1642" s="146" t="s">
        <v>13</v>
      </c>
      <c r="F1642" s="265"/>
      <c r="G1642" s="94" t="s">
        <v>627</v>
      </c>
      <c r="H1642" s="149"/>
      <c r="I1642" s="149" t="str">
        <f t="shared" si="40"/>
        <v>06,26</v>
      </c>
    </row>
    <row r="1643" spans="1:9" ht="19.5" hidden="1" thickBot="1" x14ac:dyDescent="0.3">
      <c r="A1643" s="470"/>
      <c r="B1643" s="138" t="s">
        <v>626</v>
      </c>
      <c r="C1643" s="147" t="s">
        <v>367</v>
      </c>
      <c r="D1643" s="148">
        <v>2.06</v>
      </c>
      <c r="E1643" s="146" t="s">
        <v>13</v>
      </c>
      <c r="F1643" s="265"/>
      <c r="G1643" s="94" t="s">
        <v>627</v>
      </c>
      <c r="H1643" s="149" t="s">
        <v>616</v>
      </c>
      <c r="I1643" s="149" t="str">
        <f t="shared" si="40"/>
        <v>06,26</v>
      </c>
    </row>
    <row r="1644" spans="1:9" ht="19.5" hidden="1" thickBot="1" x14ac:dyDescent="0.3">
      <c r="A1644" s="469">
        <f>MAX(A1583:A1643)+1</f>
        <v>307</v>
      </c>
      <c r="B1644" s="138" t="s">
        <v>626</v>
      </c>
      <c r="C1644" s="92" t="s">
        <v>18</v>
      </c>
      <c r="D1644" s="93">
        <v>2.0510000000000002</v>
      </c>
      <c r="E1644" s="94" t="s">
        <v>13</v>
      </c>
      <c r="F1644" s="131"/>
      <c r="G1644" s="94" t="s">
        <v>628</v>
      </c>
      <c r="H1644" s="150"/>
      <c r="I1644" s="150" t="str">
        <f t="shared" si="40"/>
        <v>06,26</v>
      </c>
    </row>
    <row r="1645" spans="1:9" ht="19.5" hidden="1" thickBot="1" x14ac:dyDescent="0.3">
      <c r="A1645" s="470"/>
      <c r="B1645" s="138" t="s">
        <v>626</v>
      </c>
      <c r="C1645" s="147" t="s">
        <v>19</v>
      </c>
      <c r="D1645" s="148">
        <v>5.0209999999999999</v>
      </c>
      <c r="E1645" s="146" t="s">
        <v>13</v>
      </c>
      <c r="F1645" s="265"/>
      <c r="G1645" s="94" t="s">
        <v>628</v>
      </c>
      <c r="H1645" s="149"/>
      <c r="I1645" s="149" t="str">
        <f t="shared" si="40"/>
        <v>06,26</v>
      </c>
    </row>
    <row r="1646" spans="1:9" ht="19.5" hidden="1" thickBot="1" x14ac:dyDescent="0.3">
      <c r="A1646" s="470"/>
      <c r="B1646" s="138" t="s">
        <v>626</v>
      </c>
      <c r="C1646" s="147" t="s">
        <v>116</v>
      </c>
      <c r="D1646" s="148">
        <v>4.6619999999999999</v>
      </c>
      <c r="E1646" s="146" t="s">
        <v>13</v>
      </c>
      <c r="F1646" s="265"/>
      <c r="G1646" s="94" t="s">
        <v>628</v>
      </c>
      <c r="H1646" s="149" t="s">
        <v>416</v>
      </c>
      <c r="I1646" s="149" t="str">
        <f t="shared" si="40"/>
        <v>06,26</v>
      </c>
    </row>
    <row r="1647" spans="1:9" ht="19.5" hidden="1" thickBot="1" x14ac:dyDescent="0.3">
      <c r="A1647" s="470"/>
      <c r="B1647" s="198" t="s">
        <v>626</v>
      </c>
      <c r="C1647" s="247" t="s">
        <v>17</v>
      </c>
      <c r="D1647" s="248">
        <v>2.59</v>
      </c>
      <c r="E1647" s="249" t="s">
        <v>13</v>
      </c>
      <c r="F1647" s="266"/>
      <c r="G1647" s="292" t="s">
        <v>628</v>
      </c>
      <c r="H1647" s="251"/>
      <c r="I1647" s="251" t="str">
        <f t="shared" si="40"/>
        <v>06,26</v>
      </c>
    </row>
    <row r="1648" spans="1:9" ht="19.5" hidden="1" thickBot="1" x14ac:dyDescent="0.3">
      <c r="A1648" s="562">
        <f>MAX(A1585:A1647)+1</f>
        <v>308</v>
      </c>
      <c r="B1648" s="344" t="s">
        <v>629</v>
      </c>
      <c r="C1648" s="344" t="s">
        <v>19</v>
      </c>
      <c r="D1648" s="345">
        <v>0.214</v>
      </c>
      <c r="E1648" s="344" t="s">
        <v>519</v>
      </c>
      <c r="F1648" s="464" t="s">
        <v>533</v>
      </c>
      <c r="G1648" s="344" t="s">
        <v>628</v>
      </c>
      <c r="H1648" s="346"/>
      <c r="I1648" s="352" t="str">
        <f t="shared" si="40"/>
        <v>06,26</v>
      </c>
    </row>
    <row r="1649" spans="1:13" ht="19.5" hidden="1" thickBot="1" x14ac:dyDescent="0.3">
      <c r="A1649" s="563"/>
      <c r="B1649" s="289" t="s">
        <v>629</v>
      </c>
      <c r="C1649" s="290" t="s">
        <v>116</v>
      </c>
      <c r="D1649" s="291">
        <v>0.28000000000000003</v>
      </c>
      <c r="E1649" s="290" t="s">
        <v>519</v>
      </c>
      <c r="F1649" s="465"/>
      <c r="G1649" s="289" t="s">
        <v>628</v>
      </c>
      <c r="H1649" s="347" t="s">
        <v>416</v>
      </c>
      <c r="I1649" s="353" t="str">
        <f t="shared" si="40"/>
        <v>06,26</v>
      </c>
    </row>
    <row r="1650" spans="1:13" ht="19.5" hidden="1" thickBot="1" x14ac:dyDescent="0.3">
      <c r="A1650" s="563"/>
      <c r="B1650" s="289" t="s">
        <v>629</v>
      </c>
      <c r="C1650" s="290" t="s">
        <v>18</v>
      </c>
      <c r="D1650" s="291">
        <v>0.94699999999999995</v>
      </c>
      <c r="E1650" s="290" t="s">
        <v>519</v>
      </c>
      <c r="F1650" s="465"/>
      <c r="G1650" s="289" t="s">
        <v>628</v>
      </c>
      <c r="H1650" s="347"/>
      <c r="I1650" s="353" t="str">
        <f t="shared" si="40"/>
        <v>06,26</v>
      </c>
    </row>
    <row r="1651" spans="1:13" ht="19.5" hidden="1" thickBot="1" x14ac:dyDescent="0.3">
      <c r="A1651" s="563"/>
      <c r="B1651" s="289" t="s">
        <v>629</v>
      </c>
      <c r="C1651" s="290" t="s">
        <v>17</v>
      </c>
      <c r="D1651" s="291">
        <v>0.77</v>
      </c>
      <c r="E1651" s="290" t="s">
        <v>519</v>
      </c>
      <c r="F1651" s="465"/>
      <c r="G1651" s="289" t="s">
        <v>628</v>
      </c>
      <c r="H1651" s="347"/>
      <c r="I1651" s="353" t="str">
        <f t="shared" si="40"/>
        <v>06,26</v>
      </c>
    </row>
    <row r="1652" spans="1:13" ht="19.5" hidden="1" thickBot="1" x14ac:dyDescent="0.3">
      <c r="A1652" s="563"/>
      <c r="B1652" s="289" t="s">
        <v>629</v>
      </c>
      <c r="C1652" s="290" t="s">
        <v>18</v>
      </c>
      <c r="D1652" s="291">
        <v>0.36</v>
      </c>
      <c r="E1652" s="290" t="s">
        <v>45</v>
      </c>
      <c r="F1652" s="465"/>
      <c r="G1652" s="289" t="s">
        <v>628</v>
      </c>
      <c r="H1652" s="347"/>
      <c r="I1652" s="353" t="str">
        <f t="shared" si="40"/>
        <v>06,26</v>
      </c>
    </row>
    <row r="1653" spans="1:13" ht="19.5" hidden="1" thickBot="1" x14ac:dyDescent="0.3">
      <c r="A1653" s="563"/>
      <c r="B1653" s="341" t="s">
        <v>629</v>
      </c>
      <c r="C1653" s="307" t="s">
        <v>621</v>
      </c>
      <c r="D1653" s="308">
        <v>2.7E-2</v>
      </c>
      <c r="E1653" s="307" t="s">
        <v>45</v>
      </c>
      <c r="F1653" s="465"/>
      <c r="G1653" s="341" t="s">
        <v>628</v>
      </c>
      <c r="H1653" s="348" t="s">
        <v>416</v>
      </c>
      <c r="I1653" s="354" t="str">
        <f t="shared" si="40"/>
        <v>06,26</v>
      </c>
    </row>
    <row r="1654" spans="1:13" ht="19.5" hidden="1" thickBot="1" x14ac:dyDescent="0.3">
      <c r="A1654" s="431">
        <f>MAX(A1591:A1653)+1</f>
        <v>309</v>
      </c>
      <c r="B1654" s="91" t="s">
        <v>630</v>
      </c>
      <c r="C1654" s="92" t="s">
        <v>18</v>
      </c>
      <c r="D1654" s="93">
        <v>3.2989999999999999</v>
      </c>
      <c r="E1654" s="94" t="s">
        <v>13</v>
      </c>
      <c r="F1654" s="462" t="s">
        <v>645</v>
      </c>
      <c r="G1654" s="94" t="s">
        <v>631</v>
      </c>
      <c r="H1654" s="132"/>
      <c r="I1654" s="132" t="str">
        <f t="shared" si="40"/>
        <v>06,26</v>
      </c>
      <c r="M1654" s="2" t="s">
        <v>653</v>
      </c>
    </row>
    <row r="1655" spans="1:13" ht="19.5" hidden="1" thickBot="1" x14ac:dyDescent="0.3">
      <c r="A1655" s="433"/>
      <c r="B1655" s="311" t="s">
        <v>630</v>
      </c>
      <c r="C1655" s="154" t="s">
        <v>17</v>
      </c>
      <c r="D1655" s="155">
        <v>3.0939999999999999</v>
      </c>
      <c r="E1655" s="156" t="s">
        <v>13</v>
      </c>
      <c r="F1655" s="474"/>
      <c r="G1655" s="156" t="s">
        <v>631</v>
      </c>
      <c r="H1655" s="158"/>
      <c r="I1655" s="158" t="str">
        <f t="shared" si="40"/>
        <v>06,26</v>
      </c>
      <c r="M1655" s="2" t="s">
        <v>652</v>
      </c>
    </row>
    <row r="1656" spans="1:13" ht="19.5" hidden="1" thickBot="1" x14ac:dyDescent="0.3">
      <c r="A1656" s="552">
        <f>MAX(A1593:A1655)+1</f>
        <v>310</v>
      </c>
      <c r="B1656" s="317" t="s">
        <v>630</v>
      </c>
      <c r="C1656" s="257" t="s">
        <v>19</v>
      </c>
      <c r="D1656" s="258">
        <v>5.391</v>
      </c>
      <c r="E1656" s="256" t="s">
        <v>13</v>
      </c>
      <c r="F1656" s="523" t="s">
        <v>642</v>
      </c>
      <c r="G1656" s="256" t="s">
        <v>631</v>
      </c>
      <c r="H1656" s="349"/>
      <c r="I1656" s="349" t="str">
        <f t="shared" si="40"/>
        <v>06,26</v>
      </c>
      <c r="M1656" s="2" t="s">
        <v>648</v>
      </c>
    </row>
    <row r="1657" spans="1:13" ht="19.5" hidden="1" thickBot="1" x14ac:dyDescent="0.3">
      <c r="A1657" s="560"/>
      <c r="B1657" s="318" t="s">
        <v>630</v>
      </c>
      <c r="C1657" s="253" t="s">
        <v>564</v>
      </c>
      <c r="D1657" s="254">
        <v>2.02</v>
      </c>
      <c r="E1657" s="252" t="s">
        <v>13</v>
      </c>
      <c r="F1657" s="524"/>
      <c r="G1657" s="252" t="s">
        <v>631</v>
      </c>
      <c r="H1657" s="350" t="s">
        <v>416</v>
      </c>
      <c r="I1657" s="350" t="str">
        <f t="shared" si="40"/>
        <v>06,26</v>
      </c>
      <c r="M1657" s="2" t="s">
        <v>650</v>
      </c>
    </row>
    <row r="1658" spans="1:13" ht="19.5" hidden="1" thickBot="1" x14ac:dyDescent="0.3">
      <c r="A1658" s="561"/>
      <c r="B1658" s="319" t="s">
        <v>630</v>
      </c>
      <c r="C1658" s="314" t="s">
        <v>632</v>
      </c>
      <c r="D1658" s="291">
        <v>1.5649999999999999</v>
      </c>
      <c r="E1658" s="313" t="s">
        <v>13</v>
      </c>
      <c r="F1658" s="554"/>
      <c r="G1658" s="313" t="s">
        <v>631</v>
      </c>
      <c r="H1658" s="351" t="s">
        <v>416</v>
      </c>
      <c r="I1658" s="351" t="str">
        <f t="shared" si="40"/>
        <v>06,26</v>
      </c>
      <c r="M1658" s="2" t="s">
        <v>649</v>
      </c>
    </row>
    <row r="1659" spans="1:13" ht="19.5" hidden="1" thickBot="1" x14ac:dyDescent="0.3">
      <c r="A1659" s="431">
        <f>MAX(A1596:A1658)+1</f>
        <v>311</v>
      </c>
      <c r="B1659" s="91" t="s">
        <v>630</v>
      </c>
      <c r="C1659" s="92" t="s">
        <v>18</v>
      </c>
      <c r="D1659" s="93">
        <v>0.76</v>
      </c>
      <c r="E1659" s="94" t="s">
        <v>619</v>
      </c>
      <c r="F1659" s="462" t="s">
        <v>645</v>
      </c>
      <c r="G1659" s="94" t="s">
        <v>634</v>
      </c>
      <c r="H1659" s="132"/>
      <c r="I1659" s="132" t="str">
        <f t="shared" si="40"/>
        <v>06,26</v>
      </c>
    </row>
    <row r="1660" spans="1:13" ht="19.5" hidden="1" thickBot="1" x14ac:dyDescent="0.3">
      <c r="A1660" s="432"/>
      <c r="B1660" s="244" t="s">
        <v>630</v>
      </c>
      <c r="C1660" s="147" t="s">
        <v>633</v>
      </c>
      <c r="D1660" s="148">
        <v>3.01</v>
      </c>
      <c r="E1660" s="146" t="s">
        <v>13</v>
      </c>
      <c r="F1660" s="463"/>
      <c r="G1660" s="146" t="s">
        <v>634</v>
      </c>
      <c r="H1660" s="152"/>
      <c r="I1660" s="152" t="str">
        <f t="shared" si="40"/>
        <v>06,26</v>
      </c>
    </row>
    <row r="1661" spans="1:13" ht="19.5" hidden="1" thickBot="1" x14ac:dyDescent="0.3">
      <c r="A1661" s="433"/>
      <c r="B1661" s="311" t="s">
        <v>630</v>
      </c>
      <c r="C1661" s="154" t="s">
        <v>17</v>
      </c>
      <c r="D1661" s="155">
        <v>3.0139999999999998</v>
      </c>
      <c r="E1661" s="156" t="s">
        <v>13</v>
      </c>
      <c r="F1661" s="474"/>
      <c r="G1661" s="156" t="s">
        <v>634</v>
      </c>
      <c r="H1661" s="158"/>
      <c r="I1661" s="158" t="str">
        <f t="shared" si="40"/>
        <v>06,26</v>
      </c>
    </row>
    <row r="1662" spans="1:13" ht="22.5" hidden="1" customHeight="1" x14ac:dyDescent="0.3">
      <c r="A1662" s="552">
        <f>MAX(A1599:A1661)+1</f>
        <v>312</v>
      </c>
      <c r="B1662" s="317" t="s">
        <v>630</v>
      </c>
      <c r="C1662" s="257" t="s">
        <v>116</v>
      </c>
      <c r="D1662" s="258">
        <v>8.3030000000000008</v>
      </c>
      <c r="E1662" s="256" t="s">
        <v>13</v>
      </c>
      <c r="F1662" s="523" t="s">
        <v>642</v>
      </c>
      <c r="G1662" s="256" t="s">
        <v>634</v>
      </c>
      <c r="H1662" s="349" t="s">
        <v>416</v>
      </c>
      <c r="I1662" s="349" t="str">
        <f t="shared" si="40"/>
        <v>06,26</v>
      </c>
      <c r="M1662" s="2" t="s">
        <v>647</v>
      </c>
    </row>
    <row r="1663" spans="1:13" ht="22.5" hidden="1" customHeight="1" x14ac:dyDescent="0.3">
      <c r="A1663" s="560"/>
      <c r="B1663" s="318" t="s">
        <v>630</v>
      </c>
      <c r="C1663" s="253" t="s">
        <v>19</v>
      </c>
      <c r="D1663" s="254">
        <v>5.0910000000000002</v>
      </c>
      <c r="E1663" s="252" t="s">
        <v>13</v>
      </c>
      <c r="F1663" s="524"/>
      <c r="G1663" s="252" t="s">
        <v>634</v>
      </c>
      <c r="H1663" s="350"/>
      <c r="I1663" s="350" t="str">
        <f t="shared" si="40"/>
        <v>06,26</v>
      </c>
      <c r="M1663" s="2" t="s">
        <v>646</v>
      </c>
    </row>
    <row r="1664" spans="1:13" ht="19.5" hidden="1" thickBot="1" x14ac:dyDescent="0.3">
      <c r="A1664" s="560"/>
      <c r="B1664" s="318" t="s">
        <v>630</v>
      </c>
      <c r="C1664" s="253" t="s">
        <v>19</v>
      </c>
      <c r="D1664" s="254">
        <v>0.34799999999999998</v>
      </c>
      <c r="E1664" s="252" t="s">
        <v>619</v>
      </c>
      <c r="F1664" s="524"/>
      <c r="G1664" s="252" t="s">
        <v>634</v>
      </c>
      <c r="H1664" s="350"/>
      <c r="I1664" s="350" t="str">
        <f t="shared" si="40"/>
        <v>06,26</v>
      </c>
      <c r="M1664" s="2" t="s">
        <v>651</v>
      </c>
    </row>
    <row r="1665" spans="1:13" ht="19.5" hidden="1" thickBot="1" x14ac:dyDescent="0.3">
      <c r="A1665" s="561"/>
      <c r="B1665" s="319" t="s">
        <v>630</v>
      </c>
      <c r="C1665" s="314" t="s">
        <v>17</v>
      </c>
      <c r="D1665" s="291">
        <v>0.56000000000000005</v>
      </c>
      <c r="E1665" s="313" t="s">
        <v>619</v>
      </c>
      <c r="F1665" s="554"/>
      <c r="G1665" s="313" t="s">
        <v>634</v>
      </c>
      <c r="H1665" s="351"/>
      <c r="I1665" s="351" t="str">
        <f t="shared" si="40"/>
        <v>06,26</v>
      </c>
    </row>
    <row r="1666" spans="1:13" ht="38.25" hidden="1" thickBot="1" x14ac:dyDescent="0.3">
      <c r="A1666" s="555">
        <f>MAX(A1603:A1665)+1</f>
        <v>313</v>
      </c>
      <c r="B1666" s="91" t="s">
        <v>637</v>
      </c>
      <c r="C1666" s="92" t="s">
        <v>635</v>
      </c>
      <c r="D1666" s="93">
        <v>0.437</v>
      </c>
      <c r="E1666" s="94" t="s">
        <v>638</v>
      </c>
      <c r="F1666" s="558" t="s">
        <v>639</v>
      </c>
      <c r="G1666" s="94" t="s">
        <v>634</v>
      </c>
      <c r="H1666" s="309"/>
      <c r="I1666" s="309" t="str">
        <f t="shared" si="40"/>
        <v>06,26</v>
      </c>
    </row>
    <row r="1667" spans="1:13" ht="38.25" hidden="1" thickBot="1" x14ac:dyDescent="0.3">
      <c r="A1667" s="556"/>
      <c r="B1667" s="244" t="s">
        <v>637</v>
      </c>
      <c r="C1667" s="147" t="s">
        <v>636</v>
      </c>
      <c r="D1667" s="148">
        <v>0.47199999999999998</v>
      </c>
      <c r="E1667" s="146" t="s">
        <v>638</v>
      </c>
      <c r="F1667" s="541"/>
      <c r="G1667" s="146" t="s">
        <v>634</v>
      </c>
      <c r="H1667" s="310"/>
      <c r="I1667" s="310" t="str">
        <f t="shared" si="40"/>
        <v>06,26</v>
      </c>
    </row>
    <row r="1668" spans="1:13" ht="38.25" hidden="1" thickBot="1" x14ac:dyDescent="0.3">
      <c r="A1668" s="556"/>
      <c r="B1668" s="244" t="s">
        <v>637</v>
      </c>
      <c r="C1668" s="147" t="s">
        <v>116</v>
      </c>
      <c r="D1668" s="148">
        <v>0.312</v>
      </c>
      <c r="E1668" s="146" t="s">
        <v>638</v>
      </c>
      <c r="F1668" s="541"/>
      <c r="G1668" s="146" t="s">
        <v>634</v>
      </c>
      <c r="H1668" s="310" t="s">
        <v>416</v>
      </c>
      <c r="I1668" s="310" t="str">
        <f t="shared" si="40"/>
        <v>06,26</v>
      </c>
    </row>
    <row r="1669" spans="1:13" ht="19.5" hidden="1" thickBot="1" x14ac:dyDescent="0.3">
      <c r="A1669" s="557"/>
      <c r="B1669" s="311" t="s">
        <v>643</v>
      </c>
      <c r="C1669" s="154" t="s">
        <v>19</v>
      </c>
      <c r="D1669" s="155">
        <v>0.25</v>
      </c>
      <c r="E1669" s="156" t="s">
        <v>644</v>
      </c>
      <c r="F1669" s="559"/>
      <c r="G1669" s="156" t="s">
        <v>634</v>
      </c>
      <c r="H1669" s="312"/>
      <c r="I1669" s="312" t="str">
        <f t="shared" si="40"/>
        <v>06,26</v>
      </c>
    </row>
    <row r="1670" spans="1:13" ht="56.25" hidden="1" customHeight="1" x14ac:dyDescent="0.3">
      <c r="A1670" s="552">
        <f>MAX(A1606:A1669)+1</f>
        <v>314</v>
      </c>
      <c r="B1670" s="317" t="s">
        <v>637</v>
      </c>
      <c r="C1670" s="257" t="s">
        <v>17</v>
      </c>
      <c r="D1670" s="258">
        <v>0.78600000000000003</v>
      </c>
      <c r="E1670" s="256" t="s">
        <v>638</v>
      </c>
      <c r="F1670" s="523" t="s">
        <v>640</v>
      </c>
      <c r="G1670" s="256" t="s">
        <v>634</v>
      </c>
      <c r="H1670" s="315"/>
      <c r="I1670" s="315" t="str">
        <f t="shared" si="40"/>
        <v>06,26</v>
      </c>
    </row>
    <row r="1671" spans="1:13" ht="19.5" hidden="1" thickBot="1" x14ac:dyDescent="0.3">
      <c r="A1671" s="553"/>
      <c r="B1671" s="319" t="s">
        <v>643</v>
      </c>
      <c r="C1671" s="314" t="s">
        <v>17</v>
      </c>
      <c r="D1671" s="291">
        <v>0.17399999999999999</v>
      </c>
      <c r="E1671" s="313" t="s">
        <v>644</v>
      </c>
      <c r="F1671" s="554"/>
      <c r="G1671" s="313" t="s">
        <v>634</v>
      </c>
      <c r="H1671" s="316"/>
      <c r="I1671" s="316" t="str">
        <f t="shared" si="40"/>
        <v>06,26</v>
      </c>
    </row>
    <row r="1672" spans="1:13" ht="56.25" hidden="1" customHeight="1" x14ac:dyDescent="0.3">
      <c r="A1672" s="431">
        <f>MAX(A1608:A1671)+1</f>
        <v>315</v>
      </c>
      <c r="B1672" s="91" t="s">
        <v>637</v>
      </c>
      <c r="C1672" s="92" t="s">
        <v>18</v>
      </c>
      <c r="D1672" s="93">
        <v>0.98099999999999998</v>
      </c>
      <c r="E1672" s="94" t="s">
        <v>638</v>
      </c>
      <c r="F1672" s="462" t="s">
        <v>641</v>
      </c>
      <c r="G1672" s="94" t="s">
        <v>634</v>
      </c>
      <c r="H1672" s="309"/>
      <c r="I1672" s="309" t="str">
        <f t="shared" si="40"/>
        <v>06,26</v>
      </c>
    </row>
    <row r="1673" spans="1:13" ht="19.5" hidden="1" thickBot="1" x14ac:dyDescent="0.3">
      <c r="A1673" s="432"/>
      <c r="B1673" s="321" t="s">
        <v>643</v>
      </c>
      <c r="C1673" s="247" t="s">
        <v>18</v>
      </c>
      <c r="D1673" s="248">
        <v>0.252</v>
      </c>
      <c r="E1673" s="249" t="s">
        <v>644</v>
      </c>
      <c r="F1673" s="463"/>
      <c r="G1673" s="249" t="s">
        <v>634</v>
      </c>
      <c r="H1673" s="320"/>
      <c r="I1673" s="320" t="str">
        <f t="shared" si="40"/>
        <v>06,26</v>
      </c>
    </row>
    <row r="1674" spans="1:13" ht="19.5" hidden="1" thickBot="1" x14ac:dyDescent="0.3">
      <c r="A1674" s="437">
        <f>MAX(A1610:A1673)+1</f>
        <v>316</v>
      </c>
      <c r="B1674" s="102" t="s">
        <v>654</v>
      </c>
      <c r="C1674" s="103" t="s">
        <v>18</v>
      </c>
      <c r="D1674" s="104">
        <v>2.2450000000000001</v>
      </c>
      <c r="E1674" s="105" t="s">
        <v>13</v>
      </c>
      <c r="F1674" s="457" t="s">
        <v>645</v>
      </c>
      <c r="G1674" s="105" t="s">
        <v>655</v>
      </c>
      <c r="H1674" s="107"/>
      <c r="I1674" s="107" t="str">
        <f t="shared" si="40"/>
        <v>07,26</v>
      </c>
      <c r="M1674" s="2" t="s">
        <v>666</v>
      </c>
    </row>
    <row r="1675" spans="1:13" ht="19.5" hidden="1" thickBot="1" x14ac:dyDescent="0.3">
      <c r="A1675" s="439"/>
      <c r="B1675" s="114" t="s">
        <v>654</v>
      </c>
      <c r="C1675" s="216" t="s">
        <v>17</v>
      </c>
      <c r="D1675" s="217">
        <v>3.355</v>
      </c>
      <c r="E1675" s="218" t="s">
        <v>13</v>
      </c>
      <c r="F1675" s="459"/>
      <c r="G1675" s="117" t="s">
        <v>655</v>
      </c>
      <c r="H1675" s="220"/>
      <c r="I1675" s="220" t="str">
        <f t="shared" si="40"/>
        <v>07,26</v>
      </c>
      <c r="M1675" s="2" t="s">
        <v>665</v>
      </c>
    </row>
    <row r="1676" spans="1:13" ht="19.5" hidden="1" thickBot="1" x14ac:dyDescent="0.3">
      <c r="A1676" s="431">
        <f t="shared" ref="A1676:A1683" si="41">MAX(A1612:A1675)+1</f>
        <v>317</v>
      </c>
      <c r="B1676" s="91" t="s">
        <v>654</v>
      </c>
      <c r="C1676" s="92" t="s">
        <v>367</v>
      </c>
      <c r="D1676" s="93">
        <v>1.5920000000000001</v>
      </c>
      <c r="E1676" s="94" t="s">
        <v>13</v>
      </c>
      <c r="F1676" s="462" t="s">
        <v>642</v>
      </c>
      <c r="G1676" s="94" t="s">
        <v>656</v>
      </c>
      <c r="H1676" s="132" t="s">
        <v>416</v>
      </c>
      <c r="I1676" s="132" t="str">
        <f t="shared" si="40"/>
        <v>07,26</v>
      </c>
      <c r="M1676" s="2" t="s">
        <v>661</v>
      </c>
    </row>
    <row r="1677" spans="1:13" ht="19.5" hidden="1" thickBot="1" x14ac:dyDescent="0.3">
      <c r="A1677" s="432"/>
      <c r="B1677" s="175" t="s">
        <v>654</v>
      </c>
      <c r="C1677" s="147" t="s">
        <v>19</v>
      </c>
      <c r="D1677" s="148">
        <v>4.4790000000000001</v>
      </c>
      <c r="E1677" s="146" t="s">
        <v>13</v>
      </c>
      <c r="F1677" s="463"/>
      <c r="G1677" s="136" t="s">
        <v>656</v>
      </c>
      <c r="H1677" s="152"/>
      <c r="I1677" s="152" t="str">
        <f t="shared" si="40"/>
        <v>07,26</v>
      </c>
      <c r="M1677" s="2" t="s">
        <v>662</v>
      </c>
    </row>
    <row r="1678" spans="1:13" ht="19.5" hidden="1" thickBot="1" x14ac:dyDescent="0.3">
      <c r="A1678" s="433"/>
      <c r="B1678" s="95" t="s">
        <v>654</v>
      </c>
      <c r="C1678" s="154" t="s">
        <v>116</v>
      </c>
      <c r="D1678" s="155">
        <v>4.3499999999999996</v>
      </c>
      <c r="E1678" s="156" t="s">
        <v>13</v>
      </c>
      <c r="F1678" s="474"/>
      <c r="G1678" s="98" t="s">
        <v>656</v>
      </c>
      <c r="H1678" s="158" t="s">
        <v>416</v>
      </c>
      <c r="I1678" s="158" t="str">
        <f t="shared" si="40"/>
        <v>07,26</v>
      </c>
      <c r="M1678" s="2" t="s">
        <v>660</v>
      </c>
    </row>
    <row r="1679" spans="1:13" ht="19.5" hidden="1" thickBot="1" x14ac:dyDescent="0.3">
      <c r="A1679" s="437">
        <f t="shared" si="41"/>
        <v>318</v>
      </c>
      <c r="B1679" s="102" t="s">
        <v>654</v>
      </c>
      <c r="C1679" s="103" t="s">
        <v>633</v>
      </c>
      <c r="D1679" s="104">
        <v>2.206</v>
      </c>
      <c r="E1679" s="105" t="s">
        <v>13</v>
      </c>
      <c r="F1679" s="457" t="s">
        <v>645</v>
      </c>
      <c r="G1679" s="105" t="s">
        <v>657</v>
      </c>
      <c r="H1679" s="107"/>
      <c r="I1679" s="107" t="str">
        <f t="shared" si="40"/>
        <v>07,26</v>
      </c>
    </row>
    <row r="1680" spans="1:13" ht="19.5" hidden="1" thickBot="1" x14ac:dyDescent="0.3">
      <c r="A1680" s="438"/>
      <c r="B1680" s="108" t="s">
        <v>654</v>
      </c>
      <c r="C1680" s="214" t="s">
        <v>18</v>
      </c>
      <c r="D1680" s="215">
        <v>0.20799999999999999</v>
      </c>
      <c r="E1680" s="213" t="s">
        <v>619</v>
      </c>
      <c r="F1680" s="458"/>
      <c r="G1680" s="111" t="s">
        <v>657</v>
      </c>
      <c r="H1680" s="219"/>
      <c r="I1680" s="219" t="str">
        <f t="shared" si="40"/>
        <v>07,26</v>
      </c>
    </row>
    <row r="1681" spans="1:13" ht="19.5" hidden="1" thickBot="1" x14ac:dyDescent="0.3">
      <c r="A1681" s="438"/>
      <c r="B1681" s="108" t="s">
        <v>654</v>
      </c>
      <c r="C1681" s="214" t="s">
        <v>17</v>
      </c>
      <c r="D1681" s="215">
        <v>3.1890000000000001</v>
      </c>
      <c r="E1681" s="213" t="s">
        <v>13</v>
      </c>
      <c r="F1681" s="458"/>
      <c r="G1681" s="111" t="s">
        <v>657</v>
      </c>
      <c r="H1681" s="219"/>
      <c r="I1681" s="219" t="str">
        <f t="shared" si="40"/>
        <v>07,26</v>
      </c>
    </row>
    <row r="1682" spans="1:13" ht="19.5" hidden="1" thickBot="1" x14ac:dyDescent="0.3">
      <c r="A1682" s="439"/>
      <c r="B1682" s="114" t="s">
        <v>654</v>
      </c>
      <c r="C1682" s="216" t="s">
        <v>17</v>
      </c>
      <c r="D1682" s="217">
        <v>0.48399999999999999</v>
      </c>
      <c r="E1682" s="218" t="s">
        <v>619</v>
      </c>
      <c r="F1682" s="459"/>
      <c r="G1682" s="117" t="s">
        <v>657</v>
      </c>
      <c r="H1682" s="220"/>
      <c r="I1682" s="220" t="str">
        <f t="shared" si="40"/>
        <v>07,26</v>
      </c>
    </row>
    <row r="1683" spans="1:13" ht="19.5" hidden="1" thickBot="1" x14ac:dyDescent="0.3">
      <c r="A1683" s="431">
        <f t="shared" si="41"/>
        <v>319</v>
      </c>
      <c r="B1683" s="91" t="s">
        <v>654</v>
      </c>
      <c r="C1683" s="92" t="s">
        <v>19</v>
      </c>
      <c r="D1683" s="93">
        <v>4.3090000000000002</v>
      </c>
      <c r="E1683" s="94" t="s">
        <v>13</v>
      </c>
      <c r="F1683" s="434" t="s">
        <v>642</v>
      </c>
      <c r="G1683" s="94" t="s">
        <v>657</v>
      </c>
      <c r="H1683" s="132"/>
      <c r="I1683" s="132" t="str">
        <f t="shared" si="40"/>
        <v>07,26</v>
      </c>
      <c r="M1683" s="2" t="s">
        <v>663</v>
      </c>
    </row>
    <row r="1684" spans="1:13" ht="19.5" hidden="1" thickBot="1" x14ac:dyDescent="0.3">
      <c r="A1684" s="432"/>
      <c r="B1684" s="175" t="s">
        <v>654</v>
      </c>
      <c r="C1684" s="147" t="s">
        <v>19</v>
      </c>
      <c r="D1684" s="148">
        <v>0.111</v>
      </c>
      <c r="E1684" s="146" t="s">
        <v>619</v>
      </c>
      <c r="F1684" s="435"/>
      <c r="G1684" s="136" t="s">
        <v>657</v>
      </c>
      <c r="H1684" s="152"/>
      <c r="I1684" s="152" t="str">
        <f t="shared" si="40"/>
        <v>07,26</v>
      </c>
    </row>
    <row r="1685" spans="1:13" ht="19.5" hidden="1" thickBot="1" x14ac:dyDescent="0.3">
      <c r="A1685" s="432"/>
      <c r="B1685" s="175" t="s">
        <v>654</v>
      </c>
      <c r="C1685" s="147" t="s">
        <v>116</v>
      </c>
      <c r="D1685" s="148">
        <v>4.1349999999999998</v>
      </c>
      <c r="E1685" s="146" t="s">
        <v>13</v>
      </c>
      <c r="F1685" s="435"/>
      <c r="G1685" s="136" t="s">
        <v>657</v>
      </c>
      <c r="H1685" s="152" t="s">
        <v>416</v>
      </c>
      <c r="I1685" s="152" t="str">
        <f t="shared" si="40"/>
        <v>07,26</v>
      </c>
      <c r="M1685" s="2" t="s">
        <v>664</v>
      </c>
    </row>
    <row r="1686" spans="1:13" ht="19.5" hidden="1" thickBot="1" x14ac:dyDescent="0.3">
      <c r="A1686" s="433"/>
      <c r="B1686" s="95" t="s">
        <v>654</v>
      </c>
      <c r="C1686" s="154" t="s">
        <v>116</v>
      </c>
      <c r="D1686" s="155">
        <v>0.182</v>
      </c>
      <c r="E1686" s="156" t="s">
        <v>619</v>
      </c>
      <c r="F1686" s="436"/>
      <c r="G1686" s="98" t="s">
        <v>657</v>
      </c>
      <c r="H1686" s="158" t="s">
        <v>416</v>
      </c>
      <c r="I1686" s="158" t="str">
        <f t="shared" ref="I1686:I1749" si="42">RIGHT(G1686,5)</f>
        <v>07,26</v>
      </c>
    </row>
    <row r="1687" spans="1:13" ht="57" hidden="1" thickBot="1" x14ac:dyDescent="0.3">
      <c r="A1687" s="329">
        <f t="shared" ref="A1687:A1688" si="43">MAX(A1623:A1686)+1</f>
        <v>320</v>
      </c>
      <c r="B1687" s="330" t="s">
        <v>658</v>
      </c>
      <c r="C1687" s="331" t="s">
        <v>18</v>
      </c>
      <c r="D1687" s="332">
        <v>1.45</v>
      </c>
      <c r="E1687" s="333" t="s">
        <v>638</v>
      </c>
      <c r="F1687" s="334" t="s">
        <v>641</v>
      </c>
      <c r="G1687" s="333" t="s">
        <v>657</v>
      </c>
      <c r="H1687" s="335"/>
      <c r="I1687" s="335" t="str">
        <f t="shared" si="42"/>
        <v>07,26</v>
      </c>
    </row>
    <row r="1688" spans="1:13" ht="38.25" hidden="1" thickBot="1" x14ac:dyDescent="0.3">
      <c r="A1688" s="431">
        <f t="shared" si="43"/>
        <v>321</v>
      </c>
      <c r="B1688" s="91" t="s">
        <v>658</v>
      </c>
      <c r="C1688" s="92" t="s">
        <v>635</v>
      </c>
      <c r="D1688" s="93">
        <v>0.27900000000000003</v>
      </c>
      <c r="E1688" s="94" t="s">
        <v>638</v>
      </c>
      <c r="F1688" s="434" t="s">
        <v>639</v>
      </c>
      <c r="G1688" s="94" t="s">
        <v>657</v>
      </c>
      <c r="H1688" s="132"/>
      <c r="I1688" s="132" t="str">
        <f t="shared" si="42"/>
        <v>07,26</v>
      </c>
    </row>
    <row r="1689" spans="1:13" ht="38.25" hidden="1" thickBot="1" x14ac:dyDescent="0.3">
      <c r="A1689" s="433"/>
      <c r="B1689" s="311" t="s">
        <v>658</v>
      </c>
      <c r="C1689" s="154" t="s">
        <v>636</v>
      </c>
      <c r="D1689" s="155">
        <v>0.28299999999999997</v>
      </c>
      <c r="E1689" s="156" t="s">
        <v>638</v>
      </c>
      <c r="F1689" s="436"/>
      <c r="G1689" s="98" t="s">
        <v>657</v>
      </c>
      <c r="H1689" s="158"/>
      <c r="I1689" s="158" t="str">
        <f t="shared" si="42"/>
        <v>07,26</v>
      </c>
    </row>
    <row r="1690" spans="1:13" ht="38.25" hidden="1" thickBot="1" x14ac:dyDescent="0.3">
      <c r="A1690" s="329">
        <f>MAX(A1625:A1688)+1</f>
        <v>322</v>
      </c>
      <c r="B1690" s="330" t="s">
        <v>658</v>
      </c>
      <c r="C1690" s="331" t="s">
        <v>116</v>
      </c>
      <c r="D1690" s="332">
        <v>0.61699999999999999</v>
      </c>
      <c r="E1690" s="333" t="s">
        <v>638</v>
      </c>
      <c r="F1690" s="334" t="s">
        <v>659</v>
      </c>
      <c r="G1690" s="333" t="s">
        <v>657</v>
      </c>
      <c r="H1690" s="335" t="s">
        <v>416</v>
      </c>
      <c r="I1690" s="335" t="str">
        <f t="shared" si="42"/>
        <v>07,26</v>
      </c>
    </row>
    <row r="1691" spans="1:13" ht="57" hidden="1" thickBot="1" x14ac:dyDescent="0.3">
      <c r="A1691" s="361">
        <f>MAX(A1626:A1690)+1</f>
        <v>323</v>
      </c>
      <c r="B1691" s="343" t="s">
        <v>658</v>
      </c>
      <c r="C1691" s="355" t="s">
        <v>17</v>
      </c>
      <c r="D1691" s="356">
        <v>1.1000000000000001</v>
      </c>
      <c r="E1691" s="292" t="s">
        <v>638</v>
      </c>
      <c r="F1691" s="357" t="s">
        <v>640</v>
      </c>
      <c r="G1691" s="292" t="s">
        <v>657</v>
      </c>
      <c r="H1691" s="342"/>
      <c r="I1691" s="342" t="str">
        <f t="shared" si="42"/>
        <v>07,26</v>
      </c>
    </row>
    <row r="1692" spans="1:13" ht="38.25" hidden="1" thickBot="1" x14ac:dyDescent="0.3">
      <c r="A1692" s="329">
        <f>MAX(A1627:A1691)+1</f>
        <v>324</v>
      </c>
      <c r="B1692" s="330" t="s">
        <v>667</v>
      </c>
      <c r="C1692" s="331" t="s">
        <v>17</v>
      </c>
      <c r="D1692" s="332">
        <v>2.0299999999999998</v>
      </c>
      <c r="E1692" s="333" t="s">
        <v>13</v>
      </c>
      <c r="F1692" s="334" t="s">
        <v>645</v>
      </c>
      <c r="G1692" s="333" t="s">
        <v>668</v>
      </c>
      <c r="H1692" s="335"/>
      <c r="I1692" s="335" t="str">
        <f t="shared" si="42"/>
        <v>07,26</v>
      </c>
      <c r="M1692" s="2" t="s">
        <v>679</v>
      </c>
    </row>
    <row r="1693" spans="1:13" ht="19.5" hidden="1" thickBot="1" x14ac:dyDescent="0.3">
      <c r="A1693" s="431">
        <f>MAX(A1628:A1692)+1</f>
        <v>325</v>
      </c>
      <c r="B1693" s="91" t="s">
        <v>667</v>
      </c>
      <c r="C1693" s="92" t="s">
        <v>367</v>
      </c>
      <c r="D1693" s="93">
        <v>2.222</v>
      </c>
      <c r="E1693" s="94" t="s">
        <v>13</v>
      </c>
      <c r="F1693" s="434" t="s">
        <v>642</v>
      </c>
      <c r="G1693" s="94" t="s">
        <v>669</v>
      </c>
      <c r="H1693" s="132" t="s">
        <v>416</v>
      </c>
      <c r="I1693" s="132" t="str">
        <f t="shared" si="42"/>
        <v>07,26</v>
      </c>
      <c r="M1693" s="2" t="s">
        <v>677</v>
      </c>
    </row>
    <row r="1694" spans="1:13" ht="19.5" hidden="1" thickBot="1" x14ac:dyDescent="0.3">
      <c r="A1694" s="433"/>
      <c r="B1694" s="95" t="s">
        <v>667</v>
      </c>
      <c r="C1694" s="154" t="s">
        <v>19</v>
      </c>
      <c r="D1694" s="155">
        <v>5.2</v>
      </c>
      <c r="E1694" s="98" t="s">
        <v>13</v>
      </c>
      <c r="F1694" s="436"/>
      <c r="G1694" s="156" t="s">
        <v>669</v>
      </c>
      <c r="H1694" s="158"/>
      <c r="I1694" s="158" t="str">
        <f t="shared" si="42"/>
        <v>07,26</v>
      </c>
      <c r="M1694" s="2" t="s">
        <v>678</v>
      </c>
    </row>
    <row r="1695" spans="1:13" ht="38.25" hidden="1" thickBot="1" x14ac:dyDescent="0.3">
      <c r="A1695" s="329">
        <f t="shared" ref="A1695:A1741" si="44">MAX(A1630:A1694)+1</f>
        <v>326</v>
      </c>
      <c r="B1695" s="330" t="s">
        <v>667</v>
      </c>
      <c r="C1695" s="331" t="s">
        <v>18</v>
      </c>
      <c r="D1695" s="332">
        <v>5.61</v>
      </c>
      <c r="E1695" s="333" t="s">
        <v>13</v>
      </c>
      <c r="F1695" s="334" t="s">
        <v>645</v>
      </c>
      <c r="G1695" s="333" t="s">
        <v>670</v>
      </c>
      <c r="H1695" s="335"/>
      <c r="I1695" s="335" t="str">
        <f t="shared" si="42"/>
        <v>07,26</v>
      </c>
    </row>
    <row r="1696" spans="1:13" ht="19.5" hidden="1" thickBot="1" x14ac:dyDescent="0.3">
      <c r="A1696" s="431">
        <f t="shared" si="44"/>
        <v>327</v>
      </c>
      <c r="B1696" s="91" t="s">
        <v>667</v>
      </c>
      <c r="C1696" s="92" t="s">
        <v>19</v>
      </c>
      <c r="D1696" s="93">
        <v>4.1059999999999999</v>
      </c>
      <c r="E1696" s="94" t="s">
        <v>13</v>
      </c>
      <c r="F1696" s="434" t="s">
        <v>642</v>
      </c>
      <c r="G1696" s="94" t="s">
        <v>670</v>
      </c>
      <c r="H1696" s="132"/>
      <c r="I1696" s="132" t="str">
        <f t="shared" si="42"/>
        <v>07,26</v>
      </c>
      <c r="M1696" s="2" t="s">
        <v>674</v>
      </c>
    </row>
    <row r="1697" spans="1:13" ht="19.5" hidden="1" thickBot="1" x14ac:dyDescent="0.3">
      <c r="A1697" s="432"/>
      <c r="B1697" s="175" t="s">
        <v>667</v>
      </c>
      <c r="C1697" s="147" t="s">
        <v>116</v>
      </c>
      <c r="D1697" s="148">
        <v>5.9710000000000001</v>
      </c>
      <c r="E1697" s="146" t="s">
        <v>13</v>
      </c>
      <c r="F1697" s="435"/>
      <c r="G1697" s="146" t="s">
        <v>670</v>
      </c>
      <c r="H1697" s="152" t="s">
        <v>416</v>
      </c>
      <c r="I1697" s="152" t="str">
        <f t="shared" si="42"/>
        <v>07,26</v>
      </c>
      <c r="M1697" s="2" t="s">
        <v>673</v>
      </c>
    </row>
    <row r="1698" spans="1:13" ht="19.5" hidden="1" thickBot="1" x14ac:dyDescent="0.3">
      <c r="A1698" s="432"/>
      <c r="B1698" s="175" t="s">
        <v>667</v>
      </c>
      <c r="C1698" s="147" t="s">
        <v>19</v>
      </c>
      <c r="D1698" s="148">
        <v>6.4000000000000001E-2</v>
      </c>
      <c r="E1698" s="146" t="s">
        <v>619</v>
      </c>
      <c r="F1698" s="435"/>
      <c r="G1698" s="146" t="s">
        <v>670</v>
      </c>
      <c r="H1698" s="152"/>
      <c r="I1698" s="152" t="str">
        <f t="shared" si="42"/>
        <v>07,26</v>
      </c>
      <c r="M1698" s="2" t="s">
        <v>675</v>
      </c>
    </row>
    <row r="1699" spans="1:13" ht="19.5" hidden="1" thickBot="1" x14ac:dyDescent="0.3">
      <c r="A1699" s="433"/>
      <c r="B1699" s="95" t="s">
        <v>667</v>
      </c>
      <c r="C1699" s="154" t="s">
        <v>116</v>
      </c>
      <c r="D1699" s="155">
        <v>0.371</v>
      </c>
      <c r="E1699" s="156" t="s">
        <v>619</v>
      </c>
      <c r="F1699" s="436"/>
      <c r="G1699" s="156" t="s">
        <v>670</v>
      </c>
      <c r="H1699" s="158" t="s">
        <v>416</v>
      </c>
      <c r="I1699" s="158" t="str">
        <f t="shared" si="42"/>
        <v>07,26</v>
      </c>
      <c r="M1699" s="2" t="s">
        <v>676</v>
      </c>
    </row>
    <row r="1700" spans="1:13" ht="38.25" hidden="1" thickBot="1" x14ac:dyDescent="0.3">
      <c r="A1700" s="437">
        <f t="shared" si="44"/>
        <v>328</v>
      </c>
      <c r="B1700" s="102" t="s">
        <v>671</v>
      </c>
      <c r="C1700" s="103" t="s">
        <v>18</v>
      </c>
      <c r="D1700" s="104">
        <v>1.6619999999999999</v>
      </c>
      <c r="E1700" s="105" t="s">
        <v>638</v>
      </c>
      <c r="F1700" s="440" t="s">
        <v>672</v>
      </c>
      <c r="G1700" s="105" t="s">
        <v>670</v>
      </c>
      <c r="H1700" s="107"/>
      <c r="I1700" s="107" t="str">
        <f t="shared" si="42"/>
        <v>07,26</v>
      </c>
    </row>
    <row r="1701" spans="1:13" ht="38.25" hidden="1" thickBot="1" x14ac:dyDescent="0.3">
      <c r="A1701" s="439"/>
      <c r="B1701" s="222" t="s">
        <v>671</v>
      </c>
      <c r="C1701" s="216" t="s">
        <v>17</v>
      </c>
      <c r="D1701" s="217">
        <v>0.187</v>
      </c>
      <c r="E1701" s="218" t="s">
        <v>638</v>
      </c>
      <c r="F1701" s="442"/>
      <c r="G1701" s="218" t="s">
        <v>670</v>
      </c>
      <c r="H1701" s="220"/>
      <c r="I1701" s="220" t="str">
        <f t="shared" si="42"/>
        <v>07,26</v>
      </c>
    </row>
    <row r="1702" spans="1:13" ht="38.25" hidden="1" thickBot="1" x14ac:dyDescent="0.3">
      <c r="A1702" s="339">
        <f t="shared" si="44"/>
        <v>329</v>
      </c>
      <c r="B1702" s="121" t="s">
        <v>671</v>
      </c>
      <c r="C1702" s="122" t="s">
        <v>19</v>
      </c>
      <c r="D1702" s="123">
        <v>0.26200000000000001</v>
      </c>
      <c r="E1702" s="124" t="s">
        <v>638</v>
      </c>
      <c r="F1702" s="340" t="s">
        <v>639</v>
      </c>
      <c r="G1702" s="124" t="s">
        <v>670</v>
      </c>
      <c r="H1702" s="125"/>
      <c r="I1702" s="125" t="str">
        <f t="shared" si="42"/>
        <v>07,26</v>
      </c>
    </row>
    <row r="1703" spans="1:13" ht="38.25" hidden="1" thickBot="1" x14ac:dyDescent="0.3">
      <c r="A1703" s="360">
        <f t="shared" si="44"/>
        <v>330</v>
      </c>
      <c r="B1703" s="231" t="s">
        <v>671</v>
      </c>
      <c r="C1703" s="232" t="s">
        <v>116</v>
      </c>
      <c r="D1703" s="233">
        <v>0.76200000000000001</v>
      </c>
      <c r="E1703" s="234" t="s">
        <v>638</v>
      </c>
      <c r="F1703" s="358" t="s">
        <v>659</v>
      </c>
      <c r="G1703" s="234" t="s">
        <v>670</v>
      </c>
      <c r="H1703" s="228" t="s">
        <v>416</v>
      </c>
      <c r="I1703" s="228" t="str">
        <f t="shared" si="42"/>
        <v>07,26</v>
      </c>
    </row>
    <row r="1704" spans="1:13" ht="19.5" hidden="1" thickBot="1" x14ac:dyDescent="0.3">
      <c r="A1704" s="431">
        <f t="shared" si="44"/>
        <v>331</v>
      </c>
      <c r="B1704" s="91" t="s">
        <v>680</v>
      </c>
      <c r="C1704" s="92" t="s">
        <v>681</v>
      </c>
      <c r="D1704" s="93">
        <v>7.1580000000000004</v>
      </c>
      <c r="E1704" s="94" t="s">
        <v>13</v>
      </c>
      <c r="F1704" s="434" t="s">
        <v>645</v>
      </c>
      <c r="G1704" s="94" t="s">
        <v>682</v>
      </c>
      <c r="H1704" s="132" t="s">
        <v>416</v>
      </c>
      <c r="I1704" s="132" t="str">
        <f t="shared" si="42"/>
        <v>07,26</v>
      </c>
      <c r="M1704" s="2" t="s">
        <v>688</v>
      </c>
    </row>
    <row r="1705" spans="1:13" ht="19.5" hidden="1" thickBot="1" x14ac:dyDescent="0.3">
      <c r="A1705" s="432"/>
      <c r="B1705" s="175" t="s">
        <v>680</v>
      </c>
      <c r="C1705" s="147" t="s">
        <v>18</v>
      </c>
      <c r="D1705" s="148">
        <v>4.2560000000000002</v>
      </c>
      <c r="E1705" s="136" t="s">
        <v>13</v>
      </c>
      <c r="F1705" s="435"/>
      <c r="G1705" s="136" t="s">
        <v>682</v>
      </c>
      <c r="H1705" s="152"/>
      <c r="I1705" s="152" t="str">
        <f t="shared" si="42"/>
        <v>07,26</v>
      </c>
      <c r="M1705" s="2" t="s">
        <v>686</v>
      </c>
    </row>
    <row r="1706" spans="1:13" ht="19.5" hidden="1" thickBot="1" x14ac:dyDescent="0.3">
      <c r="A1706" s="433"/>
      <c r="B1706" s="95" t="s">
        <v>680</v>
      </c>
      <c r="C1706" s="154" t="s">
        <v>18</v>
      </c>
      <c r="D1706" s="155">
        <v>0.22700000000000001</v>
      </c>
      <c r="E1706" s="156" t="s">
        <v>619</v>
      </c>
      <c r="F1706" s="436"/>
      <c r="G1706" s="98" t="s">
        <v>682</v>
      </c>
      <c r="H1706" s="158"/>
      <c r="I1706" s="158" t="str">
        <f t="shared" si="42"/>
        <v>07,26</v>
      </c>
      <c r="M1706" s="2" t="s">
        <v>687</v>
      </c>
    </row>
    <row r="1707" spans="1:13" ht="19.5" hidden="1" thickBot="1" x14ac:dyDescent="0.3">
      <c r="A1707" s="437">
        <f t="shared" si="44"/>
        <v>332</v>
      </c>
      <c r="B1707" s="102" t="s">
        <v>680</v>
      </c>
      <c r="C1707" s="103" t="s">
        <v>367</v>
      </c>
      <c r="D1707" s="104">
        <v>3.073</v>
      </c>
      <c r="E1707" s="105" t="s">
        <v>13</v>
      </c>
      <c r="F1707" s="440" t="s">
        <v>642</v>
      </c>
      <c r="G1707" s="105" t="s">
        <v>683</v>
      </c>
      <c r="H1707" s="107" t="s">
        <v>416</v>
      </c>
      <c r="I1707" s="107" t="str">
        <f t="shared" si="42"/>
        <v>07,26</v>
      </c>
      <c r="M1707" s="2" t="s">
        <v>690</v>
      </c>
    </row>
    <row r="1708" spans="1:13" ht="19.5" hidden="1" thickBot="1" x14ac:dyDescent="0.3">
      <c r="A1708" s="438"/>
      <c r="B1708" s="108" t="s">
        <v>680</v>
      </c>
      <c r="C1708" s="214" t="s">
        <v>19</v>
      </c>
      <c r="D1708" s="215">
        <v>3.2679999999999998</v>
      </c>
      <c r="E1708" s="213" t="s">
        <v>13</v>
      </c>
      <c r="F1708" s="441"/>
      <c r="G1708" s="213" t="s">
        <v>683</v>
      </c>
      <c r="H1708" s="219"/>
      <c r="I1708" s="219" t="str">
        <f t="shared" si="42"/>
        <v>07,26</v>
      </c>
      <c r="M1708" s="2" t="s">
        <v>691</v>
      </c>
    </row>
    <row r="1709" spans="1:13" ht="19.5" hidden="1" thickBot="1" x14ac:dyDescent="0.3">
      <c r="A1709" s="439"/>
      <c r="B1709" s="114" t="s">
        <v>680</v>
      </c>
      <c r="C1709" s="216" t="s">
        <v>564</v>
      </c>
      <c r="D1709" s="217">
        <v>1.29</v>
      </c>
      <c r="E1709" s="218" t="s">
        <v>13</v>
      </c>
      <c r="F1709" s="442"/>
      <c r="G1709" s="218" t="s">
        <v>683</v>
      </c>
      <c r="H1709" s="220" t="s">
        <v>416</v>
      </c>
      <c r="I1709" s="220" t="str">
        <f t="shared" si="42"/>
        <v>07,26</v>
      </c>
      <c r="M1709" s="2" t="s">
        <v>689</v>
      </c>
    </row>
    <row r="1710" spans="1:13" ht="18.75" hidden="1" customHeight="1" x14ac:dyDescent="0.3">
      <c r="A1710" s="431">
        <f t="shared" si="44"/>
        <v>333</v>
      </c>
      <c r="B1710" s="91" t="s">
        <v>680</v>
      </c>
      <c r="C1710" s="92" t="s">
        <v>19</v>
      </c>
      <c r="D1710" s="93">
        <v>3.214</v>
      </c>
      <c r="E1710" s="94" t="s">
        <v>13</v>
      </c>
      <c r="F1710" s="434" t="s">
        <v>642</v>
      </c>
      <c r="G1710" s="94" t="s">
        <v>684</v>
      </c>
      <c r="H1710" s="132"/>
      <c r="I1710" s="132" t="str">
        <f t="shared" si="42"/>
        <v>07,26</v>
      </c>
      <c r="M1710" s="2" t="s">
        <v>695</v>
      </c>
    </row>
    <row r="1711" spans="1:13" ht="19.5" hidden="1" thickBot="1" x14ac:dyDescent="0.3">
      <c r="A1711" s="432"/>
      <c r="B1711" s="175" t="s">
        <v>680</v>
      </c>
      <c r="C1711" s="147" t="s">
        <v>19</v>
      </c>
      <c r="D1711" s="148">
        <v>0.12</v>
      </c>
      <c r="E1711" s="146" t="s">
        <v>619</v>
      </c>
      <c r="F1711" s="435"/>
      <c r="G1711" s="146" t="s">
        <v>684</v>
      </c>
      <c r="H1711" s="152"/>
      <c r="I1711" s="152" t="str">
        <f t="shared" si="42"/>
        <v>07,26</v>
      </c>
      <c r="M1711" s="2" t="s">
        <v>692</v>
      </c>
    </row>
    <row r="1712" spans="1:13" ht="19.5" hidden="1" thickBot="1" x14ac:dyDescent="0.3">
      <c r="A1712" s="432"/>
      <c r="B1712" s="175" t="s">
        <v>680</v>
      </c>
      <c r="C1712" s="147" t="s">
        <v>116</v>
      </c>
      <c r="D1712" s="148">
        <v>4.97</v>
      </c>
      <c r="E1712" s="136" t="s">
        <v>13</v>
      </c>
      <c r="F1712" s="435"/>
      <c r="G1712" s="146" t="s">
        <v>684</v>
      </c>
      <c r="H1712" s="152" t="s">
        <v>416</v>
      </c>
      <c r="I1712" s="152" t="str">
        <f t="shared" si="42"/>
        <v>07,26</v>
      </c>
      <c r="M1712" s="2" t="s">
        <v>693</v>
      </c>
    </row>
    <row r="1713" spans="1:13" ht="19.5" hidden="1" thickBot="1" x14ac:dyDescent="0.3">
      <c r="A1713" s="433"/>
      <c r="B1713" s="95" t="s">
        <v>680</v>
      </c>
      <c r="C1713" s="154" t="s">
        <v>116</v>
      </c>
      <c r="D1713" s="359">
        <v>4.9000000000000002E-2</v>
      </c>
      <c r="E1713" s="156" t="s">
        <v>619</v>
      </c>
      <c r="F1713" s="436"/>
      <c r="G1713" s="156" t="s">
        <v>684</v>
      </c>
      <c r="H1713" s="158" t="s">
        <v>416</v>
      </c>
      <c r="I1713" s="158" t="str">
        <f t="shared" si="42"/>
        <v>07,26</v>
      </c>
      <c r="M1713" s="2" t="s">
        <v>694</v>
      </c>
    </row>
    <row r="1714" spans="1:13" ht="19.5" hidden="1" thickBot="1" x14ac:dyDescent="0.3">
      <c r="A1714" s="437">
        <f t="shared" si="44"/>
        <v>334</v>
      </c>
      <c r="B1714" s="102" t="s">
        <v>680</v>
      </c>
      <c r="C1714" s="103" t="s">
        <v>17</v>
      </c>
      <c r="D1714" s="104">
        <v>3.1360000000000001</v>
      </c>
      <c r="E1714" s="105" t="s">
        <v>13</v>
      </c>
      <c r="F1714" s="440" t="s">
        <v>645</v>
      </c>
      <c r="G1714" s="105" t="s">
        <v>684</v>
      </c>
      <c r="H1714" s="107"/>
      <c r="I1714" s="107" t="str">
        <f t="shared" si="42"/>
        <v>07,26</v>
      </c>
    </row>
    <row r="1715" spans="1:13" ht="19.5" hidden="1" thickBot="1" x14ac:dyDescent="0.3">
      <c r="A1715" s="439"/>
      <c r="B1715" s="114" t="s">
        <v>680</v>
      </c>
      <c r="C1715" s="216" t="s">
        <v>17</v>
      </c>
      <c r="D1715" s="217">
        <v>0.19600000000000001</v>
      </c>
      <c r="E1715" s="218" t="s">
        <v>619</v>
      </c>
      <c r="F1715" s="442"/>
      <c r="G1715" s="218" t="s">
        <v>684</v>
      </c>
      <c r="H1715" s="220"/>
      <c r="I1715" s="220" t="str">
        <f t="shared" si="42"/>
        <v>07,26</v>
      </c>
    </row>
    <row r="1716" spans="1:13" ht="38.25" hidden="1" thickBot="1" x14ac:dyDescent="0.3">
      <c r="A1716" s="431">
        <f t="shared" si="44"/>
        <v>335</v>
      </c>
      <c r="B1716" s="91" t="s">
        <v>685</v>
      </c>
      <c r="C1716" s="92" t="s">
        <v>18</v>
      </c>
      <c r="D1716" s="93">
        <v>0.41599999999999998</v>
      </c>
      <c r="E1716" s="94" t="s">
        <v>638</v>
      </c>
      <c r="F1716" s="434" t="s">
        <v>672</v>
      </c>
      <c r="G1716" s="94" t="s">
        <v>684</v>
      </c>
      <c r="H1716" s="132"/>
      <c r="I1716" s="132" t="str">
        <f t="shared" si="42"/>
        <v>07,26</v>
      </c>
    </row>
    <row r="1717" spans="1:13" ht="38.25" hidden="1" thickBot="1" x14ac:dyDescent="0.3">
      <c r="A1717" s="433"/>
      <c r="B1717" s="311" t="s">
        <v>685</v>
      </c>
      <c r="C1717" s="154" t="s">
        <v>17</v>
      </c>
      <c r="D1717" s="155">
        <v>8.2000000000000003E-2</v>
      </c>
      <c r="E1717" s="156" t="s">
        <v>638</v>
      </c>
      <c r="F1717" s="436"/>
      <c r="G1717" s="156" t="s">
        <v>684</v>
      </c>
      <c r="H1717" s="158"/>
      <c r="I1717" s="158" t="str">
        <f t="shared" si="42"/>
        <v>07,26</v>
      </c>
    </row>
    <row r="1718" spans="1:13" ht="38.25" hidden="1" thickBot="1" x14ac:dyDescent="0.3">
      <c r="A1718" s="329">
        <f t="shared" si="44"/>
        <v>336</v>
      </c>
      <c r="B1718" s="330" t="s">
        <v>685</v>
      </c>
      <c r="C1718" s="331" t="s">
        <v>19</v>
      </c>
      <c r="D1718" s="332">
        <v>0.25900000000000001</v>
      </c>
      <c r="E1718" s="333" t="s">
        <v>638</v>
      </c>
      <c r="F1718" s="334" t="s">
        <v>639</v>
      </c>
      <c r="G1718" s="333" t="s">
        <v>684</v>
      </c>
      <c r="H1718" s="335"/>
      <c r="I1718" s="335" t="str">
        <f t="shared" si="42"/>
        <v>07,26</v>
      </c>
    </row>
    <row r="1719" spans="1:13" ht="38.25" hidden="1" thickBot="1" x14ac:dyDescent="0.3">
      <c r="A1719" s="361">
        <f t="shared" si="44"/>
        <v>337</v>
      </c>
      <c r="B1719" s="343" t="s">
        <v>685</v>
      </c>
      <c r="C1719" s="355" t="s">
        <v>116</v>
      </c>
      <c r="D1719" s="356">
        <v>0.64600000000000002</v>
      </c>
      <c r="E1719" s="292" t="s">
        <v>638</v>
      </c>
      <c r="F1719" s="357" t="s">
        <v>659</v>
      </c>
      <c r="G1719" s="292" t="s">
        <v>684</v>
      </c>
      <c r="H1719" s="342"/>
      <c r="I1719" s="342" t="str">
        <f t="shared" si="42"/>
        <v>07,26</v>
      </c>
    </row>
    <row r="1720" spans="1:13" ht="19.5" hidden="1" thickBot="1" x14ac:dyDescent="0.3">
      <c r="A1720" s="437">
        <f t="shared" si="44"/>
        <v>338</v>
      </c>
      <c r="B1720" s="102" t="s">
        <v>696</v>
      </c>
      <c r="C1720" s="103" t="s">
        <v>19</v>
      </c>
      <c r="D1720" s="104">
        <v>4.8</v>
      </c>
      <c r="E1720" s="105" t="s">
        <v>13</v>
      </c>
      <c r="F1720" s="440" t="s">
        <v>642</v>
      </c>
      <c r="G1720" s="105" t="s">
        <v>697</v>
      </c>
      <c r="H1720" s="107"/>
      <c r="I1720" s="107" t="str">
        <f t="shared" si="42"/>
        <v>07,26</v>
      </c>
      <c r="M1720" s="2" t="s">
        <v>701</v>
      </c>
    </row>
    <row r="1721" spans="1:13" ht="19.5" hidden="1" thickBot="1" x14ac:dyDescent="0.3">
      <c r="A1721" s="439"/>
      <c r="B1721" s="114" t="s">
        <v>696</v>
      </c>
      <c r="C1721" s="115" t="s">
        <v>367</v>
      </c>
      <c r="D1721" s="116">
        <v>2.4620000000000002</v>
      </c>
      <c r="E1721" s="117" t="s">
        <v>13</v>
      </c>
      <c r="F1721" s="442"/>
      <c r="G1721" s="117" t="s">
        <v>697</v>
      </c>
      <c r="H1721" s="220" t="s">
        <v>416</v>
      </c>
      <c r="I1721" s="220" t="str">
        <f t="shared" si="42"/>
        <v>07,26</v>
      </c>
      <c r="M1721" s="2" t="s">
        <v>702</v>
      </c>
    </row>
    <row r="1722" spans="1:13" ht="19.5" hidden="1" thickBot="1" x14ac:dyDescent="0.3">
      <c r="A1722" s="431">
        <f t="shared" si="44"/>
        <v>339</v>
      </c>
      <c r="B1722" s="91" t="s">
        <v>696</v>
      </c>
      <c r="C1722" s="92" t="s">
        <v>17</v>
      </c>
      <c r="D1722" s="93">
        <f>9.36+0.04</f>
        <v>9.3999999999999986</v>
      </c>
      <c r="E1722" s="94" t="s">
        <v>13</v>
      </c>
      <c r="F1722" s="434" t="s">
        <v>645</v>
      </c>
      <c r="G1722" s="94" t="s">
        <v>698</v>
      </c>
      <c r="H1722" s="132"/>
      <c r="I1722" s="132" t="str">
        <f t="shared" si="42"/>
        <v>07,26</v>
      </c>
    </row>
    <row r="1723" spans="1:13" ht="19.5" hidden="1" thickBot="1" x14ac:dyDescent="0.3">
      <c r="A1723" s="433"/>
      <c r="B1723" s="95" t="s">
        <v>696</v>
      </c>
      <c r="C1723" s="96" t="s">
        <v>17</v>
      </c>
      <c r="D1723" s="97">
        <v>0.152</v>
      </c>
      <c r="E1723" s="98" t="s">
        <v>619</v>
      </c>
      <c r="F1723" s="436"/>
      <c r="G1723" s="98" t="s">
        <v>698</v>
      </c>
      <c r="H1723" s="158"/>
      <c r="I1723" s="158" t="str">
        <f t="shared" si="42"/>
        <v>07,26</v>
      </c>
    </row>
    <row r="1724" spans="1:13" ht="19.5" hidden="1" thickBot="1" x14ac:dyDescent="0.3">
      <c r="A1724" s="437">
        <f t="shared" si="44"/>
        <v>340</v>
      </c>
      <c r="B1724" s="102" t="s">
        <v>696</v>
      </c>
      <c r="C1724" s="103" t="s">
        <v>19</v>
      </c>
      <c r="D1724" s="104">
        <f>4.164+0.298</f>
        <v>4.4619999999999997</v>
      </c>
      <c r="E1724" s="105" t="s">
        <v>13</v>
      </c>
      <c r="F1724" s="440" t="s">
        <v>642</v>
      </c>
      <c r="G1724" s="105" t="s">
        <v>698</v>
      </c>
      <c r="H1724" s="107"/>
      <c r="I1724" s="107" t="str">
        <f t="shared" si="42"/>
        <v>07,26</v>
      </c>
    </row>
    <row r="1725" spans="1:13" ht="19.5" hidden="1" thickBot="1" x14ac:dyDescent="0.3">
      <c r="A1725" s="438"/>
      <c r="B1725" s="108" t="s">
        <v>696</v>
      </c>
      <c r="C1725" s="109" t="s">
        <v>19</v>
      </c>
      <c r="D1725" s="110">
        <v>0.10100000000000001</v>
      </c>
      <c r="E1725" s="111" t="s">
        <v>619</v>
      </c>
      <c r="F1725" s="441"/>
      <c r="G1725" s="111" t="s">
        <v>698</v>
      </c>
      <c r="H1725" s="219"/>
      <c r="I1725" s="219" t="str">
        <f t="shared" si="42"/>
        <v>07,26</v>
      </c>
    </row>
    <row r="1726" spans="1:13" ht="19.5" hidden="1" thickBot="1" x14ac:dyDescent="0.3">
      <c r="A1726" s="438"/>
      <c r="B1726" s="108" t="s">
        <v>696</v>
      </c>
      <c r="C1726" s="109" t="s">
        <v>116</v>
      </c>
      <c r="D1726" s="110">
        <f>6.486+0.06</f>
        <v>6.5459999999999994</v>
      </c>
      <c r="E1726" s="111" t="s">
        <v>13</v>
      </c>
      <c r="F1726" s="441"/>
      <c r="G1726" s="111" t="s">
        <v>698</v>
      </c>
      <c r="H1726" s="219" t="s">
        <v>416</v>
      </c>
      <c r="I1726" s="219" t="str">
        <f t="shared" si="42"/>
        <v>07,26</v>
      </c>
    </row>
    <row r="1727" spans="1:13" ht="19.5" hidden="1" thickBot="1" x14ac:dyDescent="0.3">
      <c r="A1727" s="439"/>
      <c r="B1727" s="114" t="s">
        <v>696</v>
      </c>
      <c r="C1727" s="115" t="s">
        <v>116</v>
      </c>
      <c r="D1727" s="116">
        <v>0.45800000000000002</v>
      </c>
      <c r="E1727" s="117" t="s">
        <v>619</v>
      </c>
      <c r="F1727" s="442"/>
      <c r="G1727" s="117" t="s">
        <v>698</v>
      </c>
      <c r="H1727" s="220" t="s">
        <v>416</v>
      </c>
      <c r="I1727" s="220" t="str">
        <f t="shared" si="42"/>
        <v>07,26</v>
      </c>
    </row>
    <row r="1728" spans="1:13" ht="19.5" hidden="1" thickBot="1" x14ac:dyDescent="0.3">
      <c r="A1728" s="431">
        <f t="shared" si="44"/>
        <v>341</v>
      </c>
      <c r="B1728" s="91" t="s">
        <v>696</v>
      </c>
      <c r="C1728" s="92" t="s">
        <v>18</v>
      </c>
      <c r="D1728" s="93">
        <f>10.13+0.202</f>
        <v>10.332000000000001</v>
      </c>
      <c r="E1728" s="94" t="s">
        <v>13</v>
      </c>
      <c r="F1728" s="434" t="s">
        <v>645</v>
      </c>
      <c r="G1728" s="94" t="s">
        <v>699</v>
      </c>
      <c r="H1728" s="132"/>
      <c r="I1728" s="132" t="str">
        <f t="shared" si="42"/>
        <v>07,26</v>
      </c>
    </row>
    <row r="1729" spans="1:9" ht="19.5" hidden="1" thickBot="1" x14ac:dyDescent="0.3">
      <c r="A1729" s="432"/>
      <c r="B1729" s="141" t="s">
        <v>696</v>
      </c>
      <c r="C1729" s="142" t="s">
        <v>18</v>
      </c>
      <c r="D1729" s="143">
        <v>0.26300000000000001</v>
      </c>
      <c r="E1729" s="144" t="s">
        <v>619</v>
      </c>
      <c r="F1729" s="435"/>
      <c r="G1729" s="249" t="s">
        <v>699</v>
      </c>
      <c r="H1729" s="176"/>
      <c r="I1729" s="176" t="str">
        <f t="shared" si="42"/>
        <v>07,26</v>
      </c>
    </row>
    <row r="1730" spans="1:9" ht="57" hidden="1" thickBot="1" x14ac:dyDescent="0.3">
      <c r="A1730" s="329">
        <f t="shared" si="44"/>
        <v>342</v>
      </c>
      <c r="B1730" s="330" t="s">
        <v>700</v>
      </c>
      <c r="C1730" s="331" t="s">
        <v>18</v>
      </c>
      <c r="D1730" s="332">
        <v>1.4550000000000001</v>
      </c>
      <c r="E1730" s="333" t="s">
        <v>638</v>
      </c>
      <c r="F1730" s="362" t="s">
        <v>641</v>
      </c>
      <c r="G1730" s="333" t="s">
        <v>698</v>
      </c>
      <c r="H1730" s="335"/>
      <c r="I1730" s="335" t="str">
        <f t="shared" si="42"/>
        <v>07,26</v>
      </c>
    </row>
    <row r="1731" spans="1:9" ht="57" hidden="1" thickBot="1" x14ac:dyDescent="0.3">
      <c r="A1731" s="339">
        <f t="shared" si="44"/>
        <v>343</v>
      </c>
      <c r="B1731" s="121" t="s">
        <v>700</v>
      </c>
      <c r="C1731" s="122" t="s">
        <v>17</v>
      </c>
      <c r="D1731" s="123">
        <v>1.177</v>
      </c>
      <c r="E1731" s="124" t="s">
        <v>638</v>
      </c>
      <c r="F1731" s="363" t="s">
        <v>640</v>
      </c>
      <c r="G1731" s="124" t="s">
        <v>698</v>
      </c>
      <c r="H1731" s="125"/>
      <c r="I1731" s="125" t="str">
        <f t="shared" si="42"/>
        <v>07,26</v>
      </c>
    </row>
    <row r="1732" spans="1:9" ht="38.25" hidden="1" thickBot="1" x14ac:dyDescent="0.3">
      <c r="A1732" s="360">
        <f t="shared" si="44"/>
        <v>344</v>
      </c>
      <c r="B1732" s="231" t="s">
        <v>700</v>
      </c>
      <c r="C1732" s="232" t="s">
        <v>116</v>
      </c>
      <c r="D1732" s="233">
        <v>0.28199999999999997</v>
      </c>
      <c r="E1732" s="234" t="s">
        <v>638</v>
      </c>
      <c r="F1732" s="358" t="s">
        <v>659</v>
      </c>
      <c r="G1732" s="234" t="s">
        <v>698</v>
      </c>
      <c r="H1732" s="228" t="s">
        <v>416</v>
      </c>
      <c r="I1732" s="228" t="str">
        <f t="shared" si="42"/>
        <v>07,26</v>
      </c>
    </row>
    <row r="1733" spans="1:9" ht="19.5" hidden="1" thickBot="1" x14ac:dyDescent="0.3">
      <c r="A1733" s="431">
        <f t="shared" si="44"/>
        <v>345</v>
      </c>
      <c r="B1733" s="91" t="s">
        <v>703</v>
      </c>
      <c r="C1733" s="92" t="s">
        <v>19</v>
      </c>
      <c r="D1733" s="93">
        <v>6.1980000000000004</v>
      </c>
      <c r="E1733" s="94" t="s">
        <v>13</v>
      </c>
      <c r="F1733" s="434" t="s">
        <v>642</v>
      </c>
      <c r="G1733" s="94" t="s">
        <v>704</v>
      </c>
      <c r="H1733" s="132"/>
      <c r="I1733" s="132" t="str">
        <f t="shared" si="42"/>
        <v>08,26</v>
      </c>
    </row>
    <row r="1734" spans="1:9" ht="19.5" hidden="1" thickBot="1" x14ac:dyDescent="0.3">
      <c r="A1734" s="433"/>
      <c r="B1734" s="311" t="s">
        <v>703</v>
      </c>
      <c r="C1734" s="154" t="s">
        <v>367</v>
      </c>
      <c r="D1734" s="155">
        <v>1.69</v>
      </c>
      <c r="E1734" s="156" t="s">
        <v>13</v>
      </c>
      <c r="F1734" s="436"/>
      <c r="G1734" s="156" t="s">
        <v>704</v>
      </c>
      <c r="H1734" s="158" t="s">
        <v>416</v>
      </c>
      <c r="I1734" s="158" t="str">
        <f t="shared" si="42"/>
        <v>08,26</v>
      </c>
    </row>
    <row r="1735" spans="1:9" ht="19.5" hidden="1" thickBot="1" x14ac:dyDescent="0.3">
      <c r="A1735" s="437">
        <f t="shared" si="44"/>
        <v>346</v>
      </c>
      <c r="B1735" s="102" t="s">
        <v>703</v>
      </c>
      <c r="C1735" s="103" t="s">
        <v>19</v>
      </c>
      <c r="D1735" s="104">
        <v>5.4</v>
      </c>
      <c r="E1735" s="105" t="s">
        <v>13</v>
      </c>
      <c r="F1735" s="440" t="s">
        <v>642</v>
      </c>
      <c r="G1735" s="105" t="s">
        <v>705</v>
      </c>
      <c r="H1735" s="107"/>
      <c r="I1735" s="107" t="str">
        <f t="shared" si="42"/>
        <v>08,26</v>
      </c>
    </row>
    <row r="1736" spans="1:9" ht="19.5" hidden="1" thickBot="1" x14ac:dyDescent="0.3">
      <c r="A1736" s="438"/>
      <c r="B1736" s="221" t="s">
        <v>703</v>
      </c>
      <c r="C1736" s="214" t="s">
        <v>19</v>
      </c>
      <c r="D1736" s="215">
        <v>6.2E-2</v>
      </c>
      <c r="E1736" s="213" t="s">
        <v>619</v>
      </c>
      <c r="F1736" s="441"/>
      <c r="G1736" s="213" t="s">
        <v>705</v>
      </c>
      <c r="H1736" s="219"/>
      <c r="I1736" s="219" t="str">
        <f t="shared" si="42"/>
        <v>08,26</v>
      </c>
    </row>
    <row r="1737" spans="1:9" ht="19.5" hidden="1" thickBot="1" x14ac:dyDescent="0.3">
      <c r="A1737" s="438"/>
      <c r="B1737" s="221" t="s">
        <v>703</v>
      </c>
      <c r="C1737" s="214" t="s">
        <v>116</v>
      </c>
      <c r="D1737" s="215">
        <v>9.3770000000000007</v>
      </c>
      <c r="E1737" s="213" t="s">
        <v>13</v>
      </c>
      <c r="F1737" s="441"/>
      <c r="G1737" s="213" t="s">
        <v>705</v>
      </c>
      <c r="H1737" s="219" t="s">
        <v>416</v>
      </c>
      <c r="I1737" s="219" t="str">
        <f t="shared" si="42"/>
        <v>08,26</v>
      </c>
    </row>
    <row r="1738" spans="1:9" ht="19.5" hidden="1" thickBot="1" x14ac:dyDescent="0.3">
      <c r="A1738" s="439"/>
      <c r="B1738" s="222" t="s">
        <v>703</v>
      </c>
      <c r="C1738" s="216" t="s">
        <v>116</v>
      </c>
      <c r="D1738" s="217">
        <v>0.17699999999999999</v>
      </c>
      <c r="E1738" s="218" t="s">
        <v>619</v>
      </c>
      <c r="F1738" s="442"/>
      <c r="G1738" s="218" t="s">
        <v>705</v>
      </c>
      <c r="H1738" s="220" t="s">
        <v>416</v>
      </c>
      <c r="I1738" s="220" t="str">
        <f t="shared" si="42"/>
        <v>08,26</v>
      </c>
    </row>
    <row r="1739" spans="1:9" ht="19.5" hidden="1" thickBot="1" x14ac:dyDescent="0.3">
      <c r="A1739" s="431">
        <f t="shared" si="44"/>
        <v>347</v>
      </c>
      <c r="B1739" s="91" t="s">
        <v>703</v>
      </c>
      <c r="C1739" s="92" t="s">
        <v>17</v>
      </c>
      <c r="D1739" s="93">
        <v>4.9580000000000002</v>
      </c>
      <c r="E1739" s="94" t="s">
        <v>13</v>
      </c>
      <c r="F1739" s="434" t="s">
        <v>645</v>
      </c>
      <c r="G1739" s="94" t="s">
        <v>705</v>
      </c>
      <c r="H1739" s="132"/>
      <c r="I1739" s="132" t="str">
        <f t="shared" si="42"/>
        <v>08,26</v>
      </c>
    </row>
    <row r="1740" spans="1:9" ht="19.5" hidden="1" thickBot="1" x14ac:dyDescent="0.3">
      <c r="A1740" s="433"/>
      <c r="B1740" s="311" t="s">
        <v>703</v>
      </c>
      <c r="C1740" s="154" t="s">
        <v>17</v>
      </c>
      <c r="D1740" s="359">
        <v>1.4999999999999999E-2</v>
      </c>
      <c r="E1740" s="156" t="s">
        <v>619</v>
      </c>
      <c r="F1740" s="436"/>
      <c r="G1740" s="156" t="s">
        <v>705</v>
      </c>
      <c r="H1740" s="158"/>
      <c r="I1740" s="158" t="str">
        <f t="shared" si="42"/>
        <v>08,26</v>
      </c>
    </row>
    <row r="1741" spans="1:9" ht="19.5" hidden="1" thickBot="1" x14ac:dyDescent="0.3">
      <c r="A1741" s="437">
        <f t="shared" si="44"/>
        <v>348</v>
      </c>
      <c r="B1741" s="102" t="s">
        <v>703</v>
      </c>
      <c r="C1741" s="103" t="s">
        <v>18</v>
      </c>
      <c r="D1741" s="104">
        <v>5.9640000000000004</v>
      </c>
      <c r="E1741" s="105" t="s">
        <v>13</v>
      </c>
      <c r="F1741" s="440" t="s">
        <v>645</v>
      </c>
      <c r="G1741" s="105" t="s">
        <v>706</v>
      </c>
      <c r="H1741" s="107"/>
      <c r="I1741" s="107" t="str">
        <f t="shared" si="42"/>
        <v>08,26</v>
      </c>
    </row>
    <row r="1742" spans="1:9" ht="19.5" hidden="1" thickBot="1" x14ac:dyDescent="0.3">
      <c r="A1742" s="438"/>
      <c r="B1742" s="164" t="s">
        <v>703</v>
      </c>
      <c r="C1742" s="165" t="s">
        <v>18</v>
      </c>
      <c r="D1742" s="166">
        <v>0.14899999999999999</v>
      </c>
      <c r="E1742" s="167" t="s">
        <v>619</v>
      </c>
      <c r="F1742" s="441"/>
      <c r="G1742" s="167" t="s">
        <v>706</v>
      </c>
      <c r="H1742" s="163"/>
      <c r="I1742" s="163" t="str">
        <f t="shared" si="42"/>
        <v>08,26</v>
      </c>
    </row>
    <row r="1743" spans="1:9" ht="19.5" hidden="1" thickBot="1" x14ac:dyDescent="0.3">
      <c r="A1743" s="439">
        <f>MAX(A1677:A1741)+1</f>
        <v>349</v>
      </c>
      <c r="B1743" s="222" t="s">
        <v>703</v>
      </c>
      <c r="C1743" s="216" t="s">
        <v>681</v>
      </c>
      <c r="D1743" s="217">
        <v>5.2489999999999997</v>
      </c>
      <c r="E1743" s="218" t="s">
        <v>13</v>
      </c>
      <c r="F1743" s="442"/>
      <c r="G1743" s="218" t="s">
        <v>706</v>
      </c>
      <c r="H1743" s="220"/>
      <c r="I1743" s="220" t="str">
        <f t="shared" si="42"/>
        <v>08,26</v>
      </c>
    </row>
    <row r="1744" spans="1:9" ht="38.25" hidden="1" thickBot="1" x14ac:dyDescent="0.3">
      <c r="A1744" s="431">
        <f>MAX(A1678:A1743)+1</f>
        <v>350</v>
      </c>
      <c r="B1744" s="91" t="s">
        <v>707</v>
      </c>
      <c r="C1744" s="92" t="s">
        <v>18</v>
      </c>
      <c r="D1744" s="93">
        <v>0.71299999999999997</v>
      </c>
      <c r="E1744" s="94" t="s">
        <v>638</v>
      </c>
      <c r="F1744" s="434" t="s">
        <v>708</v>
      </c>
      <c r="G1744" s="94" t="s">
        <v>705</v>
      </c>
      <c r="H1744" s="132"/>
      <c r="I1744" s="132" t="str">
        <f t="shared" si="42"/>
        <v>08,26</v>
      </c>
    </row>
    <row r="1745" spans="1:9" ht="38.25" hidden="1" thickBot="1" x14ac:dyDescent="0.3">
      <c r="A1745" s="433"/>
      <c r="B1745" s="311" t="s">
        <v>707</v>
      </c>
      <c r="C1745" s="154" t="s">
        <v>17</v>
      </c>
      <c r="D1745" s="155">
        <v>0.11700000000000001</v>
      </c>
      <c r="E1745" s="156" t="s">
        <v>638</v>
      </c>
      <c r="F1745" s="436"/>
      <c r="G1745" s="156" t="s">
        <v>705</v>
      </c>
      <c r="H1745" s="158"/>
      <c r="I1745" s="158" t="str">
        <f t="shared" si="42"/>
        <v>08,26</v>
      </c>
    </row>
    <row r="1746" spans="1:9" ht="38.25" hidden="1" thickBot="1" x14ac:dyDescent="0.3">
      <c r="A1746" s="329">
        <f t="shared" ref="A1746:A1757" si="45">MAX(A1680:A1745)+1</f>
        <v>351</v>
      </c>
      <c r="B1746" s="330" t="s">
        <v>707</v>
      </c>
      <c r="C1746" s="331" t="s">
        <v>19</v>
      </c>
      <c r="D1746" s="332">
        <v>0.878</v>
      </c>
      <c r="E1746" s="333" t="s">
        <v>638</v>
      </c>
      <c r="F1746" s="334" t="s">
        <v>709</v>
      </c>
      <c r="G1746" s="333" t="s">
        <v>705</v>
      </c>
      <c r="H1746" s="335"/>
      <c r="I1746" s="335" t="str">
        <f t="shared" si="42"/>
        <v>08,26</v>
      </c>
    </row>
    <row r="1747" spans="1:9" ht="38.25" hidden="1" thickBot="1" x14ac:dyDescent="0.3">
      <c r="A1747" s="361">
        <f t="shared" si="45"/>
        <v>352</v>
      </c>
      <c r="B1747" s="343" t="s">
        <v>707</v>
      </c>
      <c r="C1747" s="355" t="s">
        <v>116</v>
      </c>
      <c r="D1747" s="356">
        <v>0.65700000000000003</v>
      </c>
      <c r="E1747" s="292" t="s">
        <v>638</v>
      </c>
      <c r="F1747" s="357" t="s">
        <v>659</v>
      </c>
      <c r="G1747" s="292" t="s">
        <v>705</v>
      </c>
      <c r="H1747" s="342"/>
      <c r="I1747" s="342" t="str">
        <f t="shared" si="42"/>
        <v>08,26</v>
      </c>
    </row>
    <row r="1748" spans="1:9" ht="38.25" hidden="1" thickBot="1" x14ac:dyDescent="0.3">
      <c r="A1748" s="329">
        <f t="shared" si="45"/>
        <v>353</v>
      </c>
      <c r="B1748" s="330" t="s">
        <v>710</v>
      </c>
      <c r="C1748" s="331" t="s">
        <v>19</v>
      </c>
      <c r="D1748" s="332">
        <v>6.37</v>
      </c>
      <c r="E1748" s="333" t="s">
        <v>13</v>
      </c>
      <c r="F1748" s="334" t="s">
        <v>642</v>
      </c>
      <c r="G1748" s="333" t="s">
        <v>711</v>
      </c>
      <c r="H1748" s="335"/>
      <c r="I1748" s="335" t="str">
        <f t="shared" si="42"/>
        <v>08,26</v>
      </c>
    </row>
    <row r="1749" spans="1:9" ht="19.5" hidden="1" thickBot="1" x14ac:dyDescent="0.3">
      <c r="A1749" s="432">
        <f t="shared" si="45"/>
        <v>354</v>
      </c>
      <c r="B1749" s="175" t="s">
        <v>710</v>
      </c>
      <c r="C1749" s="134" t="s">
        <v>19</v>
      </c>
      <c r="D1749" s="135">
        <v>5.4379999999999997</v>
      </c>
      <c r="E1749" s="136" t="s">
        <v>13</v>
      </c>
      <c r="F1749" s="435" t="s">
        <v>642</v>
      </c>
      <c r="G1749" s="136" t="s">
        <v>712</v>
      </c>
      <c r="H1749" s="137"/>
      <c r="I1749" s="137" t="str">
        <f t="shared" si="42"/>
        <v>08,26</v>
      </c>
    </row>
    <row r="1750" spans="1:9" ht="19.5" hidden="1" thickBot="1" x14ac:dyDescent="0.3">
      <c r="A1750" s="432"/>
      <c r="B1750" s="175" t="s">
        <v>710</v>
      </c>
      <c r="C1750" s="147" t="s">
        <v>19</v>
      </c>
      <c r="D1750" s="148">
        <v>0.16600000000000001</v>
      </c>
      <c r="E1750" s="146" t="s">
        <v>619</v>
      </c>
      <c r="F1750" s="435"/>
      <c r="G1750" s="146" t="s">
        <v>712</v>
      </c>
      <c r="H1750" s="152"/>
      <c r="I1750" s="152" t="str">
        <f t="shared" ref="I1750:I1813" si="46">RIGHT(G1750,5)</f>
        <v>08,26</v>
      </c>
    </row>
    <row r="1751" spans="1:9" ht="19.5" hidden="1" thickBot="1" x14ac:dyDescent="0.3">
      <c r="A1751" s="432"/>
      <c r="B1751" s="175" t="s">
        <v>710</v>
      </c>
      <c r="C1751" s="147" t="s">
        <v>116</v>
      </c>
      <c r="D1751" s="148">
        <v>8.8620000000000001</v>
      </c>
      <c r="E1751" s="146" t="s">
        <v>13</v>
      </c>
      <c r="F1751" s="435"/>
      <c r="G1751" s="146" t="s">
        <v>712</v>
      </c>
      <c r="H1751" s="152"/>
      <c r="I1751" s="152" t="str">
        <f t="shared" si="46"/>
        <v>08,26</v>
      </c>
    </row>
    <row r="1752" spans="1:9" ht="19.5" hidden="1" thickBot="1" x14ac:dyDescent="0.3">
      <c r="A1752" s="432"/>
      <c r="B1752" s="141" t="s">
        <v>710</v>
      </c>
      <c r="C1752" s="247" t="s">
        <v>116</v>
      </c>
      <c r="D1752" s="248">
        <v>0.14699999999999999</v>
      </c>
      <c r="E1752" s="249" t="s">
        <v>619</v>
      </c>
      <c r="F1752" s="435"/>
      <c r="G1752" s="249" t="s">
        <v>712</v>
      </c>
      <c r="H1752" s="176"/>
      <c r="I1752" s="176" t="str">
        <f t="shared" si="46"/>
        <v>08,26</v>
      </c>
    </row>
    <row r="1753" spans="1:9" ht="19.5" hidden="1" thickBot="1" x14ac:dyDescent="0.3">
      <c r="A1753" s="437">
        <f t="shared" si="45"/>
        <v>355</v>
      </c>
      <c r="B1753" s="102" t="s">
        <v>710</v>
      </c>
      <c r="C1753" s="103" t="s">
        <v>17</v>
      </c>
      <c r="D1753" s="104">
        <v>3.234</v>
      </c>
      <c r="E1753" s="105" t="s">
        <v>13</v>
      </c>
      <c r="F1753" s="440" t="s">
        <v>645</v>
      </c>
      <c r="G1753" s="105" t="s">
        <v>712</v>
      </c>
      <c r="H1753" s="107"/>
      <c r="I1753" s="107" t="str">
        <f t="shared" si="46"/>
        <v>08,26</v>
      </c>
    </row>
    <row r="1754" spans="1:9" ht="19.5" hidden="1" thickBot="1" x14ac:dyDescent="0.3">
      <c r="A1754" s="439"/>
      <c r="B1754" s="114" t="s">
        <v>710</v>
      </c>
      <c r="C1754" s="216" t="s">
        <v>17</v>
      </c>
      <c r="D1754" s="217">
        <v>0.371</v>
      </c>
      <c r="E1754" s="218" t="s">
        <v>619</v>
      </c>
      <c r="F1754" s="442"/>
      <c r="G1754" s="218" t="s">
        <v>712</v>
      </c>
      <c r="H1754" s="220"/>
      <c r="I1754" s="220" t="str">
        <f t="shared" si="46"/>
        <v>08,26</v>
      </c>
    </row>
    <row r="1755" spans="1:9" ht="19.5" hidden="1" thickBot="1" x14ac:dyDescent="0.3">
      <c r="A1755" s="432">
        <f t="shared" ref="A1755" si="47">MAX(A1689:A1754)+1</f>
        <v>356</v>
      </c>
      <c r="B1755" s="175" t="s">
        <v>710</v>
      </c>
      <c r="C1755" s="134" t="s">
        <v>18</v>
      </c>
      <c r="D1755" s="135">
        <v>3.5859999999999999</v>
      </c>
      <c r="E1755" s="136" t="s">
        <v>13</v>
      </c>
      <c r="F1755" s="435" t="s">
        <v>645</v>
      </c>
      <c r="G1755" s="136" t="s">
        <v>713</v>
      </c>
      <c r="H1755" s="137"/>
      <c r="I1755" s="137" t="str">
        <f t="shared" si="46"/>
        <v>08,26</v>
      </c>
    </row>
    <row r="1756" spans="1:9" ht="19.5" hidden="1" thickBot="1" x14ac:dyDescent="0.3">
      <c r="A1756" s="432"/>
      <c r="B1756" s="141" t="s">
        <v>710</v>
      </c>
      <c r="C1756" s="247" t="s">
        <v>18</v>
      </c>
      <c r="D1756" s="248">
        <v>0.221</v>
      </c>
      <c r="E1756" s="249" t="s">
        <v>619</v>
      </c>
      <c r="F1756" s="435"/>
      <c r="G1756" s="249" t="s">
        <v>713</v>
      </c>
      <c r="H1756" s="176"/>
      <c r="I1756" s="176" t="str">
        <f t="shared" si="46"/>
        <v>08,26</v>
      </c>
    </row>
    <row r="1757" spans="1:9" ht="38.25" hidden="1" thickBot="1" x14ac:dyDescent="0.3">
      <c r="A1757" s="437">
        <f t="shared" si="45"/>
        <v>357</v>
      </c>
      <c r="B1757" s="102" t="s">
        <v>714</v>
      </c>
      <c r="C1757" s="103" t="s">
        <v>18</v>
      </c>
      <c r="D1757" s="104">
        <v>0.33600000000000002</v>
      </c>
      <c r="E1757" s="105" t="s">
        <v>638</v>
      </c>
      <c r="F1757" s="452" t="s">
        <v>708</v>
      </c>
      <c r="G1757" s="105" t="s">
        <v>712</v>
      </c>
      <c r="H1757" s="107"/>
      <c r="I1757" s="107" t="str">
        <f t="shared" si="46"/>
        <v>08,26</v>
      </c>
    </row>
    <row r="1758" spans="1:9" ht="38.25" hidden="1" thickBot="1" x14ac:dyDescent="0.3">
      <c r="A1758" s="439"/>
      <c r="B1758" s="222" t="s">
        <v>714</v>
      </c>
      <c r="C1758" s="216" t="s">
        <v>17</v>
      </c>
      <c r="D1758" s="217">
        <v>0.95499999999999996</v>
      </c>
      <c r="E1758" s="218" t="s">
        <v>638</v>
      </c>
      <c r="F1758" s="453"/>
      <c r="G1758" s="218" t="s">
        <v>712</v>
      </c>
      <c r="H1758" s="220"/>
      <c r="I1758" s="220" t="str">
        <f t="shared" si="46"/>
        <v>08,26</v>
      </c>
    </row>
    <row r="1759" spans="1:9" ht="38.25" hidden="1" thickBot="1" x14ac:dyDescent="0.3">
      <c r="A1759" s="364">
        <f t="shared" ref="A1759:A1784" si="48">MAX(A1693:A1758)+1</f>
        <v>358</v>
      </c>
      <c r="B1759" s="141" t="s">
        <v>714</v>
      </c>
      <c r="C1759" s="142" t="s">
        <v>19</v>
      </c>
      <c r="D1759" s="143">
        <v>0.35599999999999998</v>
      </c>
      <c r="E1759" s="144" t="s">
        <v>638</v>
      </c>
      <c r="F1759" s="172" t="s">
        <v>709</v>
      </c>
      <c r="G1759" s="144" t="s">
        <v>712</v>
      </c>
      <c r="H1759" s="145"/>
      <c r="I1759" s="145" t="str">
        <f t="shared" si="46"/>
        <v>08,26</v>
      </c>
    </row>
    <row r="1760" spans="1:9" ht="38.25" hidden="1" thickBot="1" x14ac:dyDescent="0.3">
      <c r="A1760" s="360">
        <f t="shared" si="48"/>
        <v>359</v>
      </c>
      <c r="B1760" s="231" t="s">
        <v>714</v>
      </c>
      <c r="C1760" s="232" t="s">
        <v>116</v>
      </c>
      <c r="D1760" s="233">
        <v>0.91200000000000003</v>
      </c>
      <c r="E1760" s="234" t="s">
        <v>638</v>
      </c>
      <c r="F1760" s="358" t="s">
        <v>659</v>
      </c>
      <c r="G1760" s="234" t="s">
        <v>712</v>
      </c>
      <c r="H1760" s="228"/>
      <c r="I1760" s="228" t="str">
        <f t="shared" si="46"/>
        <v>08,26</v>
      </c>
    </row>
    <row r="1761" spans="1:9" ht="19.5" hidden="1" thickBot="1" x14ac:dyDescent="0.3">
      <c r="A1761" s="431">
        <f t="shared" si="48"/>
        <v>360</v>
      </c>
      <c r="B1761" s="91" t="s">
        <v>715</v>
      </c>
      <c r="C1761" s="92" t="s">
        <v>716</v>
      </c>
      <c r="D1761" s="93">
        <v>1.4330000000000001</v>
      </c>
      <c r="E1761" s="94" t="s">
        <v>13</v>
      </c>
      <c r="F1761" s="434" t="s">
        <v>642</v>
      </c>
      <c r="G1761" s="94" t="s">
        <v>717</v>
      </c>
      <c r="H1761" s="132"/>
      <c r="I1761" s="132" t="str">
        <f t="shared" si="46"/>
        <v>08,26</v>
      </c>
    </row>
    <row r="1762" spans="1:9" ht="19.5" hidden="1" thickBot="1" x14ac:dyDescent="0.3">
      <c r="A1762" s="432"/>
      <c r="B1762" s="175" t="s">
        <v>715</v>
      </c>
      <c r="C1762" s="147" t="s">
        <v>564</v>
      </c>
      <c r="D1762" s="148">
        <v>1.32</v>
      </c>
      <c r="E1762" s="136" t="s">
        <v>13</v>
      </c>
      <c r="F1762" s="435"/>
      <c r="G1762" s="136" t="s">
        <v>717</v>
      </c>
      <c r="H1762" s="152"/>
      <c r="I1762" s="152" t="str">
        <f t="shared" si="46"/>
        <v>08,26</v>
      </c>
    </row>
    <row r="1763" spans="1:9" ht="19.5" hidden="1" thickBot="1" x14ac:dyDescent="0.3">
      <c r="A1763" s="432"/>
      <c r="B1763" s="175" t="s">
        <v>715</v>
      </c>
      <c r="C1763" s="147" t="s">
        <v>367</v>
      </c>
      <c r="D1763" s="148">
        <v>1.548</v>
      </c>
      <c r="E1763" s="136" t="s">
        <v>13</v>
      </c>
      <c r="F1763" s="435"/>
      <c r="G1763" s="136" t="s">
        <v>717</v>
      </c>
      <c r="H1763" s="152"/>
      <c r="I1763" s="152" t="str">
        <f t="shared" si="46"/>
        <v>08,26</v>
      </c>
    </row>
    <row r="1764" spans="1:9" ht="19.5" hidden="1" thickBot="1" x14ac:dyDescent="0.3">
      <c r="A1764" s="433"/>
      <c r="B1764" s="95" t="s">
        <v>715</v>
      </c>
      <c r="C1764" s="154" t="s">
        <v>19</v>
      </c>
      <c r="D1764" s="155">
        <v>2.8029999999999999</v>
      </c>
      <c r="E1764" s="98" t="s">
        <v>13</v>
      </c>
      <c r="F1764" s="436"/>
      <c r="G1764" s="98" t="s">
        <v>717</v>
      </c>
      <c r="H1764" s="158"/>
      <c r="I1764" s="158" t="str">
        <f t="shared" si="46"/>
        <v>08,26</v>
      </c>
    </row>
    <row r="1765" spans="1:9" ht="19.5" hidden="1" thickBot="1" x14ac:dyDescent="0.3">
      <c r="A1765" s="437">
        <f t="shared" si="48"/>
        <v>361</v>
      </c>
      <c r="B1765" s="102" t="s">
        <v>715</v>
      </c>
      <c r="C1765" s="103" t="s">
        <v>19</v>
      </c>
      <c r="D1765" s="104">
        <v>2.2229999999999999</v>
      </c>
      <c r="E1765" s="105" t="s">
        <v>13</v>
      </c>
      <c r="F1765" s="440" t="s">
        <v>642</v>
      </c>
      <c r="G1765" s="105" t="s">
        <v>718</v>
      </c>
      <c r="H1765" s="107"/>
      <c r="I1765" s="107" t="str">
        <f t="shared" si="46"/>
        <v>08,26</v>
      </c>
    </row>
    <row r="1766" spans="1:9" ht="19.5" hidden="1" thickBot="1" x14ac:dyDescent="0.3">
      <c r="A1766" s="438"/>
      <c r="B1766" s="108" t="s">
        <v>715</v>
      </c>
      <c r="C1766" s="214" t="s">
        <v>116</v>
      </c>
      <c r="D1766" s="215">
        <v>4.3920000000000003</v>
      </c>
      <c r="E1766" s="111" t="s">
        <v>13</v>
      </c>
      <c r="F1766" s="441"/>
      <c r="G1766" s="213" t="s">
        <v>718</v>
      </c>
      <c r="H1766" s="219"/>
      <c r="I1766" s="219" t="str">
        <f t="shared" si="46"/>
        <v>08,26</v>
      </c>
    </row>
    <row r="1767" spans="1:9" ht="19.5" hidden="1" thickBot="1" x14ac:dyDescent="0.3">
      <c r="A1767" s="439"/>
      <c r="B1767" s="114" t="s">
        <v>715</v>
      </c>
      <c r="C1767" s="216" t="s">
        <v>116</v>
      </c>
      <c r="D1767" s="217">
        <v>0.13</v>
      </c>
      <c r="E1767" s="117" t="s">
        <v>619</v>
      </c>
      <c r="F1767" s="442"/>
      <c r="G1767" s="218" t="s">
        <v>718</v>
      </c>
      <c r="H1767" s="220"/>
      <c r="I1767" s="220" t="str">
        <f t="shared" si="46"/>
        <v>08,26</v>
      </c>
    </row>
    <row r="1768" spans="1:9" ht="38.25" hidden="1" thickBot="1" x14ac:dyDescent="0.3">
      <c r="A1768" s="339">
        <f t="shared" si="48"/>
        <v>362</v>
      </c>
      <c r="B1768" s="121" t="s">
        <v>715</v>
      </c>
      <c r="C1768" s="122" t="s">
        <v>18</v>
      </c>
      <c r="D1768" s="123">
        <v>2.9569999999999999</v>
      </c>
      <c r="E1768" s="124" t="s">
        <v>13</v>
      </c>
      <c r="F1768" s="340" t="s">
        <v>645</v>
      </c>
      <c r="G1768" s="124" t="s">
        <v>719</v>
      </c>
      <c r="H1768" s="125"/>
      <c r="I1768" s="125" t="str">
        <f t="shared" si="46"/>
        <v>08,26</v>
      </c>
    </row>
    <row r="1769" spans="1:9" ht="38.25" hidden="1" thickBot="1" x14ac:dyDescent="0.3">
      <c r="A1769" s="437">
        <f t="shared" si="48"/>
        <v>363</v>
      </c>
      <c r="B1769" s="102" t="s">
        <v>720</v>
      </c>
      <c r="C1769" s="103" t="s">
        <v>18</v>
      </c>
      <c r="D1769" s="104">
        <v>0.36699999999999999</v>
      </c>
      <c r="E1769" s="105" t="s">
        <v>638</v>
      </c>
      <c r="F1769" s="440" t="s">
        <v>708</v>
      </c>
      <c r="G1769" s="105" t="s">
        <v>718</v>
      </c>
      <c r="H1769" s="107"/>
      <c r="I1769" s="107" t="str">
        <f t="shared" si="46"/>
        <v>08,26</v>
      </c>
    </row>
    <row r="1770" spans="1:9" ht="38.25" hidden="1" thickBot="1" x14ac:dyDescent="0.3">
      <c r="A1770" s="439"/>
      <c r="B1770" s="222" t="s">
        <v>720</v>
      </c>
      <c r="C1770" s="216" t="s">
        <v>17</v>
      </c>
      <c r="D1770" s="217">
        <v>0.36899999999999999</v>
      </c>
      <c r="E1770" s="218" t="s">
        <v>638</v>
      </c>
      <c r="F1770" s="442"/>
      <c r="G1770" s="218" t="s">
        <v>718</v>
      </c>
      <c r="H1770" s="220"/>
      <c r="I1770" s="220" t="str">
        <f t="shared" si="46"/>
        <v>08,26</v>
      </c>
    </row>
    <row r="1771" spans="1:9" ht="38.25" hidden="1" thickBot="1" x14ac:dyDescent="0.3">
      <c r="A1771" s="361">
        <f t="shared" si="48"/>
        <v>364</v>
      </c>
      <c r="B1771" s="343" t="s">
        <v>720</v>
      </c>
      <c r="C1771" s="355" t="s">
        <v>19</v>
      </c>
      <c r="D1771" s="356">
        <v>0.2</v>
      </c>
      <c r="E1771" s="292" t="s">
        <v>638</v>
      </c>
      <c r="F1771" s="357" t="s">
        <v>709</v>
      </c>
      <c r="G1771" s="292" t="s">
        <v>718</v>
      </c>
      <c r="H1771" s="342"/>
      <c r="I1771" s="342" t="str">
        <f t="shared" si="46"/>
        <v>08,26</v>
      </c>
    </row>
    <row r="1772" spans="1:9" ht="19.5" hidden="1" thickBot="1" x14ac:dyDescent="0.3">
      <c r="A1772" s="437">
        <f t="shared" si="48"/>
        <v>365</v>
      </c>
      <c r="B1772" s="102" t="s">
        <v>721</v>
      </c>
      <c r="C1772" s="103" t="s">
        <v>564</v>
      </c>
      <c r="D1772" s="104">
        <v>1.27</v>
      </c>
      <c r="E1772" s="105" t="s">
        <v>13</v>
      </c>
      <c r="F1772" s="440" t="s">
        <v>642</v>
      </c>
      <c r="G1772" s="105" t="s">
        <v>722</v>
      </c>
      <c r="H1772" s="107"/>
      <c r="I1772" s="107" t="str">
        <f t="shared" si="46"/>
        <v>08,26</v>
      </c>
    </row>
    <row r="1773" spans="1:9" ht="19.5" hidden="1" thickBot="1" x14ac:dyDescent="0.3">
      <c r="A1773" s="438"/>
      <c r="B1773" s="108" t="s">
        <v>721</v>
      </c>
      <c r="C1773" s="214" t="s">
        <v>367</v>
      </c>
      <c r="D1773" s="215">
        <v>1.1559999999999999</v>
      </c>
      <c r="E1773" s="213" t="s">
        <v>13</v>
      </c>
      <c r="F1773" s="441"/>
      <c r="G1773" s="111" t="s">
        <v>722</v>
      </c>
      <c r="H1773" s="219"/>
      <c r="I1773" s="219" t="str">
        <f t="shared" si="46"/>
        <v>08,26</v>
      </c>
    </row>
    <row r="1774" spans="1:9" ht="19.5" hidden="1" thickBot="1" x14ac:dyDescent="0.3">
      <c r="A1774" s="439"/>
      <c r="B1774" s="114" t="s">
        <v>721</v>
      </c>
      <c r="C1774" s="216" t="s">
        <v>19</v>
      </c>
      <c r="D1774" s="217">
        <v>7.0570000000000004</v>
      </c>
      <c r="E1774" s="218" t="s">
        <v>13</v>
      </c>
      <c r="F1774" s="442"/>
      <c r="G1774" s="117" t="s">
        <v>722</v>
      </c>
      <c r="H1774" s="220"/>
      <c r="I1774" s="220" t="str">
        <f t="shared" si="46"/>
        <v>08,26</v>
      </c>
    </row>
    <row r="1775" spans="1:9" ht="19.5" hidden="1" thickBot="1" x14ac:dyDescent="0.3">
      <c r="A1775" s="431">
        <f t="shared" si="48"/>
        <v>366</v>
      </c>
      <c r="B1775" s="91" t="s">
        <v>721</v>
      </c>
      <c r="C1775" s="92" t="s">
        <v>19</v>
      </c>
      <c r="D1775" s="93">
        <v>6.0019999999999998</v>
      </c>
      <c r="E1775" s="94" t="s">
        <v>13</v>
      </c>
      <c r="F1775" s="434" t="s">
        <v>642</v>
      </c>
      <c r="G1775" s="94" t="s">
        <v>723</v>
      </c>
      <c r="H1775" s="132"/>
      <c r="I1775" s="132" t="str">
        <f t="shared" si="46"/>
        <v>08,26</v>
      </c>
    </row>
    <row r="1776" spans="1:9" ht="19.5" hidden="1" thickBot="1" x14ac:dyDescent="0.3">
      <c r="A1776" s="432"/>
      <c r="B1776" s="175" t="s">
        <v>721</v>
      </c>
      <c r="C1776" s="147" t="s">
        <v>19</v>
      </c>
      <c r="D1776" s="148">
        <v>0.14699999999999999</v>
      </c>
      <c r="E1776" s="146" t="s">
        <v>619</v>
      </c>
      <c r="F1776" s="435"/>
      <c r="G1776" s="146" t="s">
        <v>723</v>
      </c>
      <c r="H1776" s="152"/>
      <c r="I1776" s="152" t="str">
        <f t="shared" si="46"/>
        <v>08,26</v>
      </c>
    </row>
    <row r="1777" spans="1:13" ht="19.5" hidden="1" thickBot="1" x14ac:dyDescent="0.3">
      <c r="A1777" s="432"/>
      <c r="B1777" s="175" t="s">
        <v>721</v>
      </c>
      <c r="C1777" s="147" t="s">
        <v>116</v>
      </c>
      <c r="D1777" s="148">
        <v>14.375999999999999</v>
      </c>
      <c r="E1777" s="146" t="s">
        <v>13</v>
      </c>
      <c r="F1777" s="435"/>
      <c r="G1777" s="146" t="s">
        <v>723</v>
      </c>
      <c r="H1777" s="152"/>
      <c r="I1777" s="152" t="str">
        <f t="shared" si="46"/>
        <v>08,26</v>
      </c>
    </row>
    <row r="1778" spans="1:13" ht="19.5" hidden="1" thickBot="1" x14ac:dyDescent="0.3">
      <c r="A1778" s="433"/>
      <c r="B1778" s="95" t="s">
        <v>721</v>
      </c>
      <c r="C1778" s="154" t="s">
        <v>116</v>
      </c>
      <c r="D1778" s="155">
        <v>0.48499999999999999</v>
      </c>
      <c r="E1778" s="156" t="s">
        <v>619</v>
      </c>
      <c r="F1778" s="436"/>
      <c r="G1778" s="156" t="s">
        <v>723</v>
      </c>
      <c r="H1778" s="158"/>
      <c r="I1778" s="158" t="str">
        <f t="shared" si="46"/>
        <v>08,26</v>
      </c>
    </row>
    <row r="1779" spans="1:13" ht="38.25" hidden="1" thickBot="1" x14ac:dyDescent="0.3">
      <c r="A1779" s="329">
        <f t="shared" si="48"/>
        <v>367</v>
      </c>
      <c r="B1779" s="330" t="s">
        <v>721</v>
      </c>
      <c r="C1779" s="331" t="s">
        <v>17</v>
      </c>
      <c r="D1779" s="332">
        <v>3.3959999999999999</v>
      </c>
      <c r="E1779" s="333" t="s">
        <v>13</v>
      </c>
      <c r="F1779" s="334" t="s">
        <v>645</v>
      </c>
      <c r="G1779" s="333" t="s">
        <v>723</v>
      </c>
      <c r="H1779" s="335"/>
      <c r="I1779" s="335" t="str">
        <f t="shared" si="46"/>
        <v>08,26</v>
      </c>
    </row>
    <row r="1780" spans="1:13" ht="19.5" hidden="1" thickBot="1" x14ac:dyDescent="0.3">
      <c r="A1780" s="431">
        <f t="shared" si="48"/>
        <v>368</v>
      </c>
      <c r="B1780" s="91" t="s">
        <v>721</v>
      </c>
      <c r="C1780" s="92" t="s">
        <v>18</v>
      </c>
      <c r="D1780" s="93">
        <v>8.5920000000000005</v>
      </c>
      <c r="E1780" s="94" t="s">
        <v>13</v>
      </c>
      <c r="F1780" s="434" t="s">
        <v>645</v>
      </c>
      <c r="G1780" s="94" t="s">
        <v>724</v>
      </c>
      <c r="H1780" s="132"/>
      <c r="I1780" s="132" t="str">
        <f t="shared" si="46"/>
        <v>08,26</v>
      </c>
    </row>
    <row r="1781" spans="1:13" ht="19.5" hidden="1" thickBot="1" x14ac:dyDescent="0.3">
      <c r="A1781" s="433"/>
      <c r="B1781" s="95" t="s">
        <v>721</v>
      </c>
      <c r="C1781" s="154" t="s">
        <v>18</v>
      </c>
      <c r="D1781" s="359">
        <v>2.8000000000000001E-2</v>
      </c>
      <c r="E1781" s="156" t="s">
        <v>619</v>
      </c>
      <c r="F1781" s="436"/>
      <c r="G1781" s="156" t="s">
        <v>724</v>
      </c>
      <c r="H1781" s="158"/>
      <c r="I1781" s="158" t="str">
        <f t="shared" si="46"/>
        <v>08,26</v>
      </c>
    </row>
    <row r="1782" spans="1:13" ht="38.25" hidden="1" thickBot="1" x14ac:dyDescent="0.3">
      <c r="A1782" s="437">
        <f t="shared" si="48"/>
        <v>369</v>
      </c>
      <c r="B1782" s="102" t="s">
        <v>725</v>
      </c>
      <c r="C1782" s="103" t="s">
        <v>18</v>
      </c>
      <c r="D1782" s="104">
        <v>0.48299999999999998</v>
      </c>
      <c r="E1782" s="105" t="s">
        <v>638</v>
      </c>
      <c r="F1782" s="440" t="s">
        <v>708</v>
      </c>
      <c r="G1782" s="105" t="s">
        <v>723</v>
      </c>
      <c r="H1782" s="107"/>
      <c r="I1782" s="107" t="str">
        <f t="shared" si="46"/>
        <v>08,26</v>
      </c>
    </row>
    <row r="1783" spans="1:13" ht="38.25" hidden="1" thickBot="1" x14ac:dyDescent="0.3">
      <c r="A1783" s="439"/>
      <c r="B1783" s="365" t="s">
        <v>725</v>
      </c>
      <c r="C1783" s="225" t="s">
        <v>17</v>
      </c>
      <c r="D1783" s="226">
        <v>0.67200000000000004</v>
      </c>
      <c r="E1783" s="366" t="s">
        <v>638</v>
      </c>
      <c r="F1783" s="441"/>
      <c r="G1783" s="366" t="s">
        <v>723</v>
      </c>
      <c r="H1783" s="367"/>
      <c r="I1783" s="367" t="str">
        <f t="shared" si="46"/>
        <v>08,26</v>
      </c>
    </row>
    <row r="1784" spans="1:13" ht="38.25" hidden="1" thickBot="1" x14ac:dyDescent="0.3">
      <c r="A1784" s="566">
        <f t="shared" si="48"/>
        <v>370</v>
      </c>
      <c r="B1784" s="138" t="s">
        <v>725</v>
      </c>
      <c r="C1784" s="92" t="s">
        <v>19</v>
      </c>
      <c r="D1784" s="93">
        <v>0.45600000000000002</v>
      </c>
      <c r="E1784" s="94" t="s">
        <v>638</v>
      </c>
      <c r="F1784" s="564" t="s">
        <v>709</v>
      </c>
      <c r="G1784" s="94" t="s">
        <v>723</v>
      </c>
      <c r="H1784" s="132"/>
      <c r="I1784" s="132" t="str">
        <f t="shared" si="46"/>
        <v>08,26</v>
      </c>
    </row>
    <row r="1785" spans="1:13" ht="38.25" hidden="1" thickBot="1" x14ac:dyDescent="0.3">
      <c r="A1785" s="567"/>
      <c r="B1785" s="368" t="s">
        <v>725</v>
      </c>
      <c r="C1785" s="369" t="s">
        <v>367</v>
      </c>
      <c r="D1785" s="370">
        <v>1.6080000000000001</v>
      </c>
      <c r="E1785" s="371" t="s">
        <v>638</v>
      </c>
      <c r="F1785" s="565"/>
      <c r="G1785" s="371" t="s">
        <v>723</v>
      </c>
      <c r="H1785" s="372"/>
      <c r="I1785" s="372" t="str">
        <f t="shared" si="46"/>
        <v>08,26</v>
      </c>
      <c r="M1785" s="378" t="s">
        <v>741</v>
      </c>
    </row>
    <row r="1786" spans="1:13" ht="38.25" hidden="1" thickBot="1" x14ac:dyDescent="0.3">
      <c r="A1786" s="360">
        <f t="shared" ref="A1786:A1813" si="49">MAX(A1720:A1785)+1</f>
        <v>371</v>
      </c>
      <c r="B1786" s="164" t="s">
        <v>725</v>
      </c>
      <c r="C1786" s="165" t="s">
        <v>116</v>
      </c>
      <c r="D1786" s="166">
        <v>0.41299999999999998</v>
      </c>
      <c r="E1786" s="167" t="s">
        <v>638</v>
      </c>
      <c r="F1786" s="168" t="s">
        <v>726</v>
      </c>
      <c r="G1786" s="167" t="s">
        <v>723</v>
      </c>
      <c r="H1786" s="163"/>
      <c r="I1786" s="376" t="str">
        <f t="shared" si="46"/>
        <v>08,26</v>
      </c>
    </row>
    <row r="1787" spans="1:13" ht="19.5" hidden="1" thickBot="1" x14ac:dyDescent="0.3">
      <c r="A1787" s="431">
        <f t="shared" si="49"/>
        <v>372</v>
      </c>
      <c r="B1787" s="91" t="s">
        <v>727</v>
      </c>
      <c r="C1787" s="92" t="s">
        <v>564</v>
      </c>
      <c r="D1787" s="93">
        <v>1.03</v>
      </c>
      <c r="E1787" s="94" t="s">
        <v>13</v>
      </c>
      <c r="F1787" s="434" t="s">
        <v>642</v>
      </c>
      <c r="G1787" s="94" t="s">
        <v>728</v>
      </c>
      <c r="H1787" s="132"/>
      <c r="I1787" s="132" t="str">
        <f t="shared" si="46"/>
        <v>08,26</v>
      </c>
    </row>
    <row r="1788" spans="1:13" ht="19.5" hidden="1" thickBot="1" x14ac:dyDescent="0.3">
      <c r="A1788" s="432"/>
      <c r="B1788" s="244" t="s">
        <v>727</v>
      </c>
      <c r="C1788" s="147" t="s">
        <v>367</v>
      </c>
      <c r="D1788" s="148">
        <v>1.4339999999999999</v>
      </c>
      <c r="E1788" s="146" t="s">
        <v>13</v>
      </c>
      <c r="F1788" s="435"/>
      <c r="G1788" s="146" t="s">
        <v>728</v>
      </c>
      <c r="H1788" s="152"/>
      <c r="I1788" s="152" t="str">
        <f t="shared" si="46"/>
        <v>08,26</v>
      </c>
    </row>
    <row r="1789" spans="1:13" ht="19.5" hidden="1" thickBot="1" x14ac:dyDescent="0.3">
      <c r="A1789" s="433"/>
      <c r="B1789" s="311" t="s">
        <v>727</v>
      </c>
      <c r="C1789" s="154" t="s">
        <v>19</v>
      </c>
      <c r="D1789" s="155">
        <v>5.8109999999999999</v>
      </c>
      <c r="E1789" s="156" t="s">
        <v>13</v>
      </c>
      <c r="F1789" s="436"/>
      <c r="G1789" s="156" t="s">
        <v>728</v>
      </c>
      <c r="H1789" s="158"/>
      <c r="I1789" s="158" t="str">
        <f t="shared" si="46"/>
        <v>08,26</v>
      </c>
    </row>
    <row r="1790" spans="1:13" ht="19.5" hidden="1" thickBot="1" x14ac:dyDescent="0.3">
      <c r="A1790" s="437">
        <f t="shared" si="49"/>
        <v>373</v>
      </c>
      <c r="B1790" s="102" t="s">
        <v>727</v>
      </c>
      <c r="C1790" s="103" t="s">
        <v>19</v>
      </c>
      <c r="D1790" s="104">
        <v>4.0289999999999999</v>
      </c>
      <c r="E1790" s="104" t="s">
        <v>13</v>
      </c>
      <c r="F1790" s="440" t="s">
        <v>642</v>
      </c>
      <c r="G1790" s="105" t="s">
        <v>729</v>
      </c>
      <c r="H1790" s="107"/>
      <c r="I1790" s="107" t="str">
        <f t="shared" si="46"/>
        <v>08,26</v>
      </c>
    </row>
    <row r="1791" spans="1:13" ht="19.5" hidden="1" thickBot="1" x14ac:dyDescent="0.3">
      <c r="A1791" s="438"/>
      <c r="B1791" s="221" t="s">
        <v>727</v>
      </c>
      <c r="C1791" s="214" t="s">
        <v>19</v>
      </c>
      <c r="D1791" s="215">
        <v>5.8999999999999997E-2</v>
      </c>
      <c r="E1791" s="215" t="s">
        <v>619</v>
      </c>
      <c r="F1791" s="441"/>
      <c r="G1791" s="213" t="s">
        <v>729</v>
      </c>
      <c r="H1791" s="219"/>
      <c r="I1791" s="219" t="str">
        <f t="shared" si="46"/>
        <v>08,26</v>
      </c>
    </row>
    <row r="1792" spans="1:13" ht="19.5" hidden="1" thickBot="1" x14ac:dyDescent="0.3">
      <c r="A1792" s="438"/>
      <c r="B1792" s="221" t="s">
        <v>727</v>
      </c>
      <c r="C1792" s="214" t="s">
        <v>116</v>
      </c>
      <c r="D1792" s="215">
        <v>5.4989999999999997</v>
      </c>
      <c r="E1792" s="215" t="s">
        <v>13</v>
      </c>
      <c r="F1792" s="441"/>
      <c r="G1792" s="213" t="s">
        <v>729</v>
      </c>
      <c r="H1792" s="219"/>
      <c r="I1792" s="219" t="str">
        <f t="shared" si="46"/>
        <v>08,26</v>
      </c>
    </row>
    <row r="1793" spans="1:9" ht="19.5" hidden="1" thickBot="1" x14ac:dyDescent="0.3">
      <c r="A1793" s="439"/>
      <c r="B1793" s="222" t="s">
        <v>727</v>
      </c>
      <c r="C1793" s="216" t="s">
        <v>116</v>
      </c>
      <c r="D1793" s="217">
        <v>2.44</v>
      </c>
      <c r="E1793" s="217" t="s">
        <v>619</v>
      </c>
      <c r="F1793" s="442"/>
      <c r="G1793" s="218" t="s">
        <v>729</v>
      </c>
      <c r="H1793" s="220"/>
      <c r="I1793" s="220" t="str">
        <f t="shared" si="46"/>
        <v>08,26</v>
      </c>
    </row>
    <row r="1794" spans="1:9" ht="19.5" hidden="1" thickBot="1" x14ac:dyDescent="0.3">
      <c r="A1794" s="431">
        <f t="shared" si="49"/>
        <v>374</v>
      </c>
      <c r="B1794" s="91" t="s">
        <v>727</v>
      </c>
      <c r="C1794" s="92" t="s">
        <v>17</v>
      </c>
      <c r="D1794" s="93">
        <v>5.0579999999999998</v>
      </c>
      <c r="E1794" s="93" t="s">
        <v>13</v>
      </c>
      <c r="F1794" s="434" t="s">
        <v>645</v>
      </c>
      <c r="G1794" s="94" t="s">
        <v>729</v>
      </c>
      <c r="H1794" s="132"/>
      <c r="I1794" s="132" t="str">
        <f t="shared" si="46"/>
        <v>08,26</v>
      </c>
    </row>
    <row r="1795" spans="1:9" ht="19.5" hidden="1" thickBot="1" x14ac:dyDescent="0.3">
      <c r="A1795" s="433"/>
      <c r="B1795" s="311" t="s">
        <v>727</v>
      </c>
      <c r="C1795" s="154" t="s">
        <v>17</v>
      </c>
      <c r="D1795" s="359">
        <v>3.3000000000000002E-2</v>
      </c>
      <c r="E1795" s="155" t="s">
        <v>619</v>
      </c>
      <c r="F1795" s="436"/>
      <c r="G1795" s="156" t="s">
        <v>729</v>
      </c>
      <c r="H1795" s="158"/>
      <c r="I1795" s="158" t="str">
        <f t="shared" si="46"/>
        <v>08,26</v>
      </c>
    </row>
    <row r="1796" spans="1:9" ht="19.5" hidden="1" thickBot="1" x14ac:dyDescent="0.3">
      <c r="A1796" s="437">
        <f t="shared" si="49"/>
        <v>375</v>
      </c>
      <c r="B1796" s="102" t="s">
        <v>727</v>
      </c>
      <c r="C1796" s="103" t="s">
        <v>18</v>
      </c>
      <c r="D1796" s="104">
        <v>8.3719999999999999</v>
      </c>
      <c r="E1796" s="104" t="s">
        <v>13</v>
      </c>
      <c r="F1796" s="440" t="s">
        <v>645</v>
      </c>
      <c r="G1796" s="105" t="s">
        <v>730</v>
      </c>
      <c r="H1796" s="107"/>
      <c r="I1796" s="107" t="str">
        <f t="shared" si="46"/>
        <v>09,26</v>
      </c>
    </row>
    <row r="1797" spans="1:9" ht="19.5" hidden="1" thickBot="1" x14ac:dyDescent="0.3">
      <c r="A1797" s="438"/>
      <c r="B1797" s="221" t="s">
        <v>727</v>
      </c>
      <c r="C1797" s="214" t="s">
        <v>18</v>
      </c>
      <c r="D1797" s="215">
        <v>0.129</v>
      </c>
      <c r="E1797" s="215" t="s">
        <v>619</v>
      </c>
      <c r="F1797" s="441"/>
      <c r="G1797" s="213" t="s">
        <v>730</v>
      </c>
      <c r="H1797" s="219"/>
      <c r="I1797" s="219" t="str">
        <f t="shared" si="46"/>
        <v>09,26</v>
      </c>
    </row>
    <row r="1798" spans="1:9" ht="19.5" hidden="1" thickBot="1" x14ac:dyDescent="0.3">
      <c r="A1798" s="439"/>
      <c r="B1798" s="222" t="s">
        <v>727</v>
      </c>
      <c r="C1798" s="216" t="s">
        <v>681</v>
      </c>
      <c r="D1798" s="217">
        <v>6.9180000000000001</v>
      </c>
      <c r="E1798" s="217" t="s">
        <v>13</v>
      </c>
      <c r="F1798" s="442"/>
      <c r="G1798" s="218" t="s">
        <v>730</v>
      </c>
      <c r="H1798" s="220"/>
      <c r="I1798" s="220" t="str">
        <f t="shared" si="46"/>
        <v>09,26</v>
      </c>
    </row>
    <row r="1799" spans="1:9" ht="38.25" hidden="1" thickBot="1" x14ac:dyDescent="0.3">
      <c r="A1799" s="431">
        <f t="shared" si="49"/>
        <v>376</v>
      </c>
      <c r="B1799" s="91" t="s">
        <v>731</v>
      </c>
      <c r="C1799" s="92" t="s">
        <v>18</v>
      </c>
      <c r="D1799" s="93">
        <v>0.61299999999999999</v>
      </c>
      <c r="E1799" s="94" t="s">
        <v>638</v>
      </c>
      <c r="F1799" s="434" t="s">
        <v>708</v>
      </c>
      <c r="G1799" s="94" t="s">
        <v>729</v>
      </c>
      <c r="H1799" s="132"/>
      <c r="I1799" s="132" t="str">
        <f t="shared" si="46"/>
        <v>08,26</v>
      </c>
    </row>
    <row r="1800" spans="1:9" ht="38.25" hidden="1" thickBot="1" x14ac:dyDescent="0.3">
      <c r="A1800" s="433"/>
      <c r="B1800" s="311" t="s">
        <v>731</v>
      </c>
      <c r="C1800" s="154" t="s">
        <v>17</v>
      </c>
      <c r="D1800" s="155">
        <v>0.32100000000000001</v>
      </c>
      <c r="E1800" s="156" t="s">
        <v>638</v>
      </c>
      <c r="F1800" s="436"/>
      <c r="G1800" s="156" t="s">
        <v>729</v>
      </c>
      <c r="H1800" s="158"/>
      <c r="I1800" s="158" t="str">
        <f t="shared" si="46"/>
        <v>08,26</v>
      </c>
    </row>
    <row r="1801" spans="1:9" ht="38.25" hidden="1" thickBot="1" x14ac:dyDescent="0.3">
      <c r="A1801" s="329">
        <f t="shared" si="49"/>
        <v>377</v>
      </c>
      <c r="B1801" s="330" t="s">
        <v>731</v>
      </c>
      <c r="C1801" s="331" t="s">
        <v>19</v>
      </c>
      <c r="D1801" s="332">
        <v>0.29299999999999998</v>
      </c>
      <c r="E1801" s="333" t="s">
        <v>638</v>
      </c>
      <c r="F1801" s="334" t="s">
        <v>709</v>
      </c>
      <c r="G1801" s="333" t="s">
        <v>729</v>
      </c>
      <c r="H1801" s="335"/>
      <c r="I1801" s="335" t="str">
        <f t="shared" si="46"/>
        <v>08,26</v>
      </c>
    </row>
    <row r="1802" spans="1:9" ht="38.25" hidden="1" thickBot="1" x14ac:dyDescent="0.3">
      <c r="A1802" s="339">
        <f t="shared" si="49"/>
        <v>378</v>
      </c>
      <c r="B1802" s="121" t="s">
        <v>731</v>
      </c>
      <c r="C1802" s="122" t="s">
        <v>116</v>
      </c>
      <c r="D1802" s="123">
        <v>0.56899999999999995</v>
      </c>
      <c r="E1802" s="124" t="s">
        <v>638</v>
      </c>
      <c r="F1802" s="340" t="s">
        <v>726</v>
      </c>
      <c r="G1802" s="124" t="s">
        <v>729</v>
      </c>
      <c r="H1802" s="125"/>
      <c r="I1802" s="125" t="str">
        <f t="shared" si="46"/>
        <v>08,26</v>
      </c>
    </row>
    <row r="1803" spans="1:9" ht="19.5" hidden="1" thickBot="1" x14ac:dyDescent="0.3">
      <c r="A1803" s="437">
        <f t="shared" si="49"/>
        <v>379</v>
      </c>
      <c r="B1803" s="102" t="s">
        <v>732</v>
      </c>
      <c r="C1803" s="103" t="s">
        <v>734</v>
      </c>
      <c r="D1803" s="104">
        <v>1.9079999999999999</v>
      </c>
      <c r="E1803" s="105" t="s">
        <v>13</v>
      </c>
      <c r="F1803" s="440" t="s">
        <v>642</v>
      </c>
      <c r="G1803" s="105" t="s">
        <v>733</v>
      </c>
      <c r="H1803" s="107"/>
      <c r="I1803" s="107" t="str">
        <f t="shared" si="46"/>
        <v>09,26</v>
      </c>
    </row>
    <row r="1804" spans="1:9" ht="19.5" hidden="1" thickBot="1" x14ac:dyDescent="0.3">
      <c r="A1804" s="438"/>
      <c r="B1804" s="108" t="s">
        <v>732</v>
      </c>
      <c r="C1804" s="109" t="s">
        <v>564</v>
      </c>
      <c r="D1804" s="110">
        <v>1.22</v>
      </c>
      <c r="E1804" s="111" t="s">
        <v>13</v>
      </c>
      <c r="F1804" s="441"/>
      <c r="G1804" s="111" t="s">
        <v>733</v>
      </c>
      <c r="H1804" s="219"/>
      <c r="I1804" s="219" t="str">
        <f t="shared" si="46"/>
        <v>09,26</v>
      </c>
    </row>
    <row r="1805" spans="1:9" ht="19.5" hidden="1" thickBot="1" x14ac:dyDescent="0.3">
      <c r="A1805" s="438"/>
      <c r="B1805" s="108" t="s">
        <v>732</v>
      </c>
      <c r="C1805" s="109" t="s">
        <v>367</v>
      </c>
      <c r="D1805" s="110">
        <v>1.7549999999999999</v>
      </c>
      <c r="E1805" s="111" t="s">
        <v>13</v>
      </c>
      <c r="F1805" s="441"/>
      <c r="G1805" s="111" t="s">
        <v>733</v>
      </c>
      <c r="H1805" s="219"/>
      <c r="I1805" s="219" t="str">
        <f t="shared" si="46"/>
        <v>09,26</v>
      </c>
    </row>
    <row r="1806" spans="1:9" ht="19.5" hidden="1" thickBot="1" x14ac:dyDescent="0.3">
      <c r="A1806" s="438"/>
      <c r="B1806" s="164" t="s">
        <v>732</v>
      </c>
      <c r="C1806" s="165" t="s">
        <v>19</v>
      </c>
      <c r="D1806" s="166">
        <v>5.1840000000000002</v>
      </c>
      <c r="E1806" s="167" t="s">
        <v>13</v>
      </c>
      <c r="F1806" s="441"/>
      <c r="G1806" s="167" t="s">
        <v>733</v>
      </c>
      <c r="H1806" s="367"/>
      <c r="I1806" s="367" t="str">
        <f t="shared" si="46"/>
        <v>09,26</v>
      </c>
    </row>
    <row r="1807" spans="1:9" ht="19.5" hidden="1" thickBot="1" x14ac:dyDescent="0.3">
      <c r="A1807" s="431">
        <f t="shared" si="49"/>
        <v>380</v>
      </c>
      <c r="B1807" s="91" t="s">
        <v>732</v>
      </c>
      <c r="C1807" s="92" t="s">
        <v>19</v>
      </c>
      <c r="D1807" s="93">
        <v>4.883</v>
      </c>
      <c r="E1807" s="94" t="s">
        <v>13</v>
      </c>
      <c r="F1807" s="434" t="s">
        <v>642</v>
      </c>
      <c r="G1807" s="94" t="s">
        <v>735</v>
      </c>
      <c r="H1807" s="132"/>
      <c r="I1807" s="132" t="str">
        <f t="shared" si="46"/>
        <v>09,26</v>
      </c>
    </row>
    <row r="1808" spans="1:9" ht="19.5" hidden="1" thickBot="1" x14ac:dyDescent="0.3">
      <c r="A1808" s="432"/>
      <c r="B1808" s="175" t="s">
        <v>732</v>
      </c>
      <c r="C1808" s="147" t="s">
        <v>19</v>
      </c>
      <c r="D1808" s="148">
        <v>9.4E-2</v>
      </c>
      <c r="E1808" s="146" t="s">
        <v>619</v>
      </c>
      <c r="F1808" s="435"/>
      <c r="G1808" s="146" t="s">
        <v>735</v>
      </c>
      <c r="H1808" s="152"/>
      <c r="I1808" s="152" t="str">
        <f t="shared" si="46"/>
        <v>09,26</v>
      </c>
    </row>
    <row r="1809" spans="1:9" ht="19.5" hidden="1" thickBot="1" x14ac:dyDescent="0.3">
      <c r="A1809" s="432"/>
      <c r="B1809" s="175" t="s">
        <v>732</v>
      </c>
      <c r="C1809" s="147" t="s">
        <v>116</v>
      </c>
      <c r="D1809" s="148">
        <v>5.2610000000000001</v>
      </c>
      <c r="E1809" s="136" t="s">
        <v>13</v>
      </c>
      <c r="F1809" s="435"/>
      <c r="G1809" s="146" t="s">
        <v>735</v>
      </c>
      <c r="H1809" s="152"/>
      <c r="I1809" s="152" t="str">
        <f t="shared" si="46"/>
        <v>09,26</v>
      </c>
    </row>
    <row r="1810" spans="1:9" ht="19.5" hidden="1" thickBot="1" x14ac:dyDescent="0.3">
      <c r="A1810" s="433"/>
      <c r="B1810" s="95" t="s">
        <v>732</v>
      </c>
      <c r="C1810" s="154" t="s">
        <v>116</v>
      </c>
      <c r="D1810" s="155">
        <v>0.35699999999999998</v>
      </c>
      <c r="E1810" s="156" t="s">
        <v>619</v>
      </c>
      <c r="F1810" s="436"/>
      <c r="G1810" s="156" t="s">
        <v>735</v>
      </c>
      <c r="H1810" s="158"/>
      <c r="I1810" s="158" t="str">
        <f t="shared" si="46"/>
        <v>09,26</v>
      </c>
    </row>
    <row r="1811" spans="1:9" ht="19.5" hidden="1" thickBot="1" x14ac:dyDescent="0.3">
      <c r="A1811" s="438">
        <f t="shared" si="49"/>
        <v>381</v>
      </c>
      <c r="B1811" s="108" t="s">
        <v>732</v>
      </c>
      <c r="C1811" s="109" t="s">
        <v>17</v>
      </c>
      <c r="D1811" s="110">
        <v>5.1420000000000003</v>
      </c>
      <c r="E1811" s="111" t="s">
        <v>13</v>
      </c>
      <c r="F1811" s="441" t="s">
        <v>645</v>
      </c>
      <c r="G1811" s="111" t="s">
        <v>735</v>
      </c>
      <c r="H1811" s="113"/>
      <c r="I1811" s="113" t="str">
        <f t="shared" si="46"/>
        <v>09,26</v>
      </c>
    </row>
    <row r="1812" spans="1:9" ht="19.5" hidden="1" thickBot="1" x14ac:dyDescent="0.3">
      <c r="A1812" s="438"/>
      <c r="B1812" s="164" t="s">
        <v>732</v>
      </c>
      <c r="C1812" s="225" t="s">
        <v>17</v>
      </c>
      <c r="D1812" s="226">
        <v>0.19900000000000001</v>
      </c>
      <c r="E1812" s="366" t="s">
        <v>619</v>
      </c>
      <c r="F1812" s="441"/>
      <c r="G1812" s="366" t="s">
        <v>735</v>
      </c>
      <c r="H1812" s="367"/>
      <c r="I1812" s="367" t="str">
        <f t="shared" si="46"/>
        <v>09,26</v>
      </c>
    </row>
    <row r="1813" spans="1:9" ht="19.5" hidden="1" thickBot="1" x14ac:dyDescent="0.3">
      <c r="A1813" s="431">
        <f t="shared" si="49"/>
        <v>382</v>
      </c>
      <c r="B1813" s="91" t="s">
        <v>732</v>
      </c>
      <c r="C1813" s="92" t="s">
        <v>18</v>
      </c>
      <c r="D1813" s="93">
        <v>7.8929999999999998</v>
      </c>
      <c r="E1813" s="94" t="s">
        <v>13</v>
      </c>
      <c r="F1813" s="449" t="s">
        <v>740</v>
      </c>
      <c r="G1813" s="94" t="s">
        <v>736</v>
      </c>
      <c r="H1813" s="132"/>
      <c r="I1813" s="132" t="str">
        <f t="shared" si="46"/>
        <v>09,26</v>
      </c>
    </row>
    <row r="1814" spans="1:9" ht="19.5" hidden="1" thickBot="1" x14ac:dyDescent="0.3">
      <c r="A1814" s="432"/>
      <c r="B1814" s="175" t="s">
        <v>739</v>
      </c>
      <c r="C1814" s="134" t="s">
        <v>18</v>
      </c>
      <c r="D1814" s="135">
        <v>0.64200000000000002</v>
      </c>
      <c r="E1814" s="136" t="s">
        <v>13</v>
      </c>
      <c r="F1814" s="451"/>
      <c r="G1814" s="136" t="s">
        <v>736</v>
      </c>
      <c r="H1814" s="137" t="s">
        <v>527</v>
      </c>
      <c r="I1814" s="137" t="str">
        <f t="shared" ref="I1814:I1877" si="50">RIGHT(G1814,5)</f>
        <v>09,26</v>
      </c>
    </row>
    <row r="1815" spans="1:9" ht="19.5" hidden="1" thickBot="1" x14ac:dyDescent="0.3">
      <c r="A1815" s="432"/>
      <c r="B1815" s="175" t="s">
        <v>732</v>
      </c>
      <c r="C1815" s="147" t="s">
        <v>18</v>
      </c>
      <c r="D1815" s="246">
        <v>2.3E-2</v>
      </c>
      <c r="E1815" s="146" t="s">
        <v>619</v>
      </c>
      <c r="F1815" s="451"/>
      <c r="G1815" s="146" t="s">
        <v>736</v>
      </c>
      <c r="H1815" s="152"/>
      <c r="I1815" s="152" t="str">
        <f t="shared" si="50"/>
        <v>09,26</v>
      </c>
    </row>
    <row r="1816" spans="1:9" ht="19.5" hidden="1" thickBot="1" x14ac:dyDescent="0.3">
      <c r="A1816" s="433"/>
      <c r="B1816" s="95" t="s">
        <v>732</v>
      </c>
      <c r="C1816" s="154" t="s">
        <v>681</v>
      </c>
      <c r="D1816" s="155">
        <v>8.34</v>
      </c>
      <c r="E1816" s="98" t="s">
        <v>13</v>
      </c>
      <c r="F1816" s="450"/>
      <c r="G1816" s="156" t="s">
        <v>736</v>
      </c>
      <c r="H1816" s="158"/>
      <c r="I1816" s="158" t="str">
        <f t="shared" si="50"/>
        <v>09,26</v>
      </c>
    </row>
    <row r="1817" spans="1:9" ht="38.25" hidden="1" thickBot="1" x14ac:dyDescent="0.3">
      <c r="A1817" s="438">
        <f>MAX(A1750:A1816)+1</f>
        <v>383</v>
      </c>
      <c r="B1817" s="108" t="s">
        <v>737</v>
      </c>
      <c r="C1817" s="109" t="s">
        <v>18</v>
      </c>
      <c r="D1817" s="110">
        <v>1.1579999999999999</v>
      </c>
      <c r="E1817" s="111" t="s">
        <v>638</v>
      </c>
      <c r="F1817" s="441" t="s">
        <v>708</v>
      </c>
      <c r="G1817" s="111" t="s">
        <v>735</v>
      </c>
      <c r="H1817" s="113"/>
      <c r="I1817" s="113" t="str">
        <f t="shared" si="50"/>
        <v>09,26</v>
      </c>
    </row>
    <row r="1818" spans="1:9" ht="38.25" hidden="1" thickBot="1" x14ac:dyDescent="0.3">
      <c r="A1818" s="438"/>
      <c r="B1818" s="365" t="s">
        <v>737</v>
      </c>
      <c r="C1818" s="225" t="s">
        <v>17</v>
      </c>
      <c r="D1818" s="226">
        <v>0.83599999999999997</v>
      </c>
      <c r="E1818" s="366" t="s">
        <v>638</v>
      </c>
      <c r="F1818" s="441"/>
      <c r="G1818" s="366" t="s">
        <v>735</v>
      </c>
      <c r="H1818" s="367"/>
      <c r="I1818" s="367" t="str">
        <f t="shared" si="50"/>
        <v>09,26</v>
      </c>
    </row>
    <row r="1819" spans="1:9" ht="38.25" hidden="1" thickBot="1" x14ac:dyDescent="0.3">
      <c r="A1819" s="339">
        <f>MAX(A1752:A1818)+1</f>
        <v>384</v>
      </c>
      <c r="B1819" s="121" t="s">
        <v>737</v>
      </c>
      <c r="C1819" s="122" t="s">
        <v>19</v>
      </c>
      <c r="D1819" s="123">
        <v>0.39500000000000002</v>
      </c>
      <c r="E1819" s="124" t="s">
        <v>638</v>
      </c>
      <c r="F1819" s="340" t="s">
        <v>709</v>
      </c>
      <c r="G1819" s="124" t="s">
        <v>735</v>
      </c>
      <c r="H1819" s="125"/>
      <c r="I1819" s="125" t="str">
        <f t="shared" si="50"/>
        <v>09,26</v>
      </c>
    </row>
    <row r="1820" spans="1:9" ht="38.25" hidden="1" thickBot="1" x14ac:dyDescent="0.3">
      <c r="A1820" s="438">
        <f>MAX(A1753:A1819)+1</f>
        <v>385</v>
      </c>
      <c r="B1820" s="108" t="s">
        <v>737</v>
      </c>
      <c r="C1820" s="109" t="s">
        <v>116</v>
      </c>
      <c r="D1820" s="110">
        <v>0.29899999999999999</v>
      </c>
      <c r="E1820" s="111" t="s">
        <v>638</v>
      </c>
      <c r="F1820" s="441" t="s">
        <v>726</v>
      </c>
      <c r="G1820" s="111" t="s">
        <v>735</v>
      </c>
      <c r="H1820" s="113"/>
      <c r="I1820" s="113" t="str">
        <f t="shared" si="50"/>
        <v>09,26</v>
      </c>
    </row>
    <row r="1821" spans="1:9" ht="38.25" hidden="1" thickBot="1" x14ac:dyDescent="0.3">
      <c r="A1821" s="438"/>
      <c r="B1821" s="365" t="s">
        <v>737</v>
      </c>
      <c r="C1821" s="225" t="s">
        <v>738</v>
      </c>
      <c r="D1821" s="379">
        <v>2.7E-2</v>
      </c>
      <c r="E1821" s="366" t="s">
        <v>638</v>
      </c>
      <c r="F1821" s="441"/>
      <c r="G1821" s="366" t="s">
        <v>735</v>
      </c>
      <c r="H1821" s="367"/>
      <c r="I1821" s="367" t="str">
        <f t="shared" si="50"/>
        <v>09,26</v>
      </c>
    </row>
    <row r="1822" spans="1:9" ht="19.5" hidden="1" thickBot="1" x14ac:dyDescent="0.3">
      <c r="A1822" s="431">
        <f t="shared" ref="A1822:A1825" si="51">MAX(A1755:A1821)+1</f>
        <v>386</v>
      </c>
      <c r="B1822" s="91" t="s">
        <v>742</v>
      </c>
      <c r="C1822" s="92" t="s">
        <v>564</v>
      </c>
      <c r="D1822" s="93">
        <v>1.224</v>
      </c>
      <c r="E1822" s="94" t="s">
        <v>13</v>
      </c>
      <c r="F1822" s="434" t="s">
        <v>642</v>
      </c>
      <c r="G1822" s="94" t="s">
        <v>743</v>
      </c>
      <c r="H1822" s="132"/>
      <c r="I1822" s="132" t="str">
        <f t="shared" si="50"/>
        <v>09,26</v>
      </c>
    </row>
    <row r="1823" spans="1:9" ht="19.5" hidden="1" thickBot="1" x14ac:dyDescent="0.3">
      <c r="A1823" s="432"/>
      <c r="B1823" s="377" t="s">
        <v>742</v>
      </c>
      <c r="C1823" s="147" t="s">
        <v>367</v>
      </c>
      <c r="D1823" s="148">
        <v>1.1379999999999999</v>
      </c>
      <c r="E1823" s="146" t="s">
        <v>13</v>
      </c>
      <c r="F1823" s="435"/>
      <c r="G1823" s="136" t="s">
        <v>743</v>
      </c>
      <c r="H1823" s="152"/>
      <c r="I1823" s="152" t="str">
        <f t="shared" si="50"/>
        <v>09,26</v>
      </c>
    </row>
    <row r="1824" spans="1:9" ht="19.5" hidden="1" thickBot="1" x14ac:dyDescent="0.3">
      <c r="A1824" s="433"/>
      <c r="B1824" s="95" t="s">
        <v>742</v>
      </c>
      <c r="C1824" s="154" t="s">
        <v>19</v>
      </c>
      <c r="D1824" s="155">
        <v>5.6749999999999998</v>
      </c>
      <c r="E1824" s="156" t="s">
        <v>13</v>
      </c>
      <c r="F1824" s="436"/>
      <c r="G1824" s="98" t="s">
        <v>743</v>
      </c>
      <c r="H1824" s="158"/>
      <c r="I1824" s="158" t="str">
        <f t="shared" si="50"/>
        <v>09,26</v>
      </c>
    </row>
    <row r="1825" spans="1:13" ht="19.5" hidden="1" thickBot="1" x14ac:dyDescent="0.3">
      <c r="A1825" s="437">
        <f t="shared" si="51"/>
        <v>387</v>
      </c>
      <c r="B1825" s="102" t="s">
        <v>742</v>
      </c>
      <c r="C1825" s="103" t="s">
        <v>19</v>
      </c>
      <c r="D1825" s="104">
        <v>4.1219999999999999</v>
      </c>
      <c r="E1825" s="105" t="s">
        <v>13</v>
      </c>
      <c r="F1825" s="440" t="s">
        <v>642</v>
      </c>
      <c r="G1825" s="105" t="s">
        <v>744</v>
      </c>
      <c r="H1825" s="107"/>
      <c r="I1825" s="107" t="str">
        <f t="shared" si="50"/>
        <v>09,26</v>
      </c>
    </row>
    <row r="1826" spans="1:13" ht="19.5" hidden="1" thickBot="1" x14ac:dyDescent="0.3">
      <c r="A1826" s="438"/>
      <c r="B1826" s="108" t="s">
        <v>742</v>
      </c>
      <c r="C1826" s="214" t="s">
        <v>19</v>
      </c>
      <c r="D1826" s="215">
        <v>0.10100000000000001</v>
      </c>
      <c r="E1826" s="213" t="s">
        <v>619</v>
      </c>
      <c r="F1826" s="441"/>
      <c r="G1826" s="213" t="s">
        <v>744</v>
      </c>
      <c r="H1826" s="219"/>
      <c r="I1826" s="219" t="str">
        <f t="shared" si="50"/>
        <v>09,26</v>
      </c>
    </row>
    <row r="1827" spans="1:13" ht="19.5" hidden="1" thickBot="1" x14ac:dyDescent="0.3">
      <c r="A1827" s="438"/>
      <c r="B1827" s="108" t="s">
        <v>742</v>
      </c>
      <c r="C1827" s="214" t="s">
        <v>116</v>
      </c>
      <c r="D1827" s="215">
        <v>8.7810000000000006</v>
      </c>
      <c r="E1827" s="213" t="s">
        <v>13</v>
      </c>
      <c r="F1827" s="441"/>
      <c r="G1827" s="213" t="s">
        <v>744</v>
      </c>
      <c r="H1827" s="219"/>
      <c r="I1827" s="219" t="str">
        <f t="shared" si="50"/>
        <v>09,26</v>
      </c>
    </row>
    <row r="1828" spans="1:13" ht="19.5" hidden="1" thickBot="1" x14ac:dyDescent="0.3">
      <c r="A1828" s="438"/>
      <c r="B1828" s="382" t="s">
        <v>749</v>
      </c>
      <c r="C1828" s="383" t="s">
        <v>116</v>
      </c>
      <c r="D1828" s="384">
        <v>2.4689999999999999</v>
      </c>
      <c r="E1828" s="385" t="s">
        <v>13</v>
      </c>
      <c r="F1828" s="441"/>
      <c r="G1828" s="385" t="s">
        <v>744</v>
      </c>
      <c r="H1828" s="386" t="s">
        <v>527</v>
      </c>
      <c r="I1828" s="386" t="str">
        <f t="shared" si="50"/>
        <v>09,26</v>
      </c>
      <c r="J1828" s="381"/>
      <c r="K1828" s="381"/>
      <c r="L1828" s="381"/>
    </row>
    <row r="1829" spans="1:13" ht="19.5" hidden="1" thickBot="1" x14ac:dyDescent="0.3">
      <c r="A1829" s="439"/>
      <c r="B1829" s="114" t="s">
        <v>742</v>
      </c>
      <c r="C1829" s="216" t="s">
        <v>116</v>
      </c>
      <c r="D1829" s="217">
        <v>0.34300000000000003</v>
      </c>
      <c r="E1829" s="218" t="s">
        <v>619</v>
      </c>
      <c r="F1829" s="442"/>
      <c r="G1829" s="218" t="s">
        <v>744</v>
      </c>
      <c r="H1829" s="220"/>
      <c r="I1829" s="220" t="str">
        <f t="shared" si="50"/>
        <v>09,26</v>
      </c>
    </row>
    <row r="1830" spans="1:13" ht="57" hidden="1" thickBot="1" x14ac:dyDescent="0.3">
      <c r="A1830" s="339">
        <f>MAX(A1762:A1829)+1</f>
        <v>388</v>
      </c>
      <c r="B1830" s="121" t="s">
        <v>742</v>
      </c>
      <c r="C1830" s="122" t="s">
        <v>17</v>
      </c>
      <c r="D1830" s="123">
        <v>2.286</v>
      </c>
      <c r="E1830" s="124" t="s">
        <v>13</v>
      </c>
      <c r="F1830" s="380" t="s">
        <v>640</v>
      </c>
      <c r="G1830" s="124" t="s">
        <v>744</v>
      </c>
      <c r="H1830" s="125"/>
      <c r="I1830" s="125" t="str">
        <f t="shared" si="50"/>
        <v>09,26</v>
      </c>
      <c r="M1830" s="443" t="s">
        <v>748</v>
      </c>
    </row>
    <row r="1831" spans="1:13" ht="29.25" hidden="1" customHeight="1" x14ac:dyDescent="0.3">
      <c r="A1831" s="437">
        <f>MAX(A1763:A1830)+1</f>
        <v>389</v>
      </c>
      <c r="B1831" s="102" t="s">
        <v>742</v>
      </c>
      <c r="C1831" s="103" t="s">
        <v>18</v>
      </c>
      <c r="D1831" s="104">
        <v>7.609</v>
      </c>
      <c r="E1831" s="105" t="s">
        <v>13</v>
      </c>
      <c r="F1831" s="447" t="s">
        <v>640</v>
      </c>
      <c r="G1831" s="105" t="s">
        <v>745</v>
      </c>
      <c r="H1831" s="107"/>
      <c r="I1831" s="107" t="str">
        <f t="shared" si="50"/>
        <v>09,26</v>
      </c>
      <c r="M1831" s="444"/>
    </row>
    <row r="1832" spans="1:13" ht="29.25" hidden="1" customHeight="1" thickBot="1" x14ac:dyDescent="0.3">
      <c r="A1832" s="439"/>
      <c r="B1832" s="114" t="s">
        <v>742</v>
      </c>
      <c r="C1832" s="216" t="s">
        <v>18</v>
      </c>
      <c r="D1832" s="217">
        <v>0.246</v>
      </c>
      <c r="E1832" s="218" t="s">
        <v>619</v>
      </c>
      <c r="F1832" s="448"/>
      <c r="G1832" s="218" t="s">
        <v>745</v>
      </c>
      <c r="H1832" s="220"/>
      <c r="I1832" s="220" t="str">
        <f t="shared" si="50"/>
        <v>09,26</v>
      </c>
      <c r="M1832" s="444"/>
    </row>
    <row r="1833" spans="1:13" ht="38.25" hidden="1" thickBot="1" x14ac:dyDescent="0.3">
      <c r="A1833" s="431">
        <f>MAX(A1765:A1832)+1</f>
        <v>390</v>
      </c>
      <c r="B1833" s="91" t="s">
        <v>746</v>
      </c>
      <c r="C1833" s="92" t="s">
        <v>18</v>
      </c>
      <c r="D1833" s="93">
        <v>0.42899999999999999</v>
      </c>
      <c r="E1833" s="94" t="s">
        <v>638</v>
      </c>
      <c r="F1833" s="449" t="s">
        <v>640</v>
      </c>
      <c r="G1833" s="94" t="s">
        <v>744</v>
      </c>
      <c r="H1833" s="132"/>
      <c r="I1833" s="132" t="str">
        <f t="shared" si="50"/>
        <v>09,26</v>
      </c>
      <c r="M1833" s="444"/>
    </row>
    <row r="1834" spans="1:13" ht="38.25" hidden="1" thickBot="1" x14ac:dyDescent="0.3">
      <c r="A1834" s="433"/>
      <c r="B1834" s="311" t="s">
        <v>746</v>
      </c>
      <c r="C1834" s="154" t="s">
        <v>17</v>
      </c>
      <c r="D1834" s="155">
        <v>8.2000000000000003E-2</v>
      </c>
      <c r="E1834" s="156" t="s">
        <v>638</v>
      </c>
      <c r="F1834" s="450"/>
      <c r="G1834" s="156" t="s">
        <v>744</v>
      </c>
      <c r="H1834" s="158"/>
      <c r="I1834" s="158" t="str">
        <f t="shared" si="50"/>
        <v>09,26</v>
      </c>
      <c r="M1834" s="444"/>
    </row>
    <row r="1835" spans="1:13" ht="38.25" hidden="1" thickBot="1" x14ac:dyDescent="0.3">
      <c r="A1835" s="437">
        <f>MAX(A1767:A1834)+1</f>
        <v>391</v>
      </c>
      <c r="B1835" s="102" t="s">
        <v>746</v>
      </c>
      <c r="C1835" s="103" t="s">
        <v>19</v>
      </c>
      <c r="D1835" s="104">
        <v>0.97099999999999997</v>
      </c>
      <c r="E1835" s="105" t="s">
        <v>638</v>
      </c>
      <c r="F1835" s="447" t="s">
        <v>747</v>
      </c>
      <c r="G1835" s="105" t="s">
        <v>744</v>
      </c>
      <c r="H1835" s="107"/>
      <c r="I1835" s="107" t="str">
        <f t="shared" si="50"/>
        <v>09,26</v>
      </c>
      <c r="M1835" s="444"/>
    </row>
    <row r="1836" spans="1:13" ht="38.25" hidden="1" thickBot="1" x14ac:dyDescent="0.3">
      <c r="A1836" s="439"/>
      <c r="B1836" s="222" t="s">
        <v>746</v>
      </c>
      <c r="C1836" s="216" t="s">
        <v>636</v>
      </c>
      <c r="D1836" s="375">
        <v>2.8000000000000001E-2</v>
      </c>
      <c r="E1836" s="218" t="s">
        <v>638</v>
      </c>
      <c r="F1836" s="448"/>
      <c r="G1836" s="218" t="s">
        <v>744</v>
      </c>
      <c r="H1836" s="220"/>
      <c r="I1836" s="220" t="str">
        <f t="shared" si="50"/>
        <v>09,26</v>
      </c>
      <c r="M1836" s="444"/>
    </row>
    <row r="1837" spans="1:13" ht="38.25" hidden="1" thickBot="1" x14ac:dyDescent="0.3">
      <c r="A1837" s="388">
        <f t="shared" ref="A1837:A1852" si="52">MAX(A1769:A1836)+1</f>
        <v>392</v>
      </c>
      <c r="B1837" s="389" t="s">
        <v>746</v>
      </c>
      <c r="C1837" s="355" t="s">
        <v>116</v>
      </c>
      <c r="D1837" s="356">
        <v>0.5</v>
      </c>
      <c r="E1837" s="292" t="s">
        <v>638</v>
      </c>
      <c r="F1837" s="387" t="s">
        <v>726</v>
      </c>
      <c r="G1837" s="292" t="s">
        <v>744</v>
      </c>
      <c r="H1837" s="391"/>
      <c r="I1837" s="395" t="str">
        <f t="shared" si="50"/>
        <v>09,26</v>
      </c>
      <c r="M1837" s="445"/>
    </row>
    <row r="1838" spans="1:13" ht="19.5" hidden="1" thickBot="1" x14ac:dyDescent="0.3">
      <c r="A1838" s="437">
        <f t="shared" si="52"/>
        <v>393</v>
      </c>
      <c r="B1838" s="102" t="s">
        <v>750</v>
      </c>
      <c r="C1838" s="103" t="s">
        <v>752</v>
      </c>
      <c r="D1838" s="104">
        <v>0.35</v>
      </c>
      <c r="E1838" s="105" t="s">
        <v>13</v>
      </c>
      <c r="F1838" s="440" t="s">
        <v>642</v>
      </c>
      <c r="G1838" s="105" t="s">
        <v>751</v>
      </c>
      <c r="H1838" s="107"/>
      <c r="I1838" s="107" t="str">
        <f t="shared" si="50"/>
        <v>09,26</v>
      </c>
    </row>
    <row r="1839" spans="1:13" ht="19.5" hidden="1" thickBot="1" x14ac:dyDescent="0.3">
      <c r="A1839" s="438"/>
      <c r="B1839" s="108" t="s">
        <v>750</v>
      </c>
      <c r="C1839" s="109" t="s">
        <v>564</v>
      </c>
      <c r="D1839" s="110">
        <v>1.0840000000000001</v>
      </c>
      <c r="E1839" s="111" t="s">
        <v>13</v>
      </c>
      <c r="F1839" s="441"/>
      <c r="G1839" s="111" t="s">
        <v>751</v>
      </c>
      <c r="H1839" s="219"/>
      <c r="I1839" s="219" t="str">
        <f t="shared" si="50"/>
        <v>09,26</v>
      </c>
    </row>
    <row r="1840" spans="1:13" ht="19.5" hidden="1" thickBot="1" x14ac:dyDescent="0.3">
      <c r="A1840" s="438"/>
      <c r="B1840" s="108" t="s">
        <v>750</v>
      </c>
      <c r="C1840" s="109" t="s">
        <v>367</v>
      </c>
      <c r="D1840" s="110">
        <v>2.1219999999999999</v>
      </c>
      <c r="E1840" s="111" t="s">
        <v>13</v>
      </c>
      <c r="F1840" s="441"/>
      <c r="G1840" s="111" t="s">
        <v>751</v>
      </c>
      <c r="H1840" s="219"/>
      <c r="I1840" s="219" t="str">
        <f t="shared" si="50"/>
        <v>09,26</v>
      </c>
    </row>
    <row r="1841" spans="1:9" ht="19.5" hidden="1" thickBot="1" x14ac:dyDescent="0.3">
      <c r="A1841" s="439"/>
      <c r="B1841" s="114" t="s">
        <v>750</v>
      </c>
      <c r="C1841" s="115" t="s">
        <v>19</v>
      </c>
      <c r="D1841" s="116">
        <v>5.64</v>
      </c>
      <c r="E1841" s="117" t="s">
        <v>13</v>
      </c>
      <c r="F1841" s="442"/>
      <c r="G1841" s="117" t="s">
        <v>751</v>
      </c>
      <c r="H1841" s="220"/>
      <c r="I1841" s="220" t="str">
        <f t="shared" si="50"/>
        <v>09,26</v>
      </c>
    </row>
    <row r="1842" spans="1:9" ht="19.5" hidden="1" thickBot="1" x14ac:dyDescent="0.3">
      <c r="A1842" s="431">
        <f t="shared" si="52"/>
        <v>394</v>
      </c>
      <c r="B1842" s="91" t="s">
        <v>750</v>
      </c>
      <c r="C1842" s="92" t="s">
        <v>19</v>
      </c>
      <c r="D1842" s="93">
        <v>3.9129999999999998</v>
      </c>
      <c r="E1842" s="94" t="s">
        <v>13</v>
      </c>
      <c r="F1842" s="434" t="s">
        <v>642</v>
      </c>
      <c r="G1842" s="94" t="s">
        <v>753</v>
      </c>
      <c r="H1842" s="132"/>
      <c r="I1842" s="132" t="str">
        <f t="shared" si="50"/>
        <v>09,26</v>
      </c>
    </row>
    <row r="1843" spans="1:9" ht="19.5" hidden="1" thickBot="1" x14ac:dyDescent="0.3">
      <c r="A1843" s="432"/>
      <c r="B1843" s="390" t="s">
        <v>750</v>
      </c>
      <c r="C1843" s="134" t="s">
        <v>19</v>
      </c>
      <c r="D1843" s="148">
        <v>9.4E-2</v>
      </c>
      <c r="E1843" s="146" t="s">
        <v>619</v>
      </c>
      <c r="F1843" s="435"/>
      <c r="G1843" s="146" t="s">
        <v>753</v>
      </c>
      <c r="H1843" s="152"/>
      <c r="I1843" s="152" t="str">
        <f t="shared" si="50"/>
        <v>09,26</v>
      </c>
    </row>
    <row r="1844" spans="1:9" ht="19.5" hidden="1" thickBot="1" x14ac:dyDescent="0.3">
      <c r="A1844" s="432"/>
      <c r="B1844" s="390" t="s">
        <v>750</v>
      </c>
      <c r="C1844" s="147" t="s">
        <v>116</v>
      </c>
      <c r="D1844" s="148">
        <v>15.048999999999999</v>
      </c>
      <c r="E1844" s="146" t="s">
        <v>13</v>
      </c>
      <c r="F1844" s="435"/>
      <c r="G1844" s="146" t="s">
        <v>753</v>
      </c>
      <c r="H1844" s="152"/>
      <c r="I1844" s="152" t="str">
        <f t="shared" si="50"/>
        <v>09,26</v>
      </c>
    </row>
    <row r="1845" spans="1:9" ht="19.5" hidden="1" thickBot="1" x14ac:dyDescent="0.3">
      <c r="A1845" s="433"/>
      <c r="B1845" s="95" t="s">
        <v>750</v>
      </c>
      <c r="C1845" s="154" t="s">
        <v>116</v>
      </c>
      <c r="D1845" s="155">
        <v>0.79200000000000004</v>
      </c>
      <c r="E1845" s="156" t="s">
        <v>619</v>
      </c>
      <c r="F1845" s="436"/>
      <c r="G1845" s="156" t="s">
        <v>753</v>
      </c>
      <c r="H1845" s="158"/>
      <c r="I1845" s="158" t="str">
        <f t="shared" si="50"/>
        <v>09,26</v>
      </c>
    </row>
    <row r="1846" spans="1:9" ht="19.5" hidden="1" thickBot="1" x14ac:dyDescent="0.3">
      <c r="A1846" s="437">
        <f t="shared" si="52"/>
        <v>395</v>
      </c>
      <c r="B1846" s="102" t="s">
        <v>750</v>
      </c>
      <c r="C1846" s="103" t="s">
        <v>17</v>
      </c>
      <c r="D1846" s="104">
        <v>7.3019999999999996</v>
      </c>
      <c r="E1846" s="105" t="s">
        <v>13</v>
      </c>
      <c r="F1846" s="440" t="s">
        <v>645</v>
      </c>
      <c r="G1846" s="105" t="s">
        <v>753</v>
      </c>
      <c r="H1846" s="107"/>
      <c r="I1846" s="107" t="str">
        <f t="shared" si="50"/>
        <v>09,26</v>
      </c>
    </row>
    <row r="1847" spans="1:9" ht="19.5" hidden="1" thickBot="1" x14ac:dyDescent="0.3">
      <c r="A1847" s="439"/>
      <c r="B1847" s="114" t="s">
        <v>750</v>
      </c>
      <c r="C1847" s="216" t="s">
        <v>17</v>
      </c>
      <c r="D1847" s="375">
        <v>4.2999999999999997E-2</v>
      </c>
      <c r="E1847" s="218" t="s">
        <v>619</v>
      </c>
      <c r="F1847" s="442"/>
      <c r="G1847" s="218" t="s">
        <v>753</v>
      </c>
      <c r="H1847" s="220"/>
      <c r="I1847" s="220" t="str">
        <f t="shared" si="50"/>
        <v>09,26</v>
      </c>
    </row>
    <row r="1848" spans="1:9" ht="19.5" hidden="1" thickBot="1" x14ac:dyDescent="0.3">
      <c r="A1848" s="431">
        <f t="shared" si="52"/>
        <v>396</v>
      </c>
      <c r="B1848" s="91" t="s">
        <v>750</v>
      </c>
      <c r="C1848" s="92" t="s">
        <v>18</v>
      </c>
      <c r="D1848" s="93">
        <v>4.2290000000000001</v>
      </c>
      <c r="E1848" s="94" t="s">
        <v>13</v>
      </c>
      <c r="F1848" s="434" t="s">
        <v>645</v>
      </c>
      <c r="G1848" s="94" t="s">
        <v>754</v>
      </c>
      <c r="H1848" s="132"/>
      <c r="I1848" s="132" t="str">
        <f t="shared" si="50"/>
        <v>09,26</v>
      </c>
    </row>
    <row r="1849" spans="1:9" ht="19.5" hidden="1" thickBot="1" x14ac:dyDescent="0.3">
      <c r="A1849" s="433">
        <f t="shared" si="52"/>
        <v>397</v>
      </c>
      <c r="B1849" s="95" t="s">
        <v>750</v>
      </c>
      <c r="C1849" s="154" t="s">
        <v>18</v>
      </c>
      <c r="D1849" s="155">
        <v>0.19</v>
      </c>
      <c r="E1849" s="156" t="s">
        <v>619</v>
      </c>
      <c r="F1849" s="436"/>
      <c r="G1849" s="156" t="s">
        <v>754</v>
      </c>
      <c r="H1849" s="158"/>
      <c r="I1849" s="158" t="str">
        <f t="shared" si="50"/>
        <v>09,26</v>
      </c>
    </row>
    <row r="1850" spans="1:9" ht="38.25" hidden="1" thickBot="1" x14ac:dyDescent="0.3">
      <c r="A1850" s="446">
        <v>397</v>
      </c>
      <c r="B1850" s="102" t="s">
        <v>755</v>
      </c>
      <c r="C1850" s="103" t="s">
        <v>18</v>
      </c>
      <c r="D1850" s="104">
        <v>2.1429999999999998</v>
      </c>
      <c r="E1850" s="105" t="s">
        <v>638</v>
      </c>
      <c r="F1850" s="440" t="s">
        <v>672</v>
      </c>
      <c r="G1850" s="105" t="s">
        <v>753</v>
      </c>
      <c r="H1850" s="107"/>
      <c r="I1850" s="107" t="str">
        <f t="shared" si="50"/>
        <v>09,26</v>
      </c>
    </row>
    <row r="1851" spans="1:9" ht="38.25" hidden="1" thickBot="1" x14ac:dyDescent="0.3">
      <c r="A1851" s="439"/>
      <c r="B1851" s="222" t="s">
        <v>755</v>
      </c>
      <c r="C1851" s="216" t="s">
        <v>17</v>
      </c>
      <c r="D1851" s="217">
        <v>1.1439999999999999</v>
      </c>
      <c r="E1851" s="218" t="s">
        <v>638</v>
      </c>
      <c r="F1851" s="442"/>
      <c r="G1851" s="218" t="s">
        <v>753</v>
      </c>
      <c r="H1851" s="220"/>
      <c r="I1851" s="220" t="str">
        <f t="shared" si="50"/>
        <v>09,26</v>
      </c>
    </row>
    <row r="1852" spans="1:9" ht="38.25" hidden="1" thickBot="1" x14ac:dyDescent="0.3">
      <c r="A1852" s="339">
        <f t="shared" si="52"/>
        <v>398</v>
      </c>
      <c r="B1852" s="121" t="s">
        <v>755</v>
      </c>
      <c r="C1852" s="122" t="s">
        <v>19</v>
      </c>
      <c r="D1852" s="123">
        <v>0.85699999999999998</v>
      </c>
      <c r="E1852" s="124" t="s">
        <v>638</v>
      </c>
      <c r="F1852" s="340" t="s">
        <v>709</v>
      </c>
      <c r="G1852" s="124" t="s">
        <v>753</v>
      </c>
      <c r="H1852" s="125"/>
      <c r="I1852" s="125" t="str">
        <f t="shared" si="50"/>
        <v>09,26</v>
      </c>
    </row>
    <row r="1853" spans="1:9" ht="38.25" hidden="1" thickBot="1" x14ac:dyDescent="0.3">
      <c r="A1853" s="393">
        <f t="shared" ref="A1853:A1887" si="53">MAX(A1786:A1852)+1</f>
        <v>399</v>
      </c>
      <c r="B1853" s="231" t="s">
        <v>755</v>
      </c>
      <c r="C1853" s="232" t="s">
        <v>116</v>
      </c>
      <c r="D1853" s="233">
        <v>0.85099999999999998</v>
      </c>
      <c r="E1853" s="234" t="s">
        <v>638</v>
      </c>
      <c r="F1853" s="394" t="s">
        <v>726</v>
      </c>
      <c r="G1853" s="234" t="s">
        <v>753</v>
      </c>
      <c r="H1853" s="396"/>
      <c r="I1853" s="397" t="str">
        <f t="shared" si="50"/>
        <v>09,26</v>
      </c>
    </row>
    <row r="1854" spans="1:9" ht="19.5" hidden="1" thickBot="1" x14ac:dyDescent="0.3">
      <c r="A1854" s="431">
        <f t="shared" si="53"/>
        <v>400</v>
      </c>
      <c r="B1854" s="91" t="s">
        <v>756</v>
      </c>
      <c r="C1854" s="92" t="s">
        <v>367</v>
      </c>
      <c r="D1854" s="93">
        <v>2.286</v>
      </c>
      <c r="E1854" s="94" t="s">
        <v>13</v>
      </c>
      <c r="F1854" s="434" t="s">
        <v>642</v>
      </c>
      <c r="G1854" s="94" t="s">
        <v>757</v>
      </c>
      <c r="H1854" s="132"/>
      <c r="I1854" s="132" t="str">
        <f t="shared" si="50"/>
        <v>09,26</v>
      </c>
    </row>
    <row r="1855" spans="1:9" ht="19.5" hidden="1" thickBot="1" x14ac:dyDescent="0.3">
      <c r="A1855" s="433"/>
      <c r="B1855" s="95" t="s">
        <v>756</v>
      </c>
      <c r="C1855" s="154" t="s">
        <v>19</v>
      </c>
      <c r="D1855" s="155">
        <v>4.2720000000000002</v>
      </c>
      <c r="E1855" s="156" t="s">
        <v>13</v>
      </c>
      <c r="F1855" s="436"/>
      <c r="G1855" s="156" t="s">
        <v>757</v>
      </c>
      <c r="H1855" s="158"/>
      <c r="I1855" s="158" t="str">
        <f t="shared" si="50"/>
        <v>09,26</v>
      </c>
    </row>
    <row r="1856" spans="1:9" ht="19.5" hidden="1" thickBot="1" x14ac:dyDescent="0.3">
      <c r="A1856" s="437">
        <f t="shared" si="53"/>
        <v>401</v>
      </c>
      <c r="B1856" s="102" t="s">
        <v>756</v>
      </c>
      <c r="C1856" s="103" t="s">
        <v>19</v>
      </c>
      <c r="D1856" s="104">
        <v>3.3140000000000001</v>
      </c>
      <c r="E1856" s="105" t="s">
        <v>13</v>
      </c>
      <c r="F1856" s="440" t="s">
        <v>642</v>
      </c>
      <c r="G1856" s="105" t="s">
        <v>758</v>
      </c>
      <c r="H1856" s="107"/>
      <c r="I1856" s="107" t="str">
        <f t="shared" si="50"/>
        <v>09,26</v>
      </c>
    </row>
    <row r="1857" spans="1:9" ht="19.5" hidden="1" thickBot="1" x14ac:dyDescent="0.3">
      <c r="A1857" s="438"/>
      <c r="B1857" s="108" t="s">
        <v>756</v>
      </c>
      <c r="C1857" s="214" t="s">
        <v>19</v>
      </c>
      <c r="D1857" s="215">
        <v>0.154</v>
      </c>
      <c r="E1857" s="213" t="s">
        <v>619</v>
      </c>
      <c r="F1857" s="441"/>
      <c r="G1857" s="213" t="s">
        <v>758</v>
      </c>
      <c r="H1857" s="219"/>
      <c r="I1857" s="219" t="str">
        <f t="shared" si="50"/>
        <v>09,26</v>
      </c>
    </row>
    <row r="1858" spans="1:9" ht="19.5" hidden="1" thickBot="1" x14ac:dyDescent="0.3">
      <c r="A1858" s="438"/>
      <c r="B1858" s="108" t="s">
        <v>756</v>
      </c>
      <c r="C1858" s="214" t="s">
        <v>116</v>
      </c>
      <c r="D1858" s="215">
        <v>10.372</v>
      </c>
      <c r="E1858" s="213" t="s">
        <v>13</v>
      </c>
      <c r="F1858" s="441"/>
      <c r="G1858" s="213" t="s">
        <v>758</v>
      </c>
      <c r="H1858" s="219"/>
      <c r="I1858" s="219" t="str">
        <f t="shared" si="50"/>
        <v>09,26</v>
      </c>
    </row>
    <row r="1859" spans="1:9" ht="19.5" hidden="1" thickBot="1" x14ac:dyDescent="0.3">
      <c r="A1859" s="439"/>
      <c r="B1859" s="114" t="s">
        <v>756</v>
      </c>
      <c r="C1859" s="216" t="s">
        <v>116</v>
      </c>
      <c r="D1859" s="217">
        <v>0.67300000000000004</v>
      </c>
      <c r="E1859" s="218" t="s">
        <v>619</v>
      </c>
      <c r="F1859" s="442"/>
      <c r="G1859" s="218" t="s">
        <v>758</v>
      </c>
      <c r="H1859" s="220"/>
      <c r="I1859" s="220" t="str">
        <f t="shared" si="50"/>
        <v>09,26</v>
      </c>
    </row>
    <row r="1860" spans="1:9" ht="19.5" hidden="1" thickBot="1" x14ac:dyDescent="0.3">
      <c r="A1860" s="431">
        <f t="shared" si="53"/>
        <v>402</v>
      </c>
      <c r="B1860" s="91" t="s">
        <v>756</v>
      </c>
      <c r="C1860" s="92" t="s">
        <v>17</v>
      </c>
      <c r="D1860" s="93">
        <v>3.1589999999999998</v>
      </c>
      <c r="E1860" s="94" t="s">
        <v>13</v>
      </c>
      <c r="F1860" s="434" t="s">
        <v>645</v>
      </c>
      <c r="G1860" s="94" t="s">
        <v>758</v>
      </c>
      <c r="H1860" s="132"/>
      <c r="I1860" s="132" t="str">
        <f t="shared" si="50"/>
        <v>09,26</v>
      </c>
    </row>
    <row r="1861" spans="1:9" ht="19.5" hidden="1" thickBot="1" x14ac:dyDescent="0.3">
      <c r="A1861" s="433"/>
      <c r="B1861" s="95" t="s">
        <v>756</v>
      </c>
      <c r="C1861" s="154" t="s">
        <v>17</v>
      </c>
      <c r="D1861" s="155">
        <v>6.2E-2</v>
      </c>
      <c r="E1861" s="156" t="s">
        <v>619</v>
      </c>
      <c r="F1861" s="436"/>
      <c r="G1861" s="156" t="s">
        <v>758</v>
      </c>
      <c r="H1861" s="158"/>
      <c r="I1861" s="158" t="str">
        <f t="shared" si="50"/>
        <v>09,26</v>
      </c>
    </row>
    <row r="1862" spans="1:9" ht="19.5" hidden="1" thickBot="1" x14ac:dyDescent="0.3">
      <c r="A1862" s="437">
        <f t="shared" si="53"/>
        <v>403</v>
      </c>
      <c r="B1862" s="102" t="s">
        <v>756</v>
      </c>
      <c r="C1862" s="103" t="s">
        <v>18</v>
      </c>
      <c r="D1862" s="104">
        <v>1.9390000000000001</v>
      </c>
      <c r="E1862" s="105" t="s">
        <v>13</v>
      </c>
      <c r="F1862" s="440" t="s">
        <v>645</v>
      </c>
      <c r="G1862" s="105" t="s">
        <v>759</v>
      </c>
      <c r="H1862" s="107"/>
      <c r="I1862" s="107" t="str">
        <f t="shared" si="50"/>
        <v>09,26</v>
      </c>
    </row>
    <row r="1863" spans="1:9" ht="19.5" hidden="1" thickBot="1" x14ac:dyDescent="0.3">
      <c r="A1863" s="439"/>
      <c r="B1863" s="114" t="s">
        <v>756</v>
      </c>
      <c r="C1863" s="216" t="s">
        <v>633</v>
      </c>
      <c r="D1863" s="217">
        <v>3.7890000000000001</v>
      </c>
      <c r="E1863" s="218" t="s">
        <v>13</v>
      </c>
      <c r="F1863" s="442"/>
      <c r="G1863" s="218" t="s">
        <v>759</v>
      </c>
      <c r="H1863" s="220"/>
      <c r="I1863" s="220" t="str">
        <f t="shared" si="50"/>
        <v>09,26</v>
      </c>
    </row>
    <row r="1864" spans="1:9" ht="38.25" hidden="1" thickBot="1" x14ac:dyDescent="0.3">
      <c r="A1864" s="431">
        <f t="shared" si="53"/>
        <v>404</v>
      </c>
      <c r="B1864" s="91" t="s">
        <v>760</v>
      </c>
      <c r="C1864" s="92" t="s">
        <v>18</v>
      </c>
      <c r="D1864" s="93">
        <v>1.371</v>
      </c>
      <c r="E1864" s="94" t="s">
        <v>638</v>
      </c>
      <c r="F1864" s="434" t="s">
        <v>761</v>
      </c>
      <c r="G1864" s="94" t="s">
        <v>758</v>
      </c>
      <c r="H1864" s="132"/>
      <c r="I1864" s="132" t="str">
        <f t="shared" si="50"/>
        <v>09,26</v>
      </c>
    </row>
    <row r="1865" spans="1:9" ht="38.25" hidden="1" thickBot="1" x14ac:dyDescent="0.3">
      <c r="A1865" s="432"/>
      <c r="B1865" s="244" t="s">
        <v>760</v>
      </c>
      <c r="C1865" s="147" t="s">
        <v>633</v>
      </c>
      <c r="D1865" s="148">
        <v>1.0069999999999999</v>
      </c>
      <c r="E1865" s="146" t="s">
        <v>638</v>
      </c>
      <c r="F1865" s="435"/>
      <c r="G1865" s="146" t="s">
        <v>758</v>
      </c>
      <c r="H1865" s="152"/>
      <c r="I1865" s="152" t="str">
        <f t="shared" si="50"/>
        <v>09,26</v>
      </c>
    </row>
    <row r="1866" spans="1:9" ht="38.25" hidden="1" thickBot="1" x14ac:dyDescent="0.3">
      <c r="A1866" s="433"/>
      <c r="B1866" s="311" t="s">
        <v>760</v>
      </c>
      <c r="C1866" s="154" t="s">
        <v>17</v>
      </c>
      <c r="D1866" s="155">
        <v>0.69899999999999995</v>
      </c>
      <c r="E1866" s="156" t="s">
        <v>638</v>
      </c>
      <c r="F1866" s="436"/>
      <c r="G1866" s="156" t="s">
        <v>758</v>
      </c>
      <c r="H1866" s="158"/>
      <c r="I1866" s="158" t="str">
        <f t="shared" si="50"/>
        <v>09,26</v>
      </c>
    </row>
    <row r="1867" spans="1:9" ht="38.25" hidden="1" thickBot="1" x14ac:dyDescent="0.3">
      <c r="A1867" s="329">
        <f t="shared" si="53"/>
        <v>405</v>
      </c>
      <c r="B1867" s="330" t="s">
        <v>760</v>
      </c>
      <c r="C1867" s="331" t="s">
        <v>19</v>
      </c>
      <c r="D1867" s="332">
        <v>0.92600000000000005</v>
      </c>
      <c r="E1867" s="333" t="s">
        <v>638</v>
      </c>
      <c r="F1867" s="334" t="s">
        <v>709</v>
      </c>
      <c r="G1867" s="333" t="s">
        <v>758</v>
      </c>
      <c r="H1867" s="335"/>
      <c r="I1867" s="335" t="str">
        <f t="shared" si="50"/>
        <v>09,26</v>
      </c>
    </row>
    <row r="1868" spans="1:9" ht="38.25" hidden="1" thickBot="1" x14ac:dyDescent="0.3">
      <c r="A1868" s="399">
        <f t="shared" si="53"/>
        <v>406</v>
      </c>
      <c r="B1868" s="400" t="s">
        <v>760</v>
      </c>
      <c r="C1868" s="355" t="s">
        <v>116</v>
      </c>
      <c r="D1868" s="356">
        <v>0.45500000000000002</v>
      </c>
      <c r="E1868" s="292" t="s">
        <v>638</v>
      </c>
      <c r="F1868" s="398" t="s">
        <v>726</v>
      </c>
      <c r="G1868" s="292" t="s">
        <v>758</v>
      </c>
      <c r="H1868" s="402"/>
      <c r="I1868" s="411" t="str">
        <f t="shared" si="50"/>
        <v>09,26</v>
      </c>
    </row>
    <row r="1869" spans="1:9" ht="19.5" hidden="1" thickBot="1" x14ac:dyDescent="0.3">
      <c r="A1869" s="437">
        <f t="shared" si="53"/>
        <v>407</v>
      </c>
      <c r="B1869" s="102" t="s">
        <v>762</v>
      </c>
      <c r="C1869" s="103" t="s">
        <v>716</v>
      </c>
      <c r="D1869" s="104">
        <v>1.163</v>
      </c>
      <c r="E1869" s="105" t="s">
        <v>13</v>
      </c>
      <c r="F1869" s="440" t="s">
        <v>642</v>
      </c>
      <c r="G1869" s="105" t="s">
        <v>763</v>
      </c>
      <c r="H1869" s="107"/>
      <c r="I1869" s="107" t="str">
        <f t="shared" si="50"/>
        <v>10,26</v>
      </c>
    </row>
    <row r="1870" spans="1:9" ht="19.5" hidden="1" thickBot="1" x14ac:dyDescent="0.3">
      <c r="A1870" s="438"/>
      <c r="B1870" s="108" t="s">
        <v>762</v>
      </c>
      <c r="C1870" s="214" t="s">
        <v>564</v>
      </c>
      <c r="D1870" s="215">
        <v>1.0129999999999999</v>
      </c>
      <c r="E1870" s="111" t="s">
        <v>13</v>
      </c>
      <c r="F1870" s="441"/>
      <c r="G1870" s="111" t="s">
        <v>763</v>
      </c>
      <c r="H1870" s="219"/>
      <c r="I1870" s="219" t="str">
        <f t="shared" si="50"/>
        <v>10,26</v>
      </c>
    </row>
    <row r="1871" spans="1:9" ht="19.5" hidden="1" thickBot="1" x14ac:dyDescent="0.3">
      <c r="A1871" s="438"/>
      <c r="B1871" s="108" t="s">
        <v>762</v>
      </c>
      <c r="C1871" s="214" t="s">
        <v>367</v>
      </c>
      <c r="D1871" s="215">
        <v>1.258</v>
      </c>
      <c r="E1871" s="111" t="s">
        <v>13</v>
      </c>
      <c r="F1871" s="441"/>
      <c r="G1871" s="111" t="s">
        <v>763</v>
      </c>
      <c r="H1871" s="219"/>
      <c r="I1871" s="219" t="str">
        <f t="shared" si="50"/>
        <v>10,26</v>
      </c>
    </row>
    <row r="1872" spans="1:9" ht="19.5" hidden="1" thickBot="1" x14ac:dyDescent="0.3">
      <c r="A1872" s="439"/>
      <c r="B1872" s="114" t="s">
        <v>762</v>
      </c>
      <c r="C1872" s="216" t="s">
        <v>19</v>
      </c>
      <c r="D1872" s="217">
        <v>4.2850000000000001</v>
      </c>
      <c r="E1872" s="117" t="s">
        <v>13</v>
      </c>
      <c r="F1872" s="442"/>
      <c r="G1872" s="117" t="s">
        <v>763</v>
      </c>
      <c r="H1872" s="220"/>
      <c r="I1872" s="220" t="str">
        <f t="shared" si="50"/>
        <v>10,26</v>
      </c>
    </row>
    <row r="1873" spans="1:12" ht="19.5" hidden="1" thickBot="1" x14ac:dyDescent="0.3">
      <c r="A1873" s="431">
        <f t="shared" si="53"/>
        <v>408</v>
      </c>
      <c r="B1873" s="91" t="s">
        <v>762</v>
      </c>
      <c r="C1873" s="92" t="s">
        <v>19</v>
      </c>
      <c r="D1873" s="93">
        <v>3.5139999999999998</v>
      </c>
      <c r="E1873" s="94" t="s">
        <v>13</v>
      </c>
      <c r="F1873" s="434" t="s">
        <v>642</v>
      </c>
      <c r="G1873" s="94" t="s">
        <v>764</v>
      </c>
      <c r="H1873" s="132"/>
      <c r="I1873" s="132" t="str">
        <f t="shared" si="50"/>
        <v>10,26</v>
      </c>
    </row>
    <row r="1874" spans="1:12" ht="19.5" hidden="1" thickBot="1" x14ac:dyDescent="0.3">
      <c r="A1874" s="432"/>
      <c r="B1874" s="401" t="s">
        <v>762</v>
      </c>
      <c r="C1874" s="147" t="s">
        <v>19</v>
      </c>
      <c r="D1874" s="148">
        <v>0.14599999999999999</v>
      </c>
      <c r="E1874" s="146" t="s">
        <v>619</v>
      </c>
      <c r="F1874" s="435"/>
      <c r="G1874" s="146" t="s">
        <v>764</v>
      </c>
      <c r="H1874" s="152"/>
      <c r="I1874" s="152" t="str">
        <f t="shared" si="50"/>
        <v>10,26</v>
      </c>
    </row>
    <row r="1875" spans="1:12" ht="19.5" hidden="1" thickBot="1" x14ac:dyDescent="0.3">
      <c r="A1875" s="432"/>
      <c r="B1875" s="401" t="s">
        <v>762</v>
      </c>
      <c r="C1875" s="147" t="s">
        <v>116</v>
      </c>
      <c r="D1875" s="148">
        <v>7.4210000000000003</v>
      </c>
      <c r="E1875" s="146" t="s">
        <v>13</v>
      </c>
      <c r="F1875" s="435"/>
      <c r="G1875" s="146" t="s">
        <v>764</v>
      </c>
      <c r="H1875" s="152"/>
      <c r="I1875" s="152" t="str">
        <f t="shared" si="50"/>
        <v>10,26</v>
      </c>
    </row>
    <row r="1876" spans="1:12" ht="19.5" hidden="1" thickBot="1" x14ac:dyDescent="0.3">
      <c r="A1876" s="433"/>
      <c r="B1876" s="95" t="s">
        <v>762</v>
      </c>
      <c r="C1876" s="154" t="s">
        <v>116</v>
      </c>
      <c r="D1876" s="155">
        <v>0.51300000000000001</v>
      </c>
      <c r="E1876" s="156" t="s">
        <v>619</v>
      </c>
      <c r="F1876" s="436"/>
      <c r="G1876" s="156" t="s">
        <v>764</v>
      </c>
      <c r="H1876" s="158"/>
      <c r="I1876" s="158" t="str">
        <f t="shared" si="50"/>
        <v>10,26</v>
      </c>
    </row>
    <row r="1877" spans="1:12" ht="19.5" hidden="1" thickBot="1" x14ac:dyDescent="0.3">
      <c r="A1877" s="437">
        <f t="shared" si="53"/>
        <v>409</v>
      </c>
      <c r="B1877" s="102" t="s">
        <v>762</v>
      </c>
      <c r="C1877" s="103" t="s">
        <v>17</v>
      </c>
      <c r="D1877" s="104">
        <v>2.68</v>
      </c>
      <c r="E1877" s="105" t="s">
        <v>13</v>
      </c>
      <c r="F1877" s="440" t="s">
        <v>645</v>
      </c>
      <c r="G1877" s="105" t="s">
        <v>764</v>
      </c>
      <c r="H1877" s="107"/>
      <c r="I1877" s="107" t="str">
        <f t="shared" si="50"/>
        <v>10,26</v>
      </c>
    </row>
    <row r="1878" spans="1:12" ht="19.5" hidden="1" thickBot="1" x14ac:dyDescent="0.3">
      <c r="A1878" s="439"/>
      <c r="B1878" s="114" t="s">
        <v>762</v>
      </c>
      <c r="C1878" s="216" t="s">
        <v>17</v>
      </c>
      <c r="D1878" s="217">
        <v>8.1000000000000003E-2</v>
      </c>
      <c r="E1878" s="218" t="s">
        <v>619</v>
      </c>
      <c r="F1878" s="442"/>
      <c r="G1878" s="218" t="s">
        <v>764</v>
      </c>
      <c r="H1878" s="220"/>
      <c r="I1878" s="220" t="str">
        <f t="shared" ref="I1878:I1929" si="54">RIGHT(G1878,5)</f>
        <v>10,26</v>
      </c>
    </row>
    <row r="1879" spans="1:12" ht="19.5" hidden="1" thickBot="1" x14ac:dyDescent="0.3">
      <c r="A1879" s="431">
        <f t="shared" si="53"/>
        <v>410</v>
      </c>
      <c r="B1879" s="91" t="s">
        <v>762</v>
      </c>
      <c r="C1879" s="92" t="s">
        <v>18</v>
      </c>
      <c r="D1879" s="93">
        <v>4.8940000000000001</v>
      </c>
      <c r="E1879" s="94" t="s">
        <v>13</v>
      </c>
      <c r="F1879" s="434" t="s">
        <v>645</v>
      </c>
      <c r="G1879" s="94" t="s">
        <v>767</v>
      </c>
      <c r="H1879" s="132"/>
      <c r="I1879" s="132" t="str">
        <f t="shared" si="54"/>
        <v>10,26</v>
      </c>
    </row>
    <row r="1880" spans="1:12" ht="19.5" hidden="1" thickBot="1" x14ac:dyDescent="0.3">
      <c r="A1880" s="432"/>
      <c r="B1880" s="401" t="s">
        <v>762</v>
      </c>
      <c r="C1880" s="147" t="s">
        <v>18</v>
      </c>
      <c r="D1880" s="148">
        <v>0.254</v>
      </c>
      <c r="E1880" s="146" t="s">
        <v>619</v>
      </c>
      <c r="F1880" s="435"/>
      <c r="G1880" s="146" t="s">
        <v>767</v>
      </c>
      <c r="H1880" s="152"/>
      <c r="I1880" s="152" t="str">
        <f t="shared" si="54"/>
        <v>10,26</v>
      </c>
    </row>
    <row r="1881" spans="1:12" ht="19.5" hidden="1" thickBot="1" x14ac:dyDescent="0.3">
      <c r="A1881" s="432"/>
      <c r="B1881" s="401" t="s">
        <v>762</v>
      </c>
      <c r="C1881" s="147" t="s">
        <v>633</v>
      </c>
      <c r="D1881" s="148">
        <v>3.5510000000000002</v>
      </c>
      <c r="E1881" s="146" t="s">
        <v>13</v>
      </c>
      <c r="F1881" s="435"/>
      <c r="G1881" s="146" t="s">
        <v>767</v>
      </c>
      <c r="H1881" s="152"/>
      <c r="I1881" s="152" t="str">
        <f t="shared" si="54"/>
        <v>10,26</v>
      </c>
    </row>
    <row r="1882" spans="1:12" ht="19.5" hidden="1" thickBot="1" x14ac:dyDescent="0.3">
      <c r="A1882" s="432"/>
      <c r="B1882" s="401" t="s">
        <v>762</v>
      </c>
      <c r="C1882" s="147" t="s">
        <v>633</v>
      </c>
      <c r="D1882" s="148">
        <v>0.41499999999999998</v>
      </c>
      <c r="E1882" s="146" t="s">
        <v>619</v>
      </c>
      <c r="F1882" s="435"/>
      <c r="G1882" s="146" t="s">
        <v>767</v>
      </c>
      <c r="H1882" s="152"/>
      <c r="I1882" s="152" t="str">
        <f t="shared" si="54"/>
        <v>10,26</v>
      </c>
    </row>
    <row r="1883" spans="1:12" ht="19.5" hidden="1" thickBot="1" x14ac:dyDescent="0.3">
      <c r="A1883" s="432"/>
      <c r="B1883" s="401" t="s">
        <v>762</v>
      </c>
      <c r="C1883" s="147" t="s">
        <v>765</v>
      </c>
      <c r="D1883" s="148">
        <v>0.59799999999999998</v>
      </c>
      <c r="E1883" s="146" t="s">
        <v>13</v>
      </c>
      <c r="F1883" s="435"/>
      <c r="G1883" s="146" t="s">
        <v>767</v>
      </c>
      <c r="H1883" s="152"/>
      <c r="I1883" s="152" t="str">
        <f t="shared" si="54"/>
        <v>10,26</v>
      </c>
    </row>
    <row r="1884" spans="1:12" ht="19.5" hidden="1" thickBot="1" x14ac:dyDescent="0.3">
      <c r="A1884" s="433"/>
      <c r="B1884" s="95" t="s">
        <v>762</v>
      </c>
      <c r="C1884" s="154" t="s">
        <v>766</v>
      </c>
      <c r="D1884" s="155">
        <v>1.1739999999999999</v>
      </c>
      <c r="E1884" s="156" t="s">
        <v>13</v>
      </c>
      <c r="F1884" s="436"/>
      <c r="G1884" s="156" t="s">
        <v>767</v>
      </c>
      <c r="H1884" s="158"/>
      <c r="I1884" s="158" t="str">
        <f t="shared" si="54"/>
        <v>10,26</v>
      </c>
    </row>
    <row r="1885" spans="1:12" ht="38.25" hidden="1" thickBot="1" x14ac:dyDescent="0.3">
      <c r="A1885" s="437">
        <f t="shared" si="53"/>
        <v>411</v>
      </c>
      <c r="B1885" s="102" t="s">
        <v>768</v>
      </c>
      <c r="C1885" s="103" t="s">
        <v>18</v>
      </c>
      <c r="D1885" s="104">
        <v>1.603</v>
      </c>
      <c r="E1885" s="105" t="s">
        <v>638</v>
      </c>
      <c r="F1885" s="440" t="s">
        <v>708</v>
      </c>
      <c r="G1885" s="105" t="s">
        <v>764</v>
      </c>
      <c r="H1885" s="107"/>
      <c r="I1885" s="107" t="str">
        <f t="shared" si="54"/>
        <v>10,26</v>
      </c>
    </row>
    <row r="1886" spans="1:12" ht="38.25" hidden="1" thickBot="1" x14ac:dyDescent="0.3">
      <c r="A1886" s="439"/>
      <c r="B1886" s="222" t="s">
        <v>768</v>
      </c>
      <c r="C1886" s="216" t="s">
        <v>17</v>
      </c>
      <c r="D1886" s="217">
        <v>1.02</v>
      </c>
      <c r="E1886" s="218" t="s">
        <v>638</v>
      </c>
      <c r="F1886" s="442"/>
      <c r="G1886" s="218" t="s">
        <v>764</v>
      </c>
      <c r="H1886" s="220"/>
      <c r="I1886" s="220" t="str">
        <f t="shared" si="54"/>
        <v>10,26</v>
      </c>
    </row>
    <row r="1887" spans="1:12" ht="38.25" hidden="1" thickBot="1" x14ac:dyDescent="0.3">
      <c r="A1887" s="431">
        <f t="shared" si="53"/>
        <v>412</v>
      </c>
      <c r="B1887" s="91" t="s">
        <v>768</v>
      </c>
      <c r="C1887" s="92" t="s">
        <v>19</v>
      </c>
      <c r="D1887" s="93">
        <v>0.997</v>
      </c>
      <c r="E1887" s="94" t="s">
        <v>638</v>
      </c>
      <c r="F1887" s="434" t="s">
        <v>769</v>
      </c>
      <c r="G1887" s="94" t="s">
        <v>764</v>
      </c>
      <c r="H1887" s="132"/>
      <c r="I1887" s="132" t="str">
        <f t="shared" si="54"/>
        <v>10,26</v>
      </c>
    </row>
    <row r="1888" spans="1:12" ht="38.25" hidden="1" thickBot="1" x14ac:dyDescent="0.3">
      <c r="A1888" s="432"/>
      <c r="B1888" s="413" t="s">
        <v>770</v>
      </c>
      <c r="C1888" s="414" t="s">
        <v>367</v>
      </c>
      <c r="D1888" s="415">
        <v>0.89600000000000002</v>
      </c>
      <c r="E1888" s="416" t="s">
        <v>638</v>
      </c>
      <c r="F1888" s="435"/>
      <c r="G1888" s="416" t="s">
        <v>764</v>
      </c>
      <c r="H1888" s="405"/>
      <c r="I1888" s="420" t="str">
        <f t="shared" si="54"/>
        <v>10,26</v>
      </c>
      <c r="J1888" s="406"/>
      <c r="K1888" s="406"/>
      <c r="L1888" s="406"/>
    </row>
    <row r="1889" spans="1:12" ht="38.25" hidden="1" thickBot="1" x14ac:dyDescent="0.3">
      <c r="A1889" s="433"/>
      <c r="B1889" s="311" t="s">
        <v>768</v>
      </c>
      <c r="C1889" s="154" t="s">
        <v>633</v>
      </c>
      <c r="D1889" s="155">
        <v>0.63600000000000001</v>
      </c>
      <c r="E1889" s="156" t="s">
        <v>638</v>
      </c>
      <c r="F1889" s="436"/>
      <c r="G1889" s="156" t="s">
        <v>764</v>
      </c>
      <c r="H1889" s="158"/>
      <c r="I1889" s="158" t="str">
        <f t="shared" si="54"/>
        <v>10,26</v>
      </c>
    </row>
    <row r="1890" spans="1:12" ht="38.25" hidden="1" thickBot="1" x14ac:dyDescent="0.3">
      <c r="A1890" s="407">
        <f t="shared" ref="A1890:A1898" si="55">MAX(A1822:A1889)+1</f>
        <v>413</v>
      </c>
      <c r="B1890" s="231" t="s">
        <v>768</v>
      </c>
      <c r="C1890" s="232" t="s">
        <v>116</v>
      </c>
      <c r="D1890" s="233">
        <v>0.81699999999999995</v>
      </c>
      <c r="E1890" s="234" t="s">
        <v>638</v>
      </c>
      <c r="F1890" s="408" t="s">
        <v>659</v>
      </c>
      <c r="G1890" s="234" t="s">
        <v>764</v>
      </c>
      <c r="H1890" s="412"/>
      <c r="I1890" s="421" t="str">
        <f t="shared" si="54"/>
        <v>10,26</v>
      </c>
    </row>
    <row r="1891" spans="1:12" ht="19.5" hidden="1" thickBot="1" x14ac:dyDescent="0.3">
      <c r="A1891" s="431">
        <f t="shared" si="55"/>
        <v>414</v>
      </c>
      <c r="B1891" s="91" t="s">
        <v>771</v>
      </c>
      <c r="C1891" s="92" t="s">
        <v>564</v>
      </c>
      <c r="D1891" s="93">
        <v>1.002</v>
      </c>
      <c r="E1891" s="94" t="s">
        <v>13</v>
      </c>
      <c r="F1891" s="434" t="s">
        <v>642</v>
      </c>
      <c r="G1891" s="94" t="s">
        <v>772</v>
      </c>
      <c r="H1891" s="132"/>
      <c r="I1891" s="132" t="str">
        <f t="shared" si="54"/>
        <v>10,26</v>
      </c>
    </row>
    <row r="1892" spans="1:12" ht="19.5" hidden="1" thickBot="1" x14ac:dyDescent="0.3">
      <c r="A1892" s="432"/>
      <c r="B1892" s="409" t="s">
        <v>771</v>
      </c>
      <c r="C1892" s="147" t="s">
        <v>367</v>
      </c>
      <c r="D1892" s="148">
        <v>1.976</v>
      </c>
      <c r="E1892" s="136" t="s">
        <v>13</v>
      </c>
      <c r="F1892" s="435"/>
      <c r="G1892" s="136" t="s">
        <v>772</v>
      </c>
      <c r="H1892" s="152"/>
      <c r="I1892" s="152" t="str">
        <f t="shared" si="54"/>
        <v>10,26</v>
      </c>
    </row>
    <row r="1893" spans="1:12" ht="19.5" hidden="1" thickBot="1" x14ac:dyDescent="0.3">
      <c r="A1893" s="433"/>
      <c r="B1893" s="95" t="s">
        <v>771</v>
      </c>
      <c r="C1893" s="154" t="s">
        <v>19</v>
      </c>
      <c r="D1893" s="155">
        <v>5.3659999999999997</v>
      </c>
      <c r="E1893" s="98" t="s">
        <v>13</v>
      </c>
      <c r="F1893" s="436"/>
      <c r="G1893" s="98" t="s">
        <v>772</v>
      </c>
      <c r="H1893" s="158"/>
      <c r="I1893" s="158" t="str">
        <f t="shared" si="54"/>
        <v>10,26</v>
      </c>
    </row>
    <row r="1894" spans="1:12" ht="19.5" hidden="1" thickBot="1" x14ac:dyDescent="0.3">
      <c r="A1894" s="437">
        <f t="shared" si="55"/>
        <v>415</v>
      </c>
      <c r="B1894" s="102" t="s">
        <v>771</v>
      </c>
      <c r="C1894" s="103" t="s">
        <v>19</v>
      </c>
      <c r="D1894" s="104">
        <v>4.21</v>
      </c>
      <c r="E1894" s="105" t="s">
        <v>13</v>
      </c>
      <c r="F1894" s="440" t="s">
        <v>642</v>
      </c>
      <c r="G1894" s="105" t="s">
        <v>773</v>
      </c>
      <c r="H1894" s="107"/>
      <c r="I1894" s="107" t="str">
        <f t="shared" si="54"/>
        <v>10,26</v>
      </c>
    </row>
    <row r="1895" spans="1:12" ht="19.5" hidden="1" thickBot="1" x14ac:dyDescent="0.3">
      <c r="A1895" s="438"/>
      <c r="B1895" s="108" t="s">
        <v>771</v>
      </c>
      <c r="C1895" s="214" t="s">
        <v>19</v>
      </c>
      <c r="D1895" s="215">
        <v>0.14399999999999999</v>
      </c>
      <c r="E1895" s="111" t="s">
        <v>619</v>
      </c>
      <c r="F1895" s="441"/>
      <c r="G1895" s="213" t="s">
        <v>773</v>
      </c>
      <c r="H1895" s="219"/>
      <c r="I1895" s="219" t="str">
        <f t="shared" si="54"/>
        <v>10,26</v>
      </c>
    </row>
    <row r="1896" spans="1:12" ht="19.5" hidden="1" thickBot="1" x14ac:dyDescent="0.3">
      <c r="A1896" s="438"/>
      <c r="B1896" s="108" t="s">
        <v>771</v>
      </c>
      <c r="C1896" s="214" t="s">
        <v>116</v>
      </c>
      <c r="D1896" s="215">
        <v>2.2770000000000001</v>
      </c>
      <c r="E1896" s="111" t="s">
        <v>13</v>
      </c>
      <c r="F1896" s="441"/>
      <c r="G1896" s="213" t="s">
        <v>773</v>
      </c>
      <c r="H1896" s="219"/>
      <c r="I1896" s="219" t="str">
        <f t="shared" si="54"/>
        <v>10,26</v>
      </c>
    </row>
    <row r="1897" spans="1:12" ht="19.5" hidden="1" thickBot="1" x14ac:dyDescent="0.3">
      <c r="A1897" s="439"/>
      <c r="B1897" s="114" t="s">
        <v>771</v>
      </c>
      <c r="C1897" s="216" t="s">
        <v>116</v>
      </c>
      <c r="D1897" s="217">
        <v>0.73499999999999999</v>
      </c>
      <c r="E1897" s="117" t="s">
        <v>619</v>
      </c>
      <c r="F1897" s="442"/>
      <c r="G1897" s="218" t="s">
        <v>773</v>
      </c>
      <c r="H1897" s="220"/>
      <c r="I1897" s="220" t="str">
        <f t="shared" si="54"/>
        <v>10,26</v>
      </c>
    </row>
    <row r="1898" spans="1:12" ht="19.5" hidden="1" thickBot="1" x14ac:dyDescent="0.3">
      <c r="A1898" s="431">
        <f t="shared" si="55"/>
        <v>416</v>
      </c>
      <c r="B1898" s="91" t="s">
        <v>771</v>
      </c>
      <c r="C1898" s="92" t="s">
        <v>17</v>
      </c>
      <c r="D1898" s="93">
        <v>2.851</v>
      </c>
      <c r="E1898" s="94" t="s">
        <v>13</v>
      </c>
      <c r="F1898" s="434" t="s">
        <v>645</v>
      </c>
      <c r="G1898" s="94" t="s">
        <v>773</v>
      </c>
      <c r="H1898" s="132"/>
      <c r="I1898" s="132" t="str">
        <f t="shared" si="54"/>
        <v>10,26</v>
      </c>
    </row>
    <row r="1899" spans="1:12" ht="19.5" hidden="1" thickBot="1" x14ac:dyDescent="0.3">
      <c r="A1899" s="432"/>
      <c r="B1899" s="409" t="s">
        <v>771</v>
      </c>
      <c r="C1899" s="147" t="s">
        <v>17</v>
      </c>
      <c r="D1899" s="148">
        <v>7.5999999999999998E-2</v>
      </c>
      <c r="E1899" s="136" t="s">
        <v>619</v>
      </c>
      <c r="F1899" s="435"/>
      <c r="G1899" s="146" t="s">
        <v>773</v>
      </c>
      <c r="H1899" s="152"/>
      <c r="I1899" s="152" t="str">
        <f t="shared" si="54"/>
        <v>10,26</v>
      </c>
      <c r="J1899" s="410"/>
      <c r="K1899" s="410"/>
      <c r="L1899" s="410"/>
    </row>
    <row r="1900" spans="1:12" ht="38.25" hidden="1" thickBot="1" x14ac:dyDescent="0.3">
      <c r="A1900" s="433"/>
      <c r="B1900" s="311" t="s">
        <v>776</v>
      </c>
      <c r="C1900" s="154" t="s">
        <v>17</v>
      </c>
      <c r="D1900" s="155">
        <v>0.83599999999999997</v>
      </c>
      <c r="E1900" s="156" t="s">
        <v>638</v>
      </c>
      <c r="F1900" s="436"/>
      <c r="G1900" s="156" t="s">
        <v>773</v>
      </c>
      <c r="H1900" s="158"/>
      <c r="I1900" s="158" t="str">
        <f t="shared" si="54"/>
        <v>10,26</v>
      </c>
    </row>
    <row r="1901" spans="1:12" ht="19.5" hidden="1" thickBot="1" x14ac:dyDescent="0.3">
      <c r="A1901" s="437">
        <f>MAX(A1832:A1900)+1</f>
        <v>417</v>
      </c>
      <c r="B1901" s="102" t="s">
        <v>771</v>
      </c>
      <c r="C1901" s="103" t="s">
        <v>18</v>
      </c>
      <c r="D1901" s="104">
        <v>0.76200000000000001</v>
      </c>
      <c r="E1901" s="105" t="s">
        <v>13</v>
      </c>
      <c r="F1901" s="440" t="s">
        <v>645</v>
      </c>
      <c r="G1901" s="105" t="s">
        <v>774</v>
      </c>
      <c r="H1901" s="107"/>
      <c r="I1901" s="107" t="str">
        <f t="shared" si="54"/>
        <v>10,26</v>
      </c>
    </row>
    <row r="1902" spans="1:12" ht="19.5" hidden="1" thickBot="1" x14ac:dyDescent="0.3">
      <c r="A1902" s="438"/>
      <c r="B1902" s="108" t="s">
        <v>771</v>
      </c>
      <c r="C1902" s="214" t="s">
        <v>18</v>
      </c>
      <c r="D1902" s="215">
        <v>0.20200000000000001</v>
      </c>
      <c r="E1902" s="111" t="s">
        <v>619</v>
      </c>
      <c r="F1902" s="441"/>
      <c r="G1902" s="213" t="s">
        <v>774</v>
      </c>
      <c r="H1902" s="219"/>
      <c r="I1902" s="219" t="str">
        <f t="shared" si="54"/>
        <v>10,26</v>
      </c>
      <c r="J1902" s="410"/>
      <c r="K1902" s="410"/>
      <c r="L1902" s="410"/>
    </row>
    <row r="1903" spans="1:12" ht="38.25" hidden="1" thickBot="1" x14ac:dyDescent="0.3">
      <c r="A1903" s="439"/>
      <c r="B1903" s="114" t="s">
        <v>776</v>
      </c>
      <c r="C1903" s="216" t="s">
        <v>18</v>
      </c>
      <c r="D1903" s="217">
        <v>0.39800000000000002</v>
      </c>
      <c r="E1903" s="117" t="s">
        <v>638</v>
      </c>
      <c r="F1903" s="442"/>
      <c r="G1903" s="218" t="s">
        <v>774</v>
      </c>
      <c r="H1903" s="220"/>
      <c r="I1903" s="220" t="str">
        <f t="shared" si="54"/>
        <v>10,26</v>
      </c>
    </row>
    <row r="1904" spans="1:12" ht="18.75" hidden="1" customHeight="1" x14ac:dyDescent="0.3">
      <c r="A1904" s="431">
        <f>MAX(A1834:A1903)+1</f>
        <v>418</v>
      </c>
      <c r="B1904" s="91" t="s">
        <v>771</v>
      </c>
      <c r="C1904" s="92" t="s">
        <v>633</v>
      </c>
      <c r="D1904" s="93">
        <v>2.7290000000000001</v>
      </c>
      <c r="E1904" s="94" t="s">
        <v>13</v>
      </c>
      <c r="F1904" s="434" t="s">
        <v>645</v>
      </c>
      <c r="G1904" s="94" t="s">
        <v>775</v>
      </c>
      <c r="H1904" s="132"/>
      <c r="I1904" s="132" t="str">
        <f t="shared" si="54"/>
        <v>10,26</v>
      </c>
    </row>
    <row r="1905" spans="1:1020" ht="19.5" hidden="1" thickBot="1" x14ac:dyDescent="0.3">
      <c r="A1905" s="432"/>
      <c r="B1905" s="409" t="s">
        <v>771</v>
      </c>
      <c r="C1905" s="147" t="s">
        <v>633</v>
      </c>
      <c r="D1905" s="148">
        <v>0.09</v>
      </c>
      <c r="E1905" s="136" t="s">
        <v>619</v>
      </c>
      <c r="F1905" s="435"/>
      <c r="G1905" s="146" t="s">
        <v>775</v>
      </c>
      <c r="H1905" s="152"/>
      <c r="I1905" s="152" t="str">
        <f t="shared" si="54"/>
        <v>10,26</v>
      </c>
    </row>
    <row r="1906" spans="1:1020" ht="38.25" hidden="1" thickBot="1" x14ac:dyDescent="0.3">
      <c r="A1906" s="433"/>
      <c r="B1906" s="311" t="s">
        <v>776</v>
      </c>
      <c r="C1906" s="154" t="s">
        <v>633</v>
      </c>
      <c r="D1906" s="155">
        <v>0.53400000000000003</v>
      </c>
      <c r="E1906" s="156" t="s">
        <v>638</v>
      </c>
      <c r="F1906" s="436"/>
      <c r="G1906" s="156" t="s">
        <v>775</v>
      </c>
      <c r="H1906" s="158"/>
      <c r="I1906" s="158" t="str">
        <f t="shared" si="54"/>
        <v>10,26</v>
      </c>
    </row>
    <row r="1907" spans="1:1020" ht="38.25" hidden="1" thickBot="1" x14ac:dyDescent="0.3">
      <c r="A1907" s="329">
        <v>419</v>
      </c>
      <c r="B1907" s="330" t="s">
        <v>776</v>
      </c>
      <c r="C1907" s="331" t="s">
        <v>19</v>
      </c>
      <c r="D1907" s="332">
        <v>1.0609999999999999</v>
      </c>
      <c r="E1907" s="333" t="s">
        <v>638</v>
      </c>
      <c r="F1907" s="334" t="s">
        <v>639</v>
      </c>
      <c r="G1907" s="333" t="s">
        <v>773</v>
      </c>
      <c r="H1907" s="335"/>
      <c r="I1907" s="335" t="str">
        <f t="shared" si="54"/>
        <v>10,26</v>
      </c>
      <c r="J1907" s="2"/>
      <c r="K1907" s="2"/>
      <c r="L1907" s="2"/>
      <c r="AMD1907"/>
      <c r="AME1907"/>
      <c r="AMF1907"/>
    </row>
    <row r="1908" spans="1:1020" ht="38.25" hidden="1" thickBot="1" x14ac:dyDescent="0.3">
      <c r="A1908" s="418">
        <v>420</v>
      </c>
      <c r="B1908" s="422" t="s">
        <v>776</v>
      </c>
      <c r="C1908" s="355" t="s">
        <v>116</v>
      </c>
      <c r="D1908" s="356">
        <v>0.432</v>
      </c>
      <c r="E1908" s="292" t="s">
        <v>638</v>
      </c>
      <c r="F1908" s="417" t="s">
        <v>659</v>
      </c>
      <c r="G1908" s="292" t="s">
        <v>773</v>
      </c>
      <c r="H1908" s="419"/>
      <c r="I1908" s="427" t="str">
        <f t="shared" si="54"/>
        <v>10,26</v>
      </c>
      <c r="J1908" s="2"/>
      <c r="K1908" s="2"/>
      <c r="L1908" s="2"/>
      <c r="AMD1908"/>
      <c r="AME1908"/>
      <c r="AMF1908"/>
    </row>
    <row r="1909" spans="1:1020" ht="19.5" hidden="1" thickBot="1" x14ac:dyDescent="0.3">
      <c r="A1909" s="437">
        <f t="shared" ref="A1909:A1913" si="56">MAX(A1843:A1908)+1</f>
        <v>421</v>
      </c>
      <c r="B1909" s="102" t="s">
        <v>775</v>
      </c>
      <c r="C1909" s="103" t="s">
        <v>777</v>
      </c>
      <c r="D1909" s="104">
        <v>2.2789999999999999</v>
      </c>
      <c r="E1909" s="105" t="s">
        <v>13</v>
      </c>
      <c r="F1909" s="440" t="s">
        <v>642</v>
      </c>
      <c r="G1909" s="105" t="s">
        <v>779</v>
      </c>
      <c r="H1909" s="107"/>
      <c r="I1909" s="107" t="str">
        <f t="shared" si="54"/>
        <v>10,26</v>
      </c>
    </row>
    <row r="1910" spans="1:1020" ht="19.5" hidden="1" thickBot="1" x14ac:dyDescent="0.3">
      <c r="A1910" s="438"/>
      <c r="B1910" s="108" t="s">
        <v>775</v>
      </c>
      <c r="C1910" s="214" t="s">
        <v>19</v>
      </c>
      <c r="D1910" s="215">
        <v>3.6560000000000001</v>
      </c>
      <c r="E1910" s="111" t="s">
        <v>13</v>
      </c>
      <c r="F1910" s="441"/>
      <c r="G1910" s="111" t="s">
        <v>779</v>
      </c>
      <c r="H1910" s="219"/>
      <c r="I1910" s="219" t="str">
        <f t="shared" si="54"/>
        <v>10,26</v>
      </c>
    </row>
    <row r="1911" spans="1:1020" ht="19.5" hidden="1" thickBot="1" x14ac:dyDescent="0.3">
      <c r="A1911" s="438"/>
      <c r="B1911" s="108" t="s">
        <v>775</v>
      </c>
      <c r="C1911" s="214" t="s">
        <v>778</v>
      </c>
      <c r="D1911" s="215">
        <v>2.8159999999999998</v>
      </c>
      <c r="E1911" s="111" t="s">
        <v>13</v>
      </c>
      <c r="F1911" s="441"/>
      <c r="G1911" s="111" t="s">
        <v>779</v>
      </c>
      <c r="H1911" s="219"/>
      <c r="I1911" s="219" t="str">
        <f t="shared" si="54"/>
        <v>10,26</v>
      </c>
    </row>
    <row r="1912" spans="1:1020" ht="19.5" hidden="1" thickBot="1" x14ac:dyDescent="0.3">
      <c r="A1912" s="439"/>
      <c r="B1912" s="114" t="s">
        <v>775</v>
      </c>
      <c r="C1912" s="216" t="s">
        <v>564</v>
      </c>
      <c r="D1912" s="217">
        <v>1.0840000000000001</v>
      </c>
      <c r="E1912" s="117" t="s">
        <v>13</v>
      </c>
      <c r="F1912" s="442"/>
      <c r="G1912" s="117" t="s">
        <v>779</v>
      </c>
      <c r="H1912" s="220"/>
      <c r="I1912" s="220" t="str">
        <f t="shared" si="54"/>
        <v>10,26</v>
      </c>
    </row>
    <row r="1913" spans="1:1020" ht="19.5" hidden="1" thickBot="1" x14ac:dyDescent="0.3">
      <c r="A1913" s="431">
        <f t="shared" si="56"/>
        <v>422</v>
      </c>
      <c r="B1913" s="91" t="s">
        <v>775</v>
      </c>
      <c r="C1913" s="92" t="s">
        <v>780</v>
      </c>
      <c r="D1913" s="93">
        <v>6.6520000000000001</v>
      </c>
      <c r="E1913" s="94" t="s">
        <v>13</v>
      </c>
      <c r="F1913" s="434" t="s">
        <v>642</v>
      </c>
      <c r="G1913" s="94" t="s">
        <v>781</v>
      </c>
      <c r="H1913" s="132"/>
      <c r="I1913" s="132" t="str">
        <f t="shared" si="54"/>
        <v>10,26</v>
      </c>
    </row>
    <row r="1914" spans="1:1020" ht="19.5" hidden="1" thickBot="1" x14ac:dyDescent="0.3">
      <c r="A1914" s="432"/>
      <c r="B1914" s="423" t="s">
        <v>775</v>
      </c>
      <c r="C1914" s="147" t="s">
        <v>777</v>
      </c>
      <c r="D1914" s="148">
        <v>1.528</v>
      </c>
      <c r="E1914" s="146" t="s">
        <v>619</v>
      </c>
      <c r="F1914" s="435"/>
      <c r="G1914" s="146" t="s">
        <v>781</v>
      </c>
      <c r="H1914" s="152"/>
      <c r="I1914" s="152" t="str">
        <f t="shared" si="54"/>
        <v>10,26</v>
      </c>
    </row>
    <row r="1915" spans="1:1020" ht="19.5" hidden="1" thickBot="1" x14ac:dyDescent="0.3">
      <c r="A1915" s="432"/>
      <c r="B1915" s="423" t="s">
        <v>775</v>
      </c>
      <c r="C1915" s="147" t="s">
        <v>19</v>
      </c>
      <c r="D1915" s="148">
        <v>3.5550000000000002</v>
      </c>
      <c r="E1915" s="146" t="s">
        <v>13</v>
      </c>
      <c r="F1915" s="435"/>
      <c r="G1915" s="146" t="s">
        <v>781</v>
      </c>
      <c r="H1915" s="152"/>
      <c r="I1915" s="152" t="str">
        <f t="shared" si="54"/>
        <v>10,26</v>
      </c>
    </row>
    <row r="1916" spans="1:1020" ht="19.5" hidden="1" thickBot="1" x14ac:dyDescent="0.3">
      <c r="A1916" s="432"/>
      <c r="B1916" s="423" t="s">
        <v>775</v>
      </c>
      <c r="C1916" s="147" t="s">
        <v>19</v>
      </c>
      <c r="D1916" s="148">
        <v>5.1999999999999998E-2</v>
      </c>
      <c r="E1916" s="146" t="s">
        <v>619</v>
      </c>
      <c r="F1916" s="435"/>
      <c r="G1916" s="146" t="s">
        <v>781</v>
      </c>
      <c r="H1916" s="152"/>
      <c r="I1916" s="152" t="str">
        <f t="shared" si="54"/>
        <v>10,26</v>
      </c>
    </row>
    <row r="1917" spans="1:1020" ht="19.5" hidden="1" thickBot="1" x14ac:dyDescent="0.3">
      <c r="A1917" s="432"/>
      <c r="B1917" s="423" t="s">
        <v>775</v>
      </c>
      <c r="C1917" s="147" t="s">
        <v>116</v>
      </c>
      <c r="D1917" s="148">
        <v>3.6890000000000001</v>
      </c>
      <c r="E1917" s="146" t="s">
        <v>13</v>
      </c>
      <c r="F1917" s="435"/>
      <c r="G1917" s="146" t="s">
        <v>781</v>
      </c>
      <c r="H1917" s="152"/>
      <c r="I1917" s="152" t="str">
        <f t="shared" si="54"/>
        <v>10,26</v>
      </c>
    </row>
    <row r="1918" spans="1:1020" ht="19.5" hidden="1" thickBot="1" x14ac:dyDescent="0.3">
      <c r="A1918" s="433"/>
      <c r="B1918" s="95" t="s">
        <v>775</v>
      </c>
      <c r="C1918" s="154" t="s">
        <v>116</v>
      </c>
      <c r="D1918" s="155">
        <v>0.64900000000000002</v>
      </c>
      <c r="E1918" s="156" t="s">
        <v>619</v>
      </c>
      <c r="F1918" s="436"/>
      <c r="G1918" s="156" t="s">
        <v>781</v>
      </c>
      <c r="H1918" s="158"/>
      <c r="I1918" s="158" t="str">
        <f t="shared" si="54"/>
        <v>10,26</v>
      </c>
    </row>
    <row r="1919" spans="1:1020" ht="19.5" hidden="1" thickBot="1" x14ac:dyDescent="0.3">
      <c r="A1919" s="437">
        <f t="shared" ref="A1919:A1958" si="57">MAX(A1853:A1918)+1</f>
        <v>423</v>
      </c>
      <c r="B1919" s="102" t="s">
        <v>775</v>
      </c>
      <c r="C1919" s="103" t="s">
        <v>17</v>
      </c>
      <c r="D1919" s="104">
        <v>5.5780000000000003</v>
      </c>
      <c r="E1919" s="105" t="s">
        <v>13</v>
      </c>
      <c r="F1919" s="440" t="s">
        <v>645</v>
      </c>
      <c r="G1919" s="105" t="s">
        <v>781</v>
      </c>
      <c r="H1919" s="107"/>
      <c r="I1919" s="107" t="str">
        <f t="shared" si="54"/>
        <v>10,26</v>
      </c>
    </row>
    <row r="1920" spans="1:1020" ht="19.5" hidden="1" thickBot="1" x14ac:dyDescent="0.3">
      <c r="A1920" s="438"/>
      <c r="B1920" s="108" t="s">
        <v>775</v>
      </c>
      <c r="C1920" s="214" t="s">
        <v>17</v>
      </c>
      <c r="D1920" s="215">
        <v>0.33100000000000002</v>
      </c>
      <c r="E1920" s="213" t="s">
        <v>619</v>
      </c>
      <c r="F1920" s="441"/>
      <c r="G1920" s="213" t="s">
        <v>781</v>
      </c>
      <c r="H1920" s="219"/>
      <c r="I1920" s="219" t="str">
        <f t="shared" si="54"/>
        <v>10,26</v>
      </c>
    </row>
    <row r="1921" spans="1:9" ht="38.25" hidden="1" thickBot="1" x14ac:dyDescent="0.3">
      <c r="A1921" s="439"/>
      <c r="B1921" s="222" t="s">
        <v>782</v>
      </c>
      <c r="C1921" s="216" t="s">
        <v>17</v>
      </c>
      <c r="D1921" s="217">
        <v>4.5339999999999998</v>
      </c>
      <c r="E1921" s="218" t="s">
        <v>638</v>
      </c>
      <c r="F1921" s="442"/>
      <c r="G1921" s="218" t="s">
        <v>781</v>
      </c>
      <c r="H1921" s="220"/>
      <c r="I1921" s="220" t="str">
        <f t="shared" si="54"/>
        <v>10,26</v>
      </c>
    </row>
    <row r="1922" spans="1:9" ht="19.5" hidden="1" thickBot="1" x14ac:dyDescent="0.3">
      <c r="A1922" s="431">
        <f t="shared" si="57"/>
        <v>424</v>
      </c>
      <c r="B1922" s="91" t="s">
        <v>775</v>
      </c>
      <c r="C1922" s="92" t="s">
        <v>18</v>
      </c>
      <c r="D1922" s="93">
        <v>2.8940000000000001</v>
      </c>
      <c r="E1922" s="94" t="s">
        <v>13</v>
      </c>
      <c r="F1922" s="434" t="s">
        <v>645</v>
      </c>
      <c r="G1922" s="94" t="s">
        <v>783</v>
      </c>
      <c r="H1922" s="132"/>
      <c r="I1922" s="132" t="str">
        <f t="shared" si="54"/>
        <v>10,26</v>
      </c>
    </row>
    <row r="1923" spans="1:9" ht="19.5" hidden="1" thickBot="1" x14ac:dyDescent="0.3">
      <c r="A1923" s="432"/>
      <c r="B1923" s="423" t="s">
        <v>775</v>
      </c>
      <c r="C1923" s="147" t="s">
        <v>18</v>
      </c>
      <c r="D1923" s="148">
        <v>0.10100000000000001</v>
      </c>
      <c r="E1923" s="146" t="s">
        <v>619</v>
      </c>
      <c r="F1923" s="435"/>
      <c r="G1923" s="146" t="s">
        <v>783</v>
      </c>
      <c r="H1923" s="152"/>
      <c r="I1923" s="152" t="str">
        <f t="shared" si="54"/>
        <v>10,26</v>
      </c>
    </row>
    <row r="1924" spans="1:9" ht="38.25" hidden="1" thickBot="1" x14ac:dyDescent="0.3">
      <c r="A1924" s="433"/>
      <c r="B1924" s="311" t="s">
        <v>782</v>
      </c>
      <c r="C1924" s="154" t="s">
        <v>18</v>
      </c>
      <c r="D1924" s="155">
        <v>2.0129999999999999</v>
      </c>
      <c r="E1924" s="156" t="s">
        <v>638</v>
      </c>
      <c r="F1924" s="436"/>
      <c r="G1924" s="156" t="s">
        <v>783</v>
      </c>
      <c r="H1924" s="158"/>
      <c r="I1924" s="158" t="str">
        <f t="shared" si="54"/>
        <v>10,26</v>
      </c>
    </row>
    <row r="1925" spans="1:9" ht="19.5" hidden="1" thickBot="1" x14ac:dyDescent="0.3">
      <c r="A1925" s="437">
        <f t="shared" si="57"/>
        <v>425</v>
      </c>
      <c r="B1925" s="102" t="s">
        <v>775</v>
      </c>
      <c r="C1925" s="103" t="s">
        <v>633</v>
      </c>
      <c r="D1925" s="104">
        <v>1.363</v>
      </c>
      <c r="E1925" s="105" t="s">
        <v>13</v>
      </c>
      <c r="F1925" s="440" t="s">
        <v>645</v>
      </c>
      <c r="G1925" s="105" t="s">
        <v>784</v>
      </c>
      <c r="H1925" s="107"/>
      <c r="I1925" s="107" t="str">
        <f t="shared" si="54"/>
        <v>10,26</v>
      </c>
    </row>
    <row r="1926" spans="1:9" ht="19.5" hidden="1" thickBot="1" x14ac:dyDescent="0.3">
      <c r="A1926" s="438"/>
      <c r="B1926" s="108" t="s">
        <v>775</v>
      </c>
      <c r="C1926" s="214" t="s">
        <v>633</v>
      </c>
      <c r="D1926" s="215">
        <v>8.1000000000000003E-2</v>
      </c>
      <c r="E1926" s="213" t="s">
        <v>619</v>
      </c>
      <c r="F1926" s="441"/>
      <c r="G1926" s="213" t="s">
        <v>784</v>
      </c>
      <c r="H1926" s="219"/>
      <c r="I1926" s="219" t="str">
        <f t="shared" si="54"/>
        <v>10,26</v>
      </c>
    </row>
    <row r="1927" spans="1:9" ht="38.25" hidden="1" thickBot="1" x14ac:dyDescent="0.3">
      <c r="A1927" s="439"/>
      <c r="B1927" s="222" t="s">
        <v>782</v>
      </c>
      <c r="C1927" s="216" t="s">
        <v>633</v>
      </c>
      <c r="D1927" s="217">
        <v>0.374</v>
      </c>
      <c r="E1927" s="218" t="s">
        <v>638</v>
      </c>
      <c r="F1927" s="442"/>
      <c r="G1927" s="218" t="s">
        <v>784</v>
      </c>
      <c r="H1927" s="220"/>
      <c r="I1927" s="220" t="str">
        <f t="shared" si="54"/>
        <v>10,26</v>
      </c>
    </row>
    <row r="1928" spans="1:9" ht="38.25" hidden="1" thickBot="1" x14ac:dyDescent="0.3">
      <c r="A1928" s="339">
        <f t="shared" si="57"/>
        <v>426</v>
      </c>
      <c r="B1928" s="121" t="s">
        <v>782</v>
      </c>
      <c r="C1928" s="122" t="s">
        <v>19</v>
      </c>
      <c r="D1928" s="123">
        <v>0.17399999999999999</v>
      </c>
      <c r="E1928" s="124" t="s">
        <v>638</v>
      </c>
      <c r="F1928" s="340" t="s">
        <v>639</v>
      </c>
      <c r="G1928" s="124" t="s">
        <v>781</v>
      </c>
      <c r="H1928" s="125"/>
      <c r="I1928" s="125" t="str">
        <f t="shared" si="54"/>
        <v>10,26</v>
      </c>
    </row>
    <row r="1929" spans="1:9" ht="38.25" hidden="1" thickBot="1" x14ac:dyDescent="0.3">
      <c r="A1929" s="425">
        <f t="shared" si="57"/>
        <v>427</v>
      </c>
      <c r="B1929" s="231" t="s">
        <v>782</v>
      </c>
      <c r="C1929" s="232" t="s">
        <v>116</v>
      </c>
      <c r="D1929" s="233">
        <v>0.57499999999999996</v>
      </c>
      <c r="E1929" s="234" t="s">
        <v>638</v>
      </c>
      <c r="F1929" s="426" t="s">
        <v>659</v>
      </c>
      <c r="G1929" s="234" t="s">
        <v>781</v>
      </c>
      <c r="H1929" s="428"/>
      <c r="I1929" s="430" t="str">
        <f t="shared" si="54"/>
        <v>10,26</v>
      </c>
    </row>
    <row r="1930" spans="1:9" x14ac:dyDescent="0.25">
      <c r="A1930" s="431">
        <f t="shared" si="57"/>
        <v>428</v>
      </c>
      <c r="B1930" s="91" t="s">
        <v>784</v>
      </c>
      <c r="C1930" s="92" t="s">
        <v>564</v>
      </c>
      <c r="D1930" s="93">
        <v>0.96599999999999997</v>
      </c>
      <c r="E1930" s="94" t="s">
        <v>13</v>
      </c>
      <c r="F1930" s="434" t="s">
        <v>642</v>
      </c>
      <c r="G1930" s="94" t="s">
        <v>785</v>
      </c>
      <c r="H1930" s="132"/>
      <c r="I1930" s="336"/>
    </row>
    <row r="1931" spans="1:9" x14ac:dyDescent="0.25">
      <c r="A1931" s="432"/>
      <c r="B1931" s="429" t="s">
        <v>784</v>
      </c>
      <c r="C1931" s="147" t="s">
        <v>777</v>
      </c>
      <c r="D1931" s="148">
        <v>2.9119999999999999</v>
      </c>
      <c r="E1931" s="136" t="s">
        <v>13</v>
      </c>
      <c r="F1931" s="435"/>
      <c r="G1931" s="136" t="s">
        <v>785</v>
      </c>
      <c r="H1931" s="152"/>
      <c r="I1931" s="337"/>
    </row>
    <row r="1932" spans="1:9" ht="19.5" thickBot="1" x14ac:dyDescent="0.3">
      <c r="A1932" s="433"/>
      <c r="B1932" s="95" t="s">
        <v>784</v>
      </c>
      <c r="C1932" s="154" t="s">
        <v>19</v>
      </c>
      <c r="D1932" s="155">
        <v>7.5069999999999997</v>
      </c>
      <c r="E1932" s="98" t="s">
        <v>13</v>
      </c>
      <c r="F1932" s="436"/>
      <c r="G1932" s="98" t="s">
        <v>785</v>
      </c>
      <c r="H1932" s="158"/>
      <c r="I1932" s="338"/>
    </row>
    <row r="1933" spans="1:9" x14ac:dyDescent="0.25">
      <c r="A1933" s="437">
        <f t="shared" si="57"/>
        <v>429</v>
      </c>
      <c r="B1933" s="102" t="s">
        <v>784</v>
      </c>
      <c r="C1933" s="103" t="s">
        <v>19</v>
      </c>
      <c r="D1933" s="104">
        <v>4.5739999999999998</v>
      </c>
      <c r="E1933" s="105" t="s">
        <v>13</v>
      </c>
      <c r="F1933" s="440" t="s">
        <v>642</v>
      </c>
      <c r="G1933" s="105" t="s">
        <v>786</v>
      </c>
      <c r="H1933" s="107"/>
      <c r="I1933" s="326"/>
    </row>
    <row r="1934" spans="1:9" x14ac:dyDescent="0.25">
      <c r="A1934" s="438"/>
      <c r="B1934" s="108" t="s">
        <v>784</v>
      </c>
      <c r="C1934" s="214" t="s">
        <v>19</v>
      </c>
      <c r="D1934" s="215">
        <v>0.44600000000000001</v>
      </c>
      <c r="E1934" s="111" t="s">
        <v>619</v>
      </c>
      <c r="F1934" s="441"/>
      <c r="G1934" s="213" t="s">
        <v>786</v>
      </c>
      <c r="H1934" s="219"/>
      <c r="I1934" s="328"/>
    </row>
    <row r="1935" spans="1:9" x14ac:dyDescent="0.25">
      <c r="A1935" s="438"/>
      <c r="B1935" s="108" t="s">
        <v>784</v>
      </c>
      <c r="C1935" s="214" t="s">
        <v>116</v>
      </c>
      <c r="D1935" s="215">
        <v>11.465</v>
      </c>
      <c r="E1935" s="111" t="s">
        <v>13</v>
      </c>
      <c r="F1935" s="441"/>
      <c r="G1935" s="213" t="s">
        <v>786</v>
      </c>
      <c r="H1935" s="219"/>
      <c r="I1935" s="328"/>
    </row>
    <row r="1936" spans="1:9" x14ac:dyDescent="0.25">
      <c r="A1936" s="438"/>
      <c r="B1936" s="108" t="s">
        <v>784</v>
      </c>
      <c r="C1936" s="214" t="s">
        <v>116</v>
      </c>
      <c r="D1936" s="215">
        <v>0.14399999999999999</v>
      </c>
      <c r="E1936" s="111" t="s">
        <v>619</v>
      </c>
      <c r="F1936" s="441"/>
      <c r="G1936" s="213" t="s">
        <v>786</v>
      </c>
      <c r="H1936" s="219"/>
      <c r="I1936" s="328"/>
    </row>
    <row r="1937" spans="1:9" ht="19.5" thickBot="1" x14ac:dyDescent="0.3">
      <c r="A1937" s="439"/>
      <c r="B1937" s="114" t="s">
        <v>784</v>
      </c>
      <c r="C1937" s="216" t="s">
        <v>780</v>
      </c>
      <c r="D1937" s="217">
        <v>2.7549999999999999</v>
      </c>
      <c r="E1937" s="117" t="s">
        <v>13</v>
      </c>
      <c r="F1937" s="442"/>
      <c r="G1937" s="218" t="s">
        <v>786</v>
      </c>
      <c r="H1937" s="220"/>
      <c r="I1937" s="327"/>
    </row>
    <row r="1938" spans="1:9" x14ac:dyDescent="0.25">
      <c r="A1938" s="431">
        <f t="shared" si="57"/>
        <v>430</v>
      </c>
      <c r="B1938" s="91" t="s">
        <v>784</v>
      </c>
      <c r="C1938" s="92" t="s">
        <v>17</v>
      </c>
      <c r="D1938" s="93">
        <v>5.8019999999999996</v>
      </c>
      <c r="E1938" s="94" t="s">
        <v>13</v>
      </c>
      <c r="F1938" s="434" t="s">
        <v>645</v>
      </c>
      <c r="G1938" s="94" t="s">
        <v>786</v>
      </c>
      <c r="H1938" s="132"/>
      <c r="I1938" s="336"/>
    </row>
    <row r="1939" spans="1:9" x14ac:dyDescent="0.25">
      <c r="A1939" s="432"/>
      <c r="B1939" s="429" t="s">
        <v>784</v>
      </c>
      <c r="C1939" s="147" t="s">
        <v>17</v>
      </c>
      <c r="D1939" s="148">
        <v>0.29599999999999999</v>
      </c>
      <c r="E1939" s="136" t="s">
        <v>619</v>
      </c>
      <c r="F1939" s="435"/>
      <c r="G1939" s="146" t="s">
        <v>786</v>
      </c>
      <c r="H1939" s="152"/>
      <c r="I1939" s="337"/>
    </row>
    <row r="1940" spans="1:9" ht="38.25" thickBot="1" x14ac:dyDescent="0.3">
      <c r="A1940" s="433"/>
      <c r="B1940" s="311" t="s">
        <v>789</v>
      </c>
      <c r="C1940" s="154" t="s">
        <v>17</v>
      </c>
      <c r="D1940" s="155">
        <v>1.3240000000000001</v>
      </c>
      <c r="E1940" s="156" t="s">
        <v>638</v>
      </c>
      <c r="F1940" s="436"/>
      <c r="G1940" s="156" t="s">
        <v>786</v>
      </c>
      <c r="H1940" s="158"/>
      <c r="I1940" s="338"/>
    </row>
    <row r="1941" spans="1:9" x14ac:dyDescent="0.25">
      <c r="A1941" s="437">
        <f t="shared" si="57"/>
        <v>431</v>
      </c>
      <c r="B1941" s="102" t="s">
        <v>784</v>
      </c>
      <c r="C1941" s="103" t="s">
        <v>18</v>
      </c>
      <c r="D1941" s="104">
        <v>7.4240000000000004</v>
      </c>
      <c r="E1941" s="105" t="s">
        <v>13</v>
      </c>
      <c r="F1941" s="440" t="s">
        <v>645</v>
      </c>
      <c r="G1941" s="105" t="s">
        <v>788</v>
      </c>
      <c r="H1941" s="107"/>
      <c r="I1941" s="326"/>
    </row>
    <row r="1942" spans="1:9" x14ac:dyDescent="0.25">
      <c r="A1942" s="438"/>
      <c r="B1942" s="108" t="s">
        <v>784</v>
      </c>
      <c r="C1942" s="214" t="s">
        <v>18</v>
      </c>
      <c r="D1942" s="215">
        <v>0.36399999999999999</v>
      </c>
      <c r="E1942" s="111" t="s">
        <v>619</v>
      </c>
      <c r="F1942" s="441"/>
      <c r="G1942" s="213" t="s">
        <v>788</v>
      </c>
      <c r="H1942" s="219"/>
      <c r="I1942" s="328"/>
    </row>
    <row r="1943" spans="1:9" x14ac:dyDescent="0.25">
      <c r="A1943" s="438"/>
      <c r="B1943" s="108" t="s">
        <v>784</v>
      </c>
      <c r="C1943" s="214" t="s">
        <v>787</v>
      </c>
      <c r="D1943" s="215">
        <v>0.77800000000000002</v>
      </c>
      <c r="E1943" s="111" t="s">
        <v>13</v>
      </c>
      <c r="F1943" s="441"/>
      <c r="G1943" s="213" t="s">
        <v>788</v>
      </c>
      <c r="H1943" s="219"/>
      <c r="I1943" s="328"/>
    </row>
    <row r="1944" spans="1:9" ht="38.25" thickBot="1" x14ac:dyDescent="0.3">
      <c r="A1944" s="439"/>
      <c r="B1944" s="222" t="s">
        <v>789</v>
      </c>
      <c r="C1944" s="216" t="s">
        <v>18</v>
      </c>
      <c r="D1944" s="217">
        <v>3.1040000000000001</v>
      </c>
      <c r="E1944" s="218" t="s">
        <v>638</v>
      </c>
      <c r="F1944" s="442"/>
      <c r="G1944" s="218" t="s">
        <v>788</v>
      </c>
      <c r="H1944" s="220"/>
      <c r="I1944" s="327"/>
    </row>
    <row r="1945" spans="1:9" x14ac:dyDescent="0.25">
      <c r="A1945" s="431">
        <f t="shared" si="57"/>
        <v>432</v>
      </c>
      <c r="B1945" s="91" t="s">
        <v>784</v>
      </c>
      <c r="C1945" s="92" t="s">
        <v>633</v>
      </c>
      <c r="D1945" s="93">
        <v>2.61</v>
      </c>
      <c r="E1945" s="94" t="s">
        <v>13</v>
      </c>
      <c r="F1945" s="434" t="s">
        <v>645</v>
      </c>
      <c r="G1945" s="94" t="s">
        <v>790</v>
      </c>
      <c r="H1945" s="132"/>
      <c r="I1945" s="336"/>
    </row>
    <row r="1946" spans="1:9" x14ac:dyDescent="0.25">
      <c r="A1946" s="432"/>
      <c r="B1946" s="429" t="s">
        <v>784</v>
      </c>
      <c r="C1946" s="147" t="s">
        <v>633</v>
      </c>
      <c r="D1946" s="148">
        <v>6.5000000000000002E-2</v>
      </c>
      <c r="E1946" s="136" t="s">
        <v>619</v>
      </c>
      <c r="F1946" s="435"/>
      <c r="G1946" s="146" t="s">
        <v>790</v>
      </c>
      <c r="H1946" s="152"/>
      <c r="I1946" s="337"/>
    </row>
    <row r="1947" spans="1:9" x14ac:dyDescent="0.25">
      <c r="A1947" s="432"/>
      <c r="B1947" s="429" t="s">
        <v>784</v>
      </c>
      <c r="C1947" s="147" t="s">
        <v>791</v>
      </c>
      <c r="D1947" s="148">
        <v>3.649</v>
      </c>
      <c r="E1947" s="136" t="s">
        <v>13</v>
      </c>
      <c r="F1947" s="435"/>
      <c r="G1947" s="146" t="s">
        <v>790</v>
      </c>
      <c r="H1947" s="152"/>
      <c r="I1947" s="337"/>
    </row>
    <row r="1948" spans="1:9" ht="38.25" thickBot="1" x14ac:dyDescent="0.3">
      <c r="A1948" s="433"/>
      <c r="B1948" s="311" t="s">
        <v>789</v>
      </c>
      <c r="C1948" s="154" t="s">
        <v>633</v>
      </c>
      <c r="D1948" s="155">
        <v>8.5999999999999993E-2</v>
      </c>
      <c r="E1948" s="156" t="s">
        <v>638</v>
      </c>
      <c r="F1948" s="436"/>
      <c r="G1948" s="156" t="s">
        <v>790</v>
      </c>
      <c r="H1948" s="158"/>
      <c r="I1948" s="338"/>
    </row>
    <row r="1949" spans="1:9" ht="38.25" thickBot="1" x14ac:dyDescent="0.3">
      <c r="A1949" s="329">
        <f t="shared" si="57"/>
        <v>433</v>
      </c>
      <c r="B1949" s="330" t="s">
        <v>789</v>
      </c>
      <c r="C1949" s="331" t="s">
        <v>19</v>
      </c>
      <c r="D1949" s="332">
        <v>1.137</v>
      </c>
      <c r="E1949" s="333" t="s">
        <v>638</v>
      </c>
      <c r="F1949" s="334" t="s">
        <v>639</v>
      </c>
      <c r="G1949" s="333" t="s">
        <v>786</v>
      </c>
      <c r="H1949" s="335"/>
      <c r="I1949" s="392"/>
    </row>
    <row r="1950" spans="1:9" ht="38.25" thickBot="1" x14ac:dyDescent="0.3">
      <c r="A1950" s="339">
        <f t="shared" si="57"/>
        <v>434</v>
      </c>
      <c r="B1950" s="121" t="s">
        <v>789</v>
      </c>
      <c r="C1950" s="122" t="s">
        <v>116</v>
      </c>
      <c r="D1950" s="123">
        <v>0.503</v>
      </c>
      <c r="E1950" s="124" t="s">
        <v>638</v>
      </c>
      <c r="F1950" s="340" t="s">
        <v>659</v>
      </c>
      <c r="G1950" s="124" t="s">
        <v>786</v>
      </c>
      <c r="H1950" s="125"/>
      <c r="I1950" s="424"/>
    </row>
    <row r="1951" spans="1:9" x14ac:dyDescent="0.25">
      <c r="A1951" s="403">
        <f t="shared" si="57"/>
        <v>435</v>
      </c>
      <c r="B1951" s="27"/>
      <c r="C1951" s="373"/>
      <c r="D1951" s="374"/>
      <c r="E1951" s="27"/>
      <c r="F1951" s="404"/>
      <c r="G1951" s="27"/>
      <c r="H1951" s="403"/>
      <c r="I1951" s="27"/>
    </row>
    <row r="1952" spans="1:9" x14ac:dyDescent="0.25">
      <c r="A1952" s="322">
        <f t="shared" si="57"/>
        <v>436</v>
      </c>
      <c r="B1952" s="71"/>
      <c r="C1952" s="323"/>
      <c r="D1952" s="324"/>
      <c r="E1952" s="71"/>
      <c r="F1952" s="325"/>
      <c r="G1952" s="71"/>
      <c r="H1952" s="322"/>
      <c r="I1952" s="71"/>
    </row>
    <row r="1953" spans="1:9" x14ac:dyDescent="0.25">
      <c r="A1953" s="322">
        <f t="shared" si="57"/>
        <v>437</v>
      </c>
      <c r="B1953" s="71"/>
      <c r="C1953" s="323"/>
      <c r="D1953" s="324"/>
      <c r="E1953" s="71"/>
      <c r="F1953" s="325"/>
      <c r="G1953" s="71"/>
      <c r="H1953" s="322"/>
      <c r="I1953" s="71"/>
    </row>
    <row r="1954" spans="1:9" x14ac:dyDescent="0.25">
      <c r="A1954" s="322">
        <f t="shared" si="57"/>
        <v>438</v>
      </c>
      <c r="B1954" s="71"/>
      <c r="C1954" s="323"/>
      <c r="D1954" s="324"/>
      <c r="E1954" s="71"/>
      <c r="F1954" s="325"/>
      <c r="G1954" s="71"/>
      <c r="H1954" s="322"/>
      <c r="I1954" s="71"/>
    </row>
    <row r="1955" spans="1:9" x14ac:dyDescent="0.25">
      <c r="A1955" s="322">
        <f t="shared" si="57"/>
        <v>439</v>
      </c>
      <c r="B1955" s="71"/>
      <c r="C1955" s="323"/>
      <c r="D1955" s="324"/>
      <c r="E1955" s="71"/>
      <c r="F1955" s="325"/>
      <c r="G1955" s="71"/>
      <c r="H1955" s="322"/>
      <c r="I1955" s="71"/>
    </row>
    <row r="1956" spans="1:9" x14ac:dyDescent="0.25">
      <c r="A1956" s="322">
        <f t="shared" si="57"/>
        <v>440</v>
      </c>
      <c r="B1956" s="71"/>
      <c r="C1956" s="323"/>
      <c r="D1956" s="324"/>
      <c r="E1956" s="71"/>
      <c r="F1956" s="325"/>
      <c r="G1956" s="71"/>
      <c r="H1956" s="322"/>
      <c r="I1956" s="71"/>
    </row>
    <row r="1957" spans="1:9" x14ac:dyDescent="0.25">
      <c r="A1957" s="322">
        <f t="shared" si="57"/>
        <v>441</v>
      </c>
      <c r="B1957" s="71"/>
      <c r="C1957" s="323"/>
      <c r="D1957" s="324"/>
      <c r="E1957" s="71"/>
      <c r="F1957" s="325"/>
      <c r="G1957" s="71"/>
      <c r="H1957" s="322"/>
      <c r="I1957" s="71"/>
    </row>
    <row r="1958" spans="1:9" x14ac:dyDescent="0.25">
      <c r="A1958" s="322">
        <f t="shared" si="57"/>
        <v>442</v>
      </c>
      <c r="B1958" s="71"/>
      <c r="C1958" s="323"/>
      <c r="D1958" s="324"/>
      <c r="E1958" s="71"/>
      <c r="F1958" s="325"/>
      <c r="G1958" s="71"/>
      <c r="H1958" s="322"/>
      <c r="I1958" s="71"/>
    </row>
  </sheetData>
  <autoFilter ref="A2:M1958" xr:uid="{00000000-0009-0000-0000-000000000000}">
    <filterColumn colId="8">
      <filters blank="1"/>
    </filterColumn>
  </autoFilter>
  <mergeCells count="746">
    <mergeCell ref="A1891:A1893"/>
    <mergeCell ref="F1891:F1893"/>
    <mergeCell ref="A1894:A1897"/>
    <mergeCell ref="A1898:A1900"/>
    <mergeCell ref="F1894:F1897"/>
    <mergeCell ref="F1898:F1900"/>
    <mergeCell ref="A1901:A1903"/>
    <mergeCell ref="F1901:F1903"/>
    <mergeCell ref="A1904:A1906"/>
    <mergeCell ref="F1904:F1906"/>
    <mergeCell ref="F1854:F1855"/>
    <mergeCell ref="A1856:A1859"/>
    <mergeCell ref="A1860:A1861"/>
    <mergeCell ref="F1856:F1859"/>
    <mergeCell ref="F1860:F1861"/>
    <mergeCell ref="A1862:A1863"/>
    <mergeCell ref="F1862:F1863"/>
    <mergeCell ref="A1864:A1866"/>
    <mergeCell ref="F1864:F1866"/>
    <mergeCell ref="A1817:A1818"/>
    <mergeCell ref="F1817:F1818"/>
    <mergeCell ref="F1820:F1821"/>
    <mergeCell ref="A1820:A1821"/>
    <mergeCell ref="F1784:F1785"/>
    <mergeCell ref="A1784:A1785"/>
    <mergeCell ref="F1688:F1689"/>
    <mergeCell ref="A1688:A1689"/>
    <mergeCell ref="A1772:A1774"/>
    <mergeCell ref="F1772:F1774"/>
    <mergeCell ref="A1775:A1778"/>
    <mergeCell ref="F1775:F1778"/>
    <mergeCell ref="A1780:A1781"/>
    <mergeCell ref="F1780:F1781"/>
    <mergeCell ref="A1782:A1783"/>
    <mergeCell ref="F1782:F1783"/>
    <mergeCell ref="A1761:A1764"/>
    <mergeCell ref="F1761:F1764"/>
    <mergeCell ref="A1765:A1767"/>
    <mergeCell ref="F1765:F1767"/>
    <mergeCell ref="A1769:A1770"/>
    <mergeCell ref="F1769:F1770"/>
    <mergeCell ref="A1704:A1706"/>
    <mergeCell ref="A1707:A1709"/>
    <mergeCell ref="F1704:F1706"/>
    <mergeCell ref="F1707:F1709"/>
    <mergeCell ref="A1710:A1713"/>
    <mergeCell ref="A1714:A1715"/>
    <mergeCell ref="F1714:F1715"/>
    <mergeCell ref="F1710:F1713"/>
    <mergeCell ref="A1672:A1673"/>
    <mergeCell ref="F1672:F1673"/>
    <mergeCell ref="A1693:A1694"/>
    <mergeCell ref="F1693:F1694"/>
    <mergeCell ref="A1696:A1699"/>
    <mergeCell ref="F1696:F1699"/>
    <mergeCell ref="A1700:A1701"/>
    <mergeCell ref="F1700:F1701"/>
    <mergeCell ref="F1674:F1675"/>
    <mergeCell ref="A1674:A1675"/>
    <mergeCell ref="A1676:A1678"/>
    <mergeCell ref="F1676:F1678"/>
    <mergeCell ref="A1679:A1682"/>
    <mergeCell ref="F1679:F1682"/>
    <mergeCell ref="A1683:A1686"/>
    <mergeCell ref="F1683:F1686"/>
    <mergeCell ref="A1670:A1671"/>
    <mergeCell ref="F1670:F1671"/>
    <mergeCell ref="A1605:A1608"/>
    <mergeCell ref="A1609:A1610"/>
    <mergeCell ref="A1611:A1613"/>
    <mergeCell ref="F1614:F1621"/>
    <mergeCell ref="A1614:A1621"/>
    <mergeCell ref="A1590:A1593"/>
    <mergeCell ref="A1594:A1598"/>
    <mergeCell ref="A1666:A1669"/>
    <mergeCell ref="F1666:F1669"/>
    <mergeCell ref="A1654:A1655"/>
    <mergeCell ref="A1656:A1658"/>
    <mergeCell ref="A1659:A1661"/>
    <mergeCell ref="A1662:A1665"/>
    <mergeCell ref="F1654:F1655"/>
    <mergeCell ref="F1656:F1658"/>
    <mergeCell ref="F1659:F1661"/>
    <mergeCell ref="F1662:F1665"/>
    <mergeCell ref="A1648:A1653"/>
    <mergeCell ref="F1648:F1653"/>
    <mergeCell ref="A1640:A1643"/>
    <mergeCell ref="A1644:A1647"/>
    <mergeCell ref="A1622:A1626"/>
    <mergeCell ref="A1627:A1630"/>
    <mergeCell ref="A1599:A1604"/>
    <mergeCell ref="F1599:F1604"/>
    <mergeCell ref="A1633:A1639"/>
    <mergeCell ref="F1633:F1639"/>
    <mergeCell ref="A1631:A1632"/>
    <mergeCell ref="A1542:A1547"/>
    <mergeCell ref="A1548:A1551"/>
    <mergeCell ref="A1552:A1558"/>
    <mergeCell ref="F1552:F1558"/>
    <mergeCell ref="A1535:A1541"/>
    <mergeCell ref="F1535:F1541"/>
    <mergeCell ref="A1584:A1589"/>
    <mergeCell ref="F1584:F1589"/>
    <mergeCell ref="A1499:A1501"/>
    <mergeCell ref="A1559:A1563"/>
    <mergeCell ref="A1564:A1567"/>
    <mergeCell ref="F1568:F1575"/>
    <mergeCell ref="A1568:A1575"/>
    <mergeCell ref="A1576:A1579"/>
    <mergeCell ref="A1580:A1583"/>
    <mergeCell ref="A1490:A1493"/>
    <mergeCell ref="A1479:A1483"/>
    <mergeCell ref="F1479:F1483"/>
    <mergeCell ref="A1524:A1530"/>
    <mergeCell ref="A1531:A1534"/>
    <mergeCell ref="A1519:A1523"/>
    <mergeCell ref="F1519:F1523"/>
    <mergeCell ref="F1386:F1390"/>
    <mergeCell ref="A1494:A1498"/>
    <mergeCell ref="A1509:A1513"/>
    <mergeCell ref="A1514:A1518"/>
    <mergeCell ref="F1502:F1508"/>
    <mergeCell ref="A1502:A1508"/>
    <mergeCell ref="A1376:A1380"/>
    <mergeCell ref="A1381:A1385"/>
    <mergeCell ref="A1484:A1489"/>
    <mergeCell ref="A1391:A1397"/>
    <mergeCell ref="F1460:F1466"/>
    <mergeCell ref="A1440:A1445"/>
    <mergeCell ref="F1440:F1445"/>
    <mergeCell ref="A1364:A1370"/>
    <mergeCell ref="A1371:A1375"/>
    <mergeCell ref="A1467:A1473"/>
    <mergeCell ref="A1474:A1477"/>
    <mergeCell ref="A1446:A1449"/>
    <mergeCell ref="A1450:A1454"/>
    <mergeCell ref="A1455:A1459"/>
    <mergeCell ref="A1460:A1466"/>
    <mergeCell ref="A1386:A1390"/>
    <mergeCell ref="A1428:A1434"/>
    <mergeCell ref="A1435:A1439"/>
    <mergeCell ref="A1292:A1298"/>
    <mergeCell ref="F1292:F1298"/>
    <mergeCell ref="A1334:A1341"/>
    <mergeCell ref="F1334:F1341"/>
    <mergeCell ref="A1354:A1363"/>
    <mergeCell ref="A1299:A1305"/>
    <mergeCell ref="A1306:A1309"/>
    <mergeCell ref="A1310:A1317"/>
    <mergeCell ref="F1310:F1317"/>
    <mergeCell ref="F1354:F1363"/>
    <mergeCell ref="A1342:A1348"/>
    <mergeCell ref="A1349:A1353"/>
    <mergeCell ref="A1318:A1323"/>
    <mergeCell ref="A1324:A1329"/>
    <mergeCell ref="A1330:A1333"/>
    <mergeCell ref="F1330:F1333"/>
    <mergeCell ref="A1282:A1287"/>
    <mergeCell ref="A1288:A1291"/>
    <mergeCell ref="A981:A985"/>
    <mergeCell ref="F981:F985"/>
    <mergeCell ref="A1021:A1025"/>
    <mergeCell ref="F1021:F1025"/>
    <mergeCell ref="A1026:A1032"/>
    <mergeCell ref="F1026:F1032"/>
    <mergeCell ref="A1033:A1037"/>
    <mergeCell ref="F1033:F1037"/>
    <mergeCell ref="A1038:A1042"/>
    <mergeCell ref="F1038:F1042"/>
    <mergeCell ref="A1043:A1050"/>
    <mergeCell ref="F1043:F1050"/>
    <mergeCell ref="A1072:A1076"/>
    <mergeCell ref="F1072:F1076"/>
    <mergeCell ref="A1077:A1082"/>
    <mergeCell ref="F1077:F1082"/>
    <mergeCell ref="A1264:A1269"/>
    <mergeCell ref="A1270:A1274"/>
    <mergeCell ref="A1275:A1281"/>
    <mergeCell ref="F1275:F1281"/>
    <mergeCell ref="A1100:A1105"/>
    <mergeCell ref="A1060:A1066"/>
    <mergeCell ref="F1060:F1066"/>
    <mergeCell ref="A1009:A1015"/>
    <mergeCell ref="F1009:F1015"/>
    <mergeCell ref="A986:A990"/>
    <mergeCell ref="F986:F990"/>
    <mergeCell ref="A991:A998"/>
    <mergeCell ref="F991:F998"/>
    <mergeCell ref="F999:F1003"/>
    <mergeCell ref="F1004:F1008"/>
    <mergeCell ref="A999:A1003"/>
    <mergeCell ref="A1004:A1008"/>
    <mergeCell ref="A1016:A1020"/>
    <mergeCell ref="F1016:F1020"/>
    <mergeCell ref="F154:F156"/>
    <mergeCell ref="A196:A199"/>
    <mergeCell ref="A270:A272"/>
    <mergeCell ref="A273:A281"/>
    <mergeCell ref="F273:F275"/>
    <mergeCell ref="A226:A229"/>
    <mergeCell ref="A230:A237"/>
    <mergeCell ref="F230:F232"/>
    <mergeCell ref="F250:F252"/>
    <mergeCell ref="A247:A249"/>
    <mergeCell ref="A250:A252"/>
    <mergeCell ref="F241:F243"/>
    <mergeCell ref="F244:F246"/>
    <mergeCell ref="A241:A246"/>
    <mergeCell ref="A253:A257"/>
    <mergeCell ref="F256:F257"/>
    <mergeCell ref="F253:F255"/>
    <mergeCell ref="F261:F263"/>
    <mergeCell ref="F267:F269"/>
    <mergeCell ref="A258:A260"/>
    <mergeCell ref="A261:A269"/>
    <mergeCell ref="F264:F266"/>
    <mergeCell ref="M57:M58"/>
    <mergeCell ref="F612:F615"/>
    <mergeCell ref="A612:A615"/>
    <mergeCell ref="A167:A171"/>
    <mergeCell ref="F167:F168"/>
    <mergeCell ref="F169:F171"/>
    <mergeCell ref="A172:A176"/>
    <mergeCell ref="A177:A179"/>
    <mergeCell ref="A208:A210"/>
    <mergeCell ref="A211:A214"/>
    <mergeCell ref="F211:F212"/>
    <mergeCell ref="F213:F214"/>
    <mergeCell ref="A180:A182"/>
    <mergeCell ref="F203:F205"/>
    <mergeCell ref="F206:F207"/>
    <mergeCell ref="A200:A202"/>
    <mergeCell ref="A203:A207"/>
    <mergeCell ref="F180:F182"/>
    <mergeCell ref="A163:A166"/>
    <mergeCell ref="A183:A186"/>
    <mergeCell ref="A187:A195"/>
    <mergeCell ref="F187:F189"/>
    <mergeCell ref="F66:F68"/>
    <mergeCell ref="A90:A93"/>
    <mergeCell ref="A81:A84"/>
    <mergeCell ref="A85:A89"/>
    <mergeCell ref="F85:F86"/>
    <mergeCell ref="A125:A126"/>
    <mergeCell ref="A150:A153"/>
    <mergeCell ref="A127:A129"/>
    <mergeCell ref="A117:A121"/>
    <mergeCell ref="A105:A112"/>
    <mergeCell ref="A122:A124"/>
    <mergeCell ref="A101:A104"/>
    <mergeCell ref="A94:A100"/>
    <mergeCell ref="F94:F95"/>
    <mergeCell ref="M1:N1"/>
    <mergeCell ref="O1:Q1"/>
    <mergeCell ref="A238:A240"/>
    <mergeCell ref="F233:F237"/>
    <mergeCell ref="A38:A43"/>
    <mergeCell ref="A36:A37"/>
    <mergeCell ref="A27:A32"/>
    <mergeCell ref="F127:F129"/>
    <mergeCell ref="A63:A68"/>
    <mergeCell ref="F87:F89"/>
    <mergeCell ref="A71:A72"/>
    <mergeCell ref="F73:F74"/>
    <mergeCell ref="A69:A70"/>
    <mergeCell ref="A73:A80"/>
    <mergeCell ref="A57:A58"/>
    <mergeCell ref="F57:F58"/>
    <mergeCell ref="F117:F118"/>
    <mergeCell ref="F107:F112"/>
    <mergeCell ref="A23:A26"/>
    <mergeCell ref="F190:F195"/>
    <mergeCell ref="H107:H112"/>
    <mergeCell ref="H57:H58"/>
    <mergeCell ref="F38:F43"/>
    <mergeCell ref="A44:A47"/>
    <mergeCell ref="F27:F29"/>
    <mergeCell ref="F30:F32"/>
    <mergeCell ref="A33:A35"/>
    <mergeCell ref="F33:F35"/>
    <mergeCell ref="F36:F37"/>
    <mergeCell ref="A53:A56"/>
    <mergeCell ref="A59:A61"/>
    <mergeCell ref="A1:H1"/>
    <mergeCell ref="A4:A7"/>
    <mergeCell ref="A9:A12"/>
    <mergeCell ref="A14:A17"/>
    <mergeCell ref="A19:A22"/>
    <mergeCell ref="A49:A52"/>
    <mergeCell ref="I203:I207"/>
    <mergeCell ref="H203:H207"/>
    <mergeCell ref="F220:F222"/>
    <mergeCell ref="F223:F225"/>
    <mergeCell ref="I211:I214"/>
    <mergeCell ref="I220:I225"/>
    <mergeCell ref="A113:A116"/>
    <mergeCell ref="F105:F106"/>
    <mergeCell ref="H147:H149"/>
    <mergeCell ref="A130:A133"/>
    <mergeCell ref="A134:A139"/>
    <mergeCell ref="F134:F136"/>
    <mergeCell ref="A140:A142"/>
    <mergeCell ref="A143:A149"/>
    <mergeCell ref="F143:F146"/>
    <mergeCell ref="F147:F149"/>
    <mergeCell ref="A218:A219"/>
    <mergeCell ref="A220:A225"/>
    <mergeCell ref="A215:A217"/>
    <mergeCell ref="H220:H225"/>
    <mergeCell ref="H211:H214"/>
    <mergeCell ref="F157:F159"/>
    <mergeCell ref="A154:A162"/>
    <mergeCell ref="F160:F162"/>
    <mergeCell ref="A310:A312"/>
    <mergeCell ref="F310:F312"/>
    <mergeCell ref="F276:F278"/>
    <mergeCell ref="F279:F281"/>
    <mergeCell ref="A313:A319"/>
    <mergeCell ref="F313:F315"/>
    <mergeCell ref="F316:F319"/>
    <mergeCell ref="A282:A283"/>
    <mergeCell ref="A284:A286"/>
    <mergeCell ref="A287:A291"/>
    <mergeCell ref="F290:F291"/>
    <mergeCell ref="F287:F289"/>
    <mergeCell ref="A292:A294"/>
    <mergeCell ref="A295:A302"/>
    <mergeCell ref="F295:F297"/>
    <mergeCell ref="F301:F302"/>
    <mergeCell ref="F298:F300"/>
    <mergeCell ref="A303:A304"/>
    <mergeCell ref="A305:A306"/>
    <mergeCell ref="A307:A309"/>
    <mergeCell ref="F305:F306"/>
    <mergeCell ref="F307:F309"/>
    <mergeCell ref="A323:A325"/>
    <mergeCell ref="A326:A328"/>
    <mergeCell ref="F323:F325"/>
    <mergeCell ref="F326:F328"/>
    <mergeCell ref="F333:F334"/>
    <mergeCell ref="F329:F332"/>
    <mergeCell ref="A329:A334"/>
    <mergeCell ref="F320:F322"/>
    <mergeCell ref="A320:A322"/>
    <mergeCell ref="H351:H357"/>
    <mergeCell ref="A335:A337"/>
    <mergeCell ref="A338:A340"/>
    <mergeCell ref="F335:F337"/>
    <mergeCell ref="A341:A346"/>
    <mergeCell ref="F344:F346"/>
    <mergeCell ref="H341:H346"/>
    <mergeCell ref="F341:F343"/>
    <mergeCell ref="H329:H334"/>
    <mergeCell ref="A347:A350"/>
    <mergeCell ref="A351:A357"/>
    <mergeCell ref="F347:F350"/>
    <mergeCell ref="A372:A374"/>
    <mergeCell ref="F372:F374"/>
    <mergeCell ref="A442:A444"/>
    <mergeCell ref="A445:A455"/>
    <mergeCell ref="A358:A361"/>
    <mergeCell ref="F358:F361"/>
    <mergeCell ref="A362:A371"/>
    <mergeCell ref="F362:F364"/>
    <mergeCell ref="F365:F371"/>
    <mergeCell ref="A375:A384"/>
    <mergeCell ref="F375:F377"/>
    <mergeCell ref="A385:A388"/>
    <mergeCell ref="F385:F388"/>
    <mergeCell ref="A389:A392"/>
    <mergeCell ref="A393:A401"/>
    <mergeCell ref="A429:A432"/>
    <mergeCell ref="F429:F432"/>
    <mergeCell ref="A433:A441"/>
    <mergeCell ref="F433:F435"/>
    <mergeCell ref="F436:F441"/>
    <mergeCell ref="F393:F395"/>
    <mergeCell ref="F396:F401"/>
    <mergeCell ref="A416:A418"/>
    <mergeCell ref="F416:F418"/>
    <mergeCell ref="F378:F384"/>
    <mergeCell ref="A402:A405"/>
    <mergeCell ref="F402:F405"/>
    <mergeCell ref="F406:F408"/>
    <mergeCell ref="A406:A415"/>
    <mergeCell ref="F409:F415"/>
    <mergeCell ref="A473:A476"/>
    <mergeCell ref="F473:F476"/>
    <mergeCell ref="A466:A468"/>
    <mergeCell ref="A469:A472"/>
    <mergeCell ref="F466:F468"/>
    <mergeCell ref="A419:A428"/>
    <mergeCell ref="A456:A465"/>
    <mergeCell ref="F456:F459"/>
    <mergeCell ref="F460:F465"/>
    <mergeCell ref="F419:F421"/>
    <mergeCell ref="F422:F428"/>
    <mergeCell ref="F445:F448"/>
    <mergeCell ref="F449:F455"/>
    <mergeCell ref="A575:A578"/>
    <mergeCell ref="F575:F578"/>
    <mergeCell ref="A579:A589"/>
    <mergeCell ref="F579:F581"/>
    <mergeCell ref="F582:F589"/>
    <mergeCell ref="F562:F564"/>
    <mergeCell ref="A562:A564"/>
    <mergeCell ref="A565:A574"/>
    <mergeCell ref="F565:F568"/>
    <mergeCell ref="F569:F574"/>
    <mergeCell ref="A521:A524"/>
    <mergeCell ref="F521:F524"/>
    <mergeCell ref="A525:A532"/>
    <mergeCell ref="F525:F527"/>
    <mergeCell ref="F528:F532"/>
    <mergeCell ref="A477:A482"/>
    <mergeCell ref="F477:F482"/>
    <mergeCell ref="A514:A520"/>
    <mergeCell ref="F514:F516"/>
    <mergeCell ref="F517:F520"/>
    <mergeCell ref="A486:A489"/>
    <mergeCell ref="A490:A495"/>
    <mergeCell ref="F490:F495"/>
    <mergeCell ref="A510:A513"/>
    <mergeCell ref="F510:F513"/>
    <mergeCell ref="A483:A485"/>
    <mergeCell ref="F483:F485"/>
    <mergeCell ref="F496:F498"/>
    <mergeCell ref="A496:A498"/>
    <mergeCell ref="A499:A502"/>
    <mergeCell ref="A503:A509"/>
    <mergeCell ref="F503:F509"/>
    <mergeCell ref="A547:A549"/>
    <mergeCell ref="A550:A561"/>
    <mergeCell ref="F550:F553"/>
    <mergeCell ref="F554:F561"/>
    <mergeCell ref="A533:A536"/>
    <mergeCell ref="F533:F536"/>
    <mergeCell ref="A537:A544"/>
    <mergeCell ref="F540:F544"/>
    <mergeCell ref="F537:F539"/>
    <mergeCell ref="F545:F546"/>
    <mergeCell ref="A545:A546"/>
    <mergeCell ref="F590:F592"/>
    <mergeCell ref="A590:A592"/>
    <mergeCell ref="A593:A602"/>
    <mergeCell ref="F593:F594"/>
    <mergeCell ref="F595:F602"/>
    <mergeCell ref="A730:A733"/>
    <mergeCell ref="F730:F733"/>
    <mergeCell ref="F621:F627"/>
    <mergeCell ref="A621:A627"/>
    <mergeCell ref="A673:A677"/>
    <mergeCell ref="F678:F680"/>
    <mergeCell ref="A678:A685"/>
    <mergeCell ref="F681:F685"/>
    <mergeCell ref="A656:A659"/>
    <mergeCell ref="F656:F659"/>
    <mergeCell ref="A660:A664"/>
    <mergeCell ref="F660:F664"/>
    <mergeCell ref="F665:F666"/>
    <mergeCell ref="F667:F672"/>
    <mergeCell ref="A665:A672"/>
    <mergeCell ref="F616:F620"/>
    <mergeCell ref="A616:A620"/>
    <mergeCell ref="A603:A607"/>
    <mergeCell ref="F603:F607"/>
    <mergeCell ref="F608:F611"/>
    <mergeCell ref="A608:A611"/>
    <mergeCell ref="A691:A694"/>
    <mergeCell ref="F691:F694"/>
    <mergeCell ref="A686:A689"/>
    <mergeCell ref="F686:F689"/>
    <mergeCell ref="A695:A697"/>
    <mergeCell ref="F695:F697"/>
    <mergeCell ref="A713:A716"/>
    <mergeCell ref="F713:F716"/>
    <mergeCell ref="A641:A645"/>
    <mergeCell ref="F641:F645"/>
    <mergeCell ref="A646:A649"/>
    <mergeCell ref="F646:F649"/>
    <mergeCell ref="A650:A655"/>
    <mergeCell ref="F650:F655"/>
    <mergeCell ref="A628:A631"/>
    <mergeCell ref="F628:F631"/>
    <mergeCell ref="F632:F636"/>
    <mergeCell ref="A632:A640"/>
    <mergeCell ref="F637:F640"/>
    <mergeCell ref="A734:A737"/>
    <mergeCell ref="F734:F737"/>
    <mergeCell ref="A738:A742"/>
    <mergeCell ref="F738:F742"/>
    <mergeCell ref="F756:F760"/>
    <mergeCell ref="F752:F755"/>
    <mergeCell ref="A752:A755"/>
    <mergeCell ref="A747:A751"/>
    <mergeCell ref="F743:F746"/>
    <mergeCell ref="A743:A746"/>
    <mergeCell ref="F747:F751"/>
    <mergeCell ref="A756:A774"/>
    <mergeCell ref="F761:F774"/>
    <mergeCell ref="F721:F723"/>
    <mergeCell ref="A721:A729"/>
    <mergeCell ref="F724:F729"/>
    <mergeCell ref="A698:A701"/>
    <mergeCell ref="F698:F701"/>
    <mergeCell ref="A702:A706"/>
    <mergeCell ref="A707:A712"/>
    <mergeCell ref="F707:F712"/>
    <mergeCell ref="A717:A720"/>
    <mergeCell ref="F717:F720"/>
    <mergeCell ref="A801:A806"/>
    <mergeCell ref="F801:F806"/>
    <mergeCell ref="A826:A830"/>
    <mergeCell ref="F826:F830"/>
    <mergeCell ref="F831:F835"/>
    <mergeCell ref="A831:A841"/>
    <mergeCell ref="F807:F809"/>
    <mergeCell ref="F836:F841"/>
    <mergeCell ref="A842:A846"/>
    <mergeCell ref="F814:F818"/>
    <mergeCell ref="A814:A825"/>
    <mergeCell ref="F819:F825"/>
    <mergeCell ref="A810:A813"/>
    <mergeCell ref="A807:A809"/>
    <mergeCell ref="F842:F846"/>
    <mergeCell ref="F786:F789"/>
    <mergeCell ref="A791:A795"/>
    <mergeCell ref="A775:A778"/>
    <mergeCell ref="F775:F778"/>
    <mergeCell ref="A779:A781"/>
    <mergeCell ref="F782:F785"/>
    <mergeCell ref="A782:A789"/>
    <mergeCell ref="F791:F795"/>
    <mergeCell ref="A796:A800"/>
    <mergeCell ref="F796:F800"/>
    <mergeCell ref="A937:A941"/>
    <mergeCell ref="F937:F941"/>
    <mergeCell ref="A855:A857"/>
    <mergeCell ref="F855:F857"/>
    <mergeCell ref="A858:A860"/>
    <mergeCell ref="F861:F865"/>
    <mergeCell ref="A861:A872"/>
    <mergeCell ref="F866:F872"/>
    <mergeCell ref="F873:F877"/>
    <mergeCell ref="F926:F930"/>
    <mergeCell ref="A923:A930"/>
    <mergeCell ref="A931:A936"/>
    <mergeCell ref="F847:F850"/>
    <mergeCell ref="A847:A854"/>
    <mergeCell ref="F851:F854"/>
    <mergeCell ref="A873:A877"/>
    <mergeCell ref="F885:F889"/>
    <mergeCell ref="A885:A889"/>
    <mergeCell ref="F890:F893"/>
    <mergeCell ref="A890:A900"/>
    <mergeCell ref="F931:F936"/>
    <mergeCell ref="A1111:A1116"/>
    <mergeCell ref="F1111:F1116"/>
    <mergeCell ref="A1134:A1139"/>
    <mergeCell ref="A1140:A1144"/>
    <mergeCell ref="A1145:A1152"/>
    <mergeCell ref="F1140:F1144"/>
    <mergeCell ref="F1117:F1121"/>
    <mergeCell ref="A1117:A1121"/>
    <mergeCell ref="F878:F880"/>
    <mergeCell ref="F881:F884"/>
    <mergeCell ref="A878:A884"/>
    <mergeCell ref="A953:A964"/>
    <mergeCell ref="F957:F964"/>
    <mergeCell ref="F894:F900"/>
    <mergeCell ref="F909:F916"/>
    <mergeCell ref="A901:A903"/>
    <mergeCell ref="F901:F903"/>
    <mergeCell ref="A904:A905"/>
    <mergeCell ref="F906:F908"/>
    <mergeCell ref="A906:A916"/>
    <mergeCell ref="A942:A947"/>
    <mergeCell ref="A1106:A1110"/>
    <mergeCell ref="F1100:F1105"/>
    <mergeCell ref="F1106:F1110"/>
    <mergeCell ref="F942:F947"/>
    <mergeCell ref="A917:A919"/>
    <mergeCell ref="F917:F919"/>
    <mergeCell ref="A1083:A1087"/>
    <mergeCell ref="F1083:F1087"/>
    <mergeCell ref="A1088:A1092"/>
    <mergeCell ref="F1088:F1092"/>
    <mergeCell ref="A1093:A1099"/>
    <mergeCell ref="F1093:F1099"/>
    <mergeCell ref="A920:A922"/>
    <mergeCell ref="F923:F925"/>
    <mergeCell ref="A965:A969"/>
    <mergeCell ref="F965:F969"/>
    <mergeCell ref="F970:F973"/>
    <mergeCell ref="A970:A980"/>
    <mergeCell ref="F974:F980"/>
    <mergeCell ref="A1067:A1071"/>
    <mergeCell ref="F1067:F1071"/>
    <mergeCell ref="A1051:A1055"/>
    <mergeCell ref="A1056:A1059"/>
    <mergeCell ref="F1056:F1059"/>
    <mergeCell ref="A948:A952"/>
    <mergeCell ref="F948:F952"/>
    <mergeCell ref="F953:F956"/>
    <mergeCell ref="A1244:A1249"/>
    <mergeCell ref="A1250:A1255"/>
    <mergeCell ref="A1228:A1232"/>
    <mergeCell ref="A1215:A1219"/>
    <mergeCell ref="A1220:A1227"/>
    <mergeCell ref="A1153:A1158"/>
    <mergeCell ref="A1159:A1163"/>
    <mergeCell ref="F1153:F1158"/>
    <mergeCell ref="F1159:F1163"/>
    <mergeCell ref="F1164:F1171"/>
    <mergeCell ref="A1164:A1171"/>
    <mergeCell ref="A1189:A1194"/>
    <mergeCell ref="F1200:F1209"/>
    <mergeCell ref="A1210:A1214"/>
    <mergeCell ref="F1195:F1199"/>
    <mergeCell ref="A1200:A1209"/>
    <mergeCell ref="A1195:A1199"/>
    <mergeCell ref="F1189:F1194"/>
    <mergeCell ref="A1122:A1126"/>
    <mergeCell ref="F1122:F1126"/>
    <mergeCell ref="A1127:A1133"/>
    <mergeCell ref="F1127:F1133"/>
    <mergeCell ref="F1145:F1152"/>
    <mergeCell ref="F1421:F1427"/>
    <mergeCell ref="A1421:A1427"/>
    <mergeCell ref="A1409:A1414"/>
    <mergeCell ref="A1415:A1420"/>
    <mergeCell ref="A1403:A1408"/>
    <mergeCell ref="F1403:F1408"/>
    <mergeCell ref="A1172:A1176"/>
    <mergeCell ref="A1177:A1181"/>
    <mergeCell ref="F1172:F1176"/>
    <mergeCell ref="F1177:F1181"/>
    <mergeCell ref="A1398:A1402"/>
    <mergeCell ref="A1256:A1263"/>
    <mergeCell ref="A1238:A1243"/>
    <mergeCell ref="F1238:F1243"/>
    <mergeCell ref="F1220:F1227"/>
    <mergeCell ref="F1256:F1263"/>
    <mergeCell ref="A1233:A1237"/>
    <mergeCell ref="F1182:F1188"/>
    <mergeCell ref="A1182:A1188"/>
    <mergeCell ref="A1720:A1721"/>
    <mergeCell ref="F1720:F1721"/>
    <mergeCell ref="A1722:A1723"/>
    <mergeCell ref="F1722:F1723"/>
    <mergeCell ref="A1724:A1727"/>
    <mergeCell ref="F1724:F1727"/>
    <mergeCell ref="A1728:A1729"/>
    <mergeCell ref="F1728:F1729"/>
    <mergeCell ref="A1716:A1717"/>
    <mergeCell ref="F1716:F1717"/>
    <mergeCell ref="A1749:A1752"/>
    <mergeCell ref="F1749:F1752"/>
    <mergeCell ref="A1753:A1754"/>
    <mergeCell ref="F1753:F1754"/>
    <mergeCell ref="A1755:A1756"/>
    <mergeCell ref="F1755:F1756"/>
    <mergeCell ref="F1757:F1758"/>
    <mergeCell ref="A1757:A1758"/>
    <mergeCell ref="A1733:A1734"/>
    <mergeCell ref="F1733:F1734"/>
    <mergeCell ref="A1735:A1738"/>
    <mergeCell ref="F1735:F1738"/>
    <mergeCell ref="A1739:A1740"/>
    <mergeCell ref="F1739:F1740"/>
    <mergeCell ref="A1741:A1743"/>
    <mergeCell ref="F1741:F1743"/>
    <mergeCell ref="A1744:A1745"/>
    <mergeCell ref="F1744:F1745"/>
    <mergeCell ref="A1803:A1806"/>
    <mergeCell ref="F1803:F1806"/>
    <mergeCell ref="A1807:A1810"/>
    <mergeCell ref="A1811:A1812"/>
    <mergeCell ref="F1807:F1810"/>
    <mergeCell ref="F1811:F1812"/>
    <mergeCell ref="A1813:A1816"/>
    <mergeCell ref="F1813:F1816"/>
    <mergeCell ref="A1787:A1789"/>
    <mergeCell ref="A1790:A1793"/>
    <mergeCell ref="A1794:A1795"/>
    <mergeCell ref="F1787:F1789"/>
    <mergeCell ref="F1790:F1793"/>
    <mergeCell ref="F1794:F1795"/>
    <mergeCell ref="A1796:A1798"/>
    <mergeCell ref="F1796:F1798"/>
    <mergeCell ref="A1799:A1800"/>
    <mergeCell ref="F1799:F1800"/>
    <mergeCell ref="A1822:A1824"/>
    <mergeCell ref="F1822:F1824"/>
    <mergeCell ref="A1825:A1829"/>
    <mergeCell ref="F1825:F1829"/>
    <mergeCell ref="A1831:A1832"/>
    <mergeCell ref="F1831:F1832"/>
    <mergeCell ref="A1833:A1834"/>
    <mergeCell ref="A1835:A1836"/>
    <mergeCell ref="F1833:F1834"/>
    <mergeCell ref="F1835:F1836"/>
    <mergeCell ref="A1885:A1886"/>
    <mergeCell ref="F1869:F1872"/>
    <mergeCell ref="F1873:F1876"/>
    <mergeCell ref="F1877:F1878"/>
    <mergeCell ref="F1879:F1884"/>
    <mergeCell ref="F1885:F1886"/>
    <mergeCell ref="A1887:A1889"/>
    <mergeCell ref="F1887:F1889"/>
    <mergeCell ref="M1830:M1837"/>
    <mergeCell ref="A1869:A1872"/>
    <mergeCell ref="A1873:A1876"/>
    <mergeCell ref="A1877:A1878"/>
    <mergeCell ref="A1879:A1884"/>
    <mergeCell ref="A1838:A1841"/>
    <mergeCell ref="F1838:F1841"/>
    <mergeCell ref="A1842:A1845"/>
    <mergeCell ref="A1846:A1847"/>
    <mergeCell ref="F1842:F1845"/>
    <mergeCell ref="F1846:F1847"/>
    <mergeCell ref="A1848:A1849"/>
    <mergeCell ref="F1848:F1849"/>
    <mergeCell ref="A1850:A1851"/>
    <mergeCell ref="F1850:F1851"/>
    <mergeCell ref="A1854:A1855"/>
    <mergeCell ref="A1925:A1927"/>
    <mergeCell ref="F1925:F1927"/>
    <mergeCell ref="A1909:A1912"/>
    <mergeCell ref="F1909:F1912"/>
    <mergeCell ref="A1913:A1918"/>
    <mergeCell ref="A1919:A1921"/>
    <mergeCell ref="A1922:A1924"/>
    <mergeCell ref="F1913:F1918"/>
    <mergeCell ref="F1919:F1921"/>
    <mergeCell ref="F1922:F1924"/>
    <mergeCell ref="A1930:A1932"/>
    <mergeCell ref="F1930:F1932"/>
    <mergeCell ref="A1933:A1937"/>
    <mergeCell ref="F1933:F1937"/>
    <mergeCell ref="F1938:F1940"/>
    <mergeCell ref="A1938:A1940"/>
    <mergeCell ref="A1941:A1944"/>
    <mergeCell ref="A1945:A1948"/>
    <mergeCell ref="F1941:F1944"/>
    <mergeCell ref="F1945:F1948"/>
  </mergeCells>
  <pageMargins left="0.31496062992125984" right="0.31496062992125984" top="1.3385826771653544" bottom="0.35433070866141736" header="0.51181102362204722" footer="0.51181102362204722"/>
  <pageSetup paperSize="9" firstPageNumber="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453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Uaer4</dc:creator>
  <dc:description/>
  <cp:lastModifiedBy>Uaer4</cp:lastModifiedBy>
  <cp:revision>183</cp:revision>
  <cp:lastPrinted>2026-09-11T08:02:23Z</cp:lastPrinted>
  <dcterms:created xsi:type="dcterms:W3CDTF">2015-06-05T18:19:34Z</dcterms:created>
  <dcterms:modified xsi:type="dcterms:W3CDTF">2026-10-27T08:07:19Z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