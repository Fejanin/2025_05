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79F2D7F-76AD-43D7-88DC-85924B83324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45" i="1" l="1"/>
  <c r="B846" i="1"/>
  <c r="B848" i="1"/>
  <c r="B849" i="1"/>
  <c r="B850" i="1"/>
  <c r="B851" i="1"/>
  <c r="B852" i="1"/>
  <c r="B853" i="1"/>
  <c r="B854" i="1"/>
  <c r="B855" i="1"/>
  <c r="B843" i="1" l="1"/>
  <c r="B844" i="1"/>
  <c r="B847" i="1"/>
  <c r="B840" i="1" l="1"/>
  <c r="B841" i="1"/>
  <c r="B842" i="1"/>
  <c r="F837" i="1" l="1"/>
  <c r="B837" i="1"/>
  <c r="H834" i="1" l="1"/>
  <c r="F834" i="1"/>
  <c r="J834" i="1"/>
  <c r="B834" i="1" l="1"/>
  <c r="B835" i="1"/>
  <c r="B836" i="1"/>
  <c r="B838" i="1"/>
  <c r="B839" i="1"/>
  <c r="B829" i="1" l="1"/>
  <c r="H828" i="1"/>
  <c r="J828" i="1"/>
  <c r="J826" i="1" l="1"/>
  <c r="H826" i="1"/>
  <c r="B828" i="1"/>
  <c r="B830" i="1"/>
  <c r="B831" i="1"/>
  <c r="B832" i="1"/>
  <c r="B833" i="1"/>
  <c r="B817" i="1"/>
  <c r="B818" i="1"/>
  <c r="B819" i="1"/>
  <c r="B820" i="1"/>
  <c r="B821" i="1"/>
  <c r="B822" i="1"/>
  <c r="B823" i="1"/>
  <c r="B824" i="1"/>
  <c r="B825" i="1"/>
  <c r="B826" i="1"/>
  <c r="B827" i="1"/>
  <c r="D814" i="1" l="1"/>
  <c r="F813" i="1"/>
  <c r="B814" i="1" l="1"/>
  <c r="B813" i="1" l="1"/>
  <c r="B815" i="1"/>
  <c r="B816" i="1"/>
  <c r="B809" i="1" l="1"/>
  <c r="B810" i="1"/>
  <c r="B811" i="1"/>
  <c r="B812" i="1"/>
  <c r="B806" i="1" l="1"/>
  <c r="J803" i="1" l="1"/>
  <c r="H803" i="1"/>
  <c r="B803" i="1" l="1"/>
  <c r="B804" i="1"/>
  <c r="B805" i="1"/>
  <c r="B807" i="1"/>
  <c r="B808" i="1"/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<sst xmlns="http://schemas.openxmlformats.org/spreadsheetml/2006/main" count="3474" uniqueCount="33">
  <si>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</si>
  <si>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</si>
  <si>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</si>
  <si>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</si>
  <si>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</si>
  <si>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</si>
  <si>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</si>
  <si>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</si>
  <si>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</si>
  <si>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</si>
  <si>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</si>
  <si>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</si>
  <si>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</si>
  <si>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</si>
  <si>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</si>
  <si>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</si>
  <si>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</si>
  <si>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</si>
  <si>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</si>
  <si>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</si>
  <si>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</si>
  <si>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</si>
  <si>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</si>
  <si>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</si>
  <si>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</si>
  <si>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</si>
  <si>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</si>
  <si>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</si>
  <si>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</si>
  <si>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</si>
  <si>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</si>
  <si>
    <t>Майонез</t>
  </si>
  <si>
    <t>СЫР + Майонез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</si>
</sst>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7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9" fillId="8" borderId="2" xfId="1" applyFont="1" applyFill="1" applyBorder="1" applyAlignment="1">
      <alignment horizontal="center" vertical="center"/>
    </xf>
    <xf numFmtId="14" fontId="9" fillId="8" borderId="2" xfId="1" applyNumberFormat="1" applyFont="1" applyFill="1" applyBorder="1" applyAlignment="1">
      <alignment horizontal="center" vertical="center"/>
    </xf>
    <xf numFmtId="3" fontId="10" fillId="8" borderId="2" xfId="0" applyNumberFormat="1" applyFont="1" applyFill="1" applyBorder="1" applyAlignment="1">
      <alignment horizontal="center" vertical="center" wrapText="1"/>
    </xf>
    <xf numFmtId="3" fontId="11" fillId="8" borderId="2" xfId="0" applyNumberFormat="1" applyFont="1" applyFill="1" applyBorder="1" applyAlignment="1">
      <alignment horizontal="center" vertical="center" wrapText="1"/>
    </xf>
    <xf numFmtId="3" fontId="12" fillId="8" borderId="2" xfId="1" applyNumberFormat="1" applyFont="1" applyFill="1" applyBorder="1" applyAlignment="1">
      <alignment horizontal="center" vertical="center"/>
    </xf>
    <xf numFmtId="3" fontId="11" fillId="8" borderId="2" xfId="1" applyNumberFormat="1" applyFont="1" applyFill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513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55"/>
  <sheetViews>
    <sheetView tabSelected="1" zoomScale="130" zoomScaleNormal="130" workbookViewId="0">
      <pane ySplit="3" topLeftCell="A837" activePane="bottomLeft" state="frozen"/>
      <selection pane="bottomLeft" activeCell="H846" sqref="H846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spans="1:13" ht="29.25" customHeight="1" x14ac:dyDescent="0.3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  <row r="803" spans="1:11" x14ac:dyDescent="0.25">
      <c r="A803" s="1">
        <v>799</v>
      </c>
      <c r="B803" s="7" t="str">
        <f t="shared" ref="B803:B808" si="127">IF(C803&lt;&gt;"",TEXT(C803,"ДДД"),"")</f>
        <v>Вт</v>
      </c>
      <c r="C803" s="8">
        <v>46007</v>
      </c>
      <c r="D803" s="9">
        <v>3200</v>
      </c>
      <c r="E803" s="10" t="s">
        <v>12</v>
      </c>
      <c r="F803" s="11">
        <v>3400</v>
      </c>
      <c r="G803" s="10" t="s">
        <v>12</v>
      </c>
      <c r="H803" s="11">
        <f>17100+4400</f>
        <v>21500</v>
      </c>
      <c r="I803" s="10" t="s">
        <v>12</v>
      </c>
      <c r="J803" s="11">
        <f>9400+4200</f>
        <v>13600</v>
      </c>
      <c r="K803" s="10" t="s">
        <v>12</v>
      </c>
    </row>
    <row r="804" spans="1:11" x14ac:dyDescent="0.25">
      <c r="A804" s="1">
        <v>800</v>
      </c>
      <c r="B804" s="7" t="str">
        <f t="shared" si="127"/>
        <v>Ср</v>
      </c>
      <c r="C804" s="8">
        <v>46008</v>
      </c>
      <c r="D804" s="9"/>
      <c r="E804" s="10"/>
      <c r="F804" s="11"/>
      <c r="G804" s="12"/>
      <c r="H804" s="11"/>
      <c r="I804" s="12"/>
      <c r="J804" s="11">
        <v>9200</v>
      </c>
      <c r="K804" s="10" t="s">
        <v>12</v>
      </c>
    </row>
    <row r="805" spans="1:11" x14ac:dyDescent="0.25">
      <c r="A805" s="1">
        <v>801</v>
      </c>
      <c r="B805" s="7" t="str">
        <f t="shared" si="127"/>
        <v>Чт</v>
      </c>
      <c r="C805" s="8">
        <v>46009</v>
      </c>
      <c r="D805" s="9">
        <v>3100</v>
      </c>
      <c r="E805" s="10" t="s">
        <v>12</v>
      </c>
      <c r="F805" s="11">
        <v>2400</v>
      </c>
      <c r="G805" s="10" t="s">
        <v>12</v>
      </c>
      <c r="H805" s="11">
        <v>12200</v>
      </c>
      <c r="I805" s="10" t="s">
        <v>12</v>
      </c>
      <c r="J805" s="11">
        <v>1200</v>
      </c>
      <c r="K805" s="10" t="s">
        <v>12</v>
      </c>
    </row>
    <row r="806" spans="1:11" x14ac:dyDescent="0.25">
      <c r="A806" s="1">
        <v>802</v>
      </c>
      <c r="B806" s="7" t="str">
        <f t="shared" ref="B806" si="128">IF(C806&lt;&gt;"",TEXT(C806,"ДДД"),"")</f>
        <v>Чт</v>
      </c>
      <c r="C806" s="8">
        <v>46009</v>
      </c>
      <c r="D806" s="9">
        <v>7900</v>
      </c>
      <c r="E806" s="10" t="s">
        <v>11</v>
      </c>
      <c r="F806" s="11">
        <v>3200</v>
      </c>
      <c r="G806" s="10" t="s">
        <v>11</v>
      </c>
      <c r="H806" s="11">
        <v>4600</v>
      </c>
      <c r="I806" s="10" t="s">
        <v>11</v>
      </c>
      <c r="J806" s="11">
        <v>11000</v>
      </c>
      <c r="K806" s="10" t="s">
        <v>11</v>
      </c>
    </row>
    <row r="807" spans="1:11" x14ac:dyDescent="0.25">
      <c r="A807" s="1">
        <v>803</v>
      </c>
      <c r="B807" s="7" t="str">
        <f t="shared" si="127"/>
        <v>Пт</v>
      </c>
      <c r="C807" s="8">
        <v>46010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804</v>
      </c>
      <c r="B808" s="7" t="str">
        <f t="shared" si="127"/>
        <v>Сб</v>
      </c>
      <c r="C808" s="8">
        <v>46011</v>
      </c>
      <c r="D808" s="9"/>
      <c r="E808" s="10"/>
      <c r="F808" s="11"/>
      <c r="G808" s="12"/>
      <c r="H808" s="11">
        <v>3400</v>
      </c>
      <c r="I808" s="10" t="s">
        <v>12</v>
      </c>
      <c r="J808" s="11">
        <v>6700</v>
      </c>
      <c r="K808" s="10" t="s">
        <v>12</v>
      </c>
    </row>
    <row r="809" spans="1:11" x14ac:dyDescent="0.25">
      <c r="A809" s="1">
        <v>805</v>
      </c>
      <c r="B809" s="7" t="str">
        <f t="shared" ref="B809:B812" si="129">IF(C809&lt;&gt;"",TEXT(C809,"ДДД"),"")</f>
        <v>Вс</v>
      </c>
      <c r="C809" s="8">
        <v>46012</v>
      </c>
      <c r="D809" s="9"/>
      <c r="E809" s="10"/>
      <c r="F809" s="11"/>
      <c r="G809" s="12"/>
      <c r="H809" s="11"/>
      <c r="I809" s="12"/>
      <c r="J809" s="11"/>
      <c r="K809" s="12"/>
    </row>
    <row r="810" spans="1:11" x14ac:dyDescent="0.25">
      <c r="A810" s="1">
        <v>806</v>
      </c>
      <c r="B810" s="7" t="str">
        <f t="shared" si="129"/>
        <v>Пн</v>
      </c>
      <c r="C810" s="8">
        <v>46013</v>
      </c>
      <c r="D810" s="9"/>
      <c r="E810" s="10"/>
      <c r="F810" s="11"/>
      <c r="G810" s="12"/>
      <c r="H810" s="11"/>
      <c r="I810" s="12"/>
      <c r="J810" s="11"/>
      <c r="K810" s="12"/>
    </row>
    <row r="811" spans="1:11" x14ac:dyDescent="0.25">
      <c r="A811" s="1">
        <v>807</v>
      </c>
      <c r="B811" s="7" t="str">
        <f t="shared" si="129"/>
        <v>Вт</v>
      </c>
      <c r="C811" s="8">
        <v>46014</v>
      </c>
      <c r="D811" s="9">
        <v>7800</v>
      </c>
      <c r="E811" s="10" t="s">
        <v>12</v>
      </c>
      <c r="F811" s="11">
        <v>9800</v>
      </c>
      <c r="G811" s="10" t="s">
        <v>12</v>
      </c>
      <c r="H811" s="11">
        <v>17700</v>
      </c>
      <c r="I811" s="10" t="s">
        <v>12</v>
      </c>
      <c r="J811" s="11">
        <v>17500</v>
      </c>
      <c r="K811" s="10" t="s">
        <v>12</v>
      </c>
    </row>
    <row r="812" spans="1:11" x14ac:dyDescent="0.25">
      <c r="A812" s="1">
        <v>808</v>
      </c>
      <c r="B812" s="7" t="str">
        <f t="shared" si="129"/>
        <v>Ср</v>
      </c>
      <c r="C812" s="8">
        <v>46015</v>
      </c>
      <c r="D812" s="9"/>
      <c r="E812" s="10"/>
      <c r="F812" s="11"/>
      <c r="G812" s="12"/>
      <c r="H812" s="11">
        <v>9000</v>
      </c>
      <c r="I812" s="10" t="s">
        <v>12</v>
      </c>
      <c r="J812" s="11"/>
      <c r="K812" s="12"/>
    </row>
    <row r="813" spans="1:11" x14ac:dyDescent="0.25">
      <c r="A813" s="1">
        <v>809</v>
      </c>
      <c r="B813" s="7" t="str">
        <f t="shared" ref="B813:B816" si="130">IF(C813&lt;&gt;"",TEXT(C813,"ДДД"),"")</f>
        <v>Чт</v>
      </c>
      <c r="C813" s="8">
        <v>46016</v>
      </c>
      <c r="D813" s="9">
        <v>4900</v>
      </c>
      <c r="E813" s="10" t="s">
        <v>12</v>
      </c>
      <c r="F813" s="11">
        <f>3500+2100</f>
        <v>5600</v>
      </c>
      <c r="G813" s="10" t="s">
        <v>12</v>
      </c>
      <c r="H813" s="11">
        <v>5000</v>
      </c>
      <c r="I813" s="10" t="s">
        <v>12</v>
      </c>
      <c r="J813" s="11">
        <v>15400</v>
      </c>
      <c r="K813" s="10" t="s">
        <v>12</v>
      </c>
    </row>
    <row r="814" spans="1:11" x14ac:dyDescent="0.25">
      <c r="A814" s="1">
        <v>810</v>
      </c>
      <c r="B814" s="7" t="str">
        <f t="shared" ref="B814" si="131">IF(C814&lt;&gt;"",TEXT(C814,"ДДД"),"")</f>
        <v>Чт</v>
      </c>
      <c r="C814" s="8">
        <v>46016</v>
      </c>
      <c r="D814" s="9">
        <f>11100+2200</f>
        <v>13300</v>
      </c>
      <c r="E814" s="10" t="s">
        <v>11</v>
      </c>
      <c r="F814" s="11">
        <v>9500</v>
      </c>
      <c r="G814" s="10" t="s">
        <v>11</v>
      </c>
      <c r="H814" s="11">
        <v>7000</v>
      </c>
      <c r="I814" s="10" t="s">
        <v>11</v>
      </c>
      <c r="J814" s="11">
        <v>9000</v>
      </c>
      <c r="K814" s="10" t="s">
        <v>11</v>
      </c>
    </row>
    <row r="815" spans="1:11" x14ac:dyDescent="0.25">
      <c r="A815" s="1">
        <v>811</v>
      </c>
      <c r="B815" s="7" t="str">
        <f t="shared" si="130"/>
        <v>Пт</v>
      </c>
      <c r="C815" s="8">
        <v>46017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812</v>
      </c>
      <c r="B816" s="7" t="str">
        <f t="shared" si="130"/>
        <v>Сб</v>
      </c>
      <c r="C816" s="8">
        <v>46018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813</v>
      </c>
      <c r="B817" s="7" t="str">
        <f t="shared" ref="B817:B827" si="132">IF(C817&lt;&gt;"",TEXT(C817,"ДДД"),"")</f>
        <v>Вс</v>
      </c>
      <c r="C817" s="8">
        <v>46019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814</v>
      </c>
      <c r="B818" s="7" t="str">
        <f t="shared" si="132"/>
        <v>Пн</v>
      </c>
      <c r="C818" s="8">
        <v>46020</v>
      </c>
      <c r="D818" s="9"/>
      <c r="E818" s="10"/>
      <c r="F818" s="11"/>
      <c r="G818" s="12"/>
      <c r="H818" s="11"/>
      <c r="I818" s="12"/>
      <c r="J818" s="11"/>
      <c r="K818" s="12"/>
    </row>
    <row r="819" spans="1:11" x14ac:dyDescent="0.25">
      <c r="A819" s="1">
        <v>815</v>
      </c>
      <c r="B819" s="7" t="str">
        <f t="shared" si="132"/>
        <v>Вт</v>
      </c>
      <c r="C819" s="8">
        <v>46021</v>
      </c>
      <c r="D819" s="9"/>
      <c r="E819" s="10"/>
      <c r="F819" s="11"/>
      <c r="G819" s="12"/>
      <c r="H819" s="11"/>
      <c r="I819" s="12"/>
      <c r="J819" s="11"/>
      <c r="K819" s="12"/>
    </row>
    <row r="820" spans="1:11" x14ac:dyDescent="0.25">
      <c r="A820" s="1">
        <v>816</v>
      </c>
      <c r="B820" s="29" t="str">
        <f t="shared" si="132"/>
        <v>Ср</v>
      </c>
      <c r="C820" s="30">
        <v>46022</v>
      </c>
      <c r="D820" s="31"/>
      <c r="E820" s="32"/>
      <c r="F820" s="33"/>
      <c r="G820" s="34"/>
      <c r="H820" s="33"/>
      <c r="I820" s="34"/>
      <c r="J820" s="33"/>
      <c r="K820" s="34"/>
    </row>
    <row r="821" spans="1:11" x14ac:dyDescent="0.25">
      <c r="A821" s="1">
        <v>817</v>
      </c>
      <c r="B821" s="29" t="str">
        <f t="shared" si="132"/>
        <v>Чт</v>
      </c>
      <c r="C821" s="30">
        <v>46023</v>
      </c>
      <c r="D821" s="31"/>
      <c r="E821" s="32"/>
      <c r="F821" s="33"/>
      <c r="G821" s="34"/>
      <c r="H821" s="33"/>
      <c r="I821" s="34"/>
      <c r="J821" s="33"/>
      <c r="K821" s="34"/>
    </row>
    <row r="822" spans="1:11" x14ac:dyDescent="0.25">
      <c r="A822" s="1">
        <v>818</v>
      </c>
      <c r="B822" s="29" t="str">
        <f t="shared" si="132"/>
        <v>Пт</v>
      </c>
      <c r="C822" s="30">
        <v>46024</v>
      </c>
      <c r="D822" s="31"/>
      <c r="E822" s="32"/>
      <c r="F822" s="33"/>
      <c r="G822" s="34"/>
      <c r="H822" s="33"/>
      <c r="I822" s="34"/>
      <c r="J822" s="33"/>
      <c r="K822" s="34"/>
    </row>
    <row r="823" spans="1:11" x14ac:dyDescent="0.25">
      <c r="A823" s="1">
        <v>819</v>
      </c>
      <c r="B823" s="29" t="str">
        <f t="shared" si="132"/>
        <v>Сб</v>
      </c>
      <c r="C823" s="30">
        <v>46025</v>
      </c>
      <c r="D823" s="31"/>
      <c r="E823" s="32"/>
      <c r="F823" s="33"/>
      <c r="G823" s="34"/>
      <c r="H823" s="33"/>
      <c r="I823" s="34"/>
      <c r="J823" s="33"/>
      <c r="K823" s="34"/>
    </row>
    <row r="824" spans="1:11" x14ac:dyDescent="0.25">
      <c r="A824" s="1">
        <v>820</v>
      </c>
      <c r="B824" s="29" t="str">
        <f t="shared" si="132"/>
        <v>Вс</v>
      </c>
      <c r="C824" s="30">
        <v>46026</v>
      </c>
      <c r="D824" s="31"/>
      <c r="E824" s="32"/>
      <c r="F824" s="33"/>
      <c r="G824" s="34"/>
      <c r="H824" s="33"/>
      <c r="I824" s="34"/>
      <c r="J824" s="33"/>
      <c r="K824" s="34"/>
    </row>
    <row r="825" spans="1:11" x14ac:dyDescent="0.25">
      <c r="A825" s="1">
        <v>821</v>
      </c>
      <c r="B825" s="7" t="str">
        <f t="shared" si="132"/>
        <v>Пн</v>
      </c>
      <c r="C825" s="8">
        <v>46027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822</v>
      </c>
      <c r="B826" s="7" t="str">
        <f t="shared" si="132"/>
        <v>Вт</v>
      </c>
      <c r="C826" s="8">
        <v>46028</v>
      </c>
      <c r="D826" s="9">
        <v>7200</v>
      </c>
      <c r="E826" s="10" t="s">
        <v>12</v>
      </c>
      <c r="F826" s="11">
        <v>6300</v>
      </c>
      <c r="G826" s="10" t="s">
        <v>12</v>
      </c>
      <c r="H826" s="11">
        <f>10000+8500</f>
        <v>18500</v>
      </c>
      <c r="I826" s="10" t="s">
        <v>12</v>
      </c>
      <c r="J826" s="11">
        <f>10900+8700</f>
        <v>19600</v>
      </c>
      <c r="K826" s="10" t="s">
        <v>12</v>
      </c>
    </row>
    <row r="827" spans="1:11" x14ac:dyDescent="0.25">
      <c r="A827" s="1">
        <v>823</v>
      </c>
      <c r="B827" s="7" t="str">
        <f t="shared" si="132"/>
        <v>Ср</v>
      </c>
      <c r="C827" s="8">
        <v>46029</v>
      </c>
      <c r="D827" s="9"/>
      <c r="E827" s="10"/>
      <c r="F827" s="11"/>
      <c r="G827" s="12"/>
      <c r="H827" s="11">
        <v>4000</v>
      </c>
      <c r="I827" s="10" t="s">
        <v>12</v>
      </c>
      <c r="J827" s="11">
        <v>4000</v>
      </c>
      <c r="K827" s="10" t="s">
        <v>12</v>
      </c>
    </row>
    <row r="828" spans="1:11" x14ac:dyDescent="0.25">
      <c r="A828" s="1">
        <v>824</v>
      </c>
      <c r="B828" s="7" t="str">
        <f t="shared" ref="B828:B833" si="133">IF(C828&lt;&gt;"",TEXT(C828,"ДДД"),"")</f>
        <v>Чт</v>
      </c>
      <c r="C828" s="8">
        <v>46030</v>
      </c>
      <c r="D828" s="9">
        <v>7000</v>
      </c>
      <c r="E828" s="10" t="s">
        <v>12</v>
      </c>
      <c r="F828" s="11">
        <v>6200</v>
      </c>
      <c r="G828" s="12" t="s">
        <v>12</v>
      </c>
      <c r="H828" s="11">
        <f>10100+8500+2400</f>
        <v>21000</v>
      </c>
      <c r="I828" s="10" t="s">
        <v>12</v>
      </c>
      <c r="J828" s="11">
        <f>10900+8800</f>
        <v>19700</v>
      </c>
      <c r="K828" s="10" t="s">
        <v>12</v>
      </c>
    </row>
    <row r="829" spans="1:11" x14ac:dyDescent="0.25">
      <c r="A829" s="1">
        <v>825</v>
      </c>
      <c r="B829" s="7" t="str">
        <f t="shared" ref="B829" si="134">IF(C829&lt;&gt;"",TEXT(C829,"ДДД"),"")</f>
        <v>Чт</v>
      </c>
      <c r="C829" s="8">
        <v>46030</v>
      </c>
      <c r="D829" s="9">
        <v>5500</v>
      </c>
      <c r="E829" s="10" t="s">
        <v>11</v>
      </c>
      <c r="F829" s="11">
        <v>3500</v>
      </c>
      <c r="G829" s="10" t="s">
        <v>11</v>
      </c>
      <c r="H829" s="11">
        <v>2800</v>
      </c>
      <c r="I829" s="10" t="s">
        <v>11</v>
      </c>
      <c r="J829" s="11">
        <v>3500</v>
      </c>
      <c r="K829" s="10" t="s">
        <v>11</v>
      </c>
    </row>
    <row r="830" spans="1:11" x14ac:dyDescent="0.25">
      <c r="A830" s="1">
        <v>826</v>
      </c>
      <c r="B830" s="7" t="str">
        <f t="shared" si="133"/>
        <v>Пт</v>
      </c>
      <c r="C830" s="8">
        <v>46031</v>
      </c>
      <c r="D830" s="9"/>
      <c r="E830" s="10"/>
      <c r="F830" s="11"/>
      <c r="G830" s="12"/>
      <c r="H830" s="11"/>
      <c r="I830" s="12"/>
      <c r="J830" s="11"/>
      <c r="K830" s="12"/>
    </row>
    <row r="831" spans="1:11" x14ac:dyDescent="0.25">
      <c r="A831" s="1">
        <v>827</v>
      </c>
      <c r="B831" s="7" t="str">
        <f t="shared" si="133"/>
        <v>Сб</v>
      </c>
      <c r="C831" s="8">
        <v>46032</v>
      </c>
      <c r="D831" s="9"/>
      <c r="E831" s="10"/>
      <c r="F831" s="11"/>
      <c r="G831" s="12"/>
      <c r="H831" s="11"/>
      <c r="I831" s="12"/>
      <c r="J831" s="11"/>
      <c r="K831" s="12"/>
    </row>
    <row r="832" spans="1:11" x14ac:dyDescent="0.25">
      <c r="A832" s="1">
        <v>828</v>
      </c>
      <c r="B832" s="7" t="str">
        <f t="shared" si="133"/>
        <v>Вс</v>
      </c>
      <c r="C832" s="8">
        <v>46033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829</v>
      </c>
      <c r="B833" s="7" t="str">
        <f t="shared" si="133"/>
        <v>Пн</v>
      </c>
      <c r="C833" s="8">
        <v>46034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830</v>
      </c>
      <c r="B834" s="7" t="str">
        <f t="shared" ref="B834:B839" si="135">IF(C834&lt;&gt;"",TEXT(C834,"ДДД"),"")</f>
        <v>Вт</v>
      </c>
      <c r="C834" s="8">
        <v>46035</v>
      </c>
      <c r="D834" s="9">
        <v>1100</v>
      </c>
      <c r="E834" s="10" t="s">
        <v>12</v>
      </c>
      <c r="F834" s="11">
        <f>2000+4800</f>
        <v>6800</v>
      </c>
      <c r="G834" s="10" t="s">
        <v>12</v>
      </c>
      <c r="H834" s="11">
        <f>12400+6500</f>
        <v>18900</v>
      </c>
      <c r="I834" s="10" t="s">
        <v>12</v>
      </c>
      <c r="J834" s="11">
        <f>7300+14000</f>
        <v>21300</v>
      </c>
      <c r="K834" s="10" t="s">
        <v>12</v>
      </c>
    </row>
    <row r="835" spans="1:11" x14ac:dyDescent="0.25">
      <c r="A835" s="1">
        <v>831</v>
      </c>
      <c r="B835" s="7" t="str">
        <f t="shared" si="135"/>
        <v>Ср</v>
      </c>
      <c r="C835" s="8">
        <v>46036</v>
      </c>
      <c r="D835" s="9">
        <v>2200</v>
      </c>
      <c r="E835" s="10" t="s">
        <v>12</v>
      </c>
      <c r="F835" s="11"/>
      <c r="G835" s="12"/>
      <c r="H835" s="11"/>
      <c r="I835" s="12"/>
      <c r="J835" s="11">
        <v>7000</v>
      </c>
      <c r="K835" s="10" t="s">
        <v>12</v>
      </c>
    </row>
    <row r="836" spans="1:11" x14ac:dyDescent="0.25">
      <c r="A836" s="1">
        <v>832</v>
      </c>
      <c r="B836" s="7" t="str">
        <f t="shared" si="135"/>
        <v>Чт</v>
      </c>
      <c r="C836" s="8">
        <v>46037</v>
      </c>
      <c r="D836" s="9"/>
      <c r="E836" s="10"/>
      <c r="F836" s="11">
        <v>2000</v>
      </c>
      <c r="G836" s="10" t="s">
        <v>12</v>
      </c>
      <c r="H836" s="11">
        <v>13700</v>
      </c>
      <c r="I836" s="10" t="s">
        <v>12</v>
      </c>
      <c r="J836" s="11"/>
      <c r="K836" s="12"/>
    </row>
    <row r="837" spans="1:11" x14ac:dyDescent="0.25">
      <c r="A837" s="1">
        <v>833</v>
      </c>
      <c r="B837" s="7" t="str">
        <f t="shared" ref="B837" si="136">IF(C837&lt;&gt;"",TEXT(C837,"ДДД"),"")</f>
        <v>Чт</v>
      </c>
      <c r="C837" s="8">
        <v>46037</v>
      </c>
      <c r="D837" s="9">
        <v>8900</v>
      </c>
      <c r="E837" s="10" t="s">
        <v>11</v>
      </c>
      <c r="F837" s="11">
        <f>3400+1500</f>
        <v>4900</v>
      </c>
      <c r="G837" s="10" t="s">
        <v>11</v>
      </c>
      <c r="H837" s="11">
        <v>4400</v>
      </c>
      <c r="I837" s="10" t="s">
        <v>11</v>
      </c>
      <c r="J837" s="11">
        <v>6700</v>
      </c>
      <c r="K837" s="10" t="s">
        <v>11</v>
      </c>
    </row>
    <row r="838" spans="1:11" x14ac:dyDescent="0.25">
      <c r="A838" s="1">
        <v>834</v>
      </c>
      <c r="B838" s="7" t="str">
        <f t="shared" si="135"/>
        <v>Пт</v>
      </c>
      <c r="C838" s="8">
        <v>46038</v>
      </c>
      <c r="D838" s="9"/>
      <c r="E838" s="10"/>
      <c r="F838" s="11"/>
      <c r="G838" s="12"/>
      <c r="H838" s="11"/>
      <c r="I838" s="12"/>
      <c r="J838" s="11"/>
      <c r="K838" s="12"/>
    </row>
    <row r="839" spans="1:11" x14ac:dyDescent="0.25">
      <c r="A839" s="1">
        <v>835</v>
      </c>
      <c r="B839" s="7" t="str">
        <f t="shared" si="135"/>
        <v>Сб</v>
      </c>
      <c r="C839" s="8">
        <v>46039</v>
      </c>
      <c r="D839" s="9"/>
      <c r="E839" s="10"/>
      <c r="F839" s="11"/>
      <c r="G839" s="12"/>
      <c r="H839" s="11">
        <v>5600</v>
      </c>
      <c r="I839" s="10" t="s">
        <v>12</v>
      </c>
      <c r="J839" s="11">
        <v>4500</v>
      </c>
      <c r="K839" s="10" t="s">
        <v>12</v>
      </c>
    </row>
    <row r="840" spans="1:11" x14ac:dyDescent="0.25">
      <c r="A840" s="1">
        <v>836</v>
      </c>
      <c r="B840" s="7" t="str">
        <f t="shared" ref="B840:B842" si="137">IF(C840&lt;&gt;"",TEXT(C840,"ДДД"),"")</f>
        <v>Вс</v>
      </c>
      <c r="C840" s="8">
        <v>46040</v>
      </c>
      <c r="D840" s="9"/>
      <c r="E840" s="10"/>
      <c r="F840" s="11"/>
      <c r="G840" s="12"/>
      <c r="H840" s="11"/>
      <c r="I840" s="12"/>
      <c r="J840" s="11"/>
      <c r="K840" s="12"/>
    </row>
    <row r="841" spans="1:11" x14ac:dyDescent="0.25">
      <c r="A841" s="1">
        <v>837</v>
      </c>
      <c r="B841" s="7" t="str">
        <f t="shared" si="137"/>
        <v>Пн</v>
      </c>
      <c r="C841" s="8">
        <v>46041</v>
      </c>
      <c r="D841" s="9"/>
      <c r="E841" s="10"/>
      <c r="F841" s="11"/>
      <c r="G841" s="12"/>
      <c r="H841" s="11"/>
      <c r="I841" s="12"/>
      <c r="J841" s="11"/>
      <c r="K841" s="12"/>
    </row>
    <row r="842" spans="1:11" x14ac:dyDescent="0.25">
      <c r="A842" s="1">
        <v>838</v>
      </c>
      <c r="B842" s="7" t="str">
        <f t="shared" si="137"/>
        <v>Вт</v>
      </c>
      <c r="C842" s="8">
        <v>46042</v>
      </c>
      <c r="D842" s="9">
        <v>2100</v>
      </c>
      <c r="E842" s="10" t="s">
        <v>12</v>
      </c>
      <c r="F842" s="11">
        <v>1400</v>
      </c>
      <c r="G842" s="10" t="s">
        <v>12</v>
      </c>
      <c r="H842" s="11">
        <v>8300</v>
      </c>
      <c r="I842" s="10" t="s">
        <v>12</v>
      </c>
      <c r="J842" s="11">
        <v>4900</v>
      </c>
      <c r="K842" s="10" t="s">
        <v>12</v>
      </c>
    </row>
    <row r="843" spans="1:11" x14ac:dyDescent="0.25">
      <c r="A843" s="1">
        <v>839</v>
      </c>
      <c r="B843" s="7" t="str">
        <f t="shared" ref="B843:B847" si="138">IF(C843&lt;&gt;"",TEXT(C843,"ДДД"),"")</f>
        <v>Ср</v>
      </c>
      <c r="C843" s="8">
        <v>46043</v>
      </c>
      <c r="D843" s="9"/>
      <c r="E843" s="10"/>
      <c r="F843" s="11"/>
      <c r="G843" s="12"/>
      <c r="H843" s="11">
        <v>6400</v>
      </c>
      <c r="I843" s="10" t="s">
        <v>12</v>
      </c>
      <c r="J843" s="11">
        <v>7100</v>
      </c>
      <c r="K843" s="10" t="s">
        <v>12</v>
      </c>
    </row>
    <row r="844" spans="1:11" x14ac:dyDescent="0.25">
      <c r="A844" s="1">
        <v>840</v>
      </c>
      <c r="B844" s="7" t="str">
        <f t="shared" si="138"/>
        <v>Чт</v>
      </c>
      <c r="C844" s="8">
        <v>46044</v>
      </c>
      <c r="D844" s="9">
        <v>2900</v>
      </c>
      <c r="E844" s="10" t="s">
        <v>12</v>
      </c>
      <c r="F844" s="11">
        <v>3500</v>
      </c>
      <c r="G844" s="10" t="s">
        <v>12</v>
      </c>
      <c r="H844" s="11">
        <v>5400</v>
      </c>
      <c r="I844" s="10" t="s">
        <v>12</v>
      </c>
      <c r="J844" s="11">
        <v>5900</v>
      </c>
      <c r="K844" s="10" t="s">
        <v>12</v>
      </c>
    </row>
    <row r="845" spans="1:11" x14ac:dyDescent="0.25">
      <c r="A845" s="1">
        <v>841</v>
      </c>
      <c r="B845" s="7" t="str">
        <f t="shared" ref="B845" si="139">IF(C845&lt;&gt;"",TEXT(C845,"ДДД"),"")</f>
        <v>Чт</v>
      </c>
      <c r="C845" s="8">
        <v>46044</v>
      </c>
      <c r="D845" s="9">
        <v>6400</v>
      </c>
      <c r="E845" s="10" t="s">
        <v>11</v>
      </c>
      <c r="F845" s="11">
        <v>7800</v>
      </c>
      <c r="G845" s="10" t="s">
        <v>11</v>
      </c>
      <c r="H845" s="11">
        <v>5700</v>
      </c>
      <c r="I845" s="10" t="s">
        <v>11</v>
      </c>
      <c r="J845" s="11">
        <v>8000</v>
      </c>
      <c r="K845" s="10" t="s">
        <v>11</v>
      </c>
    </row>
    <row r="846" spans="1:11" x14ac:dyDescent="0.25">
      <c r="A846" s="1">
        <v>842</v>
      </c>
      <c r="B846" s="7" t="str">
        <f t="shared" ref="B846" si="140">IF(C846&lt;&gt;"",TEXT(C846,"ДДД"),"")</f>
        <v>Пт</v>
      </c>
      <c r="C846" s="8">
        <v>46045</v>
      </c>
      <c r="D846" s="9"/>
      <c r="E846" s="10"/>
      <c r="F846" s="11"/>
      <c r="G846" s="12"/>
      <c r="H846" s="11"/>
      <c r="I846" s="12"/>
      <c r="J846" s="11"/>
      <c r="K846" s="12"/>
    </row>
    <row r="847" spans="1:11" x14ac:dyDescent="0.25">
      <c r="A847" s="1">
        <v>843</v>
      </c>
      <c r="B847" s="7" t="str">
        <f t="shared" si="138"/>
        <v>Сб</v>
      </c>
      <c r="C847" s="8">
        <v>46046</v>
      </c>
      <c r="D847" s="9"/>
      <c r="E847" s="10"/>
      <c r="F847" s="11"/>
      <c r="G847" s="12"/>
      <c r="H847" s="11"/>
      <c r="I847" s="12"/>
      <c r="J847" s="11"/>
      <c r="K847" s="12"/>
    </row>
    <row r="848" spans="1:11" x14ac:dyDescent="0.25">
      <c r="A848" s="1">
        <v>844</v>
      </c>
      <c r="B848" s="7" t="str">
        <f t="shared" ref="B848:B855" si="141">IF(C848&lt;&gt;"",TEXT(C848,"ДДД"),"")</f>
        <v>Вс</v>
      </c>
      <c r="C848" s="8">
        <v>46047</v>
      </c>
      <c r="D848" s="9"/>
      <c r="E848" s="10"/>
      <c r="F848" s="11"/>
      <c r="G848" s="12"/>
      <c r="H848" s="11"/>
      <c r="I848" s="12"/>
      <c r="J848" s="11"/>
      <c r="K848" s="12"/>
    </row>
    <row r="849" spans="1:11" x14ac:dyDescent="0.25">
      <c r="A849" s="1">
        <v>845</v>
      </c>
      <c r="B849" s="7" t="str">
        <f t="shared" si="141"/>
        <v>Пн</v>
      </c>
      <c r="C849" s="8">
        <v>46048</v>
      </c>
      <c r="D849" s="9"/>
      <c r="E849" s="10"/>
      <c r="F849" s="11"/>
      <c r="G849" s="12"/>
      <c r="H849" s="11"/>
      <c r="I849" s="12"/>
      <c r="J849" s="11"/>
      <c r="K849" s="12"/>
    </row>
    <row r="850" spans="1:11" x14ac:dyDescent="0.25">
      <c r="A850" s="1">
        <v>846</v>
      </c>
      <c r="B850" s="7" t="str">
        <f t="shared" si="141"/>
        <v>Вт</v>
      </c>
      <c r="C850" s="8">
        <v>46049</v>
      </c>
      <c r="D850" s="9"/>
      <c r="E850" s="10"/>
      <c r="F850" s="11"/>
      <c r="G850" s="12"/>
      <c r="H850" s="11"/>
      <c r="I850" s="12"/>
      <c r="J850" s="11"/>
      <c r="K850" s="12"/>
    </row>
    <row r="851" spans="1:11" x14ac:dyDescent="0.25">
      <c r="A851" s="1">
        <v>847</v>
      </c>
      <c r="B851" s="7" t="str">
        <f t="shared" si="141"/>
        <v>Ср</v>
      </c>
      <c r="C851" s="8">
        <v>46050</v>
      </c>
      <c r="D851" s="9"/>
      <c r="E851" s="10"/>
      <c r="F851" s="11"/>
      <c r="G851" s="12"/>
      <c r="H851" s="11"/>
      <c r="I851" s="12"/>
      <c r="J851" s="11"/>
      <c r="K851" s="12"/>
    </row>
    <row r="852" spans="1:11" x14ac:dyDescent="0.25">
      <c r="A852" s="1">
        <v>848</v>
      </c>
      <c r="B852" s="7" t="str">
        <f t="shared" si="141"/>
        <v>Чт</v>
      </c>
      <c r="C852" s="8">
        <v>46051</v>
      </c>
      <c r="D852" s="9"/>
      <c r="E852" s="10"/>
      <c r="F852" s="11"/>
      <c r="G852" s="12"/>
      <c r="H852" s="11"/>
      <c r="I852" s="12"/>
      <c r="J852" s="11"/>
      <c r="K852" s="12"/>
    </row>
    <row r="853" spans="1:11" x14ac:dyDescent="0.25">
      <c r="A853" s="1">
        <v>849</v>
      </c>
      <c r="B853" s="7" t="str">
        <f t="shared" si="141"/>
        <v>Пт</v>
      </c>
      <c r="C853" s="8">
        <v>46052</v>
      </c>
      <c r="D853" s="9"/>
      <c r="E853" s="10"/>
      <c r="F853" s="11"/>
      <c r="G853" s="12"/>
      <c r="H853" s="11"/>
      <c r="I853" s="12"/>
      <c r="J853" s="11"/>
      <c r="K853" s="12"/>
    </row>
    <row r="854" spans="1:11" x14ac:dyDescent="0.25">
      <c r="A854" s="1">
        <v>850</v>
      </c>
      <c r="B854" s="7" t="str">
        <f t="shared" si="141"/>
        <v>Сб</v>
      </c>
      <c r="C854" s="8">
        <v>46053</v>
      </c>
      <c r="D854" s="9"/>
      <c r="E854" s="10"/>
      <c r="F854" s="11"/>
      <c r="G854" s="12"/>
      <c r="H854" s="11"/>
      <c r="I854" s="12"/>
      <c r="J854" s="11"/>
      <c r="K854" s="12"/>
    </row>
    <row r="855" spans="1:11" x14ac:dyDescent="0.25">
      <c r="A855" s="1">
        <v>851</v>
      </c>
      <c r="B855" s="7" t="str">
        <f t="shared" si="141"/>
        <v>Вс</v>
      </c>
      <c r="C855" s="8">
        <v>46054</v>
      </c>
      <c r="D855" s="9"/>
      <c r="E855" s="10"/>
      <c r="F855" s="11"/>
      <c r="G855" s="12"/>
      <c r="H855" s="11"/>
      <c r="I855" s="12"/>
      <c r="J855" s="11"/>
      <c r="K855" s="12"/>
    </row>
  </sheetData>
  <mergeCells count="2">
    <mergeCell ref="A1:M1"/>
    <mergeCell ref="A2:M2"/>
  </mergeCells>
  <conditionalFormatting sqref="B4:E855">
    <cfRule type="expression" dxfId="512" priority="722">
      <formula>$C4=TODAY()</formula>
    </cfRule>
  </conditionalFormatting>
  <conditionalFormatting sqref="B4:M683 B684:K855">
    <cfRule type="expression" dxfId="511" priority="723">
      <formula>$B4=TEXT(TODAY(),"ДДД")</formula>
    </cfRule>
  </conditionalFormatting>
  <conditionalFormatting sqref="E678">
    <cfRule type="expression" dxfId="510" priority="713">
      <formula>$C678=TODAY()</formula>
    </cfRule>
  </conditionalFormatting>
  <conditionalFormatting sqref="E693:E694">
    <cfRule type="expression" dxfId="509" priority="700">
      <formula>$C693=TODAY()</formula>
    </cfRule>
  </conditionalFormatting>
  <conditionalFormatting sqref="E702">
    <cfRule type="expression" dxfId="508" priority="687">
      <formula>$C702=TODAY()</formula>
    </cfRule>
  </conditionalFormatting>
  <conditionalFormatting sqref="E707">
    <cfRule type="expression" dxfId="507" priority="683">
      <formula>$C707=TODAY()</formula>
    </cfRule>
  </conditionalFormatting>
  <conditionalFormatting sqref="E709:E710">
    <cfRule type="expression" dxfId="506" priority="675">
      <formula>$C709=TODAY()</formula>
    </cfRule>
  </conditionalFormatting>
  <conditionalFormatting sqref="E715">
    <cfRule type="expression" dxfId="505" priority="671">
      <formula>$C715=TODAY()</formula>
    </cfRule>
  </conditionalFormatting>
  <conditionalFormatting sqref="E717:E718">
    <cfRule type="expression" dxfId="504" priority="659">
      <formula>$C717=TODAY()</formula>
    </cfRule>
  </conditionalFormatting>
  <conditionalFormatting sqref="E723">
    <cfRule type="expression" dxfId="503" priority="648">
      <formula>$C723=TODAY()</formula>
    </cfRule>
  </conditionalFormatting>
  <conditionalFormatting sqref="E725:E726">
    <cfRule type="expression" dxfId="502" priority="625">
      <formula>$C725=TODAY()</formula>
    </cfRule>
  </conditionalFormatting>
  <conditionalFormatting sqref="E731">
    <cfRule type="expression" dxfId="501" priority="613">
      <formula>$C731=TODAY()</formula>
    </cfRule>
  </conditionalFormatting>
  <conditionalFormatting sqref="E733:E734">
    <cfRule type="expression" dxfId="500" priority="580">
      <formula>$C733=TODAY()</formula>
    </cfRule>
  </conditionalFormatting>
  <conditionalFormatting sqref="E739">
    <cfRule type="expression" dxfId="499" priority="548">
      <formula>$C739=TODAY()</formula>
    </cfRule>
  </conditionalFormatting>
  <conditionalFormatting sqref="E741:E742">
    <cfRule type="expression" dxfId="498" priority="503">
      <formula>$C741=TODAY()</formula>
    </cfRule>
  </conditionalFormatting>
  <conditionalFormatting sqref="E747:E748">
    <cfRule type="expression" dxfId="497" priority="440">
      <formula>$C747=TODAY()</formula>
    </cfRule>
  </conditionalFormatting>
  <conditionalFormatting sqref="E750">
    <cfRule type="expression" dxfId="496" priority="424">
      <formula>$C750=TODAY()</formula>
    </cfRule>
  </conditionalFormatting>
  <conditionalFormatting sqref="E755">
    <cfRule type="expression" dxfId="495" priority="398">
      <formula>$C755=TODAY()</formula>
    </cfRule>
  </conditionalFormatting>
  <conditionalFormatting sqref="E757:E758">
    <cfRule type="expression" dxfId="494" priority="350">
      <formula>$C757=TODAY()</formula>
    </cfRule>
  </conditionalFormatting>
  <conditionalFormatting sqref="E763">
    <cfRule type="expression" dxfId="493" priority="323">
      <formula>$C763=TODAY()</formula>
    </cfRule>
  </conditionalFormatting>
  <conditionalFormatting sqref="E765:E766">
    <cfRule type="expression" dxfId="492" priority="270">
      <formula>$C765=TODAY()</formula>
    </cfRule>
  </conditionalFormatting>
  <conditionalFormatting sqref="E771">
    <cfRule type="expression" dxfId="491" priority="225">
      <formula>$C771=TODAY()</formula>
    </cfRule>
  </conditionalFormatting>
  <conditionalFormatting sqref="G34">
    <cfRule type="expression" dxfId="490" priority="736">
      <formula>$C34=TODAY()</formula>
    </cfRule>
  </conditionalFormatting>
  <conditionalFormatting sqref="G661">
    <cfRule type="expression" dxfId="489" priority="720">
      <formula>$C661=TODAY()</formula>
    </cfRule>
  </conditionalFormatting>
  <conditionalFormatting sqref="G670">
    <cfRule type="expression" dxfId="488" priority="717">
      <formula>$C670=TODAY()</formula>
    </cfRule>
  </conditionalFormatting>
  <conditionalFormatting sqref="G678">
    <cfRule type="expression" dxfId="487" priority="714">
      <formula>$C678=TODAY()</formula>
    </cfRule>
  </conditionalFormatting>
  <conditionalFormatting sqref="G686">
    <cfRule type="expression" dxfId="486" priority="710">
      <formula>$C686=TODAY()</formula>
    </cfRule>
  </conditionalFormatting>
  <conditionalFormatting sqref="G691">
    <cfRule type="expression" dxfId="485" priority="707">
      <formula>$C691=TODAY()</formula>
    </cfRule>
  </conditionalFormatting>
  <conditionalFormatting sqref="G693:G694">
    <cfRule type="expression" dxfId="484" priority="699">
      <formula>$C693=TODAY()</formula>
    </cfRule>
  </conditionalFormatting>
  <conditionalFormatting sqref="G699">
    <cfRule type="expression" dxfId="483" priority="696">
      <formula>$C699=TODAY()</formula>
    </cfRule>
  </conditionalFormatting>
  <conditionalFormatting sqref="G701:G702">
    <cfRule type="expression" dxfId="482" priority="688">
      <formula>$C701=TODAY()</formula>
    </cfRule>
  </conditionalFormatting>
  <conditionalFormatting sqref="G707">
    <cfRule type="expression" dxfId="481" priority="684">
      <formula>$C707=TODAY()</formula>
    </cfRule>
  </conditionalFormatting>
  <conditionalFormatting sqref="G709:G710">
    <cfRule type="expression" dxfId="480" priority="674">
      <formula>$C709=TODAY()</formula>
    </cfRule>
  </conditionalFormatting>
  <conditionalFormatting sqref="G715">
    <cfRule type="expression" dxfId="479" priority="669">
      <formula>$C715=TODAY()</formula>
    </cfRule>
  </conditionalFormatting>
  <conditionalFormatting sqref="G717:G718">
    <cfRule type="expression" dxfId="478" priority="656">
      <formula>$C717=TODAY()</formula>
    </cfRule>
  </conditionalFormatting>
  <conditionalFormatting sqref="G723">
    <cfRule type="expression" dxfId="477" priority="645">
      <formula>$C723=TODAY()</formula>
    </cfRule>
  </conditionalFormatting>
  <conditionalFormatting sqref="G725:G726">
    <cfRule type="expression" dxfId="476" priority="622">
      <formula>$C725=TODAY()</formula>
    </cfRule>
  </conditionalFormatting>
  <conditionalFormatting sqref="G731">
    <cfRule type="expression" dxfId="475" priority="609">
      <formula>$C731=TODAY()</formula>
    </cfRule>
  </conditionalFormatting>
  <conditionalFormatting sqref="G733:G734">
    <cfRule type="expression" dxfId="474" priority="574">
      <formula>$C733=TODAY()</formula>
    </cfRule>
  </conditionalFormatting>
  <conditionalFormatting sqref="G739">
    <cfRule type="expression" dxfId="473" priority="543">
      <formula>$C739=TODAY()</formula>
    </cfRule>
  </conditionalFormatting>
  <conditionalFormatting sqref="G741:G742">
    <cfRule type="expression" dxfId="472" priority="497">
      <formula>$C741=TODAY()</formula>
    </cfRule>
  </conditionalFormatting>
  <conditionalFormatting sqref="G747">
    <cfRule type="expression" dxfId="471" priority="460">
      <formula>$C747=TODAY()</formula>
    </cfRule>
  </conditionalFormatting>
  <conditionalFormatting sqref="G749:G750">
    <cfRule type="expression" dxfId="470" priority="417">
      <formula>$C749=TODAY()</formula>
    </cfRule>
  </conditionalFormatting>
  <conditionalFormatting sqref="G755">
    <cfRule type="expression" dxfId="469" priority="392">
      <formula>$C755=TODAY()</formula>
    </cfRule>
  </conditionalFormatting>
  <conditionalFormatting sqref="G757:G758">
    <cfRule type="expression" dxfId="468" priority="343">
      <formula>$C757=TODAY()</formula>
    </cfRule>
  </conditionalFormatting>
  <conditionalFormatting sqref="G763">
    <cfRule type="expression" dxfId="467" priority="316">
      <formula>$C763=TODAY()</formula>
    </cfRule>
  </conditionalFormatting>
  <conditionalFormatting sqref="G765:G766">
    <cfRule type="expression" dxfId="466" priority="257">
      <formula>$C765=TODAY()</formula>
    </cfRule>
  </conditionalFormatting>
  <conditionalFormatting sqref="G771">
    <cfRule type="expression" dxfId="465" priority="218">
      <formula>$C771=TODAY()</formula>
    </cfRule>
  </conditionalFormatting>
  <conditionalFormatting sqref="H128:I129">
    <cfRule type="expression" dxfId="464" priority="739">
      <formula>$C128=TODAY()</formula>
    </cfRule>
  </conditionalFormatting>
  <conditionalFormatting sqref="I34">
    <cfRule type="expression" dxfId="463" priority="737">
      <formula>$C34=TODAY()</formula>
    </cfRule>
  </conditionalFormatting>
  <conditionalFormatting sqref="I661">
    <cfRule type="expression" dxfId="462" priority="719">
      <formula>$C661=TODAY()</formula>
    </cfRule>
  </conditionalFormatting>
  <conditionalFormatting sqref="I670">
    <cfRule type="expression" dxfId="461" priority="716">
      <formula>$C670=TODAY()</formula>
    </cfRule>
  </conditionalFormatting>
  <conditionalFormatting sqref="I678">
    <cfRule type="expression" dxfId="460" priority="712">
      <formula>$C678=TODAY()</formula>
    </cfRule>
  </conditionalFormatting>
  <conditionalFormatting sqref="I686">
    <cfRule type="expression" dxfId="459" priority="709">
      <formula>$C686=TODAY()</formula>
    </cfRule>
  </conditionalFormatting>
  <conditionalFormatting sqref="I691">
    <cfRule type="expression" dxfId="458" priority="706">
      <formula>$C691=TODAY()</formula>
    </cfRule>
  </conditionalFormatting>
  <conditionalFormatting sqref="I693:I694">
    <cfRule type="expression" dxfId="457" priority="698">
      <formula>$C693=TODAY()</formula>
    </cfRule>
  </conditionalFormatting>
  <conditionalFormatting sqref="I699">
    <cfRule type="expression" dxfId="456" priority="695">
      <formula>$C699=TODAY()</formula>
    </cfRule>
  </conditionalFormatting>
  <conditionalFormatting sqref="I701:I702">
    <cfRule type="expression" dxfId="455" priority="689">
      <formula>$C701=TODAY()</formula>
    </cfRule>
  </conditionalFormatting>
  <conditionalFormatting sqref="I707">
    <cfRule type="expression" dxfId="454" priority="686">
      <formula>$C707=TODAY()</formula>
    </cfRule>
  </conditionalFormatting>
  <conditionalFormatting sqref="I709:I710">
    <cfRule type="expression" dxfId="453" priority="673">
      <formula>$C709=TODAY()</formula>
    </cfRule>
  </conditionalFormatting>
  <conditionalFormatting sqref="I715">
    <cfRule type="expression" dxfId="452" priority="667">
      <formula>$C715=TODAY()</formula>
    </cfRule>
  </conditionalFormatting>
  <conditionalFormatting sqref="I717:I718">
    <cfRule type="expression" dxfId="451" priority="653">
      <formula>$C717=TODAY()</formula>
    </cfRule>
  </conditionalFormatting>
  <conditionalFormatting sqref="I723:I726">
    <cfRule type="expression" dxfId="450" priority="619">
      <formula>$C723=TODAY()</formula>
    </cfRule>
  </conditionalFormatting>
  <conditionalFormatting sqref="I731:I734">
    <cfRule type="expression" dxfId="449" priority="568">
      <formula>$C731=TODAY()</formula>
    </cfRule>
  </conditionalFormatting>
  <conditionalFormatting sqref="I736">
    <cfRule type="expression" dxfId="448" priority="557">
      <formula>$C736=TODAY()</formula>
    </cfRule>
  </conditionalFormatting>
  <conditionalFormatting sqref="I739:I742">
    <cfRule type="expression" dxfId="447" priority="491">
      <formula>$C739=TODAY()</formula>
    </cfRule>
  </conditionalFormatting>
  <conditionalFormatting sqref="I744">
    <cfRule type="expression" dxfId="446" priority="475">
      <formula>$C744=TODAY()</formula>
    </cfRule>
  </conditionalFormatting>
  <conditionalFormatting sqref="I747:I748">
    <cfRule type="expression" dxfId="445" priority="445">
      <formula>$C747=TODAY()</formula>
    </cfRule>
  </conditionalFormatting>
  <conditionalFormatting sqref="I750">
    <cfRule type="expression" dxfId="444" priority="410">
      <formula>$C750=TODAY()</formula>
    </cfRule>
  </conditionalFormatting>
  <conditionalFormatting sqref="I755:I756">
    <cfRule type="expression" dxfId="443" priority="374">
      <formula>$C755=TODAY()</formula>
    </cfRule>
  </conditionalFormatting>
  <conditionalFormatting sqref="I758">
    <cfRule type="expression" dxfId="442" priority="336">
      <formula>$C758=TODAY()</formula>
    </cfRule>
  </conditionalFormatting>
  <conditionalFormatting sqref="I763">
    <cfRule type="expression" dxfId="441" priority="309">
      <formula>$C763=TODAY()</formula>
    </cfRule>
  </conditionalFormatting>
  <conditionalFormatting sqref="I765:I766">
    <cfRule type="expression" dxfId="440" priority="244">
      <formula>$C765=TODAY()</formula>
    </cfRule>
  </conditionalFormatting>
  <conditionalFormatting sqref="I771:I772">
    <cfRule type="expression" dxfId="439" priority="211">
      <formula>$C771=TODAY()</formula>
    </cfRule>
  </conditionalFormatting>
  <conditionalFormatting sqref="K34">
    <cfRule type="expression" dxfId="438" priority="738">
      <formula>$C34=TODAY()</formula>
    </cfRule>
  </conditionalFormatting>
  <conditionalFormatting sqref="K661">
    <cfRule type="expression" dxfId="437" priority="718">
      <formula>$C661=TODAY()</formula>
    </cfRule>
  </conditionalFormatting>
  <conditionalFormatting sqref="K670">
    <cfRule type="expression" dxfId="436" priority="715">
      <formula>$C670=TODAY()</formula>
    </cfRule>
  </conditionalFormatting>
  <conditionalFormatting sqref="K678">
    <cfRule type="expression" dxfId="435" priority="711">
      <formula>$C678=TODAY()</formula>
    </cfRule>
  </conditionalFormatting>
  <conditionalFormatting sqref="K686">
    <cfRule type="expression" dxfId="434" priority="708">
      <formula>$C686=TODAY()</formula>
    </cfRule>
  </conditionalFormatting>
  <conditionalFormatting sqref="K691">
    <cfRule type="expression" dxfId="433" priority="705">
      <formula>$C691=TODAY()</formula>
    </cfRule>
  </conditionalFormatting>
  <conditionalFormatting sqref="K693:K694">
    <cfRule type="expression" dxfId="432" priority="697">
      <formula>$C693=TODAY()</formula>
    </cfRule>
  </conditionalFormatting>
  <conditionalFormatting sqref="K699">
    <cfRule type="expression" dxfId="431" priority="694">
      <formula>$C699=TODAY()</formula>
    </cfRule>
  </conditionalFormatting>
  <conditionalFormatting sqref="K701:K702">
    <cfRule type="expression" dxfId="430" priority="690">
      <formula>$C701=TODAY()</formula>
    </cfRule>
  </conditionalFormatting>
  <conditionalFormatting sqref="K707">
    <cfRule type="expression" dxfId="429" priority="685">
      <formula>$C707=TODAY()</formula>
    </cfRule>
  </conditionalFormatting>
  <conditionalFormatting sqref="K709:K710">
    <cfRule type="expression" dxfId="428" priority="672">
      <formula>$C709=TODAY()</formula>
    </cfRule>
  </conditionalFormatting>
  <conditionalFormatting sqref="K715:K718">
    <cfRule type="expression" dxfId="427" priority="650">
      <formula>$C715=TODAY()</formula>
    </cfRule>
  </conditionalFormatting>
  <conditionalFormatting sqref="K723">
    <cfRule type="expression" dxfId="426" priority="639">
      <formula>$C723=TODAY()</formula>
    </cfRule>
  </conditionalFormatting>
  <conditionalFormatting sqref="K725:K726">
    <cfRule type="expression" dxfId="425" priority="616">
      <formula>$C725=TODAY()</formula>
    </cfRule>
  </conditionalFormatting>
  <conditionalFormatting sqref="K731">
    <cfRule type="expression" dxfId="424" priority="601">
      <formula>$C731=TODAY()</formula>
    </cfRule>
  </conditionalFormatting>
  <conditionalFormatting sqref="K733:K734">
    <cfRule type="expression" dxfId="423" priority="562">
      <formula>$C733=TODAY()</formula>
    </cfRule>
  </conditionalFormatting>
  <conditionalFormatting sqref="K736">
    <cfRule type="expression" dxfId="422" priority="552">
      <formula>$C736=TODAY()</formula>
    </cfRule>
  </conditionalFormatting>
  <conditionalFormatting sqref="K739:K742">
    <cfRule type="expression" dxfId="421" priority="480">
      <formula>$C739=TODAY()</formula>
    </cfRule>
  </conditionalFormatting>
  <conditionalFormatting sqref="K744">
    <cfRule type="expression" dxfId="420" priority="470">
      <formula>$C744=TODAY()</formula>
    </cfRule>
  </conditionalFormatting>
  <conditionalFormatting sqref="K747">
    <cfRule type="expression" dxfId="419" priority="450">
      <formula>$C747=TODAY()</formula>
    </cfRule>
  </conditionalFormatting>
  <conditionalFormatting sqref="K749:K750">
    <cfRule type="expression" dxfId="418" priority="403">
      <formula>$C749=TODAY()</formula>
    </cfRule>
  </conditionalFormatting>
  <conditionalFormatting sqref="K755:K756">
    <cfRule type="expression" dxfId="417" priority="368">
      <formula>$C755=TODAY()</formula>
    </cfRule>
  </conditionalFormatting>
  <conditionalFormatting sqref="K758">
    <cfRule type="expression" dxfId="416" priority="329">
      <formula>$C758=TODAY()</formula>
    </cfRule>
  </conditionalFormatting>
  <conditionalFormatting sqref="K763:K764">
    <cfRule type="expression" dxfId="415" priority="302">
      <formula>$C763=TODAY()</formula>
    </cfRule>
  </conditionalFormatting>
  <conditionalFormatting sqref="K766">
    <cfRule type="expression" dxfId="414" priority="231">
      <formula>$C766=TODAY()</formula>
    </cfRule>
  </conditionalFormatting>
  <conditionalFormatting sqref="K771">
    <cfRule type="expression" dxfId="413" priority="204">
      <formula>$C771=TODAY()</formula>
    </cfRule>
  </conditionalFormatting>
  <conditionalFormatting sqref="E773">
    <cfRule type="expression" dxfId="412" priority="203">
      <formula>$C773=TODAY()</formula>
    </cfRule>
  </conditionalFormatting>
  <conditionalFormatting sqref="G773">
    <cfRule type="expression" dxfId="411" priority="202">
      <formula>$C773=TODAY()</formula>
    </cfRule>
  </conditionalFormatting>
  <conditionalFormatting sqref="G773">
    <cfRule type="expression" dxfId="410" priority="201">
      <formula>$C773=TODAY()</formula>
    </cfRule>
  </conditionalFormatting>
  <conditionalFormatting sqref="I773">
    <cfRule type="expression" dxfId="409" priority="200">
      <formula>$C773=TODAY()</formula>
    </cfRule>
  </conditionalFormatting>
  <conditionalFormatting sqref="I773">
    <cfRule type="expression" dxfId="408" priority="199">
      <formula>$C773=TODAY()</formula>
    </cfRule>
  </conditionalFormatting>
  <conditionalFormatting sqref="K773">
    <cfRule type="expression" dxfId="407" priority="198">
      <formula>$C773=TODAY()</formula>
    </cfRule>
  </conditionalFormatting>
  <conditionalFormatting sqref="K773">
    <cfRule type="expression" dxfId="406" priority="197">
      <formula>$C773=TODAY()</formula>
    </cfRule>
  </conditionalFormatting>
  <conditionalFormatting sqref="E774">
    <cfRule type="expression" dxfId="405" priority="196">
      <formula>$C774=TODAY()</formula>
    </cfRule>
  </conditionalFormatting>
  <conditionalFormatting sqref="G774">
    <cfRule type="expression" dxfId="404" priority="195">
      <formula>$C774=TODAY()</formula>
    </cfRule>
  </conditionalFormatting>
  <conditionalFormatting sqref="I774">
    <cfRule type="expression" dxfId="403" priority="194">
      <formula>$C774=TODAY()</formula>
    </cfRule>
  </conditionalFormatting>
  <conditionalFormatting sqref="K774">
    <cfRule type="expression" dxfId="402" priority="193">
      <formula>$C774=TODAY()</formula>
    </cfRule>
  </conditionalFormatting>
  <conditionalFormatting sqref="I776">
    <cfRule type="expression" dxfId="401" priority="192">
      <formula>$C776=TODAY()</formula>
    </cfRule>
  </conditionalFormatting>
  <conditionalFormatting sqref="I776">
    <cfRule type="expression" dxfId="400" priority="191">
      <formula>$C776=TODAY()</formula>
    </cfRule>
  </conditionalFormatting>
  <conditionalFormatting sqref="K776">
    <cfRule type="expression" dxfId="399" priority="190">
      <formula>$C776=TODAY()</formula>
    </cfRule>
  </conditionalFormatting>
  <conditionalFormatting sqref="K776">
    <cfRule type="expression" dxfId="398" priority="189">
      <formula>$C776=TODAY()</formula>
    </cfRule>
  </conditionalFormatting>
  <conditionalFormatting sqref="E779">
    <cfRule type="expression" dxfId="397" priority="188">
      <formula>$C779=TODAY()</formula>
    </cfRule>
  </conditionalFormatting>
  <conditionalFormatting sqref="G779">
    <cfRule type="expression" dxfId="396" priority="187">
      <formula>$C779=TODAY()</formula>
    </cfRule>
  </conditionalFormatting>
  <conditionalFormatting sqref="G779">
    <cfRule type="expression" dxfId="395" priority="186">
      <formula>$C779=TODAY()</formula>
    </cfRule>
  </conditionalFormatting>
  <conditionalFormatting sqref="I779">
    <cfRule type="expression" dxfId="394" priority="185">
      <formula>$C779=TODAY()</formula>
    </cfRule>
  </conditionalFormatting>
  <conditionalFormatting sqref="I779">
    <cfRule type="expression" dxfId="393" priority="184">
      <formula>$C779=TODAY()</formula>
    </cfRule>
  </conditionalFormatting>
  <conditionalFormatting sqref="K779">
    <cfRule type="expression" dxfId="392" priority="183">
      <formula>$C779=TODAY()</formula>
    </cfRule>
  </conditionalFormatting>
  <conditionalFormatting sqref="K779">
    <cfRule type="expression" dxfId="391" priority="182">
      <formula>$C779=TODAY()</formula>
    </cfRule>
  </conditionalFormatting>
  <conditionalFormatting sqref="I780">
    <cfRule type="expression" dxfId="390" priority="181">
      <formula>$C780=TODAY()</formula>
    </cfRule>
  </conditionalFormatting>
  <conditionalFormatting sqref="I780">
    <cfRule type="expression" dxfId="389" priority="180">
      <formula>$C780=TODAY()</formula>
    </cfRule>
  </conditionalFormatting>
  <conditionalFormatting sqref="K780">
    <cfRule type="expression" dxfId="388" priority="179">
      <formula>$C780=TODAY()</formula>
    </cfRule>
  </conditionalFormatting>
  <conditionalFormatting sqref="K780">
    <cfRule type="expression" dxfId="387" priority="178">
      <formula>$C780=TODAY()</formula>
    </cfRule>
  </conditionalFormatting>
  <conditionalFormatting sqref="I781:I782">
    <cfRule type="expression" dxfId="386" priority="177">
      <formula>$C781=TODAY()</formula>
    </cfRule>
  </conditionalFormatting>
  <conditionalFormatting sqref="I781:I782">
    <cfRule type="expression" dxfId="385" priority="176">
      <formula>$C781=TODAY()</formula>
    </cfRule>
  </conditionalFormatting>
  <conditionalFormatting sqref="G781:G782">
    <cfRule type="expression" dxfId="384" priority="175">
      <formula>$C781=TODAY()</formula>
    </cfRule>
  </conditionalFormatting>
  <conditionalFormatting sqref="G781:G782">
    <cfRule type="expression" dxfId="383" priority="174">
      <formula>$C781=TODAY()</formula>
    </cfRule>
  </conditionalFormatting>
  <conditionalFormatting sqref="E781:E782">
    <cfRule type="expression" dxfId="382" priority="173">
      <formula>$C781=TODAY()</formula>
    </cfRule>
  </conditionalFormatting>
  <conditionalFormatting sqref="E781:E782">
    <cfRule type="expression" dxfId="381" priority="172">
      <formula>$C781=TODAY()</formula>
    </cfRule>
  </conditionalFormatting>
  <conditionalFormatting sqref="E782">
    <cfRule type="expression" dxfId="380" priority="171">
      <formula>$C782=TODAY()</formula>
    </cfRule>
  </conditionalFormatting>
  <conditionalFormatting sqref="G782">
    <cfRule type="expression" dxfId="379" priority="170">
      <formula>$C782=TODAY()</formula>
    </cfRule>
  </conditionalFormatting>
  <conditionalFormatting sqref="G782">
    <cfRule type="expression" dxfId="378" priority="169">
      <formula>$C782=TODAY()</formula>
    </cfRule>
  </conditionalFormatting>
  <conditionalFormatting sqref="I782">
    <cfRule type="expression" dxfId="377" priority="168">
      <formula>$C782=TODAY()</formula>
    </cfRule>
  </conditionalFormatting>
  <conditionalFormatting sqref="I782">
    <cfRule type="expression" dxfId="376" priority="167">
      <formula>$C782=TODAY()</formula>
    </cfRule>
  </conditionalFormatting>
  <conditionalFormatting sqref="K782">
    <cfRule type="expression" dxfId="375" priority="166">
      <formula>$C782=TODAY()</formula>
    </cfRule>
  </conditionalFormatting>
  <conditionalFormatting sqref="K782">
    <cfRule type="expression" dxfId="374" priority="165">
      <formula>$C782=TODAY()</formula>
    </cfRule>
  </conditionalFormatting>
  <conditionalFormatting sqref="I784">
    <cfRule type="expression" dxfId="373" priority="164">
      <formula>$C784=TODAY()</formula>
    </cfRule>
  </conditionalFormatting>
  <conditionalFormatting sqref="I784">
    <cfRule type="expression" dxfId="372" priority="163">
      <formula>$C784=TODAY()</formula>
    </cfRule>
  </conditionalFormatting>
  <conditionalFormatting sqref="K784">
    <cfRule type="expression" dxfId="371" priority="162">
      <formula>$C784=TODAY()</formula>
    </cfRule>
  </conditionalFormatting>
  <conditionalFormatting sqref="K784">
    <cfRule type="expression" dxfId="370" priority="161">
      <formula>$C784=TODAY()</formula>
    </cfRule>
  </conditionalFormatting>
  <conditionalFormatting sqref="E787">
    <cfRule type="expression" dxfId="369" priority="160">
      <formula>$C787=TODAY()</formula>
    </cfRule>
  </conditionalFormatting>
  <conditionalFormatting sqref="E787">
    <cfRule type="expression" dxfId="368" priority="159">
      <formula>$C787=TODAY()</formula>
    </cfRule>
  </conditionalFormatting>
  <conditionalFormatting sqref="G787">
    <cfRule type="expression" dxfId="367" priority="158">
      <formula>$C787=TODAY()</formula>
    </cfRule>
  </conditionalFormatting>
  <conditionalFormatting sqref="G787">
    <cfRule type="expression" dxfId="366" priority="157">
      <formula>$C787=TODAY()</formula>
    </cfRule>
  </conditionalFormatting>
  <conditionalFormatting sqref="G787">
    <cfRule type="expression" dxfId="365" priority="156">
      <formula>$C787=TODAY()</formula>
    </cfRule>
  </conditionalFormatting>
  <conditionalFormatting sqref="I787:I788">
    <cfRule type="expression" dxfId="364" priority="155">
      <formula>$C787=TODAY()</formula>
    </cfRule>
  </conditionalFormatting>
  <conditionalFormatting sqref="I787:I788">
    <cfRule type="expression" dxfId="363" priority="154">
      <formula>$C787=TODAY()</formula>
    </cfRule>
  </conditionalFormatting>
  <conditionalFormatting sqref="I787:I788">
    <cfRule type="expression" dxfId="362" priority="153">
      <formula>$C787=TODAY()</formula>
    </cfRule>
  </conditionalFormatting>
  <conditionalFormatting sqref="K787">
    <cfRule type="expression" dxfId="361" priority="152">
      <formula>$C787=TODAY()</formula>
    </cfRule>
  </conditionalFormatting>
  <conditionalFormatting sqref="K787">
    <cfRule type="expression" dxfId="360" priority="151">
      <formula>$C787=TODAY()</formula>
    </cfRule>
  </conditionalFormatting>
  <conditionalFormatting sqref="K787">
    <cfRule type="expression" dxfId="359" priority="150">
      <formula>$C787=TODAY()</formula>
    </cfRule>
  </conditionalFormatting>
  <conditionalFormatting sqref="K789:K790 I789:I790 G789:G790">
    <cfRule type="expression" dxfId="358" priority="147">
      <formula>$C789=TODAY()</formula>
    </cfRule>
  </conditionalFormatting>
  <conditionalFormatting sqref="K789:K790 I789:I790 G789:G790 E789:E790">
    <cfRule type="expression" dxfId="357" priority="149">
      <formula>$C789=TODAY()</formula>
    </cfRule>
  </conditionalFormatting>
  <conditionalFormatting sqref="K789:K790 I789:I790 G789:G790 E789:E790">
    <cfRule type="expression" dxfId="356" priority="148">
      <formula>$C789=TODAY()</formula>
    </cfRule>
  </conditionalFormatting>
  <conditionalFormatting sqref="K790 I790 G790 E790">
    <cfRule type="expression" dxfId="355" priority="146">
      <formula>$C790=TODAY()</formula>
    </cfRule>
  </conditionalFormatting>
  <conditionalFormatting sqref="K790 I790 G790 E790">
    <cfRule type="expression" dxfId="354" priority="145">
      <formula>$C790=TODAY()</formula>
    </cfRule>
  </conditionalFormatting>
  <conditionalFormatting sqref="K790 I790 G790 E790">
    <cfRule type="expression" dxfId="353" priority="144">
      <formula>$C790=TODAY()</formula>
    </cfRule>
  </conditionalFormatting>
  <conditionalFormatting sqref="K790 I790 G790">
    <cfRule type="expression" dxfId="352" priority="143">
      <formula>$C790=TODAY()</formula>
    </cfRule>
  </conditionalFormatting>
  <conditionalFormatting sqref="I792">
    <cfRule type="expression" dxfId="351" priority="140">
      <formula>$C792=TODAY()</formula>
    </cfRule>
  </conditionalFormatting>
  <conditionalFormatting sqref="I792">
    <cfRule type="expression" dxfId="350" priority="142">
      <formula>$C792=TODAY()</formula>
    </cfRule>
  </conditionalFormatting>
  <conditionalFormatting sqref="I792">
    <cfRule type="expression" dxfId="349" priority="141">
      <formula>$C792=TODAY()</formula>
    </cfRule>
  </conditionalFormatting>
  <conditionalFormatting sqref="K792">
    <cfRule type="expression" dxfId="348" priority="137">
      <formula>$C792=TODAY()</formula>
    </cfRule>
  </conditionalFormatting>
  <conditionalFormatting sqref="K792">
    <cfRule type="expression" dxfId="347" priority="139">
      <formula>$C792=TODAY()</formula>
    </cfRule>
  </conditionalFormatting>
  <conditionalFormatting sqref="K792">
    <cfRule type="expression" dxfId="346" priority="138">
      <formula>$C792=TODAY()</formula>
    </cfRule>
  </conditionalFormatting>
  <conditionalFormatting sqref="E795">
    <cfRule type="expression" dxfId="345" priority="136">
      <formula>$C795=TODAY()</formula>
    </cfRule>
  </conditionalFormatting>
  <conditionalFormatting sqref="E795">
    <cfRule type="expression" dxfId="344" priority="135">
      <formula>$C795=TODAY()</formula>
    </cfRule>
  </conditionalFormatting>
  <conditionalFormatting sqref="G795">
    <cfRule type="expression" dxfId="343" priority="134">
      <formula>$C795=TODAY()</formula>
    </cfRule>
  </conditionalFormatting>
  <conditionalFormatting sqref="G795">
    <cfRule type="expression" dxfId="342" priority="133">
      <formula>$C795=TODAY()</formula>
    </cfRule>
  </conditionalFormatting>
  <conditionalFormatting sqref="G795">
    <cfRule type="expression" dxfId="341" priority="132">
      <formula>$C795=TODAY()</formula>
    </cfRule>
  </conditionalFormatting>
  <conditionalFormatting sqref="I795:I796">
    <cfRule type="expression" dxfId="340" priority="131">
      <formula>$C795=TODAY()</formula>
    </cfRule>
  </conditionalFormatting>
  <conditionalFormatting sqref="I795:I796">
    <cfRule type="expression" dxfId="339" priority="130">
      <formula>$C795=TODAY()</formula>
    </cfRule>
  </conditionalFormatting>
  <conditionalFormatting sqref="I795:I796">
    <cfRule type="expression" dxfId="338" priority="129">
      <formula>$C795=TODAY()</formula>
    </cfRule>
  </conditionalFormatting>
  <conditionalFormatting sqref="K795">
    <cfRule type="expression" dxfId="337" priority="128">
      <formula>$C795=TODAY()</formula>
    </cfRule>
  </conditionalFormatting>
  <conditionalFormatting sqref="K795">
    <cfRule type="expression" dxfId="336" priority="127">
      <formula>$C795=TODAY()</formula>
    </cfRule>
  </conditionalFormatting>
  <conditionalFormatting sqref="K795">
    <cfRule type="expression" dxfId="335" priority="126">
      <formula>$C795=TODAY()</formula>
    </cfRule>
  </conditionalFormatting>
  <conditionalFormatting sqref="E797:E798 G797:G798 K797:K798">
    <cfRule type="expression" dxfId="334" priority="125">
      <formula>$C797=TODAY()</formula>
    </cfRule>
  </conditionalFormatting>
  <conditionalFormatting sqref="E797:E798 G797:G798 K797:K798">
    <cfRule type="expression" dxfId="333" priority="124">
      <formula>$C797=TODAY()</formula>
    </cfRule>
  </conditionalFormatting>
  <conditionalFormatting sqref="E797:E798 G797:G798 K797:K798">
    <cfRule type="expression" dxfId="332" priority="123">
      <formula>$C797=TODAY()</formula>
    </cfRule>
  </conditionalFormatting>
  <conditionalFormatting sqref="K798 I798 G798 E798">
    <cfRule type="expression" dxfId="331" priority="122">
      <formula>$C798=TODAY()</formula>
    </cfRule>
  </conditionalFormatting>
  <conditionalFormatting sqref="K798 I798 G798 E798">
    <cfRule type="expression" dxfId="330" priority="121">
      <formula>$C798=TODAY()</formula>
    </cfRule>
  </conditionalFormatting>
  <conditionalFormatting sqref="K798 I798 G798 E798">
    <cfRule type="expression" dxfId="329" priority="120">
      <formula>$C798=TODAY()</formula>
    </cfRule>
  </conditionalFormatting>
  <conditionalFormatting sqref="K798 I798 G798 E798">
    <cfRule type="expression" dxfId="328" priority="119">
      <formula>$C798=TODAY()</formula>
    </cfRule>
  </conditionalFormatting>
  <conditionalFormatting sqref="K798 I798 G798 E798">
    <cfRule type="expression" dxfId="327" priority="118">
      <formula>$C798=TODAY()</formula>
    </cfRule>
  </conditionalFormatting>
  <conditionalFormatting sqref="K798 I798 G798">
    <cfRule type="expression" dxfId="326" priority="117">
      <formula>$C798=TODAY()</formula>
    </cfRule>
  </conditionalFormatting>
  <conditionalFormatting sqref="I803 G803 E803 K803:K805">
    <cfRule type="expression" dxfId="325" priority="116">
      <formula>$C803=TODAY()</formula>
    </cfRule>
  </conditionalFormatting>
  <conditionalFormatting sqref="I803 G803 E803 K803:K805">
    <cfRule type="expression" dxfId="324" priority="115">
      <formula>$C803=TODAY()</formula>
    </cfRule>
  </conditionalFormatting>
  <conditionalFormatting sqref="I803 G803 E803 K803:K805">
    <cfRule type="expression" dxfId="323" priority="114">
      <formula>$C803=TODAY()</formula>
    </cfRule>
  </conditionalFormatting>
  <conditionalFormatting sqref="I803 G803 K803:K805">
    <cfRule type="expression" dxfId="322" priority="113">
      <formula>$C803=TODAY()</formula>
    </cfRule>
  </conditionalFormatting>
  <conditionalFormatting sqref="E805:E806">
    <cfRule type="expression" dxfId="321" priority="112">
      <formula>$C805=TODAY()</formula>
    </cfRule>
  </conditionalFormatting>
  <conditionalFormatting sqref="E805:E806">
    <cfRule type="expression" dxfId="320" priority="111">
      <formula>$C805=TODAY()</formula>
    </cfRule>
  </conditionalFormatting>
  <conditionalFormatting sqref="E805:E806">
    <cfRule type="expression" dxfId="319" priority="110">
      <formula>$C805=TODAY()</formula>
    </cfRule>
  </conditionalFormatting>
  <conditionalFormatting sqref="E806">
    <cfRule type="expression" dxfId="318" priority="109">
      <formula>$C806=TODAY()</formula>
    </cfRule>
  </conditionalFormatting>
  <conditionalFormatting sqref="E806">
    <cfRule type="expression" dxfId="317" priority="108">
      <formula>$C806=TODAY()</formula>
    </cfRule>
  </conditionalFormatting>
  <conditionalFormatting sqref="E806">
    <cfRule type="expression" dxfId="316" priority="107">
      <formula>$C806=TODAY()</formula>
    </cfRule>
  </conditionalFormatting>
  <conditionalFormatting sqref="E806">
    <cfRule type="expression" dxfId="315" priority="106">
      <formula>$C806=TODAY()</formula>
    </cfRule>
  </conditionalFormatting>
  <conditionalFormatting sqref="E806">
    <cfRule type="expression" dxfId="314" priority="105">
      <formula>$C806=TODAY()</formula>
    </cfRule>
  </conditionalFormatting>
  <conditionalFormatting sqref="G805:G806">
    <cfRule type="expression" dxfId="313" priority="104">
      <formula>$C805=TODAY()</formula>
    </cfRule>
  </conditionalFormatting>
  <conditionalFormatting sqref="G805:G806">
    <cfRule type="expression" dxfId="312" priority="103">
      <formula>$C805=TODAY()</formula>
    </cfRule>
  </conditionalFormatting>
  <conditionalFormatting sqref="G805:G806">
    <cfRule type="expression" dxfId="311" priority="102">
      <formula>$C805=TODAY()</formula>
    </cfRule>
  </conditionalFormatting>
  <conditionalFormatting sqref="G805:G806">
    <cfRule type="expression" dxfId="310" priority="101">
      <formula>$C805=TODAY()</formula>
    </cfRule>
  </conditionalFormatting>
  <conditionalFormatting sqref="G806">
    <cfRule type="expression" dxfId="309" priority="100">
      <formula>$C806=TODAY()</formula>
    </cfRule>
  </conditionalFormatting>
  <conditionalFormatting sqref="G806">
    <cfRule type="expression" dxfId="308" priority="99">
      <formula>$C806=TODAY()</formula>
    </cfRule>
  </conditionalFormatting>
  <conditionalFormatting sqref="G806">
    <cfRule type="expression" dxfId="307" priority="98">
      <formula>$C806=TODAY()</formula>
    </cfRule>
  </conditionalFormatting>
  <conditionalFormatting sqref="G806">
    <cfRule type="expression" dxfId="306" priority="97">
      <formula>$C806=TODAY()</formula>
    </cfRule>
  </conditionalFormatting>
  <conditionalFormatting sqref="G806">
    <cfRule type="expression" dxfId="305" priority="96">
      <formula>$C806=TODAY()</formula>
    </cfRule>
  </conditionalFormatting>
  <conditionalFormatting sqref="I805:I806">
    <cfRule type="expression" dxfId="304" priority="95">
      <formula>$C805=TODAY()</formula>
    </cfRule>
  </conditionalFormatting>
  <conditionalFormatting sqref="I805:I806">
    <cfRule type="expression" dxfId="303" priority="94">
      <formula>$C805=TODAY()</formula>
    </cfRule>
  </conditionalFormatting>
  <conditionalFormatting sqref="I805:I806">
    <cfRule type="expression" dxfId="302" priority="93">
      <formula>$C805=TODAY()</formula>
    </cfRule>
  </conditionalFormatting>
  <conditionalFormatting sqref="I805:I806">
    <cfRule type="expression" dxfId="301" priority="92">
      <formula>$C805=TODAY()</formula>
    </cfRule>
  </conditionalFormatting>
  <conditionalFormatting sqref="I806">
    <cfRule type="expression" dxfId="300" priority="91">
      <formula>$C806=TODAY()</formula>
    </cfRule>
  </conditionalFormatting>
  <conditionalFormatting sqref="I806">
    <cfRule type="expression" dxfId="299" priority="90">
      <formula>$C806=TODAY()</formula>
    </cfRule>
  </conditionalFormatting>
  <conditionalFormatting sqref="I806">
    <cfRule type="expression" dxfId="298" priority="89">
      <formula>$C806=TODAY()</formula>
    </cfRule>
  </conditionalFormatting>
  <conditionalFormatting sqref="I806">
    <cfRule type="expression" dxfId="297" priority="88">
      <formula>$C806=TODAY()</formula>
    </cfRule>
  </conditionalFormatting>
  <conditionalFormatting sqref="I806">
    <cfRule type="expression" dxfId="296" priority="87">
      <formula>$C806=TODAY()</formula>
    </cfRule>
  </conditionalFormatting>
  <conditionalFormatting sqref="K806">
    <cfRule type="expression" dxfId="295" priority="86">
      <formula>$C806=TODAY()</formula>
    </cfRule>
  </conditionalFormatting>
  <conditionalFormatting sqref="K806">
    <cfRule type="expression" dxfId="294" priority="85">
      <formula>$C806=TODAY()</formula>
    </cfRule>
  </conditionalFormatting>
  <conditionalFormatting sqref="K806">
    <cfRule type="expression" dxfId="293" priority="84">
      <formula>$C806=TODAY()</formula>
    </cfRule>
  </conditionalFormatting>
  <conditionalFormatting sqref="K806">
    <cfRule type="expression" dxfId="292" priority="83">
      <formula>$C806=TODAY()</formula>
    </cfRule>
  </conditionalFormatting>
  <conditionalFormatting sqref="K806">
    <cfRule type="expression" dxfId="291" priority="82">
      <formula>$C806=TODAY()</formula>
    </cfRule>
  </conditionalFormatting>
  <conditionalFormatting sqref="K806">
    <cfRule type="expression" dxfId="290" priority="81">
      <formula>$C806=TODAY()</formula>
    </cfRule>
  </conditionalFormatting>
  <conditionalFormatting sqref="K806">
    <cfRule type="expression" dxfId="289" priority="80">
      <formula>$C806=TODAY()</formula>
    </cfRule>
  </conditionalFormatting>
  <conditionalFormatting sqref="K806">
    <cfRule type="expression" dxfId="288" priority="79">
      <formula>$C806=TODAY()</formula>
    </cfRule>
  </conditionalFormatting>
  <conditionalFormatting sqref="K806">
    <cfRule type="expression" dxfId="287" priority="78">
      <formula>$C806=TODAY()</formula>
    </cfRule>
  </conditionalFormatting>
  <conditionalFormatting sqref="I808">
    <cfRule type="expression" dxfId="286" priority="77">
      <formula>$C808=TODAY()</formula>
    </cfRule>
  </conditionalFormatting>
  <conditionalFormatting sqref="I808">
    <cfRule type="expression" dxfId="285" priority="76">
      <formula>$C808=TODAY()</formula>
    </cfRule>
  </conditionalFormatting>
  <conditionalFormatting sqref="I808">
    <cfRule type="expression" dxfId="284" priority="75">
      <formula>$C808=TODAY()</formula>
    </cfRule>
  </conditionalFormatting>
  <conditionalFormatting sqref="I808">
    <cfRule type="expression" dxfId="283" priority="74">
      <formula>$C808=TODAY()</formula>
    </cfRule>
  </conditionalFormatting>
  <conditionalFormatting sqref="K808">
    <cfRule type="expression" dxfId="282" priority="73">
      <formula>$C808=TODAY()</formula>
    </cfRule>
  </conditionalFormatting>
  <conditionalFormatting sqref="K808">
    <cfRule type="expression" dxfId="281" priority="72">
      <formula>$C808=TODAY()</formula>
    </cfRule>
  </conditionalFormatting>
  <conditionalFormatting sqref="K808">
    <cfRule type="expression" dxfId="280" priority="71">
      <formula>$C808=TODAY()</formula>
    </cfRule>
  </conditionalFormatting>
  <conditionalFormatting sqref="K808">
    <cfRule type="expression" dxfId="279" priority="70">
      <formula>$C808=TODAY()</formula>
    </cfRule>
  </conditionalFormatting>
  <conditionalFormatting sqref="E811">
    <cfRule type="expression" dxfId="278" priority="69">
      <formula>$C811=TODAY()</formula>
    </cfRule>
  </conditionalFormatting>
  <conditionalFormatting sqref="E811">
    <cfRule type="expression" dxfId="277" priority="68">
      <formula>$C811=TODAY()</formula>
    </cfRule>
  </conditionalFormatting>
  <conditionalFormatting sqref="E811">
    <cfRule type="expression" dxfId="276" priority="67">
      <formula>$C811=TODAY()</formula>
    </cfRule>
  </conditionalFormatting>
  <conditionalFormatting sqref="G811">
    <cfRule type="expression" dxfId="275" priority="66">
      <formula>$C811=TODAY()</formula>
    </cfRule>
  </conditionalFormatting>
  <conditionalFormatting sqref="G811">
    <cfRule type="expression" dxfId="274" priority="65">
      <formula>$C811=TODAY()</formula>
    </cfRule>
  </conditionalFormatting>
  <conditionalFormatting sqref="G811">
    <cfRule type="expression" dxfId="273" priority="64">
      <formula>$C811=TODAY()</formula>
    </cfRule>
  </conditionalFormatting>
  <conditionalFormatting sqref="G811">
    <cfRule type="expression" dxfId="272" priority="63">
      <formula>$C811=TODAY()</formula>
    </cfRule>
  </conditionalFormatting>
  <conditionalFormatting sqref="I811:I812">
    <cfRule type="expression" dxfId="271" priority="62">
      <formula>$C811=TODAY()</formula>
    </cfRule>
  </conditionalFormatting>
  <conditionalFormatting sqref="I811:I812">
    <cfRule type="expression" dxfId="270" priority="61">
      <formula>$C811=TODAY()</formula>
    </cfRule>
  </conditionalFormatting>
  <conditionalFormatting sqref="I811:I812">
    <cfRule type="expression" dxfId="269" priority="60">
      <formula>$C811=TODAY()</formula>
    </cfRule>
  </conditionalFormatting>
  <conditionalFormatting sqref="I811:I812">
    <cfRule type="expression" dxfId="268" priority="59">
      <formula>$C811=TODAY()</formula>
    </cfRule>
  </conditionalFormatting>
  <conditionalFormatting sqref="K811">
    <cfRule type="expression" dxfId="267" priority="58">
      <formula>$C811=TODAY()</formula>
    </cfRule>
  </conditionalFormatting>
  <conditionalFormatting sqref="K811">
    <cfRule type="expression" dxfId="266" priority="57">
      <formula>$C811=TODAY()</formula>
    </cfRule>
  </conditionalFormatting>
  <conditionalFormatting sqref="K811">
    <cfRule type="expression" dxfId="265" priority="56">
      <formula>$C811=TODAY()</formula>
    </cfRule>
  </conditionalFormatting>
  <conditionalFormatting sqref="K811">
    <cfRule type="expression" dxfId="264" priority="55">
      <formula>$C811=TODAY()</formula>
    </cfRule>
  </conditionalFormatting>
  <conditionalFormatting sqref="E813:E814">
    <cfRule type="expression" dxfId="263" priority="54">
      <formula>$C813=TODAY()</formula>
    </cfRule>
  </conditionalFormatting>
  <conditionalFormatting sqref="E813:E814">
    <cfRule type="expression" dxfId="262" priority="53">
      <formula>$C813=TODAY()</formula>
    </cfRule>
  </conditionalFormatting>
  <conditionalFormatting sqref="E813:E814">
    <cfRule type="expression" dxfId="261" priority="52">
      <formula>$C813=TODAY()</formula>
    </cfRule>
  </conditionalFormatting>
  <conditionalFormatting sqref="E814">
    <cfRule type="expression" dxfId="260" priority="51">
      <formula>$C814=TODAY()</formula>
    </cfRule>
  </conditionalFormatting>
  <conditionalFormatting sqref="E814">
    <cfRule type="expression" dxfId="259" priority="50">
      <formula>$C814=TODAY()</formula>
    </cfRule>
  </conditionalFormatting>
  <conditionalFormatting sqref="E814">
    <cfRule type="expression" dxfId="258" priority="49">
      <formula>$C814=TODAY()</formula>
    </cfRule>
  </conditionalFormatting>
  <conditionalFormatting sqref="E814">
    <cfRule type="expression" dxfId="257" priority="48">
      <formula>$C814=TODAY()</formula>
    </cfRule>
  </conditionalFormatting>
  <conditionalFormatting sqref="E814">
    <cfRule type="expression" dxfId="256" priority="47">
      <formula>$C814=TODAY()</formula>
    </cfRule>
  </conditionalFormatting>
  <conditionalFormatting sqref="G813:G814">
    <cfRule type="expression" dxfId="255" priority="46">
      <formula>$C813=TODAY()</formula>
    </cfRule>
  </conditionalFormatting>
  <conditionalFormatting sqref="G813:G814">
    <cfRule type="expression" dxfId="254" priority="45">
      <formula>$C813=TODAY()</formula>
    </cfRule>
  </conditionalFormatting>
  <conditionalFormatting sqref="G813:G814">
    <cfRule type="expression" dxfId="253" priority="44">
      <formula>$C813=TODAY()</formula>
    </cfRule>
  </conditionalFormatting>
  <conditionalFormatting sqref="G813:G814">
    <cfRule type="expression" dxfId="252" priority="43">
      <formula>$C813=TODAY()</formula>
    </cfRule>
  </conditionalFormatting>
  <conditionalFormatting sqref="G814">
    <cfRule type="expression" dxfId="251" priority="42">
      <formula>$C814=TODAY()</formula>
    </cfRule>
  </conditionalFormatting>
  <conditionalFormatting sqref="G814">
    <cfRule type="expression" dxfId="250" priority="41">
      <formula>$C814=TODAY()</formula>
    </cfRule>
  </conditionalFormatting>
  <conditionalFormatting sqref="G814">
    <cfRule type="expression" dxfId="249" priority="40">
      <formula>$C814=TODAY()</formula>
    </cfRule>
  </conditionalFormatting>
  <conditionalFormatting sqref="G814">
    <cfRule type="expression" dxfId="248" priority="39">
      <formula>$C814=TODAY()</formula>
    </cfRule>
  </conditionalFormatting>
  <conditionalFormatting sqref="G814">
    <cfRule type="expression" dxfId="247" priority="38">
      <formula>$C814=TODAY()</formula>
    </cfRule>
  </conditionalFormatting>
  <conditionalFormatting sqref="I813:I814">
    <cfRule type="expression" dxfId="246" priority="37">
      <formula>$C813=TODAY()</formula>
    </cfRule>
  </conditionalFormatting>
  <conditionalFormatting sqref="I813:I814">
    <cfRule type="expression" dxfId="245" priority="36">
      <formula>$C813=TODAY()</formula>
    </cfRule>
  </conditionalFormatting>
  <conditionalFormatting sqref="I813:I814">
    <cfRule type="expression" dxfId="244" priority="35">
      <formula>$C813=TODAY()</formula>
    </cfRule>
  </conditionalFormatting>
  <conditionalFormatting sqref="I813:I814">
    <cfRule type="expression" dxfId="243" priority="34">
      <formula>$C813=TODAY()</formula>
    </cfRule>
  </conditionalFormatting>
  <conditionalFormatting sqref="I814">
    <cfRule type="expression" dxfId="242" priority="33">
      <formula>$C814=TODAY()</formula>
    </cfRule>
  </conditionalFormatting>
  <conditionalFormatting sqref="I814">
    <cfRule type="expression" dxfId="241" priority="32">
      <formula>$C814=TODAY()</formula>
    </cfRule>
  </conditionalFormatting>
  <conditionalFormatting sqref="I814">
    <cfRule type="expression" dxfId="240" priority="31">
      <formula>$C814=TODAY()</formula>
    </cfRule>
  </conditionalFormatting>
  <conditionalFormatting sqref="I814">
    <cfRule type="expression" dxfId="239" priority="30">
      <formula>$C814=TODAY()</formula>
    </cfRule>
  </conditionalFormatting>
  <conditionalFormatting sqref="I814">
    <cfRule type="expression" dxfId="238" priority="29">
      <formula>$C814=TODAY()</formula>
    </cfRule>
  </conditionalFormatting>
  <conditionalFormatting sqref="K813:K814">
    <cfRule type="expression" dxfId="237" priority="28">
      <formula>$C813=TODAY()</formula>
    </cfRule>
  </conditionalFormatting>
  <conditionalFormatting sqref="K813:K814">
    <cfRule type="expression" dxfId="236" priority="27">
      <formula>$C813=TODAY()</formula>
    </cfRule>
  </conditionalFormatting>
  <conditionalFormatting sqref="K813:K814">
    <cfRule type="expression" dxfId="235" priority="26">
      <formula>$C813=TODAY()</formula>
    </cfRule>
  </conditionalFormatting>
  <conditionalFormatting sqref="K813:K814">
    <cfRule type="expression" dxfId="234" priority="25">
      <formula>$C813=TODAY()</formula>
    </cfRule>
  </conditionalFormatting>
  <conditionalFormatting sqref="K814">
    <cfRule type="expression" dxfId="233" priority="24">
      <formula>$C814=TODAY()</formula>
    </cfRule>
  </conditionalFormatting>
  <conditionalFormatting sqref="K814">
    <cfRule type="expression" dxfId="232" priority="23">
      <formula>$C814=TODAY()</formula>
    </cfRule>
  </conditionalFormatting>
  <conditionalFormatting sqref="K814">
    <cfRule type="expression" dxfId="231" priority="22">
      <formula>$C814=TODAY()</formula>
    </cfRule>
  </conditionalFormatting>
  <conditionalFormatting sqref="K814">
    <cfRule type="expression" dxfId="230" priority="21">
      <formula>$C814=TODAY()</formula>
    </cfRule>
  </conditionalFormatting>
  <conditionalFormatting sqref="K814">
    <cfRule type="expression" dxfId="229" priority="20">
      <formula>$C814=TODAY()</formula>
    </cfRule>
  </conditionalFormatting>
  <conditionalFormatting sqref="G826 E826 I826:I829 K826:K829">
    <cfRule type="expression" dxfId="228" priority="19">
      <formula>$C826=TODAY()</formula>
    </cfRule>
  </conditionalFormatting>
  <conditionalFormatting sqref="G826 E826 I826:I829 K826:K829">
    <cfRule type="expression" dxfId="227" priority="18">
      <formula>$C826=TODAY()</formula>
    </cfRule>
  </conditionalFormatting>
  <conditionalFormatting sqref="G826 E826 I826:I829 K826:K829">
    <cfRule type="expression" dxfId="226" priority="17">
      <formula>$C826=TODAY()</formula>
    </cfRule>
  </conditionalFormatting>
  <conditionalFormatting sqref="G826 I826:I829 K826:K829">
    <cfRule type="expression" dxfId="225" priority="16">
      <formula>$C826=TODAY()</formula>
    </cfRule>
  </conditionalFormatting>
  <conditionalFormatting sqref="K829 I829 G829">
    <cfRule type="expression" dxfId="224" priority="15">
      <formula>$C829=TODAY()</formula>
    </cfRule>
  </conditionalFormatting>
  <conditionalFormatting sqref="I834 G834 K834:K835">
    <cfRule type="expression" dxfId="223" priority="14">
      <formula>$C834=TODAY()</formula>
    </cfRule>
  </conditionalFormatting>
  <conditionalFormatting sqref="I836 G836">
    <cfRule type="expression" dxfId="222" priority="13">
      <formula>$C836=TODAY()</formula>
    </cfRule>
  </conditionalFormatting>
  <conditionalFormatting sqref="K837 I837 G837">
    <cfRule type="expression" dxfId="221" priority="12">
      <formula>$C837=TODAY()</formula>
    </cfRule>
  </conditionalFormatting>
  <conditionalFormatting sqref="K839 I839">
    <cfRule type="expression" dxfId="220" priority="11">
      <formula>$C839=TODAY()</formula>
    </cfRule>
  </conditionalFormatting>
  <conditionalFormatting sqref="K842 I842 G842 E842">
    <cfRule type="expression" dxfId="219" priority="10">
      <formula>$C842=TODAY()</formula>
    </cfRule>
  </conditionalFormatting>
  <conditionalFormatting sqref="K845 I845 G845 E845">
    <cfRule type="expression" dxfId="8" priority="9">
      <formula>$C845=TODAY()</formula>
    </cfRule>
  </conditionalFormatting>
  <conditionalFormatting sqref="K845 I845 G845">
    <cfRule type="expression" dxfId="7" priority="8">
      <formula>$C845=TODAY()</formula>
    </cfRule>
  </conditionalFormatting>
  <conditionalFormatting sqref="K844 I844 G844 E844">
    <cfRule type="expression" dxfId="6" priority="7">
      <formula>$C844=TODAY()</formula>
    </cfRule>
  </conditionalFormatting>
  <conditionalFormatting sqref="K844 I844 G844">
    <cfRule type="expression" dxfId="5" priority="6">
      <formula>$C844=TODAY()</formula>
    </cfRule>
  </conditionalFormatting>
  <conditionalFormatting sqref="K843 I843">
    <cfRule type="expression" dxfId="4" priority="5">
      <formula>$C843=TODAY()</formula>
    </cfRule>
  </conditionalFormatting>
  <conditionalFormatting sqref="K843 I843">
    <cfRule type="expression" dxfId="3" priority="4">
      <formula>$C843=TODAY()</formula>
    </cfRule>
  </conditionalFormatting>
  <conditionalFormatting sqref="K844 I844 G844 E844">
    <cfRule type="expression" dxfId="2" priority="3">
      <formula>$C844=TODAY()</formula>
    </cfRule>
  </conditionalFormatting>
  <conditionalFormatting sqref="K844 I844 G844">
    <cfRule type="expression" dxfId="1" priority="2">
      <formula>$C844=TODAY()</formula>
    </cfRule>
  </conditionalFormatting>
  <conditionalFormatting sqref="K845 I845 G845 E845">
    <cfRule type="expression" dxfId="0" priority="1">
      <formula>$C845=TODAY()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69"/>
  <sheetViews>
    <sheetView zoomScale="130" zoomScaleNormal="130" workbookViewId="0">
      <pane ySplit="3" topLeftCell="A851" activePane="bottomLeft" state="frozen"/>
      <selection pane="bottomLeft" activeCell="D866" sqref="D866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35" t="s">
        <v>13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13"/>
      <c r="O1" s="1"/>
    </row>
    <row r="2" spans="1:15" ht="18.75" x14ac:dyDescent="0.3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>
        <v>3300</v>
      </c>
      <c r="E818" s="12" t="s">
        <v>12</v>
      </c>
      <c r="F818" s="11">
        <v>2700</v>
      </c>
      <c r="G818" s="12" t="s">
        <v>12</v>
      </c>
      <c r="H818" s="11">
        <v>3700</v>
      </c>
      <c r="I818" s="12" t="s">
        <v>12</v>
      </c>
      <c r="J818" s="11">
        <v>4000</v>
      </c>
      <c r="K818" s="12" t="s">
        <v>12</v>
      </c>
    </row>
    <row r="819" spans="1:11" x14ac:dyDescent="0.25">
      <c r="A819" s="1">
        <v>818</v>
      </c>
      <c r="B819" s="7" t="s">
        <v>14</v>
      </c>
      <c r="C819" s="8">
        <v>46009</v>
      </c>
      <c r="D819" s="9">
        <v>3400</v>
      </c>
      <c r="E819" s="12" t="s">
        <v>12</v>
      </c>
      <c r="F819" s="11">
        <v>2800</v>
      </c>
      <c r="G819" s="12" t="s">
        <v>12</v>
      </c>
      <c r="H819" s="11">
        <v>3900</v>
      </c>
      <c r="I819" s="12" t="s">
        <v>12</v>
      </c>
      <c r="J819" s="11">
        <v>4200</v>
      </c>
      <c r="K819" s="12" t="s">
        <v>12</v>
      </c>
    </row>
    <row r="820" spans="1:11" x14ac:dyDescent="0.25">
      <c r="A820" s="1">
        <v>819</v>
      </c>
      <c r="B820" s="7" t="s">
        <v>14</v>
      </c>
      <c r="C820" s="8">
        <v>46009</v>
      </c>
      <c r="D820" s="9">
        <v>2000</v>
      </c>
      <c r="E820" s="10" t="s">
        <v>22</v>
      </c>
      <c r="F820" s="11">
        <v>400</v>
      </c>
      <c r="G820" s="10" t="s">
        <v>22</v>
      </c>
      <c r="H820" s="11"/>
      <c r="I820" s="12"/>
      <c r="J820" s="11">
        <v>200</v>
      </c>
      <c r="K820" s="10" t="s">
        <v>22</v>
      </c>
    </row>
    <row r="821" spans="1:11" x14ac:dyDescent="0.25">
      <c r="A821" s="1">
        <v>820</v>
      </c>
      <c r="B821" s="7" t="s">
        <v>14</v>
      </c>
      <c r="C821" s="8">
        <v>46009</v>
      </c>
      <c r="D821" s="9">
        <v>300</v>
      </c>
      <c r="E821" s="12" t="s">
        <v>21</v>
      </c>
      <c r="F821" s="11">
        <v>100</v>
      </c>
      <c r="G821" s="12" t="s">
        <v>21</v>
      </c>
      <c r="H821" s="11"/>
      <c r="I821" s="12"/>
      <c r="J821" s="11">
        <v>100</v>
      </c>
      <c r="K821" s="12" t="s">
        <v>21</v>
      </c>
    </row>
    <row r="822" spans="1:11" x14ac:dyDescent="0.25">
      <c r="A822" s="1">
        <v>821</v>
      </c>
      <c r="B822" s="7" t="s">
        <v>14</v>
      </c>
      <c r="C822" s="8">
        <v>46009</v>
      </c>
      <c r="D822" s="9">
        <v>1100</v>
      </c>
      <c r="E822" s="12" t="s">
        <v>31</v>
      </c>
      <c r="F822" s="11">
        <v>800</v>
      </c>
      <c r="G822" s="12" t="s">
        <v>31</v>
      </c>
      <c r="H822" s="11">
        <v>800</v>
      </c>
      <c r="I822" s="12" t="s">
        <v>31</v>
      </c>
      <c r="J822" s="11">
        <v>800</v>
      </c>
      <c r="K822" s="12" t="s">
        <v>31</v>
      </c>
    </row>
    <row r="823" spans="1:11" x14ac:dyDescent="0.25">
      <c r="A823" s="1">
        <v>822</v>
      </c>
      <c r="B823" s="7" t="s">
        <v>15</v>
      </c>
      <c r="C823" s="8">
        <v>46010</v>
      </c>
      <c r="D823" s="9"/>
      <c r="E823" s="10"/>
      <c r="F823" s="11"/>
      <c r="G823" s="12"/>
      <c r="H823" s="11"/>
      <c r="I823" s="12"/>
      <c r="J823" s="11"/>
      <c r="K823" s="12"/>
    </row>
    <row r="824" spans="1:11" x14ac:dyDescent="0.25">
      <c r="A824" s="1">
        <v>823</v>
      </c>
      <c r="B824" s="7" t="s">
        <v>16</v>
      </c>
      <c r="C824" s="8">
        <v>46011</v>
      </c>
      <c r="D824" s="9"/>
      <c r="E824" s="10"/>
      <c r="F824" s="11"/>
      <c r="G824" s="12"/>
      <c r="H824" s="11"/>
      <c r="I824" s="12"/>
      <c r="J824" s="11"/>
      <c r="K824" s="12"/>
    </row>
    <row r="825" spans="1:11" x14ac:dyDescent="0.25">
      <c r="A825" s="1">
        <v>824</v>
      </c>
      <c r="B825" s="7" t="s">
        <v>17</v>
      </c>
      <c r="C825" s="8">
        <v>46012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825</v>
      </c>
      <c r="B826" s="7" t="s">
        <v>18</v>
      </c>
      <c r="C826" s="8">
        <v>46013</v>
      </c>
      <c r="D826" s="9"/>
      <c r="E826" s="10"/>
      <c r="F826" s="11"/>
      <c r="G826" s="12"/>
      <c r="H826" s="11"/>
      <c r="I826" s="12"/>
      <c r="J826" s="11"/>
      <c r="K826" s="12"/>
    </row>
    <row r="827" spans="1:11" x14ac:dyDescent="0.25">
      <c r="A827" s="1">
        <v>826</v>
      </c>
      <c r="B827" s="7" t="s">
        <v>19</v>
      </c>
      <c r="C827" s="8">
        <v>46014</v>
      </c>
      <c r="D827" s="9"/>
      <c r="E827" s="10"/>
      <c r="F827" s="11"/>
      <c r="G827" s="12"/>
      <c r="H827" s="11"/>
      <c r="I827" s="12"/>
      <c r="J827" s="11"/>
      <c r="K827" s="12"/>
    </row>
    <row r="828" spans="1:11" x14ac:dyDescent="0.25">
      <c r="A828" s="1">
        <v>827</v>
      </c>
      <c r="B828" s="7" t="s">
        <v>20</v>
      </c>
      <c r="C828" s="8">
        <v>46015</v>
      </c>
      <c r="D828" s="9">
        <v>4800</v>
      </c>
      <c r="E828" s="12" t="s">
        <v>12</v>
      </c>
      <c r="F828" s="11">
        <v>3200</v>
      </c>
      <c r="G828" s="12" t="s">
        <v>12</v>
      </c>
      <c r="H828" s="11">
        <v>1700</v>
      </c>
      <c r="I828" s="12" t="s">
        <v>12</v>
      </c>
      <c r="J828" s="11">
        <v>6600</v>
      </c>
      <c r="K828" s="12" t="s">
        <v>12</v>
      </c>
    </row>
    <row r="829" spans="1:11" x14ac:dyDescent="0.25">
      <c r="A829" s="1">
        <v>828</v>
      </c>
      <c r="B829" s="7" t="s">
        <v>14</v>
      </c>
      <c r="C829" s="8">
        <v>46016</v>
      </c>
      <c r="D829" s="9">
        <v>4500</v>
      </c>
      <c r="E829" s="12" t="s">
        <v>12</v>
      </c>
      <c r="F829" s="11">
        <v>2900</v>
      </c>
      <c r="G829" s="12" t="s">
        <v>12</v>
      </c>
      <c r="H829" s="11">
        <v>1600</v>
      </c>
      <c r="I829" s="12" t="s">
        <v>12</v>
      </c>
      <c r="J829" s="11">
        <v>6100</v>
      </c>
      <c r="K829" s="12" t="s">
        <v>12</v>
      </c>
    </row>
    <row r="830" spans="1:11" x14ac:dyDescent="0.25">
      <c r="A830" s="1">
        <v>829</v>
      </c>
      <c r="B830" s="7" t="s">
        <v>14</v>
      </c>
      <c r="C830" s="8">
        <v>46016</v>
      </c>
      <c r="D830" s="9">
        <v>3300</v>
      </c>
      <c r="E830" s="10" t="s">
        <v>22</v>
      </c>
      <c r="F830" s="11">
        <v>800</v>
      </c>
      <c r="G830" s="10" t="s">
        <v>22</v>
      </c>
      <c r="H830" s="11">
        <v>100</v>
      </c>
      <c r="I830" s="10" t="s">
        <v>22</v>
      </c>
      <c r="J830" s="11">
        <v>800</v>
      </c>
      <c r="K830" s="10" t="s">
        <v>22</v>
      </c>
    </row>
    <row r="831" spans="1:11" x14ac:dyDescent="0.25">
      <c r="A831" s="1">
        <v>830</v>
      </c>
      <c r="B831" s="7" t="s">
        <v>14</v>
      </c>
      <c r="C831" s="8">
        <v>46016</v>
      </c>
      <c r="D831" s="9">
        <v>500</v>
      </c>
      <c r="E831" s="12" t="s">
        <v>21</v>
      </c>
      <c r="F831" s="11">
        <v>200</v>
      </c>
      <c r="G831" s="12" t="s">
        <v>21</v>
      </c>
      <c r="H831" s="11">
        <v>10</v>
      </c>
      <c r="I831" s="12" t="s">
        <v>21</v>
      </c>
      <c r="J831" s="11">
        <v>100</v>
      </c>
      <c r="K831" s="12" t="s">
        <v>21</v>
      </c>
    </row>
    <row r="832" spans="1:11" x14ac:dyDescent="0.25">
      <c r="A832" s="1">
        <v>831</v>
      </c>
      <c r="B832" s="7" t="s">
        <v>15</v>
      </c>
      <c r="C832" s="8">
        <v>46017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832</v>
      </c>
      <c r="B833" s="7" t="s">
        <v>16</v>
      </c>
      <c r="C833" s="8">
        <v>46018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833</v>
      </c>
      <c r="B834" s="7" t="s">
        <v>17</v>
      </c>
      <c r="C834" s="8">
        <v>46019</v>
      </c>
      <c r="D834" s="9"/>
      <c r="E834" s="10"/>
      <c r="F834" s="11"/>
      <c r="G834" s="12"/>
      <c r="H834" s="11"/>
      <c r="I834" s="12"/>
      <c r="J834" s="11"/>
      <c r="K834" s="12"/>
    </row>
    <row r="835" spans="1:11" x14ac:dyDescent="0.25">
      <c r="A835" s="1">
        <v>834</v>
      </c>
      <c r="B835" s="7" t="s">
        <v>18</v>
      </c>
      <c r="C835" s="8">
        <v>46020</v>
      </c>
      <c r="D835" s="9"/>
      <c r="E835" s="10"/>
      <c r="F835" s="11"/>
      <c r="G835" s="12"/>
      <c r="H835" s="11"/>
      <c r="I835" s="12"/>
      <c r="J835" s="11"/>
      <c r="K835" s="12"/>
    </row>
    <row r="836" spans="1:11" x14ac:dyDescent="0.25">
      <c r="A836" s="1">
        <v>835</v>
      </c>
      <c r="B836" s="7" t="s">
        <v>19</v>
      </c>
      <c r="C836" s="8">
        <v>46021</v>
      </c>
      <c r="D836" s="9">
        <v>2500</v>
      </c>
      <c r="E836" s="12" t="s">
        <v>12</v>
      </c>
      <c r="F836" s="11">
        <v>1700</v>
      </c>
      <c r="G836" s="12" t="s">
        <v>12</v>
      </c>
      <c r="H836" s="11">
        <v>2700</v>
      </c>
      <c r="I836" s="12" t="s">
        <v>12</v>
      </c>
      <c r="J836" s="11">
        <v>4500</v>
      </c>
      <c r="K836" s="12" t="s">
        <v>12</v>
      </c>
    </row>
    <row r="837" spans="1:11" x14ac:dyDescent="0.25">
      <c r="A837" s="1">
        <v>836</v>
      </c>
      <c r="B837" s="7" t="s">
        <v>20</v>
      </c>
      <c r="C837" s="8">
        <v>46022</v>
      </c>
      <c r="D837" s="9"/>
      <c r="E837" s="12"/>
      <c r="F837" s="11"/>
      <c r="G837" s="12"/>
      <c r="H837" s="11"/>
      <c r="I837" s="12"/>
      <c r="J837" s="11"/>
      <c r="K837" s="12"/>
    </row>
    <row r="838" spans="1:11" x14ac:dyDescent="0.25">
      <c r="A838" s="1">
        <v>837</v>
      </c>
      <c r="B838" s="7" t="s">
        <v>14</v>
      </c>
      <c r="C838" s="8">
        <v>46023</v>
      </c>
      <c r="D838" s="9"/>
      <c r="E838" s="10"/>
      <c r="F838" s="11"/>
      <c r="G838" s="12"/>
      <c r="H838" s="11"/>
      <c r="I838" s="12"/>
      <c r="J838" s="11"/>
      <c r="K838" s="12"/>
    </row>
    <row r="839" spans="1:11" x14ac:dyDescent="0.25">
      <c r="A839" s="1">
        <v>838</v>
      </c>
      <c r="B839" s="7" t="s">
        <v>15</v>
      </c>
      <c r="C839" s="8">
        <v>46024</v>
      </c>
      <c r="D839" s="9"/>
      <c r="E839" s="10"/>
      <c r="F839" s="11"/>
      <c r="G839" s="12"/>
      <c r="H839" s="11"/>
      <c r="I839" s="12"/>
      <c r="J839" s="11"/>
      <c r="K839" s="12"/>
    </row>
    <row r="840" spans="1:11" x14ac:dyDescent="0.25">
      <c r="A840" s="1">
        <v>839</v>
      </c>
      <c r="B840" s="7" t="s">
        <v>16</v>
      </c>
      <c r="C840" s="8">
        <v>46025</v>
      </c>
      <c r="D840" s="9"/>
      <c r="E840" s="10"/>
      <c r="F840" s="11"/>
      <c r="G840" s="12"/>
      <c r="H840" s="11"/>
      <c r="I840" s="12"/>
      <c r="J840" s="11"/>
      <c r="K840" s="12"/>
    </row>
    <row r="841" spans="1:11" x14ac:dyDescent="0.25">
      <c r="A841" s="1">
        <v>840</v>
      </c>
      <c r="B841" s="7" t="s">
        <v>17</v>
      </c>
      <c r="C841" s="8">
        <v>46026</v>
      </c>
      <c r="D841" s="9"/>
      <c r="E841" s="10"/>
      <c r="F841" s="11"/>
      <c r="G841" s="12"/>
      <c r="H841" s="11"/>
      <c r="I841" s="12"/>
      <c r="J841" s="11"/>
      <c r="K841" s="12"/>
    </row>
    <row r="842" spans="1:11" x14ac:dyDescent="0.25">
      <c r="A842" s="1">
        <v>841</v>
      </c>
      <c r="B842" s="7" t="s">
        <v>18</v>
      </c>
      <c r="C842" s="8">
        <v>46027</v>
      </c>
      <c r="D842" s="9"/>
      <c r="E842" s="10"/>
      <c r="F842" s="11"/>
      <c r="G842" s="12"/>
      <c r="H842" s="11"/>
      <c r="I842" s="12"/>
      <c r="J842" s="11"/>
      <c r="K842" s="12"/>
    </row>
    <row r="843" spans="1:11" x14ac:dyDescent="0.25">
      <c r="A843" s="1">
        <v>842</v>
      </c>
      <c r="B843" s="7" t="s">
        <v>19</v>
      </c>
      <c r="C843" s="8">
        <v>46028</v>
      </c>
      <c r="D843" s="9"/>
      <c r="E843" s="10"/>
      <c r="F843" s="11"/>
      <c r="G843" s="12"/>
      <c r="H843" s="11"/>
      <c r="I843" s="12"/>
      <c r="J843" s="11"/>
      <c r="K843" s="12"/>
    </row>
    <row r="844" spans="1:11" x14ac:dyDescent="0.25">
      <c r="A844" s="1">
        <v>843</v>
      </c>
      <c r="B844" s="7" t="s">
        <v>20</v>
      </c>
      <c r="C844" s="8">
        <v>46029</v>
      </c>
      <c r="D844" s="9"/>
      <c r="E844" s="10"/>
      <c r="F844" s="11"/>
      <c r="G844" s="12"/>
      <c r="H844" s="11"/>
      <c r="I844" s="12"/>
      <c r="J844" s="11"/>
      <c r="K844" s="12"/>
    </row>
    <row r="845" spans="1:11" x14ac:dyDescent="0.25">
      <c r="A845" s="1">
        <v>844</v>
      </c>
      <c r="B845" s="7" t="s">
        <v>14</v>
      </c>
      <c r="C845" s="8">
        <v>46030</v>
      </c>
      <c r="D845" s="9">
        <v>3100</v>
      </c>
      <c r="E845" s="12" t="s">
        <v>12</v>
      </c>
      <c r="F845" s="11">
        <v>2200</v>
      </c>
      <c r="G845" s="12" t="s">
        <v>12</v>
      </c>
      <c r="H845" s="11">
        <v>3200</v>
      </c>
      <c r="I845" s="12" t="s">
        <v>12</v>
      </c>
      <c r="J845" s="11">
        <v>4400</v>
      </c>
      <c r="K845" s="12" t="s">
        <v>12</v>
      </c>
    </row>
    <row r="846" spans="1:11" ht="30" x14ac:dyDescent="0.25">
      <c r="A846" s="1">
        <v>845</v>
      </c>
      <c r="B846" s="7" t="s">
        <v>14</v>
      </c>
      <c r="C846" s="8">
        <v>46030</v>
      </c>
      <c r="D846" s="9">
        <v>2900</v>
      </c>
      <c r="E846" s="10" t="s">
        <v>32</v>
      </c>
      <c r="F846" s="11">
        <v>1600</v>
      </c>
      <c r="G846" s="10" t="s">
        <v>32</v>
      </c>
      <c r="H846" s="11">
        <v>900</v>
      </c>
      <c r="I846" s="10" t="s">
        <v>32</v>
      </c>
      <c r="J846" s="11">
        <v>1500</v>
      </c>
      <c r="K846" s="10" t="s">
        <v>32</v>
      </c>
    </row>
    <row r="847" spans="1:11" x14ac:dyDescent="0.25">
      <c r="A847" s="1">
        <v>846</v>
      </c>
      <c r="B847" s="7" t="s">
        <v>14</v>
      </c>
      <c r="C847" s="8">
        <v>46030</v>
      </c>
      <c r="D847" s="9">
        <v>300</v>
      </c>
      <c r="E847" s="12" t="s">
        <v>21</v>
      </c>
      <c r="F847" s="11">
        <v>200</v>
      </c>
      <c r="G847" s="12" t="s">
        <v>21</v>
      </c>
      <c r="H847" s="11"/>
      <c r="I847" s="12"/>
      <c r="J847" s="11"/>
      <c r="K847" s="12"/>
    </row>
    <row r="848" spans="1:11" x14ac:dyDescent="0.25">
      <c r="A848" s="1">
        <v>847</v>
      </c>
      <c r="B848" s="7" t="s">
        <v>15</v>
      </c>
      <c r="C848" s="8">
        <v>46031</v>
      </c>
      <c r="D848" s="9"/>
      <c r="E848" s="10"/>
      <c r="F848" s="11"/>
      <c r="G848" s="12"/>
      <c r="H848" s="11"/>
      <c r="I848" s="12"/>
      <c r="J848" s="11"/>
      <c r="K848" s="12"/>
    </row>
    <row r="849" spans="1:11" x14ac:dyDescent="0.25">
      <c r="A849" s="1">
        <v>848</v>
      </c>
      <c r="B849" s="7" t="s">
        <v>16</v>
      </c>
      <c r="C849" s="8">
        <v>46032</v>
      </c>
      <c r="D849" s="9"/>
      <c r="E849" s="10"/>
      <c r="F849" s="11"/>
      <c r="G849" s="12"/>
      <c r="H849" s="11"/>
      <c r="I849" s="12"/>
      <c r="J849" s="11"/>
      <c r="K849" s="12"/>
    </row>
    <row r="850" spans="1:11" x14ac:dyDescent="0.25">
      <c r="A850" s="1">
        <v>849</v>
      </c>
      <c r="B850" s="7" t="s">
        <v>17</v>
      </c>
      <c r="C850" s="8">
        <v>46033</v>
      </c>
      <c r="D850" s="9"/>
      <c r="E850" s="10"/>
      <c r="F850" s="11"/>
      <c r="G850" s="12"/>
      <c r="H850" s="11"/>
      <c r="I850" s="12"/>
      <c r="J850" s="11"/>
      <c r="K850" s="12"/>
    </row>
    <row r="851" spans="1:11" x14ac:dyDescent="0.25">
      <c r="A851" s="1">
        <v>850</v>
      </c>
      <c r="B851" s="7" t="s">
        <v>18</v>
      </c>
      <c r="C851" s="8">
        <v>46034</v>
      </c>
      <c r="D851" s="9"/>
      <c r="E851" s="10"/>
      <c r="F851" s="11"/>
      <c r="G851" s="12"/>
      <c r="H851" s="11"/>
      <c r="I851" s="12"/>
      <c r="J851" s="11"/>
      <c r="K851" s="12"/>
    </row>
    <row r="852" spans="1:11" x14ac:dyDescent="0.25">
      <c r="A852" s="1">
        <v>851</v>
      </c>
      <c r="B852" s="7" t="s">
        <v>19</v>
      </c>
      <c r="C852" s="8">
        <v>46035</v>
      </c>
      <c r="D852" s="9"/>
      <c r="E852" s="10"/>
      <c r="F852" s="11"/>
      <c r="G852" s="12"/>
      <c r="H852" s="11"/>
      <c r="I852" s="12"/>
      <c r="J852" s="11"/>
      <c r="K852" s="12"/>
    </row>
    <row r="853" spans="1:11" x14ac:dyDescent="0.25">
      <c r="A853" s="1">
        <v>852</v>
      </c>
      <c r="B853" s="7" t="s">
        <v>20</v>
      </c>
      <c r="C853" s="8">
        <v>46036</v>
      </c>
      <c r="D853" s="9">
        <v>6100</v>
      </c>
      <c r="E853" s="12" t="s">
        <v>12</v>
      </c>
      <c r="F853" s="11">
        <v>3400</v>
      </c>
      <c r="G853" s="12" t="s">
        <v>12</v>
      </c>
      <c r="H853" s="11">
        <v>2800</v>
      </c>
      <c r="I853" s="12" t="s">
        <v>12</v>
      </c>
      <c r="J853" s="11">
        <v>5000</v>
      </c>
      <c r="K853" s="12" t="s">
        <v>12</v>
      </c>
    </row>
    <row r="854" spans="1:11" x14ac:dyDescent="0.25">
      <c r="A854" s="1">
        <v>853</v>
      </c>
      <c r="B854" s="7" t="s">
        <v>14</v>
      </c>
      <c r="C854" s="8">
        <v>46037</v>
      </c>
      <c r="D854" s="9">
        <v>4700</v>
      </c>
      <c r="E854" s="12" t="s">
        <v>12</v>
      </c>
      <c r="F854" s="11">
        <v>2700</v>
      </c>
      <c r="G854" s="12" t="s">
        <v>12</v>
      </c>
      <c r="H854" s="11">
        <v>2200</v>
      </c>
      <c r="I854" s="12" t="s">
        <v>12</v>
      </c>
      <c r="J854" s="11">
        <v>3900</v>
      </c>
      <c r="K854" s="12" t="s">
        <v>12</v>
      </c>
    </row>
    <row r="855" spans="1:11" ht="30" x14ac:dyDescent="0.25">
      <c r="A855" s="1">
        <v>854</v>
      </c>
      <c r="B855" s="7" t="s">
        <v>14</v>
      </c>
      <c r="C855" s="8">
        <v>46037</v>
      </c>
      <c r="D855" s="9">
        <v>2700</v>
      </c>
      <c r="E855" s="10" t="s">
        <v>32</v>
      </c>
      <c r="F855" s="11">
        <v>2200</v>
      </c>
      <c r="G855" s="10" t="s">
        <v>32</v>
      </c>
      <c r="H855" s="11">
        <v>600</v>
      </c>
      <c r="I855" s="10" t="s">
        <v>32</v>
      </c>
      <c r="J855" s="11">
        <v>800</v>
      </c>
      <c r="K855" s="10" t="s">
        <v>32</v>
      </c>
    </row>
    <row r="856" spans="1:11" x14ac:dyDescent="0.25">
      <c r="A856" s="1">
        <v>855</v>
      </c>
      <c r="B856" s="7" t="s">
        <v>14</v>
      </c>
      <c r="C856" s="8">
        <v>46037</v>
      </c>
      <c r="D856" s="9">
        <v>500</v>
      </c>
      <c r="E856" s="12" t="s">
        <v>21</v>
      </c>
      <c r="F856" s="11">
        <v>100</v>
      </c>
      <c r="G856" s="12" t="s">
        <v>21</v>
      </c>
      <c r="H856" s="11">
        <v>10</v>
      </c>
      <c r="I856" s="12" t="s">
        <v>21</v>
      </c>
      <c r="J856" s="11">
        <v>100</v>
      </c>
      <c r="K856" s="12" t="s">
        <v>21</v>
      </c>
    </row>
    <row r="857" spans="1:11" x14ac:dyDescent="0.25">
      <c r="A857" s="1">
        <v>856</v>
      </c>
      <c r="B857" s="7" t="s">
        <v>15</v>
      </c>
      <c r="C857" s="8">
        <v>46038</v>
      </c>
      <c r="D857" s="9"/>
      <c r="E857" s="10"/>
      <c r="F857" s="11"/>
      <c r="G857" s="12"/>
      <c r="H857" s="11"/>
      <c r="I857" s="12"/>
      <c r="J857" s="11"/>
      <c r="K857" s="12"/>
    </row>
    <row r="858" spans="1:11" x14ac:dyDescent="0.25">
      <c r="A858" s="1">
        <v>857</v>
      </c>
      <c r="B858" s="7" t="s">
        <v>16</v>
      </c>
      <c r="C858" s="8">
        <v>46039</v>
      </c>
      <c r="D858" s="9"/>
      <c r="E858" s="10"/>
      <c r="F858" s="11"/>
      <c r="G858" s="12"/>
      <c r="H858" s="11"/>
      <c r="I858" s="12"/>
      <c r="J858" s="11"/>
      <c r="K858" s="12"/>
    </row>
    <row r="859" spans="1:11" x14ac:dyDescent="0.25">
      <c r="A859" s="1">
        <v>858</v>
      </c>
      <c r="B859" s="7" t="s">
        <v>17</v>
      </c>
      <c r="C859" s="8">
        <v>46040</v>
      </c>
      <c r="D859" s="9"/>
      <c r="E859" s="10"/>
      <c r="F859" s="11"/>
      <c r="G859" s="12"/>
      <c r="H859" s="11"/>
      <c r="I859" s="12"/>
      <c r="J859" s="11"/>
      <c r="K859" s="12"/>
    </row>
    <row r="860" spans="1:11" x14ac:dyDescent="0.25">
      <c r="A860" s="1">
        <v>859</v>
      </c>
      <c r="B860" s="7" t="s">
        <v>18</v>
      </c>
      <c r="C860" s="8">
        <v>46041</v>
      </c>
      <c r="D860" s="9"/>
      <c r="E860" s="10"/>
      <c r="F860" s="11"/>
      <c r="G860" s="12"/>
      <c r="H860" s="11"/>
      <c r="I860" s="12"/>
      <c r="J860" s="11"/>
      <c r="K860" s="12"/>
    </row>
    <row r="861" spans="1:11" x14ac:dyDescent="0.25">
      <c r="A861" s="1">
        <v>860</v>
      </c>
      <c r="B861" s="7" t="s">
        <v>19</v>
      </c>
      <c r="C861" s="8">
        <v>46042</v>
      </c>
      <c r="D861" s="9"/>
      <c r="E861" s="10"/>
      <c r="F861" s="11"/>
      <c r="G861" s="12"/>
      <c r="H861" s="11"/>
      <c r="I861" s="12"/>
      <c r="J861" s="11"/>
      <c r="K861" s="12"/>
    </row>
    <row r="862" spans="1:11" x14ac:dyDescent="0.25">
      <c r="A862" s="1">
        <v>861</v>
      </c>
      <c r="B862" s="7" t="s">
        <v>20</v>
      </c>
      <c r="C862" s="8">
        <v>46043</v>
      </c>
      <c r="D862" s="9">
        <v>4600</v>
      </c>
      <c r="E862" s="12" t="s">
        <v>12</v>
      </c>
      <c r="F862" s="11">
        <v>3400</v>
      </c>
      <c r="G862" s="12" t="s">
        <v>12</v>
      </c>
      <c r="H862" s="11">
        <v>1700</v>
      </c>
      <c r="I862" s="12" t="s">
        <v>12</v>
      </c>
      <c r="J862" s="11">
        <v>5200</v>
      </c>
      <c r="K862" s="12" t="s">
        <v>12</v>
      </c>
    </row>
    <row r="863" spans="1:11" x14ac:dyDescent="0.25">
      <c r="A863" s="1">
        <v>862</v>
      </c>
      <c r="B863" s="7" t="s">
        <v>14</v>
      </c>
      <c r="C863" s="8">
        <v>46044</v>
      </c>
      <c r="D863" s="9">
        <v>4500</v>
      </c>
      <c r="E863" s="12" t="s">
        <v>12</v>
      </c>
      <c r="F863" s="11">
        <v>3400</v>
      </c>
      <c r="G863" s="12" t="s">
        <v>12</v>
      </c>
      <c r="H863" s="11">
        <v>1700</v>
      </c>
      <c r="I863" s="12" t="s">
        <v>12</v>
      </c>
      <c r="J863" s="11">
        <v>5100</v>
      </c>
      <c r="K863" s="12" t="s">
        <v>12</v>
      </c>
    </row>
    <row r="864" spans="1:11" ht="30" x14ac:dyDescent="0.25">
      <c r="A864" s="1">
        <v>863</v>
      </c>
      <c r="B864" s="7" t="s">
        <v>14</v>
      </c>
      <c r="C864" s="8">
        <v>46044</v>
      </c>
      <c r="D864" s="9">
        <v>1800</v>
      </c>
      <c r="E864" s="10" t="s">
        <v>32</v>
      </c>
      <c r="F864" s="11">
        <v>300</v>
      </c>
      <c r="G864" s="10" t="s">
        <v>32</v>
      </c>
      <c r="H864" s="11">
        <v>100</v>
      </c>
      <c r="I864" s="10" t="s">
        <v>32</v>
      </c>
      <c r="J864" s="11">
        <v>200</v>
      </c>
      <c r="K864" s="10" t="s">
        <v>32</v>
      </c>
    </row>
    <row r="865" spans="1:11" x14ac:dyDescent="0.25">
      <c r="A865" s="1">
        <v>864</v>
      </c>
      <c r="B865" s="7" t="s">
        <v>14</v>
      </c>
      <c r="C865" s="8">
        <v>46044</v>
      </c>
      <c r="D865" s="9">
        <v>200</v>
      </c>
      <c r="E865" s="12" t="s">
        <v>21</v>
      </c>
      <c r="F865" s="11">
        <v>20</v>
      </c>
      <c r="G865" s="12" t="s">
        <v>21</v>
      </c>
      <c r="H865" s="11">
        <v>10</v>
      </c>
      <c r="I865" s="12" t="s">
        <v>21</v>
      </c>
      <c r="J865" s="11"/>
      <c r="K865" s="12"/>
    </row>
    <row r="866" spans="1:11" x14ac:dyDescent="0.25">
      <c r="A866" s="1">
        <v>865</v>
      </c>
      <c r="B866" s="7" t="s">
        <v>15</v>
      </c>
      <c r="C866" s="8">
        <v>46045</v>
      </c>
      <c r="D866" s="9"/>
      <c r="E866" s="10"/>
      <c r="F866" s="11"/>
      <c r="G866" s="12"/>
      <c r="H866" s="11"/>
      <c r="I866" s="12"/>
      <c r="J866" s="11"/>
      <c r="K866" s="12"/>
    </row>
    <row r="867" spans="1:11" x14ac:dyDescent="0.25">
      <c r="A867" s="1">
        <v>866</v>
      </c>
      <c r="B867" s="7" t="s">
        <v>16</v>
      </c>
      <c r="C867" s="8">
        <v>46046</v>
      </c>
      <c r="D867" s="9"/>
      <c r="E867" s="10"/>
      <c r="F867" s="11"/>
      <c r="G867" s="12"/>
      <c r="H867" s="11"/>
      <c r="I867" s="12"/>
      <c r="J867" s="11"/>
      <c r="K867" s="12"/>
    </row>
    <row r="868" spans="1:11" x14ac:dyDescent="0.25">
      <c r="A868" s="1">
        <v>867</v>
      </c>
      <c r="B868" s="7" t="s">
        <v>17</v>
      </c>
      <c r="C868" s="8">
        <v>46047</v>
      </c>
      <c r="D868" s="9"/>
      <c r="E868" s="10"/>
      <c r="F868" s="11"/>
      <c r="G868" s="12"/>
      <c r="H868" s="11"/>
      <c r="I868" s="12"/>
      <c r="J868" s="11"/>
      <c r="K868" s="12"/>
    </row>
    <row r="869" spans="1:11" x14ac:dyDescent="0.25">
      <c r="A869" s="1">
        <v>868</v>
      </c>
      <c r="B869" s="7" t="s">
        <v>18</v>
      </c>
      <c r="C869" s="8">
        <v>46048</v>
      </c>
      <c r="D869" s="9"/>
      <c r="E869" s="10"/>
      <c r="F869" s="11"/>
      <c r="G869" s="12"/>
      <c r="H869" s="11"/>
      <c r="I869" s="12"/>
      <c r="J869" s="11"/>
      <c r="K869" s="12"/>
    </row>
  </sheetData>
  <mergeCells count="2">
    <mergeCell ref="A1:M1"/>
    <mergeCell ref="A2:M2"/>
  </mergeCells>
  <phoneticPr fontId="14" type="noConversion"/>
  <conditionalFormatting sqref="B4:E869">
    <cfRule type="expression" dxfId="218" priority="388">
      <formula>$C4=TODAY()</formula>
    </cfRule>
  </conditionalFormatting>
  <conditionalFormatting sqref="C4:G17 J4:M43 B4:B373 C18:C373 D48:K739 B374:C739 B740:K869">
    <cfRule type="expression" dxfId="217" priority="389">
      <formula>$B4=TEXT(TODAY(),"ДДД")</formula>
    </cfRule>
  </conditionalFormatting>
  <conditionalFormatting sqref="D18:G47 J44:K47">
    <cfRule type="expression" dxfId="216" priority="398">
      <formula>$B18=TEXT(TODAY(),"ДДД")</formula>
    </cfRule>
  </conditionalFormatting>
  <conditionalFormatting sqref="E692">
    <cfRule type="expression" dxfId="215" priority="382">
      <formula>$C692=TODAY()</formula>
    </cfRule>
  </conditionalFormatting>
  <conditionalFormatting sqref="E694">
    <cfRule type="expression" dxfId="214" priority="380">
      <formula>$C694=TODAY()</formula>
    </cfRule>
  </conditionalFormatting>
  <conditionalFormatting sqref="E701">
    <cfRule type="expression" dxfId="213" priority="370">
      <formula>$C701=TODAY()</formula>
    </cfRule>
  </conditionalFormatting>
  <conditionalFormatting sqref="E703">
    <cfRule type="expression" dxfId="212" priority="365">
      <formula>$C703=TODAY()</formula>
    </cfRule>
  </conditionalFormatting>
  <conditionalFormatting sqref="E710">
    <cfRule type="expression" dxfId="211" priority="355">
      <formula>$C710=TODAY()</formula>
    </cfRule>
  </conditionalFormatting>
  <conditionalFormatting sqref="E712:E714">
    <cfRule type="expression" dxfId="210" priority="350">
      <formula>$C712=TODAY()</formula>
    </cfRule>
  </conditionalFormatting>
  <conditionalFormatting sqref="E719">
    <cfRule type="expression" dxfId="209" priority="340">
      <formula>$C719=TODAY()</formula>
    </cfRule>
  </conditionalFormatting>
  <conditionalFormatting sqref="E721:E723">
    <cfRule type="expression" dxfId="208" priority="335">
      <formula>$C721=TODAY()</formula>
    </cfRule>
  </conditionalFormatting>
  <conditionalFormatting sqref="E728">
    <cfRule type="expression" dxfId="207" priority="328">
      <formula>$C728=TODAY()</formula>
    </cfRule>
  </conditionalFormatting>
  <conditionalFormatting sqref="E730:E732">
    <cfRule type="expression" dxfId="206" priority="315">
      <formula>$C730=TODAY()</formula>
    </cfRule>
  </conditionalFormatting>
  <conditionalFormatting sqref="E737">
    <cfRule type="expression" dxfId="205" priority="308">
      <formula>$C737=TODAY()</formula>
    </cfRule>
  </conditionalFormatting>
  <conditionalFormatting sqref="E739:E741">
    <cfRule type="expression" dxfId="204" priority="295">
      <formula>$C739=TODAY()</formula>
    </cfRule>
  </conditionalFormatting>
  <conditionalFormatting sqref="E746">
    <cfRule type="expression" dxfId="203" priority="285">
      <formula>$C746=TODAY()</formula>
    </cfRule>
  </conditionalFormatting>
  <conditionalFormatting sqref="E748:E750">
    <cfRule type="expression" dxfId="202" priority="263">
      <formula>$C748=TODAY()</formula>
    </cfRule>
  </conditionalFormatting>
  <conditionalFormatting sqref="E755">
    <cfRule type="expression" dxfId="201" priority="256">
      <formula>$C755=TODAY()</formula>
    </cfRule>
  </conditionalFormatting>
  <conditionalFormatting sqref="E757:E759">
    <cfRule type="expression" dxfId="200" priority="229">
      <formula>$C757=TODAY()</formula>
    </cfRule>
  </conditionalFormatting>
  <conditionalFormatting sqref="E764">
    <cfRule type="expression" dxfId="199" priority="225">
      <formula>$C764=TODAY()</formula>
    </cfRule>
  </conditionalFormatting>
  <conditionalFormatting sqref="E766:E768">
    <cfRule type="expression" dxfId="198" priority="200">
      <formula>$C766=TODAY()</formula>
    </cfRule>
  </conditionalFormatting>
  <conditionalFormatting sqref="E773">
    <cfRule type="expression" dxfId="197" priority="190">
      <formula>$C773=TODAY()</formula>
    </cfRule>
  </conditionalFormatting>
  <conditionalFormatting sqref="E775:E777">
    <cfRule type="expression" dxfId="196" priority="178">
      <formula>$C775=TODAY()</formula>
    </cfRule>
  </conditionalFormatting>
  <conditionalFormatting sqref="E782">
    <cfRule type="expression" dxfId="195" priority="156">
      <formula>$C782=TODAY()</formula>
    </cfRule>
  </conditionalFormatting>
  <conditionalFormatting sqref="E784:E786">
    <cfRule type="expression" dxfId="194" priority="138">
      <formula>$C784=TODAY()</formula>
    </cfRule>
  </conditionalFormatting>
  <conditionalFormatting sqref="G13">
    <cfRule type="expression" dxfId="193" priority="401">
      <formula>$C13=TODAY()</formula>
    </cfRule>
  </conditionalFormatting>
  <conditionalFormatting sqref="G70">
    <cfRule type="expression" dxfId="192" priority="410">
      <formula>$C70=TODAY()</formula>
    </cfRule>
  </conditionalFormatting>
  <conditionalFormatting sqref="G685">
    <cfRule type="expression" dxfId="191" priority="386">
      <formula>$C685=TODAY()</formula>
    </cfRule>
  </conditionalFormatting>
  <conditionalFormatting sqref="G692">
    <cfRule type="expression" dxfId="190" priority="383">
      <formula>$C692=TODAY()</formula>
    </cfRule>
  </conditionalFormatting>
  <conditionalFormatting sqref="G695">
    <cfRule type="expression" dxfId="189" priority="373">
      <formula>$C695=TODAY()</formula>
    </cfRule>
  </conditionalFormatting>
  <conditionalFormatting sqref="G701">
    <cfRule type="expression" dxfId="188" priority="368">
      <formula>$C701=TODAY()</formula>
    </cfRule>
  </conditionalFormatting>
  <conditionalFormatting sqref="G704:G705">
    <cfRule type="expression" dxfId="187" priority="357">
      <formula>$C704=TODAY()</formula>
    </cfRule>
  </conditionalFormatting>
  <conditionalFormatting sqref="G710">
    <cfRule type="expression" dxfId="186" priority="353">
      <formula>$C710=TODAY()</formula>
    </cfRule>
  </conditionalFormatting>
  <conditionalFormatting sqref="G712:G714">
    <cfRule type="expression" dxfId="185" priority="343">
      <formula>$C712=TODAY()</formula>
    </cfRule>
  </conditionalFormatting>
  <conditionalFormatting sqref="G719">
    <cfRule type="expression" dxfId="184" priority="338">
      <formula>$C719=TODAY()</formula>
    </cfRule>
  </conditionalFormatting>
  <conditionalFormatting sqref="G721:G723">
    <cfRule type="expression" dxfId="183" priority="333">
      <formula>$C721=TODAY()</formula>
    </cfRule>
  </conditionalFormatting>
  <conditionalFormatting sqref="G728">
    <cfRule type="expression" dxfId="182" priority="326">
      <formula>$C728=TODAY()</formula>
    </cfRule>
  </conditionalFormatting>
  <conditionalFormatting sqref="G730:G732">
    <cfRule type="expression" dxfId="181" priority="313">
      <formula>$C730=TODAY()</formula>
    </cfRule>
  </conditionalFormatting>
  <conditionalFormatting sqref="G737">
    <cfRule type="expression" dxfId="180" priority="306">
      <formula>$C737=TODAY()</formula>
    </cfRule>
  </conditionalFormatting>
  <conditionalFormatting sqref="G739:G741">
    <cfRule type="expression" dxfId="179" priority="292">
      <formula>$C739=TODAY()</formula>
    </cfRule>
  </conditionalFormatting>
  <conditionalFormatting sqref="G746">
    <cfRule type="expression" dxfId="178" priority="283">
      <formula>$C746=TODAY()</formula>
    </cfRule>
  </conditionalFormatting>
  <conditionalFormatting sqref="G749:G750">
    <cfRule type="expression" dxfId="177" priority="260">
      <formula>$C749=TODAY()</formula>
    </cfRule>
  </conditionalFormatting>
  <conditionalFormatting sqref="G755">
    <cfRule type="expression" dxfId="176" priority="254">
      <formula>$C755=TODAY()</formula>
    </cfRule>
  </conditionalFormatting>
  <conditionalFormatting sqref="G757:G759">
    <cfRule type="expression" dxfId="175" priority="226">
      <formula>$C757=TODAY()</formula>
    </cfRule>
  </conditionalFormatting>
  <conditionalFormatting sqref="G764">
    <cfRule type="expression" dxfId="174" priority="223">
      <formula>$C764=TODAY()</formula>
    </cfRule>
  </conditionalFormatting>
  <conditionalFormatting sqref="G766:G768">
    <cfRule type="expression" dxfId="173" priority="196">
      <formula>$C766=TODAY()</formula>
    </cfRule>
  </conditionalFormatting>
  <conditionalFormatting sqref="G773">
    <cfRule type="expression" dxfId="172" priority="188">
      <formula>$C773=TODAY()</formula>
    </cfRule>
  </conditionalFormatting>
  <conditionalFormatting sqref="G775:G777">
    <cfRule type="expression" dxfId="171" priority="171">
      <formula>$C775=TODAY()</formula>
    </cfRule>
  </conditionalFormatting>
  <conditionalFormatting sqref="G782">
    <cfRule type="expression" dxfId="170" priority="154">
      <formula>$C782=TODAY()</formula>
    </cfRule>
  </conditionalFormatting>
  <conditionalFormatting sqref="G784:G786">
    <cfRule type="expression" dxfId="169" priority="132">
      <formula>$C784=TODAY()</formula>
    </cfRule>
  </conditionalFormatting>
  <conditionalFormatting sqref="H4:I47">
    <cfRule type="expression" dxfId="168" priority="423">
      <formula>$B4=TEXT(TODAY(),"ДДД")</formula>
    </cfRule>
  </conditionalFormatting>
  <conditionalFormatting sqref="I13">
    <cfRule type="expression" dxfId="167" priority="427">
      <formula>$C13=TODAY()</formula>
    </cfRule>
  </conditionalFormatting>
  <conditionalFormatting sqref="I685">
    <cfRule type="expression" dxfId="166" priority="385">
      <formula>$C685=TODAY()</formula>
    </cfRule>
  </conditionalFormatting>
  <conditionalFormatting sqref="I694:I695">
    <cfRule type="expression" dxfId="165" priority="372">
      <formula>$C694=TODAY()</formula>
    </cfRule>
  </conditionalFormatting>
  <conditionalFormatting sqref="I703:I704">
    <cfRule type="expression" dxfId="164" priority="359">
      <formula>$C703=TODAY()</formula>
    </cfRule>
  </conditionalFormatting>
  <conditionalFormatting sqref="I712:I714">
    <cfRule type="expression" dxfId="163" priority="342">
      <formula>$C712=TODAY()</formula>
    </cfRule>
  </conditionalFormatting>
  <conditionalFormatting sqref="I721:I723">
    <cfRule type="expression" dxfId="162" priority="331">
      <formula>$C721=TODAY()</formula>
    </cfRule>
  </conditionalFormatting>
  <conditionalFormatting sqref="I730:I732">
    <cfRule type="expression" dxfId="161" priority="309">
      <formula>$C730=TODAY()</formula>
    </cfRule>
  </conditionalFormatting>
  <conditionalFormatting sqref="I739:I741">
    <cfRule type="expression" dxfId="160" priority="289">
      <formula>$C739=TODAY()</formula>
    </cfRule>
  </conditionalFormatting>
  <conditionalFormatting sqref="I748:I749">
    <cfRule type="expression" dxfId="159" priority="268">
      <formula>$C748=TODAY()</formula>
    </cfRule>
  </conditionalFormatting>
  <conditionalFormatting sqref="I755">
    <cfRule type="expression" dxfId="158" priority="252">
      <formula>$C755=TODAY()</formula>
    </cfRule>
  </conditionalFormatting>
  <conditionalFormatting sqref="I757:I758">
    <cfRule type="expression" dxfId="157" priority="235">
      <formula>$C757=TODAY()</formula>
    </cfRule>
  </conditionalFormatting>
  <conditionalFormatting sqref="I766:I768">
    <cfRule type="expression" dxfId="156" priority="192">
      <formula>$C766=TODAY()</formula>
    </cfRule>
  </conditionalFormatting>
  <conditionalFormatting sqref="I773">
    <cfRule type="expression" dxfId="155" priority="186">
      <formula>$C773=TODAY()</formula>
    </cfRule>
  </conditionalFormatting>
  <conditionalFormatting sqref="I775:I777">
    <cfRule type="expression" dxfId="154" priority="164">
      <formula>$C775=TODAY()</formula>
    </cfRule>
  </conditionalFormatting>
  <conditionalFormatting sqref="I782">
    <cfRule type="expression" dxfId="153" priority="152">
      <formula>$C782=TODAY()</formula>
    </cfRule>
  </conditionalFormatting>
  <conditionalFormatting sqref="I784:I786">
    <cfRule type="expression" dxfId="152" priority="126">
      <formula>$C784=TODAY()</formula>
    </cfRule>
  </conditionalFormatting>
  <conditionalFormatting sqref="K13">
    <cfRule type="expression" dxfId="151" priority="402">
      <formula>$C13=TODAY()</formula>
    </cfRule>
  </conditionalFormatting>
  <conditionalFormatting sqref="K685">
    <cfRule type="expression" dxfId="150" priority="384">
      <formula>$C685=TODAY()</formula>
    </cfRule>
  </conditionalFormatting>
  <conditionalFormatting sqref="K692">
    <cfRule type="expression" dxfId="149" priority="381">
      <formula>$C692=TODAY()</formula>
    </cfRule>
  </conditionalFormatting>
  <conditionalFormatting sqref="K694:K695">
    <cfRule type="expression" dxfId="148" priority="371">
      <formula>$C694=TODAY()</formula>
    </cfRule>
  </conditionalFormatting>
  <conditionalFormatting sqref="K701">
    <cfRule type="expression" dxfId="147" priority="366">
      <formula>$C701=TODAY()</formula>
    </cfRule>
  </conditionalFormatting>
  <conditionalFormatting sqref="K703:K705">
    <cfRule type="expression" dxfId="146" priority="356">
      <formula>$C703=TODAY()</formula>
    </cfRule>
  </conditionalFormatting>
  <conditionalFormatting sqref="K710">
    <cfRule type="expression" dxfId="145" priority="351">
      <formula>$C710=TODAY()</formula>
    </cfRule>
  </conditionalFormatting>
  <conditionalFormatting sqref="K712:K714">
    <cfRule type="expression" dxfId="144" priority="341">
      <formula>$C712=TODAY()</formula>
    </cfRule>
  </conditionalFormatting>
  <conditionalFormatting sqref="K719">
    <cfRule type="expression" dxfId="143" priority="336">
      <formula>$C719=TODAY()</formula>
    </cfRule>
  </conditionalFormatting>
  <conditionalFormatting sqref="K721:K723">
    <cfRule type="expression" dxfId="142" priority="329">
      <formula>$C721=TODAY()</formula>
    </cfRule>
  </conditionalFormatting>
  <conditionalFormatting sqref="K728">
    <cfRule type="expression" dxfId="141" priority="324">
      <formula>$C728=TODAY()</formula>
    </cfRule>
  </conditionalFormatting>
  <conditionalFormatting sqref="K730:K732">
    <cfRule type="expression" dxfId="140" priority="311">
      <formula>$C730=TODAY()</formula>
    </cfRule>
  </conditionalFormatting>
  <conditionalFormatting sqref="K737">
    <cfRule type="expression" dxfId="139" priority="304">
      <formula>$C737=TODAY()</formula>
    </cfRule>
  </conditionalFormatting>
  <conditionalFormatting sqref="K739:K741">
    <cfRule type="expression" dxfId="138" priority="286">
      <formula>$C739=TODAY()</formula>
    </cfRule>
  </conditionalFormatting>
  <conditionalFormatting sqref="K746">
    <cfRule type="expression" dxfId="137" priority="281">
      <formula>$C746=TODAY()</formula>
    </cfRule>
  </conditionalFormatting>
  <conditionalFormatting sqref="K748:K750">
    <cfRule type="expression" dxfId="136" priority="257">
      <formula>$C748=TODAY()</formula>
    </cfRule>
  </conditionalFormatting>
  <conditionalFormatting sqref="K755">
    <cfRule type="expression" dxfId="135" priority="250">
      <formula>$C755=TODAY()</formula>
    </cfRule>
  </conditionalFormatting>
  <conditionalFormatting sqref="K757:K758">
    <cfRule type="expression" dxfId="134" priority="232">
      <formula>$C757=TODAY()</formula>
    </cfRule>
  </conditionalFormatting>
  <conditionalFormatting sqref="K764">
    <cfRule type="expression" dxfId="133" priority="221">
      <formula>$C764=TODAY()</formula>
    </cfRule>
  </conditionalFormatting>
  <conditionalFormatting sqref="K766:K767">
    <cfRule type="expression" dxfId="132" priority="203">
      <formula>$C766=TODAY()</formula>
    </cfRule>
  </conditionalFormatting>
  <conditionalFormatting sqref="K773">
    <cfRule type="expression" dxfId="131" priority="184">
      <formula>$C773=TODAY()</formula>
    </cfRule>
  </conditionalFormatting>
  <conditionalFormatting sqref="K775:K777">
    <cfRule type="expression" dxfId="130" priority="157">
      <formula>$C775=TODAY()</formula>
    </cfRule>
  </conditionalFormatting>
  <conditionalFormatting sqref="K782">
    <cfRule type="expression" dxfId="129" priority="150">
      <formula>$C782=TODAY()</formula>
    </cfRule>
  </conditionalFormatting>
  <conditionalFormatting sqref="K784:K786">
    <cfRule type="expression" dxfId="128" priority="120">
      <formula>$C784=TODAY()</formula>
    </cfRule>
  </conditionalFormatting>
  <conditionalFormatting sqref="E792:E793">
    <cfRule type="expression" dxfId="127" priority="119">
      <formula>$C792=TODAY()</formula>
    </cfRule>
  </conditionalFormatting>
  <conditionalFormatting sqref="G792:G793">
    <cfRule type="expression" dxfId="126" priority="118">
      <formula>$C792=TODAY()</formula>
    </cfRule>
  </conditionalFormatting>
  <conditionalFormatting sqref="G792:G793">
    <cfRule type="expression" dxfId="125" priority="117">
      <formula>$C792=TODAY()</formula>
    </cfRule>
  </conditionalFormatting>
  <conditionalFormatting sqref="I792:I793">
    <cfRule type="expression" dxfId="124" priority="116">
      <formula>$C792=TODAY()</formula>
    </cfRule>
  </conditionalFormatting>
  <conditionalFormatting sqref="I792:I793">
    <cfRule type="expression" dxfId="123" priority="115">
      <formula>$C792=TODAY()</formula>
    </cfRule>
  </conditionalFormatting>
  <conditionalFormatting sqref="K792:K793">
    <cfRule type="expression" dxfId="122" priority="114">
      <formula>$C792=TODAY()</formula>
    </cfRule>
  </conditionalFormatting>
  <conditionalFormatting sqref="K792:K793">
    <cfRule type="expression" dxfId="121" priority="113">
      <formula>$C792=TODAY()</formula>
    </cfRule>
  </conditionalFormatting>
  <conditionalFormatting sqref="E794:E795">
    <cfRule type="expression" dxfId="120" priority="112">
      <formula>$C794=TODAY()</formula>
    </cfRule>
  </conditionalFormatting>
  <conditionalFormatting sqref="G794:G795">
    <cfRule type="expression" dxfId="119" priority="111">
      <formula>$C794=TODAY()</formula>
    </cfRule>
  </conditionalFormatting>
  <conditionalFormatting sqref="G794:G795">
    <cfRule type="expression" dxfId="118" priority="110">
      <formula>$C794=TODAY()</formula>
    </cfRule>
  </conditionalFormatting>
  <conditionalFormatting sqref="I794:I795">
    <cfRule type="expression" dxfId="117" priority="109">
      <formula>$C794=TODAY()</formula>
    </cfRule>
  </conditionalFormatting>
  <conditionalFormatting sqref="I794:I795">
    <cfRule type="expression" dxfId="116" priority="108">
      <formula>$C794=TODAY()</formula>
    </cfRule>
  </conditionalFormatting>
  <conditionalFormatting sqref="K794:K795">
    <cfRule type="expression" dxfId="115" priority="107">
      <formula>$C794=TODAY()</formula>
    </cfRule>
  </conditionalFormatting>
  <conditionalFormatting sqref="K794:K795">
    <cfRule type="expression" dxfId="114" priority="106">
      <formula>$C794=TODAY()</formula>
    </cfRule>
  </conditionalFormatting>
  <conditionalFormatting sqref="E801:E802">
    <cfRule type="expression" dxfId="113" priority="105">
      <formula>$C801=TODAY()</formula>
    </cfRule>
  </conditionalFormatting>
  <conditionalFormatting sqref="E803:E805">
    <cfRule type="expression" dxfId="112" priority="104">
      <formula>$C803=TODAY()</formula>
    </cfRule>
  </conditionalFormatting>
  <conditionalFormatting sqref="G801:G805">
    <cfRule type="expression" dxfId="111" priority="103">
      <formula>$C801=TODAY()</formula>
    </cfRule>
  </conditionalFormatting>
  <conditionalFormatting sqref="G801:G802">
    <cfRule type="expression" dxfId="110" priority="102">
      <formula>$C801=TODAY()</formula>
    </cfRule>
  </conditionalFormatting>
  <conditionalFormatting sqref="G803:G805">
    <cfRule type="expression" dxfId="109" priority="101">
      <formula>$C803=TODAY()</formula>
    </cfRule>
  </conditionalFormatting>
  <conditionalFormatting sqref="I801:I805">
    <cfRule type="expression" dxfId="108" priority="100">
      <formula>$C801=TODAY()</formula>
    </cfRule>
  </conditionalFormatting>
  <conditionalFormatting sqref="I801:I802">
    <cfRule type="expression" dxfId="107" priority="99">
      <formula>$C801=TODAY()</formula>
    </cfRule>
  </conditionalFormatting>
  <conditionalFormatting sqref="I803:I805">
    <cfRule type="expression" dxfId="106" priority="98">
      <formula>$C803=TODAY()</formula>
    </cfRule>
  </conditionalFormatting>
  <conditionalFormatting sqref="K801:K805">
    <cfRule type="expression" dxfId="105" priority="97">
      <formula>$C801=TODAY()</formula>
    </cfRule>
  </conditionalFormatting>
  <conditionalFormatting sqref="K801:K802">
    <cfRule type="expression" dxfId="104" priority="96">
      <formula>$C801=TODAY()</formula>
    </cfRule>
  </conditionalFormatting>
  <conditionalFormatting sqref="K803:K805">
    <cfRule type="expression" dxfId="103" priority="95">
      <formula>$C803=TODAY()</formula>
    </cfRule>
  </conditionalFormatting>
  <conditionalFormatting sqref="E809:E810">
    <cfRule type="expression" dxfId="102" priority="94">
      <formula>$C809=TODAY()</formula>
    </cfRule>
  </conditionalFormatting>
  <conditionalFormatting sqref="E811:E812">
    <cfRule type="expression" dxfId="101" priority="93">
      <formula>$C811=TODAY()</formula>
    </cfRule>
  </conditionalFormatting>
  <conditionalFormatting sqref="G809:G812">
    <cfRule type="expression" dxfId="100" priority="92">
      <formula>$C809=TODAY()</formula>
    </cfRule>
  </conditionalFormatting>
  <conditionalFormatting sqref="G809:G810">
    <cfRule type="expression" dxfId="99" priority="91">
      <formula>$C809=TODAY()</formula>
    </cfRule>
  </conditionalFormatting>
  <conditionalFormatting sqref="G811:G812">
    <cfRule type="expression" dxfId="98" priority="90">
      <formula>$C811=TODAY()</formula>
    </cfRule>
  </conditionalFormatting>
  <conditionalFormatting sqref="I809:I812">
    <cfRule type="expression" dxfId="97" priority="89">
      <formula>$C809=TODAY()</formula>
    </cfRule>
  </conditionalFormatting>
  <conditionalFormatting sqref="I809:I810">
    <cfRule type="expression" dxfId="96" priority="88">
      <formula>$C809=TODAY()</formula>
    </cfRule>
  </conditionalFormatting>
  <conditionalFormatting sqref="I811:I812">
    <cfRule type="expression" dxfId="95" priority="87">
      <formula>$C811=TODAY()</formula>
    </cfRule>
  </conditionalFormatting>
  <conditionalFormatting sqref="K809:K812">
    <cfRule type="expression" dxfId="94" priority="86">
      <formula>$C809=TODAY()</formula>
    </cfRule>
  </conditionalFormatting>
  <conditionalFormatting sqref="K809:K810">
    <cfRule type="expression" dxfId="93" priority="85">
      <formula>$C809=TODAY()</formula>
    </cfRule>
  </conditionalFormatting>
  <conditionalFormatting sqref="K811:K812">
    <cfRule type="expression" dxfId="92" priority="84">
      <formula>$C811=TODAY()</formula>
    </cfRule>
  </conditionalFormatting>
  <conditionalFormatting sqref="E818:E822 G818:G822 K818:K822 I818:I822">
    <cfRule type="expression" dxfId="91" priority="83">
      <formula>$C818=TODAY()</formula>
    </cfRule>
  </conditionalFormatting>
  <conditionalFormatting sqref="K818:K822 G818:G822 I818:I822">
    <cfRule type="expression" dxfId="90" priority="82">
      <formula>$C818=TODAY()</formula>
    </cfRule>
  </conditionalFormatting>
  <conditionalFormatting sqref="E820:E821">
    <cfRule type="expression" dxfId="89" priority="81">
      <formula>$C820=TODAY()</formula>
    </cfRule>
  </conditionalFormatting>
  <conditionalFormatting sqref="G820:G821">
    <cfRule type="expression" dxfId="88" priority="80">
      <formula>$C820=TODAY()</formula>
    </cfRule>
  </conditionalFormatting>
  <conditionalFormatting sqref="G820:G821">
    <cfRule type="expression" dxfId="87" priority="79">
      <formula>$C820=TODAY()</formula>
    </cfRule>
  </conditionalFormatting>
  <conditionalFormatting sqref="K820:K821">
    <cfRule type="expression" dxfId="86" priority="78">
      <formula>$C820=TODAY()</formula>
    </cfRule>
  </conditionalFormatting>
  <conditionalFormatting sqref="K820:K821">
    <cfRule type="expression" dxfId="85" priority="77">
      <formula>$C820=TODAY()</formula>
    </cfRule>
  </conditionalFormatting>
  <conditionalFormatting sqref="K822 G822">
    <cfRule type="expression" dxfId="84" priority="76">
      <formula>$C822=TODAY()</formula>
    </cfRule>
  </conditionalFormatting>
  <conditionalFormatting sqref="I822">
    <cfRule type="expression" dxfId="83" priority="75">
      <formula>$C822=TODAY()</formula>
    </cfRule>
  </conditionalFormatting>
  <conditionalFormatting sqref="E828:E831">
    <cfRule type="expression" dxfId="82" priority="74">
      <formula>$C828=TODAY()</formula>
    </cfRule>
  </conditionalFormatting>
  <conditionalFormatting sqref="K828:K831 I828:I831 G828:G831">
    <cfRule type="expression" dxfId="81" priority="73">
      <formula>$C828=TODAY()</formula>
    </cfRule>
  </conditionalFormatting>
  <conditionalFormatting sqref="K828:K831 I828:I831 G828:G831">
    <cfRule type="expression" dxfId="80" priority="72">
      <formula>$C828=TODAY()</formula>
    </cfRule>
  </conditionalFormatting>
  <conditionalFormatting sqref="E830:E831">
    <cfRule type="expression" dxfId="79" priority="71">
      <formula>$C830=TODAY()</formula>
    </cfRule>
  </conditionalFormatting>
  <conditionalFormatting sqref="E830:E831">
    <cfRule type="expression" dxfId="78" priority="70">
      <formula>$C830=TODAY()</formula>
    </cfRule>
  </conditionalFormatting>
  <conditionalFormatting sqref="G830:G831">
    <cfRule type="expression" dxfId="77" priority="69">
      <formula>$C830=TODAY()</formula>
    </cfRule>
  </conditionalFormatting>
  <conditionalFormatting sqref="G830:G831">
    <cfRule type="expression" dxfId="76" priority="68">
      <formula>$C830=TODAY()</formula>
    </cfRule>
  </conditionalFormatting>
  <conditionalFormatting sqref="G830:G831">
    <cfRule type="expression" dxfId="75" priority="67">
      <formula>$C830=TODAY()</formula>
    </cfRule>
  </conditionalFormatting>
  <conditionalFormatting sqref="I830:I831">
    <cfRule type="expression" dxfId="74" priority="66">
      <formula>$C830=TODAY()</formula>
    </cfRule>
  </conditionalFormatting>
  <conditionalFormatting sqref="I830:I831">
    <cfRule type="expression" dxfId="73" priority="65">
      <formula>$C830=TODAY()</formula>
    </cfRule>
  </conditionalFormatting>
  <conditionalFormatting sqref="I830:I831">
    <cfRule type="expression" dxfId="72" priority="64">
      <formula>$C830=TODAY()</formula>
    </cfRule>
  </conditionalFormatting>
  <conditionalFormatting sqref="K830:K831">
    <cfRule type="expression" dxfId="71" priority="63">
      <formula>$C830=TODAY()</formula>
    </cfRule>
  </conditionalFormatting>
  <conditionalFormatting sqref="K830:K831">
    <cfRule type="expression" dxfId="70" priority="62">
      <formula>$C830=TODAY()</formula>
    </cfRule>
  </conditionalFormatting>
  <conditionalFormatting sqref="K830:K831">
    <cfRule type="expression" dxfId="69" priority="61">
      <formula>$C830=TODAY()</formula>
    </cfRule>
  </conditionalFormatting>
  <conditionalFormatting sqref="E837">
    <cfRule type="expression" dxfId="68" priority="60">
      <formula>$C837=TODAY()</formula>
    </cfRule>
  </conditionalFormatting>
  <conditionalFormatting sqref="G837">
    <cfRule type="expression" dxfId="67" priority="59">
      <formula>$C837=TODAY()</formula>
    </cfRule>
  </conditionalFormatting>
  <conditionalFormatting sqref="G837">
    <cfRule type="expression" dxfId="66" priority="58">
      <formula>$C837=TODAY()</formula>
    </cfRule>
  </conditionalFormatting>
  <conditionalFormatting sqref="I837">
    <cfRule type="expression" dxfId="65" priority="57">
      <formula>$C837=TODAY()</formula>
    </cfRule>
  </conditionalFormatting>
  <conditionalFormatting sqref="I837">
    <cfRule type="expression" dxfId="64" priority="56">
      <formula>$C837=TODAY()</formula>
    </cfRule>
  </conditionalFormatting>
  <conditionalFormatting sqref="K837">
    <cfRule type="expression" dxfId="63" priority="55">
      <formula>$C837=TODAY()</formula>
    </cfRule>
  </conditionalFormatting>
  <conditionalFormatting sqref="K837">
    <cfRule type="expression" dxfId="62" priority="54">
      <formula>$C837=TODAY()</formula>
    </cfRule>
  </conditionalFormatting>
  <conditionalFormatting sqref="E845:E847">
    <cfRule type="expression" dxfId="61" priority="53">
      <formula>$C845=TODAY()</formula>
    </cfRule>
  </conditionalFormatting>
  <conditionalFormatting sqref="E846:E847">
    <cfRule type="expression" dxfId="60" priority="52">
      <formula>$C846=TODAY()</formula>
    </cfRule>
  </conditionalFormatting>
  <conditionalFormatting sqref="E846:E847">
    <cfRule type="expression" dxfId="59" priority="51">
      <formula>$C846=TODAY()</formula>
    </cfRule>
  </conditionalFormatting>
  <conditionalFormatting sqref="G845:G847">
    <cfRule type="expression" dxfId="58" priority="50">
      <formula>$C845=TODAY()</formula>
    </cfRule>
  </conditionalFormatting>
  <conditionalFormatting sqref="G845:G847">
    <cfRule type="expression" dxfId="57" priority="49">
      <formula>$C845=TODAY()</formula>
    </cfRule>
  </conditionalFormatting>
  <conditionalFormatting sqref="G846:G847">
    <cfRule type="expression" dxfId="56" priority="48">
      <formula>$C846=TODAY()</formula>
    </cfRule>
  </conditionalFormatting>
  <conditionalFormatting sqref="G846:G847">
    <cfRule type="expression" dxfId="55" priority="47">
      <formula>$C846=TODAY()</formula>
    </cfRule>
  </conditionalFormatting>
  <conditionalFormatting sqref="I845:I847">
    <cfRule type="expression" dxfId="54" priority="46">
      <formula>$C845=TODAY()</formula>
    </cfRule>
  </conditionalFormatting>
  <conditionalFormatting sqref="I845:I847">
    <cfRule type="expression" dxfId="53" priority="45">
      <formula>$C845=TODAY()</formula>
    </cfRule>
  </conditionalFormatting>
  <conditionalFormatting sqref="I846:I847">
    <cfRule type="expression" dxfId="52" priority="44">
      <formula>$C846=TODAY()</formula>
    </cfRule>
  </conditionalFormatting>
  <conditionalFormatting sqref="I846:I847">
    <cfRule type="expression" dxfId="51" priority="43">
      <formula>$C846=TODAY()</formula>
    </cfRule>
  </conditionalFormatting>
  <conditionalFormatting sqref="K845:K847">
    <cfRule type="expression" dxfId="50" priority="42">
      <formula>$C845=TODAY()</formula>
    </cfRule>
  </conditionalFormatting>
  <conditionalFormatting sqref="K845:K847">
    <cfRule type="expression" dxfId="49" priority="41">
      <formula>$C845=TODAY()</formula>
    </cfRule>
  </conditionalFormatting>
  <conditionalFormatting sqref="K846:K847">
    <cfRule type="expression" dxfId="48" priority="40">
      <formula>$C846=TODAY()</formula>
    </cfRule>
  </conditionalFormatting>
  <conditionalFormatting sqref="K846:K847">
    <cfRule type="expression" dxfId="47" priority="39">
      <formula>$C846=TODAY()</formula>
    </cfRule>
  </conditionalFormatting>
  <conditionalFormatting sqref="K845:K847">
    <cfRule type="expression" dxfId="46" priority="38">
      <formula>$C845=TODAY()</formula>
    </cfRule>
  </conditionalFormatting>
  <conditionalFormatting sqref="K845:K847">
    <cfRule type="expression" dxfId="45" priority="37">
      <formula>$C845=TODAY()</formula>
    </cfRule>
  </conditionalFormatting>
  <conditionalFormatting sqref="K846:K847">
    <cfRule type="expression" dxfId="44" priority="36">
      <formula>$C846=TODAY()</formula>
    </cfRule>
  </conditionalFormatting>
  <conditionalFormatting sqref="K846:K847">
    <cfRule type="expression" dxfId="43" priority="35">
      <formula>$C846=TODAY()</formula>
    </cfRule>
  </conditionalFormatting>
  <conditionalFormatting sqref="G846">
    <cfRule type="expression" dxfId="42" priority="34">
      <formula>$C846=TODAY()</formula>
    </cfRule>
  </conditionalFormatting>
  <conditionalFormatting sqref="G846">
    <cfRule type="expression" dxfId="41" priority="33">
      <formula>$C846=TODAY()</formula>
    </cfRule>
  </conditionalFormatting>
  <conditionalFormatting sqref="G846">
    <cfRule type="expression" dxfId="40" priority="32">
      <formula>$C846=TODAY()</formula>
    </cfRule>
  </conditionalFormatting>
  <conditionalFormatting sqref="G846">
    <cfRule type="expression" dxfId="39" priority="31">
      <formula>$C846=TODAY()</formula>
    </cfRule>
  </conditionalFormatting>
  <conditionalFormatting sqref="I846">
    <cfRule type="expression" dxfId="38" priority="30">
      <formula>$C846=TODAY()</formula>
    </cfRule>
  </conditionalFormatting>
  <conditionalFormatting sqref="I846">
    <cfRule type="expression" dxfId="37" priority="29">
      <formula>$C846=TODAY()</formula>
    </cfRule>
  </conditionalFormatting>
  <conditionalFormatting sqref="I846">
    <cfRule type="expression" dxfId="36" priority="28">
      <formula>$C846=TODAY()</formula>
    </cfRule>
  </conditionalFormatting>
  <conditionalFormatting sqref="I846">
    <cfRule type="expression" dxfId="35" priority="27">
      <formula>$C846=TODAY()</formula>
    </cfRule>
  </conditionalFormatting>
  <conditionalFormatting sqref="K846">
    <cfRule type="expression" dxfId="34" priority="26">
      <formula>$C846=TODAY()</formula>
    </cfRule>
  </conditionalFormatting>
  <conditionalFormatting sqref="K846">
    <cfRule type="expression" dxfId="33" priority="25">
      <formula>$C846=TODAY()</formula>
    </cfRule>
  </conditionalFormatting>
  <conditionalFormatting sqref="K846">
    <cfRule type="expression" dxfId="32" priority="24">
      <formula>$C846=TODAY()</formula>
    </cfRule>
  </conditionalFormatting>
  <conditionalFormatting sqref="K846">
    <cfRule type="expression" dxfId="31" priority="23">
      <formula>$C846=TODAY()</formula>
    </cfRule>
  </conditionalFormatting>
  <conditionalFormatting sqref="E836">
    <cfRule type="expression" dxfId="30" priority="22">
      <formula>$C836=TODAY()</formula>
    </cfRule>
  </conditionalFormatting>
  <conditionalFormatting sqref="G836">
    <cfRule type="expression" dxfId="29" priority="21">
      <formula>$C836=TODAY()</formula>
    </cfRule>
  </conditionalFormatting>
  <conditionalFormatting sqref="G836">
    <cfRule type="expression" dxfId="28" priority="20">
      <formula>$C836=TODAY()</formula>
    </cfRule>
  </conditionalFormatting>
  <conditionalFormatting sqref="I836">
    <cfRule type="expression" dxfId="27" priority="19">
      <formula>$C836=TODAY()</formula>
    </cfRule>
  </conditionalFormatting>
  <conditionalFormatting sqref="I836">
    <cfRule type="expression" dxfId="26" priority="18">
      <formula>$C836=TODAY()</formula>
    </cfRule>
  </conditionalFormatting>
  <conditionalFormatting sqref="K836">
    <cfRule type="expression" dxfId="25" priority="17">
      <formula>$C836=TODAY()</formula>
    </cfRule>
  </conditionalFormatting>
  <conditionalFormatting sqref="K836">
    <cfRule type="expression" dxfId="24" priority="16">
      <formula>$C836=TODAY()</formula>
    </cfRule>
  </conditionalFormatting>
  <conditionalFormatting sqref="K853 I853 G853 E853">
    <cfRule type="expression" dxfId="23" priority="15">
      <formula>$C853=TODAY()</formula>
    </cfRule>
  </conditionalFormatting>
  <conditionalFormatting sqref="K853 I853 G853">
    <cfRule type="expression" dxfId="22" priority="14">
      <formula>$C853=TODAY()</formula>
    </cfRule>
  </conditionalFormatting>
  <conditionalFormatting sqref="K854 I854 G854 E854">
    <cfRule type="expression" dxfId="21" priority="13">
      <formula>$C854=TODAY()</formula>
    </cfRule>
  </conditionalFormatting>
  <conditionalFormatting sqref="K854 I854 G854">
    <cfRule type="expression" dxfId="20" priority="12">
      <formula>$C854=TODAY()</formula>
    </cfRule>
  </conditionalFormatting>
  <conditionalFormatting sqref="K855:K856 I855:I856 G855:G856 E855:E856">
    <cfRule type="expression" dxfId="19" priority="11">
      <formula>$C855=TODAY()</formula>
    </cfRule>
  </conditionalFormatting>
  <conditionalFormatting sqref="K855:K856 I855:I856 G855:G856 E855:E856">
    <cfRule type="expression" dxfId="18" priority="10">
      <formula>$C855=TODAY()</formula>
    </cfRule>
  </conditionalFormatting>
  <conditionalFormatting sqref="K855:K856 I855:I856 G855:G856 E855:E856">
    <cfRule type="expression" dxfId="17" priority="9">
      <formula>$C855=TODAY()</formula>
    </cfRule>
  </conditionalFormatting>
  <conditionalFormatting sqref="K855:K856 I855:I856 G855:G856">
    <cfRule type="expression" dxfId="16" priority="8">
      <formula>$C855=TODAY()</formula>
    </cfRule>
  </conditionalFormatting>
  <conditionalFormatting sqref="K862 I862 G862 E862">
    <cfRule type="expression" dxfId="15" priority="7">
      <formula>$C862=TODAY()</formula>
    </cfRule>
  </conditionalFormatting>
  <conditionalFormatting sqref="K862 I862 G862">
    <cfRule type="expression" dxfId="14" priority="6">
      <formula>$C862=TODAY()</formula>
    </cfRule>
  </conditionalFormatting>
  <conditionalFormatting sqref="K863 I863 G863 E863">
    <cfRule type="expression" dxfId="13" priority="5">
      <formula>$C863=TODAY()</formula>
    </cfRule>
  </conditionalFormatting>
  <conditionalFormatting sqref="K864:K865 I864:I865 G864:G865 E864:E865">
    <cfRule type="expression" dxfId="12" priority="4">
      <formula>$C864=TODAY()</formula>
    </cfRule>
  </conditionalFormatting>
  <conditionalFormatting sqref="K864:K865 I864:I865 G864:G865 E864:E865">
    <cfRule type="expression" dxfId="11" priority="3">
      <formula>$C864=TODAY()</formula>
    </cfRule>
  </conditionalFormatting>
  <conditionalFormatting sqref="K864:K865 I864:I865 G864:G865 E864:E865">
    <cfRule type="expression" dxfId="10" priority="2">
      <formula>$C864=TODAY()</formula>
    </cfRule>
  </conditionalFormatting>
  <conditionalFormatting sqref="K863:K865 I863:I865 G863:G865">
    <cfRule type="expression" dxfId="9" priority="1">
      <formula>$C863=TODAY()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2026-01-21T13:19:52Z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