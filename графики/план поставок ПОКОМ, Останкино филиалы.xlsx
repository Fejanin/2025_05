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графики\"/>
    </mc:Choice>
  </mc:AlternateContent>
  <xr:revisionPtr revIDLastSave="0" documentId="13_ncr:1_{4122D783-D101-471A-82A9-D7CF8CAF65C5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ПОКОМ" sheetId="1" r:id="rId1"/>
    <sheet name="Останкино" sheetId="2" r:id="rId2"/>
  </sheets>
  <definedNames>
    <definedName name="_xlnm.Print_Area" localSheetId="0">ПОКОМ!$A$1:$C$3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34" i="1" l="1"/>
  <c r="F834" i="1"/>
  <c r="J834" i="1"/>
  <c r="B834" i="1" l="1"/>
  <c r="B835" i="1"/>
  <c r="B836" i="1"/>
  <c r="B837" i="1"/>
  <c r="B838" i="1"/>
  <c r="B829" i="1" l="1"/>
  <c r="H828" i="1"/>
  <c r="J828" i="1"/>
  <c r="J826" i="1" l="1"/>
  <c r="H826" i="1"/>
  <c r="B828" i="1"/>
  <c r="B830" i="1"/>
  <c r="B831" i="1"/>
  <c r="B832" i="1"/>
  <c r="B833" i="1"/>
  <c r="B817" i="1"/>
  <c r="B818" i="1"/>
  <c r="B819" i="1"/>
  <c r="B820" i="1"/>
  <c r="B821" i="1"/>
  <c r="B822" i="1"/>
  <c r="B823" i="1"/>
  <c r="B824" i="1"/>
  <c r="B825" i="1"/>
  <c r="B826" i="1"/>
  <c r="B827" i="1"/>
  <c r="D814" i="1" l="1"/>
  <c r="F813" i="1"/>
  <c r="B814" i="1" l="1"/>
  <c r="B813" i="1" l="1"/>
  <c r="B815" i="1"/>
  <c r="B816" i="1"/>
  <c r="B809" i="1" l="1"/>
  <c r="B810" i="1"/>
  <c r="B811" i="1"/>
  <c r="B812" i="1"/>
  <c r="B806" i="1" l="1"/>
  <c r="J803" i="1" l="1"/>
  <c r="H803" i="1"/>
  <c r="B803" i="1" l="1"/>
  <c r="B804" i="1"/>
  <c r="B805" i="1"/>
  <c r="B807" i="1"/>
  <c r="B808" i="1"/>
  <c r="J798" i="1" l="1"/>
  <c r="B798" i="1"/>
  <c r="J797" i="1"/>
  <c r="B802" i="1" l="1"/>
  <c r="B795" i="1"/>
  <c r="B796" i="1"/>
  <c r="B797" i="1"/>
  <c r="B799" i="1"/>
  <c r="B800" i="1"/>
  <c r="B801" i="1"/>
  <c r="B790" i="1" l="1"/>
  <c r="D789" i="1"/>
  <c r="F789" i="1"/>
  <c r="J789" i="1"/>
  <c r="B794" i="1" l="1"/>
  <c r="B787" i="1" l="1"/>
  <c r="B788" i="1"/>
  <c r="B789" i="1"/>
  <c r="B791" i="1"/>
  <c r="B792" i="1"/>
  <c r="B793" i="1"/>
  <c r="B782" i="1" l="1"/>
  <c r="B783" i="1" l="1"/>
  <c r="B784" i="1"/>
  <c r="B785" i="1"/>
  <c r="B786" i="1"/>
  <c r="J773" i="1" l="1"/>
  <c r="B774" i="1"/>
  <c r="B773" i="1" l="1"/>
  <c r="B775" i="1"/>
  <c r="B776" i="1"/>
  <c r="B777" i="1"/>
  <c r="B778" i="1"/>
  <c r="B779" i="1"/>
  <c r="B780" i="1"/>
  <c r="B781" i="1"/>
  <c r="H765" i="1"/>
  <c r="B766" i="1"/>
  <c r="B769" i="1" l="1"/>
  <c r="B770" i="1"/>
  <c r="B771" i="1"/>
  <c r="B772" i="1"/>
  <c r="B761" i="1" l="1"/>
  <c r="B762" i="1"/>
  <c r="B763" i="1"/>
  <c r="B764" i="1"/>
  <c r="B765" i="1"/>
  <c r="B767" i="1"/>
  <c r="B768" i="1"/>
  <c r="B758" i="1" l="1"/>
  <c r="B754" i="1" l="1"/>
  <c r="B755" i="1"/>
  <c r="B756" i="1"/>
  <c r="B757" i="1"/>
  <c r="B759" i="1"/>
  <c r="B760" i="1"/>
  <c r="B750" i="1" l="1"/>
  <c r="F747" i="1" l="1"/>
  <c r="B748" i="1" l="1"/>
  <c r="B749" i="1"/>
  <c r="B751" i="1"/>
  <c r="B752" i="1"/>
  <c r="B753" i="1"/>
  <c r="B745" i="1" l="1"/>
  <c r="B746" i="1"/>
  <c r="B747" i="1"/>
  <c r="B742" i="1" l="1"/>
  <c r="B740" i="1" l="1"/>
  <c r="B741" i="1"/>
  <c r="B743" i="1"/>
  <c r="B744" i="1"/>
  <c r="B734" i="1" l="1"/>
  <c r="B736" i="1" l="1"/>
  <c r="B737" i="1"/>
  <c r="B738" i="1"/>
  <c r="B739" i="1"/>
  <c r="B730" i="1" l="1"/>
  <c r="B731" i="1"/>
  <c r="B732" i="1"/>
  <c r="B733" i="1"/>
  <c r="B735" i="1"/>
  <c r="B726" i="1" l="1"/>
  <c r="H723" i="1" l="1"/>
  <c r="F718" i="1" l="1"/>
  <c r="J718" i="1"/>
  <c r="B718" i="1"/>
  <c r="H717" i="1"/>
  <c r="B727" i="1" l="1"/>
  <c r="B728" i="1"/>
  <c r="B729" i="1"/>
  <c r="B715" i="1" l="1"/>
  <c r="B716" i="1"/>
  <c r="B717" i="1"/>
  <c r="B719" i="1"/>
  <c r="B720" i="1"/>
  <c r="B721" i="1"/>
  <c r="B722" i="1"/>
  <c r="B723" i="1"/>
  <c r="B724" i="1"/>
  <c r="B725" i="1"/>
  <c r="D710" i="1" l="1"/>
  <c r="J709" i="1"/>
  <c r="H709" i="1"/>
  <c r="B710" i="1"/>
  <c r="B709" i="1" l="1"/>
  <c r="B711" i="1"/>
  <c r="B712" i="1"/>
  <c r="B713" i="1"/>
  <c r="B714" i="1"/>
  <c r="B702" i="1" l="1"/>
  <c r="B704" i="1"/>
  <c r="B705" i="1"/>
  <c r="B706" i="1"/>
  <c r="B707" i="1"/>
  <c r="B708" i="1"/>
  <c r="J699" i="1" l="1"/>
  <c r="H699" i="1"/>
  <c r="B697" i="1" l="1"/>
  <c r="B698" i="1"/>
  <c r="B699" i="1"/>
  <c r="B700" i="1"/>
  <c r="B701" i="1"/>
  <c r="B703" i="1"/>
  <c r="D694" i="1" l="1"/>
  <c r="H693" i="1"/>
  <c r="B694" i="1"/>
  <c r="J691" i="1" l="1"/>
  <c r="H691" i="1"/>
  <c r="J686" i="1" l="1"/>
  <c r="B686" i="1"/>
  <c r="J683" i="1" l="1"/>
  <c r="F683" i="1"/>
  <c r="H683" i="1"/>
  <c r="B684" i="1" l="1"/>
  <c r="B685" i="1"/>
  <c r="B687" i="1"/>
  <c r="B688" i="1"/>
  <c r="B689" i="1"/>
  <c r="B690" i="1"/>
  <c r="B691" i="1"/>
  <c r="B692" i="1"/>
  <c r="B693" i="1"/>
  <c r="B695" i="1"/>
  <c r="B696" i="1"/>
  <c r="B678" i="1" l="1"/>
  <c r="B679" i="1" l="1"/>
  <c r="B680" i="1"/>
  <c r="B681" i="1"/>
  <c r="B682" i="1"/>
  <c r="B683" i="1"/>
  <c r="B674" i="1" l="1"/>
  <c r="B675" i="1"/>
  <c r="B676" i="1"/>
  <c r="B677" i="1"/>
  <c r="H670" i="1" l="1"/>
  <c r="J669" i="1"/>
  <c r="H669" i="1"/>
  <c r="B670" i="1"/>
  <c r="B672" i="1" l="1"/>
  <c r="B673" i="1"/>
  <c r="D662" i="1" l="1"/>
  <c r="J662" i="1"/>
  <c r="H662" i="1"/>
  <c r="B662" i="1" l="1"/>
  <c r="B663" i="1"/>
  <c r="B664" i="1"/>
  <c r="B665" i="1"/>
  <c r="B666" i="1"/>
  <c r="B667" i="1"/>
  <c r="B668" i="1"/>
  <c r="B669" i="1"/>
  <c r="B671" i="1"/>
  <c r="B658" i="1" l="1"/>
  <c r="B659" i="1"/>
  <c r="B660" i="1"/>
  <c r="B661" i="1"/>
  <c r="F654" i="1" l="1"/>
  <c r="J654" i="1"/>
  <c r="H653" i="1"/>
  <c r="B654" i="1"/>
  <c r="H651" i="1" l="1"/>
  <c r="B652" i="1" l="1"/>
  <c r="B653" i="1"/>
  <c r="B655" i="1"/>
  <c r="B656" i="1"/>
  <c r="B657" i="1"/>
  <c r="H646" i="1" l="1"/>
  <c r="B646" i="1"/>
  <c r="B648" i="1" l="1"/>
  <c r="B649" i="1"/>
  <c r="B650" i="1"/>
  <c r="B651" i="1"/>
  <c r="J643" i="1" l="1"/>
  <c r="B643" i="1" l="1"/>
  <c r="B644" i="1"/>
  <c r="B645" i="1"/>
  <c r="B647" i="1"/>
  <c r="F638" i="2" l="1"/>
  <c r="F638" i="1" l="1"/>
  <c r="B638" i="1"/>
  <c r="H637" i="1"/>
  <c r="B636" i="1" l="1"/>
  <c r="B637" i="1"/>
  <c r="B639" i="1"/>
  <c r="B640" i="1"/>
  <c r="B641" i="1"/>
  <c r="B642" i="1"/>
  <c r="B634" i="1" l="1"/>
  <c r="B635" i="1"/>
  <c r="B633" i="1" l="1"/>
  <c r="B630" i="1" l="1"/>
  <c r="H627" i="1" l="1"/>
  <c r="B625" i="1" l="1"/>
  <c r="B621" i="1" l="1"/>
  <c r="H618" i="1" l="1"/>
  <c r="B619" i="1" l="1"/>
  <c r="B620" i="1"/>
  <c r="B622" i="1"/>
  <c r="B623" i="1"/>
  <c r="B624" i="1"/>
  <c r="B626" i="1"/>
  <c r="B627" i="1"/>
  <c r="B628" i="1"/>
  <c r="B629" i="1"/>
  <c r="B631" i="1"/>
  <c r="B632" i="1"/>
  <c r="D611" i="2" l="1"/>
  <c r="J611" i="2"/>
  <c r="B600" i="1" l="1"/>
  <c r="B617" i="1"/>
  <c r="B618" i="1"/>
  <c r="B613" i="1" l="1"/>
  <c r="D610" i="1" l="1"/>
  <c r="F610" i="1"/>
  <c r="F605" i="1" l="1"/>
  <c r="B605" i="1"/>
  <c r="H604" i="1"/>
  <c r="H602" i="1" l="1"/>
  <c r="B602" i="1" l="1"/>
  <c r="B603" i="1"/>
  <c r="B604" i="1"/>
  <c r="B606" i="1"/>
  <c r="B607" i="1"/>
  <c r="B608" i="1"/>
  <c r="B609" i="1"/>
  <c r="B610" i="1"/>
  <c r="B611" i="1"/>
  <c r="B612" i="1"/>
  <c r="B614" i="1"/>
  <c r="B615" i="1"/>
  <c r="B616" i="1"/>
  <c r="D593" i="2" l="1"/>
  <c r="J593" i="2"/>
  <c r="F593" i="2"/>
  <c r="B596" i="1" l="1"/>
  <c r="H593" i="1" l="1"/>
  <c r="D593" i="1"/>
  <c r="B594" i="1"/>
  <c r="B595" i="1"/>
  <c r="B597" i="1"/>
  <c r="B598" i="1"/>
  <c r="B599" i="1"/>
  <c r="B601" i="1"/>
  <c r="H587" i="1" l="1"/>
  <c r="B588" i="1"/>
  <c r="H585" i="1" l="1"/>
  <c r="J585" i="1"/>
  <c r="B585" i="1" l="1"/>
  <c r="B586" i="1"/>
  <c r="B587" i="1"/>
  <c r="B589" i="1"/>
  <c r="B590" i="1"/>
  <c r="B591" i="1"/>
  <c r="B592" i="1"/>
  <c r="B593" i="1"/>
  <c r="B580" i="1" l="1"/>
  <c r="B581" i="1" l="1"/>
  <c r="B582" i="1"/>
  <c r="B583" i="1"/>
  <c r="B584" i="1"/>
  <c r="H577" i="1" l="1"/>
  <c r="J577" i="1"/>
  <c r="B577" i="1"/>
  <c r="B578" i="1"/>
  <c r="B579" i="1"/>
  <c r="D572" i="1" l="1"/>
  <c r="B572" i="1"/>
  <c r="B574" i="1"/>
  <c r="B575" i="1"/>
  <c r="B576" i="1"/>
  <c r="H571" i="1"/>
  <c r="J569" i="1" l="1"/>
  <c r="D569" i="1"/>
  <c r="H569" i="1"/>
  <c r="D559" i="2" l="1"/>
  <c r="J559" i="2"/>
  <c r="F559" i="2"/>
  <c r="B568" i="1" l="1"/>
  <c r="B569" i="1"/>
  <c r="B570" i="1"/>
  <c r="B571" i="1"/>
  <c r="B573" i="1"/>
  <c r="B564" i="1" l="1"/>
  <c r="H561" i="1" l="1"/>
  <c r="B563" i="1"/>
  <c r="B565" i="1"/>
  <c r="B566" i="1"/>
  <c r="B567" i="1"/>
  <c r="B561" i="1"/>
  <c r="B562" i="1"/>
  <c r="B556" i="1" l="1"/>
  <c r="B558" i="1" l="1"/>
  <c r="B559" i="1"/>
  <c r="B560" i="1"/>
  <c r="J553" i="1"/>
  <c r="H553" i="1"/>
  <c r="B554" i="1" l="1"/>
  <c r="B555" i="1"/>
  <c r="B557" i="1"/>
  <c r="B552" i="1" l="1"/>
  <c r="B553" i="1"/>
  <c r="B548" i="1" l="1"/>
  <c r="B550" i="1"/>
  <c r="B551" i="1"/>
  <c r="B546" i="1" l="1"/>
  <c r="B547" i="1"/>
  <c r="B549" i="1"/>
  <c r="H540" i="1" l="1"/>
  <c r="B540" i="1"/>
  <c r="B541" i="1" l="1"/>
  <c r="B542" i="1"/>
  <c r="B543" i="1"/>
  <c r="B544" i="1"/>
  <c r="B545" i="1"/>
  <c r="H537" i="1" l="1"/>
  <c r="D532" i="1" l="1"/>
  <c r="B532" i="1"/>
  <c r="J529" i="1" l="1"/>
  <c r="H529" i="1"/>
  <c r="B531" i="1"/>
  <c r="B533" i="1"/>
  <c r="B534" i="1"/>
  <c r="B535" i="1"/>
  <c r="B536" i="1"/>
  <c r="B537" i="1"/>
  <c r="B538" i="1"/>
  <c r="B539" i="1"/>
  <c r="D518" i="2" l="1"/>
  <c r="F518" i="2"/>
  <c r="B524" i="1" l="1"/>
  <c r="D521" i="1" l="1"/>
  <c r="H521" i="1"/>
  <c r="B525" i="1" l="1"/>
  <c r="B526" i="1"/>
  <c r="B527" i="1"/>
  <c r="B528" i="1"/>
  <c r="B529" i="1"/>
  <c r="B530" i="1"/>
  <c r="B520" i="1" l="1"/>
  <c r="B521" i="1"/>
  <c r="B522" i="1"/>
  <c r="B523" i="1"/>
  <c r="B516" i="1" l="1"/>
  <c r="J513" i="1" l="1"/>
  <c r="D513" i="1"/>
  <c r="B513" i="1"/>
  <c r="B514" i="1"/>
  <c r="B515" i="1"/>
  <c r="B517" i="1"/>
  <c r="B518" i="1"/>
  <c r="B519" i="1"/>
  <c r="B508" i="1" l="1"/>
  <c r="B509" i="1" l="1"/>
  <c r="B510" i="1"/>
  <c r="B511" i="1"/>
  <c r="B512" i="1"/>
  <c r="H505" i="1" l="1"/>
  <c r="B503" i="1" l="1"/>
  <c r="B504" i="1"/>
  <c r="B505" i="1"/>
  <c r="B506" i="1"/>
  <c r="B507" i="1"/>
  <c r="F500" i="1" l="1"/>
  <c r="B500" i="1"/>
  <c r="B499" i="1"/>
  <c r="B501" i="1"/>
  <c r="B502" i="1"/>
  <c r="J497" i="1" l="1"/>
  <c r="B494" i="1" l="1"/>
  <c r="B495" i="1"/>
  <c r="B496" i="1"/>
  <c r="B497" i="1"/>
  <c r="B498" i="1"/>
  <c r="H491" i="1" l="1"/>
  <c r="B492" i="1"/>
  <c r="F489" i="1" l="1"/>
  <c r="H489" i="1"/>
  <c r="B484" i="1" l="1"/>
  <c r="B485" i="1"/>
  <c r="B486" i="1"/>
  <c r="B487" i="1"/>
  <c r="B488" i="1"/>
  <c r="B489" i="1"/>
  <c r="B490" i="1"/>
  <c r="B491" i="1"/>
  <c r="B493" i="1"/>
  <c r="B480" i="1" l="1"/>
  <c r="B481" i="1"/>
  <c r="B482" i="1"/>
  <c r="B483" i="1"/>
  <c r="H475" i="1" l="1"/>
  <c r="B476" i="1"/>
  <c r="B478" i="1"/>
  <c r="B479" i="1"/>
  <c r="H473" i="1" l="1"/>
  <c r="B473" i="1" l="1"/>
  <c r="B474" i="1"/>
  <c r="B475" i="1"/>
  <c r="B477" i="1"/>
  <c r="H468" i="1" l="1"/>
  <c r="B468" i="1"/>
  <c r="B465" i="1" l="1"/>
  <c r="B466" i="1"/>
  <c r="B467" i="1"/>
  <c r="B469" i="1"/>
  <c r="B470" i="1"/>
  <c r="B471" i="1"/>
  <c r="B472" i="1"/>
  <c r="J447" i="2" l="1"/>
  <c r="D460" i="1" l="1"/>
  <c r="B460" i="1"/>
  <c r="D459" i="1"/>
  <c r="H459" i="1"/>
  <c r="F459" i="1"/>
  <c r="J459" i="1"/>
  <c r="B461" i="1"/>
  <c r="B462" i="1"/>
  <c r="B463" i="1"/>
  <c r="B464" i="1"/>
  <c r="J457" i="1" l="1"/>
  <c r="B457" i="1" l="1"/>
  <c r="B458" i="1"/>
  <c r="B459" i="1"/>
  <c r="B452" i="1" l="1"/>
  <c r="B450" i="1" l="1"/>
  <c r="B451" i="1"/>
  <c r="B453" i="1"/>
  <c r="B454" i="1"/>
  <c r="B455" i="1"/>
  <c r="B456" i="1"/>
  <c r="B448" i="1" l="1"/>
  <c r="B449" i="1"/>
  <c r="H443" i="1" l="1"/>
  <c r="B444" i="1"/>
  <c r="B445" i="1"/>
  <c r="B446" i="1"/>
  <c r="B447" i="1"/>
  <c r="H436" i="1" l="1"/>
  <c r="B436" i="1"/>
  <c r="H435" i="1"/>
  <c r="J435" i="1"/>
  <c r="B438" i="1"/>
  <c r="B439" i="1"/>
  <c r="B440" i="1"/>
  <c r="B441" i="1"/>
  <c r="B442" i="1"/>
  <c r="B443" i="1"/>
  <c r="B434" i="1" l="1"/>
  <c r="B435" i="1"/>
  <c r="B437" i="1"/>
  <c r="B430" i="1" l="1"/>
  <c r="B431" i="1"/>
  <c r="B432" i="1"/>
  <c r="B433" i="1"/>
  <c r="B428" i="1" l="1"/>
  <c r="B422" i="1"/>
  <c r="B423" i="1"/>
  <c r="B424" i="1"/>
  <c r="B425" i="1"/>
  <c r="B426" i="1"/>
  <c r="B427" i="1"/>
  <c r="B429" i="1"/>
  <c r="J419" i="1" l="1"/>
  <c r="B420" i="1"/>
  <c r="J417" i="1" l="1"/>
  <c r="B417" i="1"/>
  <c r="B418" i="1"/>
  <c r="B419" i="1"/>
  <c r="B421" i="1"/>
  <c r="B412" i="1" l="1"/>
  <c r="B415" i="1" l="1"/>
  <c r="B416" i="1"/>
  <c r="F268" i="2"/>
  <c r="F251" i="2"/>
  <c r="D251" i="2"/>
  <c r="F200" i="2"/>
  <c r="B414" i="1"/>
  <c r="B413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J387" i="1"/>
  <c r="D387" i="1"/>
  <c r="B387" i="1"/>
  <c r="B386" i="1"/>
  <c r="H385" i="1"/>
  <c r="B385" i="1"/>
  <c r="B384" i="1"/>
  <c r="B383" i="1"/>
  <c r="B382" i="1"/>
  <c r="B381" i="1"/>
  <c r="B380" i="1"/>
  <c r="B379" i="1"/>
  <c r="H378" i="1"/>
  <c r="F378" i="1"/>
  <c r="D378" i="1"/>
  <c r="B378" i="1"/>
  <c r="J377" i="1"/>
  <c r="H377" i="1"/>
  <c r="B377" i="1"/>
  <c r="B376" i="1"/>
  <c r="B375" i="1"/>
  <c r="B374" i="1"/>
  <c r="B373" i="1"/>
  <c r="B372" i="1"/>
  <c r="J371" i="1"/>
  <c r="B371" i="1"/>
  <c r="B370" i="1"/>
  <c r="H369" i="1"/>
  <c r="B369" i="1"/>
  <c r="B368" i="1"/>
  <c r="B367" i="1"/>
  <c r="B366" i="1"/>
  <c r="B365" i="1"/>
  <c r="B364" i="1"/>
  <c r="J363" i="1"/>
  <c r="B363" i="1"/>
  <c r="B362" i="1"/>
  <c r="J361" i="1"/>
  <c r="H361" i="1"/>
  <c r="F361" i="1"/>
  <c r="B361" i="1"/>
  <c r="B360" i="1"/>
  <c r="B359" i="1"/>
  <c r="B358" i="1"/>
  <c r="B357" i="1"/>
  <c r="F356" i="1"/>
  <c r="D356" i="1"/>
  <c r="B356" i="1"/>
  <c r="H355" i="1"/>
  <c r="B355" i="1"/>
  <c r="B354" i="1"/>
  <c r="J353" i="1"/>
  <c r="B353" i="1"/>
  <c r="B352" i="1"/>
  <c r="B351" i="1"/>
  <c r="B350" i="1"/>
  <c r="B349" i="1"/>
  <c r="H348" i="1"/>
  <c r="B348" i="1"/>
  <c r="J347" i="1"/>
  <c r="H347" i="1"/>
  <c r="B347" i="1"/>
  <c r="B346" i="1"/>
  <c r="J345" i="1"/>
  <c r="H345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H329" i="1"/>
  <c r="F329" i="1"/>
  <c r="B329" i="1"/>
  <c r="B328" i="1"/>
  <c r="B327" i="1"/>
  <c r="B326" i="1"/>
  <c r="B325" i="1"/>
  <c r="B324" i="1"/>
  <c r="B323" i="1"/>
  <c r="B322" i="1"/>
  <c r="H321" i="1"/>
  <c r="B321" i="1"/>
  <c r="B320" i="1"/>
  <c r="B319" i="1"/>
  <c r="B318" i="1"/>
  <c r="B317" i="1"/>
  <c r="F316" i="1"/>
  <c r="B316" i="1"/>
  <c r="B315" i="1"/>
  <c r="B314" i="1"/>
  <c r="J313" i="1"/>
  <c r="B313" i="1"/>
  <c r="B312" i="1"/>
  <c r="B311" i="1"/>
  <c r="B310" i="1"/>
  <c r="B309" i="1"/>
  <c r="B308" i="1"/>
  <c r="B307" i="1"/>
  <c r="B306" i="1"/>
  <c r="H305" i="1"/>
  <c r="B305" i="1"/>
  <c r="B304" i="1"/>
  <c r="B303" i="1"/>
  <c r="B302" i="1"/>
  <c r="B301" i="1"/>
  <c r="D300" i="1"/>
  <c r="B300" i="1"/>
  <c r="B299" i="1"/>
  <c r="B298" i="1"/>
  <c r="D297" i="1"/>
  <c r="B297" i="1"/>
  <c r="B296" i="1"/>
  <c r="B295" i="1"/>
  <c r="B294" i="1"/>
  <c r="B293" i="1"/>
  <c r="B292" i="1"/>
  <c r="H291" i="1"/>
  <c r="B291" i="1"/>
  <c r="B290" i="1"/>
  <c r="B289" i="1"/>
  <c r="B288" i="1"/>
  <c r="B287" i="1"/>
  <c r="B286" i="1"/>
  <c r="B285" i="1"/>
  <c r="B284" i="1"/>
  <c r="J283" i="1"/>
  <c r="B283" i="1"/>
  <c r="B282" i="1"/>
  <c r="J281" i="1"/>
  <c r="H281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F265" i="1"/>
  <c r="B265" i="1"/>
  <c r="B264" i="1"/>
  <c r="B263" i="1"/>
  <c r="B262" i="1"/>
  <c r="B261" i="1"/>
  <c r="B260" i="1"/>
  <c r="B259" i="1"/>
  <c r="B258" i="1"/>
  <c r="J257" i="1"/>
  <c r="B257" i="1"/>
  <c r="B256" i="1"/>
  <c r="B255" i="1"/>
  <c r="B254" i="1"/>
  <c r="B253" i="1"/>
  <c r="D252" i="1"/>
  <c r="B252" i="1"/>
  <c r="B251" i="1"/>
  <c r="B250" i="1"/>
  <c r="J249" i="1"/>
  <c r="B249" i="1"/>
  <c r="B248" i="1"/>
  <c r="B247" i="1"/>
  <c r="B246" i="1"/>
  <c r="B245" i="1"/>
  <c r="H244" i="1"/>
  <c r="D244" i="1"/>
  <c r="B244" i="1"/>
  <c r="H243" i="1"/>
  <c r="B243" i="1"/>
  <c r="B242" i="1"/>
  <c r="B241" i="1"/>
  <c r="B240" i="1"/>
  <c r="B239" i="1"/>
  <c r="B238" i="1"/>
  <c r="B237" i="1"/>
  <c r="D236" i="1"/>
  <c r="B236" i="1"/>
  <c r="F235" i="1"/>
  <c r="B235" i="1"/>
  <c r="B234" i="1"/>
  <c r="H233" i="1"/>
  <c r="B233" i="1"/>
  <c r="B232" i="1"/>
  <c r="B231" i="1"/>
  <c r="B230" i="1"/>
  <c r="B229" i="1"/>
  <c r="H228" i="1"/>
  <c r="B228" i="1"/>
  <c r="B227" i="1"/>
  <c r="B226" i="1"/>
  <c r="J225" i="1"/>
  <c r="B225" i="1"/>
  <c r="B224" i="1"/>
  <c r="B223" i="1"/>
  <c r="B222" i="1"/>
  <c r="B221" i="1"/>
  <c r="B220" i="1"/>
  <c r="F219" i="1"/>
  <c r="B219" i="1"/>
  <c r="B218" i="1"/>
  <c r="F217" i="1"/>
  <c r="B217" i="1"/>
  <c r="B216" i="1"/>
  <c r="B215" i="1"/>
  <c r="B214" i="1"/>
  <c r="B213" i="1"/>
  <c r="B212" i="1"/>
  <c r="H211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F193" i="1"/>
  <c r="D193" i="1"/>
  <c r="B193" i="1"/>
  <c r="B192" i="1"/>
  <c r="B191" i="1"/>
  <c r="B190" i="1"/>
  <c r="B189" i="1"/>
  <c r="D188" i="1"/>
  <c r="B188" i="1"/>
  <c r="B187" i="1"/>
  <c r="B186" i="1"/>
  <c r="D185" i="1"/>
  <c r="B185" i="1"/>
  <c r="B184" i="1"/>
  <c r="B183" i="1"/>
  <c r="B182" i="1"/>
  <c r="B181" i="1"/>
  <c r="B180" i="1"/>
  <c r="B179" i="1"/>
  <c r="B178" i="1"/>
  <c r="H177" i="1"/>
  <c r="D177" i="1"/>
  <c r="B177" i="1"/>
  <c r="B176" i="1"/>
  <c r="B175" i="1"/>
  <c r="B174" i="1"/>
  <c r="B173" i="1"/>
  <c r="F172" i="1"/>
  <c r="B172" i="1"/>
  <c r="D171" i="1"/>
  <c r="B171" i="1"/>
  <c r="B170" i="1"/>
  <c r="J169" i="1"/>
  <c r="H169" i="1"/>
  <c r="D169" i="1"/>
  <c r="B169" i="1"/>
  <c r="B168" i="1"/>
  <c r="B167" i="1"/>
  <c r="B166" i="1"/>
  <c r="B165" i="1"/>
  <c r="B164" i="1"/>
  <c r="D163" i="1"/>
  <c r="B163" i="1"/>
  <c r="B162" i="1"/>
  <c r="H161" i="1"/>
  <c r="F161" i="1"/>
  <c r="B161" i="1"/>
  <c r="B160" i="1"/>
  <c r="B159" i="1"/>
  <c r="B158" i="1"/>
  <c r="B157" i="1"/>
  <c r="B156" i="1"/>
  <c r="B155" i="1"/>
  <c r="D154" i="1"/>
  <c r="B154" i="1"/>
  <c r="B153" i="1"/>
  <c r="H152" i="1"/>
  <c r="B152" i="1"/>
  <c r="B151" i="1"/>
  <c r="B150" i="1"/>
  <c r="B149" i="1"/>
  <c r="B148" i="1"/>
  <c r="F147" i="1"/>
  <c r="B147" i="1"/>
  <c r="H146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J128" i="1"/>
  <c r="B128" i="1"/>
  <c r="B127" i="1"/>
  <c r="B126" i="1"/>
  <c r="B125" i="1"/>
  <c r="B124" i="1"/>
  <c r="B123" i="1"/>
  <c r="B122" i="1"/>
  <c r="B121" i="1"/>
  <c r="J120" i="1"/>
  <c r="H120" i="1"/>
  <c r="F120" i="1"/>
  <c r="D120" i="1"/>
  <c r="B120" i="1"/>
  <c r="B119" i="1"/>
  <c r="B118" i="1"/>
  <c r="B117" i="1"/>
  <c r="B116" i="1"/>
  <c r="B115" i="1"/>
  <c r="H114" i="1"/>
  <c r="B114" i="1"/>
  <c r="B113" i="1"/>
  <c r="J112" i="1"/>
  <c r="H112" i="1"/>
  <c r="D112" i="1"/>
  <c r="B112" i="1"/>
  <c r="B111" i="1"/>
  <c r="B110" i="1"/>
  <c r="B109" i="1"/>
  <c r="B108" i="1"/>
  <c r="B107" i="1"/>
  <c r="B106" i="1"/>
  <c r="B105" i="1"/>
  <c r="J104" i="1"/>
  <c r="H104" i="1"/>
  <c r="B104" i="1"/>
  <c r="B103" i="1"/>
  <c r="B102" i="1"/>
  <c r="B101" i="1"/>
  <c r="B100" i="1"/>
  <c r="B99" i="1"/>
  <c r="H98" i="1"/>
  <c r="B98" i="1"/>
  <c r="B97" i="1"/>
  <c r="B96" i="1"/>
  <c r="B95" i="1"/>
  <c r="B94" i="1"/>
  <c r="B93" i="1"/>
  <c r="B92" i="1"/>
  <c r="B91" i="1"/>
  <c r="B90" i="1"/>
  <c r="B89" i="1"/>
  <c r="H88" i="1"/>
  <c r="D88" i="1"/>
  <c r="B88" i="1"/>
  <c r="B87" i="1"/>
  <c r="B86" i="1"/>
  <c r="B85" i="1"/>
  <c r="B84" i="1"/>
  <c r="B83" i="1"/>
  <c r="B82" i="1"/>
  <c r="B81" i="1"/>
  <c r="J80" i="1"/>
  <c r="H80" i="1"/>
  <c r="F80" i="1"/>
  <c r="B80" i="1"/>
  <c r="B79" i="1"/>
  <c r="B78" i="1"/>
  <c r="B77" i="1"/>
  <c r="B76" i="1"/>
  <c r="D75" i="1"/>
  <c r="B75" i="1"/>
  <c r="B74" i="1"/>
  <c r="B73" i="1"/>
  <c r="D72" i="1"/>
  <c r="B72" i="1"/>
  <c r="B71" i="1"/>
  <c r="B70" i="1"/>
  <c r="B69" i="1"/>
  <c r="B68" i="1"/>
  <c r="B67" i="1"/>
  <c r="D66" i="1"/>
  <c r="B66" i="1"/>
  <c r="B65" i="1"/>
  <c r="J64" i="1"/>
  <c r="H64" i="1"/>
  <c r="B64" i="1"/>
  <c r="B63" i="1"/>
  <c r="B62" i="1"/>
  <c r="B61" i="1"/>
  <c r="B60" i="1"/>
  <c r="B59" i="1"/>
  <c r="B58" i="1"/>
  <c r="B57" i="1"/>
  <c r="J56" i="1"/>
  <c r="B56" i="1"/>
  <c r="B55" i="1"/>
  <c r="B54" i="1"/>
  <c r="B53" i="1"/>
  <c r="B52" i="1"/>
  <c r="B51" i="1"/>
  <c r="B50" i="1"/>
  <c r="B49" i="1"/>
  <c r="J48" i="1"/>
  <c r="H48" i="1"/>
  <c r="B48" i="1"/>
  <c r="B47" i="1"/>
  <c r="B46" i="1"/>
  <c r="B45" i="1"/>
  <c r="B44" i="1"/>
  <c r="B43" i="1"/>
  <c r="H42" i="1"/>
  <c r="B42" i="1"/>
  <c r="B41" i="1"/>
  <c r="B40" i="1"/>
  <c r="B39" i="1"/>
  <c r="B38" i="1"/>
  <c r="B37" i="1"/>
  <c r="B36" i="1"/>
  <c r="B35" i="1"/>
  <c r="B34" i="1"/>
  <c r="B33" i="1"/>
  <c r="H32" i="1"/>
  <c r="B32" i="1"/>
  <c r="B31" i="1"/>
  <c r="B30" i="1"/>
  <c r="B29" i="1"/>
  <c r="B28" i="1"/>
  <c r="B27" i="1"/>
  <c r="B26" i="1"/>
  <c r="H25" i="1"/>
  <c r="B25" i="1"/>
  <c r="B24" i="1"/>
  <c r="B23" i="1"/>
  <c r="B22" i="1"/>
  <c r="B21" i="1"/>
  <c r="B20" i="1"/>
  <c r="B19" i="1"/>
  <c r="D18" i="1"/>
  <c r="B18" i="1"/>
  <c r="B17" i="1"/>
  <c r="B16" i="1"/>
  <c r="B15" i="1"/>
  <c r="B14" i="1"/>
  <c r="B13" i="1"/>
  <c r="B12" i="1"/>
  <c r="B11" i="1"/>
  <c r="B10" i="1"/>
  <c r="B9" i="1"/>
  <c r="B8" i="1"/>
  <c r="B7" i="1"/>
  <c r="D6" i="1"/>
  <c r="B6" i="1"/>
  <c r="B5" i="1"/>
  <c r="B4" i="1"/>
</calcChain>
</file>

<file path=xl/sharedStrings.xml><?xml version="1.0" encoding="utf-8"?>
<sst xmlns="http://schemas.openxmlformats.org/spreadsheetml/2006/main" count="3398" uniqueCount="33">
  <si>
    <t>План поставок ПОКОМ</t>
  </si>
  <si>
    <t>в таблице указаны плановые даты прибытия транспорта</t>
  </si>
  <si>
    <t>№</t>
  </si>
  <si>
    <t>дн</t>
  </si>
  <si>
    <t>дата</t>
  </si>
  <si>
    <t>Мелитополь</t>
  </si>
  <si>
    <t>Комментарии</t>
  </si>
  <si>
    <t>Бердянск</t>
  </si>
  <si>
    <t>Донецк</t>
  </si>
  <si>
    <t>Луганск</t>
  </si>
  <si>
    <t>Сочи</t>
  </si>
  <si>
    <t>ЗПФ</t>
  </si>
  <si>
    <t>КИ</t>
  </si>
  <si>
    <t>План поставок Останкино</t>
  </si>
  <si>
    <t>Чт</t>
  </si>
  <si>
    <t>Пт</t>
  </si>
  <si>
    <t>Сб</t>
  </si>
  <si>
    <t>Вс</t>
  </si>
  <si>
    <t>Пн</t>
  </si>
  <si>
    <t>Вт</t>
  </si>
  <si>
    <t>Ср</t>
  </si>
  <si>
    <t>МАСЛО</t>
  </si>
  <si>
    <t>СЫР</t>
  </si>
  <si>
    <t>не вместился Мелитополь</t>
  </si>
  <si>
    <t>+1000кг остаток для Мелитополя</t>
  </si>
  <si>
    <t>не вместился Донецк</t>
  </si>
  <si>
    <t>+1000кг остаток для Донецка</t>
  </si>
  <si>
    <t>Луганск выгрузка в Донецк</t>
  </si>
  <si>
    <t>+ товар от 03,01,25</t>
  </si>
  <si>
    <t>не забрали</t>
  </si>
  <si>
    <t>перенос на 16,06,25</t>
  </si>
  <si>
    <t>Майонез</t>
  </si>
  <si>
    <t>СЫР + Майонез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</si>
</sst>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11"/>
      <color rgb="FF404040"/>
      <name val="Calibri"/>
      <family val="2"/>
      <charset val="1"/>
    </font>
    <font>
      <b/>
      <sz val="2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10"/>
      <color rgb="FF404040"/>
      <name val="Times New Roman"/>
      <family val="1"/>
      <charset val="204"/>
    </font>
    <font>
      <b/>
      <sz val="15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1"/>
      <color rgb="FF40404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0CECE"/>
      </patternFill>
    </fill>
    <fill>
      <patternFill patternType="solid">
        <fgColor rgb="FFD0CECE"/>
        <bgColor rgb="FFD9D9D9"/>
      </patternFill>
    </fill>
    <fill>
      <patternFill patternType="solid">
        <fgColor rgb="FFF4B183"/>
        <bgColor rgb="FFFFD966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D96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0" fontId="1" fillId="0" borderId="0"/>
  </cellStyleXfs>
  <cellXfs count="37">
    <xf numFmtId="0" fontId="0" fillId="0" borderId="0" xfId="0"/>
    <xf numFmtId="0" fontId="13" fillId="0" borderId="0" xfId="1"/>
    <xf numFmtId="0" fontId="2" fillId="0" borderId="0" xfId="1" applyFont="1"/>
    <xf numFmtId="0" fontId="5" fillId="2" borderId="2" xfId="2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4" fontId="9" fillId="0" borderId="2" xfId="1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2" fillId="0" borderId="2" xfId="1" applyNumberFormat="1" applyFont="1" applyBorder="1" applyAlignment="1">
      <alignment horizontal="center" vertical="center"/>
    </xf>
    <xf numFmtId="3" fontId="11" fillId="0" borderId="2" xfId="1" applyNumberFormat="1" applyFont="1" applyBorder="1" applyAlignment="1">
      <alignment horizontal="center" vertical="center"/>
    </xf>
    <xf numFmtId="49" fontId="13" fillId="0" borderId="0" xfId="1" applyNumberFormat="1"/>
    <xf numFmtId="3" fontId="10" fillId="4" borderId="2" xfId="0" applyNumberFormat="1" applyFont="1" applyFill="1" applyBorder="1" applyAlignment="1">
      <alignment horizontal="center" vertical="center" wrapText="1"/>
    </xf>
    <xf numFmtId="49" fontId="0" fillId="4" borderId="0" xfId="1" applyNumberFormat="1" applyFont="1" applyFill="1"/>
    <xf numFmtId="0" fontId="0" fillId="5" borderId="0" xfId="1" applyFont="1" applyFill="1"/>
    <xf numFmtId="3" fontId="10" fillId="6" borderId="2" xfId="0" applyNumberFormat="1" applyFont="1" applyFill="1" applyBorder="1" applyAlignment="1">
      <alignment horizontal="center" vertical="center" wrapText="1"/>
    </xf>
    <xf numFmtId="3" fontId="12" fillId="6" borderId="2" xfId="1" applyNumberFormat="1" applyFont="1" applyFill="1" applyBorder="1" applyAlignment="1">
      <alignment horizontal="center" vertical="center"/>
    </xf>
    <xf numFmtId="3" fontId="12" fillId="4" borderId="2" xfId="1" applyNumberFormat="1" applyFont="1" applyFill="1" applyBorder="1" applyAlignment="1">
      <alignment horizontal="center" vertical="center"/>
    </xf>
    <xf numFmtId="3" fontId="11" fillId="4" borderId="2" xfId="1" applyNumberFormat="1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center" vertical="center" wrapText="1"/>
    </xf>
    <xf numFmtId="3" fontId="11" fillId="7" borderId="2" xfId="0" applyNumberFormat="1" applyFont="1" applyFill="1" applyBorder="1" applyAlignment="1">
      <alignment horizontal="center" vertical="center" wrapText="1"/>
    </xf>
    <xf numFmtId="3" fontId="12" fillId="7" borderId="2" xfId="1" applyNumberFormat="1" applyFont="1" applyFill="1" applyBorder="1" applyAlignment="1">
      <alignment horizontal="center" vertical="center"/>
    </xf>
    <xf numFmtId="3" fontId="11" fillId="7" borderId="2" xfId="1" applyNumberFormat="1" applyFont="1" applyFill="1" applyBorder="1" applyAlignment="1">
      <alignment horizontal="center" vertical="center"/>
    </xf>
    <xf numFmtId="49" fontId="0" fillId="5" borderId="0" xfId="1" applyNumberFormat="1" applyFont="1" applyFill="1"/>
    <xf numFmtId="49" fontId="0" fillId="0" borderId="0" xfId="0" applyNumberFormat="1"/>
    <xf numFmtId="49" fontId="0" fillId="4" borderId="0" xfId="0" applyNumberFormat="1" applyFill="1"/>
    <xf numFmtId="49" fontId="0" fillId="7" borderId="0" xfId="0" applyNumberFormat="1" applyFill="1"/>
    <xf numFmtId="0" fontId="9" fillId="8" borderId="2" xfId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>
      <alignment horizontal="center" vertical="center"/>
    </xf>
    <xf numFmtId="3" fontId="10" fillId="8" borderId="2" xfId="0" applyNumberFormat="1" applyFont="1" applyFill="1" applyBorder="1" applyAlignment="1">
      <alignment horizontal="center" vertical="center" wrapText="1"/>
    </xf>
    <xf numFmtId="3" fontId="11" fillId="8" borderId="2" xfId="0" applyNumberFormat="1" applyFont="1" applyFill="1" applyBorder="1" applyAlignment="1">
      <alignment horizontal="center" vertical="center" wrapText="1"/>
    </xf>
    <xf numFmtId="3" fontId="12" fillId="8" borderId="2" xfId="1" applyNumberFormat="1" applyFont="1" applyFill="1" applyBorder="1" applyAlignment="1">
      <alignment horizontal="center" vertical="center"/>
    </xf>
    <xf numFmtId="3" fontId="11" fillId="8" borderId="2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2" xfId="1" xr:uid="{00000000-0005-0000-0000-000006000000}"/>
    <cellStyle name="Обычный 2 2 2" xfId="2" xr:uid="{00000000-0005-0000-0000-000007000000}"/>
  </cellStyles>
  <dxfs count="48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838"/>
  <sheetViews>
    <sheetView tabSelected="1" zoomScale="130" zoomScaleNormal="130" workbookViewId="0">
      <pane ySplit="3" topLeftCell="A825" activePane="bottomLeft" state="frozen"/>
      <selection pane="bottomLeft" activeCell="K841" sqref="K841"/>
    </sheetView>
  </sheetViews>
  <sheetFormatPr defaultColWidth="8.85546875" defaultRowHeight="15" x14ac:dyDescent="0.25"/>
  <cols>
    <col min="1" max="1" width="4.5703125" style="1" customWidth="1"/>
    <col min="2" max="2" width="4.85546875" style="1" customWidth="1"/>
    <col min="3" max="3" width="11.7109375" style="1" customWidth="1"/>
    <col min="4" max="4" width="17.28515625" style="1" customWidth="1"/>
    <col min="5" max="5" width="12.140625" style="2" customWidth="1"/>
    <col min="6" max="6" width="17.28515625" style="1" customWidth="1"/>
    <col min="7" max="7" width="12.140625" style="2" customWidth="1"/>
    <col min="8" max="8" width="17.28515625" style="1" customWidth="1"/>
    <col min="9" max="9" width="12.140625" style="2" customWidth="1"/>
    <col min="10" max="10" width="17.28515625" style="1" customWidth="1"/>
    <col min="11" max="11" width="12.140625" style="2" customWidth="1"/>
    <col min="12" max="12" width="17.28515625" style="1" hidden="1" customWidth="1"/>
    <col min="13" max="13" width="12.140625" style="2" hidden="1" customWidth="1"/>
    <col min="14" max="1018" width="8.85546875" style="1"/>
  </cols>
  <sheetData>
    <row r="1" spans="1:13" ht="28.9" customHeight="1" x14ac:dyDescent="0.4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9.25" customHeight="1" x14ac:dyDescent="0.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19.5" x14ac:dyDescent="0.25">
      <c r="A3" s="3" t="s">
        <v>2</v>
      </c>
      <c r="B3" s="3" t="s">
        <v>3</v>
      </c>
      <c r="C3" s="3" t="s">
        <v>4</v>
      </c>
      <c r="D3" s="4" t="s">
        <v>5</v>
      </c>
      <c r="E3" s="5" t="s">
        <v>6</v>
      </c>
      <c r="F3" s="6" t="s">
        <v>7</v>
      </c>
      <c r="G3" s="5" t="s">
        <v>6</v>
      </c>
      <c r="H3" s="6" t="s">
        <v>8</v>
      </c>
      <c r="I3" s="5" t="s">
        <v>6</v>
      </c>
      <c r="J3" s="6" t="s">
        <v>9</v>
      </c>
      <c r="K3" s="5" t="s">
        <v>6</v>
      </c>
      <c r="L3" s="6" t="s">
        <v>10</v>
      </c>
      <c r="M3" s="5" t="s">
        <v>6</v>
      </c>
    </row>
    <row r="4" spans="1:13" hidden="1" x14ac:dyDescent="0.25">
      <c r="A4" s="1">
        <v>1</v>
      </c>
      <c r="B4" s="7" t="str">
        <f t="shared" ref="B4:B67" si="0">IF(C4&lt;&gt;"",TEXT(C4,"ДДД"),"")</f>
        <v>Вт</v>
      </c>
      <c r="C4" s="8">
        <v>45307</v>
      </c>
      <c r="D4" s="9"/>
      <c r="E4" s="10"/>
      <c r="F4" s="11"/>
      <c r="G4" s="12"/>
      <c r="H4" s="11"/>
      <c r="I4" s="12"/>
      <c r="J4" s="11"/>
      <c r="K4" s="12"/>
      <c r="L4" s="11"/>
      <c r="M4" s="12"/>
    </row>
    <row r="5" spans="1:13" hidden="1" x14ac:dyDescent="0.25">
      <c r="A5" s="1">
        <v>2</v>
      </c>
      <c r="B5" s="7" t="str">
        <f t="shared" si="0"/>
        <v>Ср</v>
      </c>
      <c r="C5" s="8">
        <v>45308</v>
      </c>
      <c r="D5" s="9"/>
      <c r="E5" s="10"/>
      <c r="F5" s="11"/>
      <c r="G5" s="12"/>
      <c r="H5" s="11"/>
      <c r="I5" s="12"/>
      <c r="J5" s="11"/>
      <c r="K5" s="12"/>
      <c r="L5" s="11"/>
      <c r="M5" s="12"/>
    </row>
    <row r="6" spans="1:13" hidden="1" x14ac:dyDescent="0.25">
      <c r="A6" s="1">
        <v>3</v>
      </c>
      <c r="B6" s="7" t="str">
        <f t="shared" si="0"/>
        <v>Чт</v>
      </c>
      <c r="C6" s="8">
        <v>45309</v>
      </c>
      <c r="D6" s="9">
        <f>13100+2800</f>
        <v>15900</v>
      </c>
      <c r="E6" s="10" t="s">
        <v>11</v>
      </c>
      <c r="F6" s="11">
        <v>10300</v>
      </c>
      <c r="G6" s="12" t="s">
        <v>11</v>
      </c>
      <c r="H6" s="11">
        <v>4000</v>
      </c>
      <c r="I6" s="12" t="s">
        <v>11</v>
      </c>
      <c r="J6" s="11">
        <v>9600</v>
      </c>
      <c r="K6" s="12" t="s">
        <v>11</v>
      </c>
      <c r="L6" s="11"/>
      <c r="M6" s="12"/>
    </row>
    <row r="7" spans="1:13" hidden="1" x14ac:dyDescent="0.25">
      <c r="A7" s="1">
        <v>4</v>
      </c>
      <c r="B7" s="7" t="str">
        <f t="shared" si="0"/>
        <v>Чт</v>
      </c>
      <c r="C7" s="8">
        <v>45309</v>
      </c>
      <c r="D7" s="9">
        <v>3900</v>
      </c>
      <c r="E7" s="10" t="s">
        <v>12</v>
      </c>
      <c r="F7" s="11"/>
      <c r="G7" s="12"/>
      <c r="H7" s="11">
        <v>16500</v>
      </c>
      <c r="I7" s="12" t="s">
        <v>12</v>
      </c>
      <c r="J7" s="11">
        <v>1200</v>
      </c>
      <c r="K7" s="12" t="s">
        <v>12</v>
      </c>
      <c r="L7" s="11"/>
      <c r="M7" s="12"/>
    </row>
    <row r="8" spans="1:13" hidden="1" x14ac:dyDescent="0.25">
      <c r="A8" s="1">
        <v>5</v>
      </c>
      <c r="B8" s="7" t="str">
        <f t="shared" si="0"/>
        <v>Пт</v>
      </c>
      <c r="C8" s="8">
        <v>45310</v>
      </c>
      <c r="D8" s="9"/>
      <c r="E8" s="10"/>
      <c r="F8" s="11"/>
      <c r="G8" s="12"/>
      <c r="H8" s="11"/>
      <c r="I8" s="12"/>
      <c r="J8" s="11"/>
      <c r="K8" s="12"/>
      <c r="L8" s="11"/>
      <c r="M8" s="12"/>
    </row>
    <row r="9" spans="1:13" hidden="1" x14ac:dyDescent="0.25">
      <c r="A9" s="1">
        <v>6</v>
      </c>
      <c r="B9" s="7" t="str">
        <f t="shared" si="0"/>
        <v>Сб</v>
      </c>
      <c r="C9" s="8">
        <v>45311</v>
      </c>
      <c r="D9" s="9"/>
      <c r="E9" s="10"/>
      <c r="F9" s="11"/>
      <c r="G9" s="12"/>
      <c r="H9" s="11"/>
      <c r="I9" s="12"/>
      <c r="J9" s="11"/>
      <c r="K9" s="12"/>
      <c r="L9" s="11"/>
      <c r="M9" s="12"/>
    </row>
    <row r="10" spans="1:13" hidden="1" x14ac:dyDescent="0.25">
      <c r="A10" s="1">
        <v>7</v>
      </c>
      <c r="B10" s="7" t="str">
        <f t="shared" si="0"/>
        <v>Вс</v>
      </c>
      <c r="C10" s="8">
        <v>45312</v>
      </c>
      <c r="D10" s="9"/>
      <c r="E10" s="10"/>
      <c r="F10" s="11"/>
      <c r="G10" s="12"/>
      <c r="H10" s="11"/>
      <c r="I10" s="12"/>
      <c r="J10" s="11"/>
      <c r="K10" s="12"/>
      <c r="L10" s="11">
        <v>2800</v>
      </c>
      <c r="M10" s="12" t="s">
        <v>12</v>
      </c>
    </row>
    <row r="11" spans="1:13" hidden="1" x14ac:dyDescent="0.25">
      <c r="A11" s="1">
        <v>8</v>
      </c>
      <c r="B11" s="7" t="str">
        <f t="shared" si="0"/>
        <v>Пн</v>
      </c>
      <c r="C11" s="8">
        <v>45313</v>
      </c>
      <c r="D11" s="9">
        <v>11000</v>
      </c>
      <c r="E11" s="10" t="s">
        <v>12</v>
      </c>
      <c r="F11" s="11">
        <v>6200</v>
      </c>
      <c r="G11" s="12" t="s">
        <v>12</v>
      </c>
      <c r="H11" s="11">
        <v>5000</v>
      </c>
      <c r="I11" s="12" t="s">
        <v>12</v>
      </c>
      <c r="J11" s="11">
        <v>12600</v>
      </c>
      <c r="K11" s="12" t="s">
        <v>12</v>
      </c>
      <c r="L11" s="11"/>
      <c r="M11" s="12"/>
    </row>
    <row r="12" spans="1:13" hidden="1" x14ac:dyDescent="0.25">
      <c r="A12" s="1">
        <v>9</v>
      </c>
      <c r="B12" s="7" t="str">
        <f t="shared" si="0"/>
        <v>Вт</v>
      </c>
      <c r="C12" s="8">
        <v>45314</v>
      </c>
      <c r="D12" s="9">
        <v>19900</v>
      </c>
      <c r="E12" s="10" t="s">
        <v>12</v>
      </c>
      <c r="F12" s="11">
        <v>14300</v>
      </c>
      <c r="G12" s="12" t="s">
        <v>12</v>
      </c>
      <c r="H12" s="11"/>
      <c r="I12" s="12"/>
      <c r="J12" s="11">
        <v>21700</v>
      </c>
      <c r="K12" s="12" t="s">
        <v>12</v>
      </c>
      <c r="L12" s="11"/>
      <c r="M12" s="12"/>
    </row>
    <row r="13" spans="1:13" hidden="1" x14ac:dyDescent="0.25">
      <c r="A13" s="1">
        <v>10</v>
      </c>
      <c r="B13" s="7" t="str">
        <f t="shared" si="0"/>
        <v>Ср</v>
      </c>
      <c r="C13" s="8">
        <v>45315</v>
      </c>
      <c r="D13" s="9"/>
      <c r="E13" s="10"/>
      <c r="F13" s="11"/>
      <c r="G13" s="12"/>
      <c r="H13" s="11">
        <v>12400</v>
      </c>
      <c r="I13" s="12" t="s">
        <v>12</v>
      </c>
      <c r="J13" s="11">
        <v>4600</v>
      </c>
      <c r="K13" s="12" t="s">
        <v>12</v>
      </c>
      <c r="L13" s="11"/>
      <c r="M13" s="12"/>
    </row>
    <row r="14" spans="1:13" hidden="1" x14ac:dyDescent="0.25">
      <c r="A14" s="1">
        <v>11</v>
      </c>
      <c r="B14" s="7" t="str">
        <f t="shared" si="0"/>
        <v>Чт</v>
      </c>
      <c r="C14" s="8">
        <v>45316</v>
      </c>
      <c r="D14" s="9">
        <v>8700</v>
      </c>
      <c r="E14" s="10" t="s">
        <v>11</v>
      </c>
      <c r="F14" s="11">
        <v>11600</v>
      </c>
      <c r="G14" s="12" t="s">
        <v>11</v>
      </c>
      <c r="H14" s="11">
        <v>1900</v>
      </c>
      <c r="I14" s="12" t="s">
        <v>11</v>
      </c>
      <c r="J14" s="11">
        <v>4800</v>
      </c>
      <c r="K14" s="12" t="s">
        <v>11</v>
      </c>
      <c r="L14" s="11"/>
      <c r="M14" s="12"/>
    </row>
    <row r="15" spans="1:13" hidden="1" x14ac:dyDescent="0.25">
      <c r="A15" s="1">
        <v>12</v>
      </c>
      <c r="B15" s="7" t="str">
        <f t="shared" si="0"/>
        <v>Пт</v>
      </c>
      <c r="C15" s="8">
        <v>45317</v>
      </c>
      <c r="D15" s="9">
        <v>6500</v>
      </c>
      <c r="E15" s="10" t="s">
        <v>11</v>
      </c>
      <c r="F15" s="11">
        <v>7000</v>
      </c>
      <c r="G15" s="12" t="s">
        <v>11</v>
      </c>
      <c r="H15" s="11"/>
      <c r="I15" s="12"/>
      <c r="J15" s="11"/>
      <c r="K15" s="12"/>
      <c r="L15" s="11">
        <v>9700</v>
      </c>
      <c r="M15" s="12" t="s">
        <v>11</v>
      </c>
    </row>
    <row r="16" spans="1:13" hidden="1" x14ac:dyDescent="0.25">
      <c r="A16" s="1">
        <v>13</v>
      </c>
      <c r="B16" s="7" t="str">
        <f t="shared" si="0"/>
        <v>Сб</v>
      </c>
      <c r="C16" s="8">
        <v>45318</v>
      </c>
      <c r="D16" s="9"/>
      <c r="E16" s="10"/>
      <c r="F16" s="11"/>
      <c r="G16" s="12"/>
      <c r="H16" s="11"/>
      <c r="I16" s="12"/>
      <c r="J16" s="11"/>
      <c r="K16" s="12"/>
      <c r="L16" s="11"/>
      <c r="M16" s="12"/>
    </row>
    <row r="17" spans="1:13" hidden="1" x14ac:dyDescent="0.25">
      <c r="A17" s="1">
        <v>14</v>
      </c>
      <c r="B17" s="7" t="str">
        <f t="shared" si="0"/>
        <v>Вс</v>
      </c>
      <c r="C17" s="8">
        <v>45319</v>
      </c>
      <c r="D17" s="9"/>
      <c r="E17" s="10"/>
      <c r="F17" s="11"/>
      <c r="G17" s="12"/>
      <c r="H17" s="11"/>
      <c r="I17" s="12"/>
      <c r="J17" s="11"/>
      <c r="K17" s="12"/>
      <c r="L17" s="11">
        <v>2000</v>
      </c>
      <c r="M17" s="12" t="s">
        <v>12</v>
      </c>
    </row>
    <row r="18" spans="1:13" hidden="1" x14ac:dyDescent="0.25">
      <c r="A18" s="1">
        <v>15</v>
      </c>
      <c r="B18" s="7" t="str">
        <f t="shared" si="0"/>
        <v>Пн</v>
      </c>
      <c r="C18" s="8">
        <v>45320</v>
      </c>
      <c r="D18" s="9">
        <f>8000+5800</f>
        <v>13800</v>
      </c>
      <c r="E18" s="10" t="s">
        <v>12</v>
      </c>
      <c r="F18" s="11">
        <v>9100</v>
      </c>
      <c r="G18" s="12" t="s">
        <v>12</v>
      </c>
      <c r="H18" s="11">
        <v>11300</v>
      </c>
      <c r="I18" s="12" t="s">
        <v>12</v>
      </c>
      <c r="J18" s="11">
        <v>17000</v>
      </c>
      <c r="K18" s="12" t="s">
        <v>12</v>
      </c>
      <c r="L18" s="11"/>
      <c r="M18" s="12"/>
    </row>
    <row r="19" spans="1:13" hidden="1" x14ac:dyDescent="0.25">
      <c r="A19" s="1">
        <v>16</v>
      </c>
      <c r="B19" s="7" t="str">
        <f t="shared" si="0"/>
        <v>Вт</v>
      </c>
      <c r="C19" s="8">
        <v>45321</v>
      </c>
      <c r="D19" s="9"/>
      <c r="E19" s="10"/>
      <c r="F19" s="11"/>
      <c r="G19" s="12"/>
      <c r="H19" s="11"/>
      <c r="I19" s="12"/>
      <c r="J19" s="11"/>
      <c r="K19" s="12"/>
      <c r="L19" s="11"/>
      <c r="M19" s="12"/>
    </row>
    <row r="20" spans="1:13" hidden="1" x14ac:dyDescent="0.25">
      <c r="A20" s="1">
        <v>17</v>
      </c>
      <c r="B20" s="7" t="str">
        <f t="shared" si="0"/>
        <v>Ср</v>
      </c>
      <c r="C20" s="8">
        <v>45322</v>
      </c>
      <c r="D20" s="9"/>
      <c r="E20" s="10"/>
      <c r="F20" s="11"/>
      <c r="G20" s="12"/>
      <c r="H20" s="11"/>
      <c r="I20" s="12"/>
      <c r="J20" s="11"/>
      <c r="K20" s="12"/>
      <c r="L20" s="11"/>
      <c r="M20" s="12"/>
    </row>
    <row r="21" spans="1:13" hidden="1" x14ac:dyDescent="0.25">
      <c r="A21" s="1">
        <v>18</v>
      </c>
      <c r="B21" s="7" t="str">
        <f t="shared" si="0"/>
        <v>Чт</v>
      </c>
      <c r="C21" s="8">
        <v>45323</v>
      </c>
      <c r="D21" s="9">
        <v>20200</v>
      </c>
      <c r="E21" s="10" t="s">
        <v>11</v>
      </c>
      <c r="F21" s="11">
        <v>7300</v>
      </c>
      <c r="G21" s="12" t="s">
        <v>11</v>
      </c>
      <c r="H21" s="11">
        <v>5800</v>
      </c>
      <c r="I21" s="12" t="s">
        <v>11</v>
      </c>
      <c r="J21" s="11">
        <v>4800</v>
      </c>
      <c r="K21" s="12" t="s">
        <v>11</v>
      </c>
      <c r="L21" s="11"/>
      <c r="M21" s="12"/>
    </row>
    <row r="22" spans="1:13" hidden="1" x14ac:dyDescent="0.25">
      <c r="A22" s="1">
        <v>19</v>
      </c>
      <c r="B22" s="7" t="str">
        <f t="shared" si="0"/>
        <v>Пт</v>
      </c>
      <c r="C22" s="8">
        <v>45324</v>
      </c>
      <c r="D22" s="9"/>
      <c r="E22" s="10"/>
      <c r="F22" s="11"/>
      <c r="G22" s="12"/>
      <c r="H22" s="11"/>
      <c r="I22" s="12"/>
      <c r="J22" s="11"/>
      <c r="K22" s="12"/>
      <c r="L22" s="11"/>
      <c r="M22" s="12"/>
    </row>
    <row r="23" spans="1:13" hidden="1" x14ac:dyDescent="0.25">
      <c r="A23" s="1">
        <v>20</v>
      </c>
      <c r="B23" s="7" t="str">
        <f t="shared" si="0"/>
        <v>Сб</v>
      </c>
      <c r="C23" s="8">
        <v>45325</v>
      </c>
      <c r="D23" s="9"/>
      <c r="E23" s="10"/>
      <c r="F23" s="11"/>
      <c r="G23" s="12"/>
      <c r="H23" s="11"/>
      <c r="I23" s="12"/>
      <c r="J23" s="11"/>
      <c r="K23" s="12"/>
      <c r="L23" s="11"/>
      <c r="M23" s="12"/>
    </row>
    <row r="24" spans="1:13" hidden="1" x14ac:dyDescent="0.25">
      <c r="A24" s="1">
        <v>21</v>
      </c>
      <c r="B24" s="7" t="str">
        <f t="shared" si="0"/>
        <v>Вс</v>
      </c>
      <c r="C24" s="8">
        <v>45326</v>
      </c>
      <c r="D24" s="9"/>
      <c r="E24" s="10"/>
      <c r="F24" s="11"/>
      <c r="G24" s="12"/>
      <c r="H24" s="11"/>
      <c r="I24" s="12"/>
      <c r="J24" s="11"/>
      <c r="K24" s="12"/>
      <c r="L24" s="11">
        <v>3500</v>
      </c>
      <c r="M24" s="12" t="s">
        <v>12</v>
      </c>
    </row>
    <row r="25" spans="1:13" hidden="1" x14ac:dyDescent="0.25">
      <c r="A25" s="1">
        <v>22</v>
      </c>
      <c r="B25" s="7" t="str">
        <f t="shared" si="0"/>
        <v>Пн</v>
      </c>
      <c r="C25" s="8">
        <v>45327</v>
      </c>
      <c r="D25" s="9">
        <v>4900</v>
      </c>
      <c r="E25" s="10" t="s">
        <v>12</v>
      </c>
      <c r="F25" s="11">
        <v>9300</v>
      </c>
      <c r="G25" s="12" t="s">
        <v>12</v>
      </c>
      <c r="H25" s="11">
        <f>7900+17100</f>
        <v>25000</v>
      </c>
      <c r="I25" s="12" t="s">
        <v>12</v>
      </c>
      <c r="J25" s="11">
        <v>17200</v>
      </c>
      <c r="K25" s="12" t="s">
        <v>12</v>
      </c>
      <c r="L25" s="11"/>
      <c r="M25" s="12"/>
    </row>
    <row r="26" spans="1:13" hidden="1" x14ac:dyDescent="0.25">
      <c r="A26" s="1">
        <v>23</v>
      </c>
      <c r="B26" s="7" t="str">
        <f t="shared" si="0"/>
        <v>Вт</v>
      </c>
      <c r="C26" s="8">
        <v>45328</v>
      </c>
      <c r="D26" s="9"/>
      <c r="E26" s="10"/>
      <c r="F26" s="11"/>
      <c r="G26" s="12"/>
      <c r="H26" s="11"/>
      <c r="I26" s="12"/>
      <c r="J26" s="11"/>
      <c r="K26" s="12"/>
      <c r="L26" s="11"/>
      <c r="M26" s="12"/>
    </row>
    <row r="27" spans="1:13" hidden="1" x14ac:dyDescent="0.25">
      <c r="A27" s="1">
        <v>24</v>
      </c>
      <c r="B27" s="7" t="str">
        <f t="shared" si="0"/>
        <v>Ср</v>
      </c>
      <c r="C27" s="8">
        <v>45329</v>
      </c>
      <c r="D27" s="9">
        <v>12200</v>
      </c>
      <c r="E27" s="10" t="s">
        <v>12</v>
      </c>
      <c r="F27" s="11">
        <v>3100</v>
      </c>
      <c r="G27" s="12" t="s">
        <v>12</v>
      </c>
      <c r="H27" s="11">
        <v>7900</v>
      </c>
      <c r="I27" s="12" t="s">
        <v>12</v>
      </c>
      <c r="J27" s="11">
        <v>8200</v>
      </c>
      <c r="K27" s="12" t="s">
        <v>12</v>
      </c>
      <c r="L27" s="11"/>
      <c r="M27" s="12"/>
    </row>
    <row r="28" spans="1:13" hidden="1" x14ac:dyDescent="0.25">
      <c r="A28" s="1">
        <v>25</v>
      </c>
      <c r="B28" s="7" t="str">
        <f t="shared" si="0"/>
        <v>Чт</v>
      </c>
      <c r="C28" s="8">
        <v>45330</v>
      </c>
      <c r="D28" s="9">
        <v>9300</v>
      </c>
      <c r="E28" s="10" t="s">
        <v>11</v>
      </c>
      <c r="F28" s="11">
        <v>10200</v>
      </c>
      <c r="G28" s="12" t="s">
        <v>11</v>
      </c>
      <c r="H28" s="11">
        <v>3600</v>
      </c>
      <c r="I28" s="12" t="s">
        <v>11</v>
      </c>
      <c r="J28" s="11">
        <v>2700</v>
      </c>
      <c r="K28" s="12" t="s">
        <v>11</v>
      </c>
      <c r="L28" s="11"/>
      <c r="M28" s="12"/>
    </row>
    <row r="29" spans="1:13" hidden="1" x14ac:dyDescent="0.25">
      <c r="A29" s="1">
        <v>26</v>
      </c>
      <c r="B29" s="7" t="str">
        <f t="shared" si="0"/>
        <v>Пт</v>
      </c>
      <c r="C29" s="8">
        <v>45331</v>
      </c>
      <c r="D29" s="9"/>
      <c r="E29" s="10"/>
      <c r="F29" s="11"/>
      <c r="G29" s="12"/>
      <c r="H29" s="11"/>
      <c r="I29" s="12"/>
      <c r="J29" s="11"/>
      <c r="K29" s="12"/>
      <c r="L29" s="11"/>
      <c r="M29" s="12"/>
    </row>
    <row r="30" spans="1:13" hidden="1" x14ac:dyDescent="0.25">
      <c r="A30" s="1">
        <v>27</v>
      </c>
      <c r="B30" s="7" t="str">
        <f t="shared" si="0"/>
        <v>Сб</v>
      </c>
      <c r="C30" s="8">
        <v>45332</v>
      </c>
      <c r="D30" s="9"/>
      <c r="E30" s="10"/>
      <c r="F30" s="11"/>
      <c r="G30" s="12"/>
      <c r="H30" s="11"/>
      <c r="I30" s="12"/>
      <c r="J30" s="11"/>
      <c r="K30" s="12"/>
      <c r="L30" s="11"/>
      <c r="M30" s="12"/>
    </row>
    <row r="31" spans="1:13" hidden="1" x14ac:dyDescent="0.25">
      <c r="A31" s="1">
        <v>28</v>
      </c>
      <c r="B31" s="7" t="str">
        <f t="shared" si="0"/>
        <v>Вс</v>
      </c>
      <c r="C31" s="8">
        <v>45333</v>
      </c>
      <c r="D31" s="9"/>
      <c r="E31" s="10"/>
      <c r="F31" s="11"/>
      <c r="G31" s="12"/>
      <c r="H31" s="11"/>
      <c r="I31" s="12"/>
      <c r="J31" s="11"/>
      <c r="K31" s="12"/>
      <c r="L31" s="11">
        <v>1000</v>
      </c>
      <c r="M31" s="12" t="s">
        <v>12</v>
      </c>
    </row>
    <row r="32" spans="1:13" hidden="1" x14ac:dyDescent="0.25">
      <c r="A32" s="1">
        <v>29</v>
      </c>
      <c r="B32" s="7" t="str">
        <f t="shared" si="0"/>
        <v>Пн</v>
      </c>
      <c r="C32" s="8">
        <v>45334</v>
      </c>
      <c r="D32" s="9">
        <v>9100</v>
      </c>
      <c r="E32" s="10" t="s">
        <v>12</v>
      </c>
      <c r="F32" s="11">
        <v>8200</v>
      </c>
      <c r="G32" s="12" t="s">
        <v>12</v>
      </c>
      <c r="H32" s="11">
        <f>17100+11900</f>
        <v>29000</v>
      </c>
      <c r="I32" s="12" t="s">
        <v>12</v>
      </c>
      <c r="J32" s="11">
        <v>17100</v>
      </c>
      <c r="K32" s="12" t="s">
        <v>12</v>
      </c>
      <c r="L32" s="11"/>
      <c r="M32" s="12"/>
    </row>
    <row r="33" spans="1:13" hidden="1" x14ac:dyDescent="0.25">
      <c r="A33" s="1">
        <v>30</v>
      </c>
      <c r="B33" s="7" t="str">
        <f t="shared" si="0"/>
        <v>Вт</v>
      </c>
      <c r="C33" s="8">
        <v>45335</v>
      </c>
      <c r="D33" s="9"/>
      <c r="E33" s="10"/>
      <c r="F33" s="11"/>
      <c r="G33" s="12"/>
      <c r="H33" s="11"/>
      <c r="I33" s="12"/>
      <c r="J33" s="11"/>
      <c r="K33" s="12"/>
      <c r="L33" s="11"/>
      <c r="M33" s="12"/>
    </row>
    <row r="34" spans="1:13" hidden="1" x14ac:dyDescent="0.25">
      <c r="A34" s="1">
        <v>31</v>
      </c>
      <c r="B34" s="7" t="str">
        <f t="shared" si="0"/>
        <v>Ср</v>
      </c>
      <c r="C34" s="8">
        <v>45336</v>
      </c>
      <c r="D34" s="9">
        <v>10000</v>
      </c>
      <c r="E34" s="10" t="s">
        <v>12</v>
      </c>
      <c r="F34" s="11">
        <v>7300</v>
      </c>
      <c r="G34" s="10" t="s">
        <v>12</v>
      </c>
      <c r="H34" s="11">
        <v>4100</v>
      </c>
      <c r="I34" s="10" t="s">
        <v>12</v>
      </c>
      <c r="J34" s="11">
        <v>13300</v>
      </c>
      <c r="K34" s="10" t="s">
        <v>12</v>
      </c>
      <c r="L34" s="11"/>
      <c r="M34" s="12"/>
    </row>
    <row r="35" spans="1:13" hidden="1" x14ac:dyDescent="0.25">
      <c r="A35" s="1">
        <v>32</v>
      </c>
      <c r="B35" s="7" t="str">
        <f t="shared" si="0"/>
        <v>Чт</v>
      </c>
      <c r="C35" s="8">
        <v>45337</v>
      </c>
      <c r="D35" s="9">
        <v>3600</v>
      </c>
      <c r="E35" s="10" t="s">
        <v>11</v>
      </c>
      <c r="F35" s="11">
        <v>9500</v>
      </c>
      <c r="G35" s="12" t="s">
        <v>11</v>
      </c>
      <c r="H35" s="11">
        <v>6000</v>
      </c>
      <c r="I35" s="12" t="s">
        <v>11</v>
      </c>
      <c r="J35" s="11">
        <v>7200</v>
      </c>
      <c r="K35" s="12" t="s">
        <v>11</v>
      </c>
      <c r="L35" s="11"/>
      <c r="M35" s="12"/>
    </row>
    <row r="36" spans="1:13" hidden="1" x14ac:dyDescent="0.25">
      <c r="A36" s="1">
        <v>33</v>
      </c>
      <c r="B36" s="7" t="str">
        <f t="shared" si="0"/>
        <v>Пт</v>
      </c>
      <c r="C36" s="8">
        <v>45338</v>
      </c>
      <c r="D36" s="9"/>
      <c r="E36" s="10"/>
      <c r="F36" s="11"/>
      <c r="G36" s="12"/>
      <c r="H36" s="11"/>
      <c r="I36" s="12"/>
      <c r="J36" s="11"/>
      <c r="K36" s="12"/>
      <c r="L36" s="11"/>
      <c r="M36" s="12"/>
    </row>
    <row r="37" spans="1:13" hidden="1" x14ac:dyDescent="0.25">
      <c r="A37" s="1">
        <v>34</v>
      </c>
      <c r="B37" s="7" t="str">
        <f t="shared" si="0"/>
        <v>Сб</v>
      </c>
      <c r="C37" s="8">
        <v>45339</v>
      </c>
      <c r="D37" s="9"/>
      <c r="E37" s="10"/>
      <c r="F37" s="11"/>
      <c r="G37" s="12"/>
      <c r="H37" s="11"/>
      <c r="I37" s="12"/>
      <c r="J37" s="11"/>
      <c r="K37" s="12"/>
      <c r="L37" s="11"/>
      <c r="M37" s="12"/>
    </row>
    <row r="38" spans="1:13" hidden="1" x14ac:dyDescent="0.25">
      <c r="A38" s="1">
        <v>35</v>
      </c>
      <c r="B38" s="7" t="str">
        <f t="shared" si="0"/>
        <v>Вс</v>
      </c>
      <c r="C38" s="8">
        <v>45340</v>
      </c>
      <c r="D38" s="9"/>
      <c r="E38" s="10"/>
      <c r="F38" s="11"/>
      <c r="G38" s="12"/>
      <c r="H38" s="11"/>
      <c r="I38" s="12"/>
      <c r="J38" s="11"/>
      <c r="K38" s="12"/>
      <c r="L38" s="11">
        <v>2100</v>
      </c>
      <c r="M38" s="12" t="s">
        <v>12</v>
      </c>
    </row>
    <row r="39" spans="1:13" hidden="1" x14ac:dyDescent="0.25">
      <c r="A39" s="1">
        <v>36</v>
      </c>
      <c r="B39" s="7" t="str">
        <f t="shared" si="0"/>
        <v>Пн</v>
      </c>
      <c r="C39" s="8">
        <v>45341</v>
      </c>
      <c r="D39" s="9"/>
      <c r="E39" s="10"/>
      <c r="F39" s="11"/>
      <c r="G39" s="12"/>
      <c r="H39" s="11"/>
      <c r="I39" s="12"/>
      <c r="J39" s="11"/>
      <c r="K39" s="12"/>
      <c r="L39" s="11"/>
      <c r="M39" s="12"/>
    </row>
    <row r="40" spans="1:13" hidden="1" x14ac:dyDescent="0.25">
      <c r="A40" s="1">
        <v>37</v>
      </c>
      <c r="B40" s="7" t="str">
        <f t="shared" si="0"/>
        <v>Вт</v>
      </c>
      <c r="C40" s="8">
        <v>45342</v>
      </c>
      <c r="D40" s="9">
        <v>17100</v>
      </c>
      <c r="E40" s="10" t="s">
        <v>12</v>
      </c>
      <c r="F40" s="11">
        <v>12100</v>
      </c>
      <c r="G40" s="12" t="s">
        <v>12</v>
      </c>
      <c r="H40" s="11">
        <v>15000</v>
      </c>
      <c r="I40" s="12" t="s">
        <v>12</v>
      </c>
      <c r="J40" s="11">
        <v>11900</v>
      </c>
      <c r="K40" s="12" t="s">
        <v>12</v>
      </c>
      <c r="L40" s="11"/>
      <c r="M40" s="12"/>
    </row>
    <row r="41" spans="1:13" hidden="1" x14ac:dyDescent="0.25">
      <c r="A41" s="1">
        <v>38</v>
      </c>
      <c r="B41" s="7" t="str">
        <f t="shared" si="0"/>
        <v>Ср</v>
      </c>
      <c r="C41" s="8">
        <v>45343</v>
      </c>
      <c r="D41" s="9"/>
      <c r="E41" s="10"/>
      <c r="F41" s="11"/>
      <c r="G41" s="12"/>
      <c r="H41" s="11"/>
      <c r="I41" s="12"/>
      <c r="J41" s="11"/>
      <c r="K41" s="12"/>
      <c r="L41" s="11"/>
      <c r="M41" s="12"/>
    </row>
    <row r="42" spans="1:13" hidden="1" x14ac:dyDescent="0.25">
      <c r="A42" s="1">
        <v>39</v>
      </c>
      <c r="B42" s="7" t="str">
        <f t="shared" si="0"/>
        <v>Чт</v>
      </c>
      <c r="C42" s="8">
        <v>45344</v>
      </c>
      <c r="D42" s="9">
        <v>9100</v>
      </c>
      <c r="E42" s="10" t="s">
        <v>12</v>
      </c>
      <c r="F42" s="11">
        <v>7900</v>
      </c>
      <c r="G42" s="12" t="s">
        <v>12</v>
      </c>
      <c r="H42" s="11">
        <f>17400+2500</f>
        <v>19900</v>
      </c>
      <c r="I42" s="12" t="s">
        <v>12</v>
      </c>
      <c r="J42" s="11">
        <v>14800</v>
      </c>
      <c r="K42" s="12" t="s">
        <v>12</v>
      </c>
      <c r="L42" s="11"/>
      <c r="M42" s="12"/>
    </row>
    <row r="43" spans="1:13" hidden="1" x14ac:dyDescent="0.25">
      <c r="A43" s="1">
        <v>40</v>
      </c>
      <c r="B43" s="7" t="str">
        <f t="shared" si="0"/>
        <v>Чт</v>
      </c>
      <c r="C43" s="8">
        <v>45344</v>
      </c>
      <c r="D43" s="9">
        <v>13300</v>
      </c>
      <c r="E43" s="10" t="s">
        <v>11</v>
      </c>
      <c r="F43" s="11">
        <v>6900</v>
      </c>
      <c r="G43" s="12" t="s">
        <v>11</v>
      </c>
      <c r="H43" s="11">
        <v>1400</v>
      </c>
      <c r="I43" s="12" t="s">
        <v>11</v>
      </c>
      <c r="J43" s="11">
        <v>4800</v>
      </c>
      <c r="K43" s="12" t="s">
        <v>11</v>
      </c>
      <c r="L43" s="11"/>
      <c r="M43" s="12"/>
    </row>
    <row r="44" spans="1:13" hidden="1" x14ac:dyDescent="0.25">
      <c r="A44" s="1">
        <v>41</v>
      </c>
      <c r="B44" s="7" t="str">
        <f t="shared" si="0"/>
        <v>Пт</v>
      </c>
      <c r="C44" s="8">
        <v>45345</v>
      </c>
      <c r="D44" s="9"/>
      <c r="E44" s="10"/>
      <c r="F44" s="11"/>
      <c r="G44" s="12"/>
      <c r="H44" s="11"/>
      <c r="I44" s="12"/>
      <c r="J44" s="11"/>
      <c r="K44" s="12"/>
      <c r="L44" s="11"/>
      <c r="M44" s="12"/>
    </row>
    <row r="45" spans="1:13" hidden="1" x14ac:dyDescent="0.25">
      <c r="A45" s="1">
        <v>42</v>
      </c>
      <c r="B45" s="7" t="str">
        <f t="shared" si="0"/>
        <v>Сб</v>
      </c>
      <c r="C45" s="8">
        <v>45346</v>
      </c>
      <c r="D45" s="9"/>
      <c r="E45" s="10"/>
      <c r="F45" s="11"/>
      <c r="G45" s="12"/>
      <c r="H45" s="11"/>
      <c r="I45" s="12"/>
      <c r="J45" s="11"/>
      <c r="K45" s="12"/>
      <c r="L45" s="11"/>
      <c r="M45" s="12"/>
    </row>
    <row r="46" spans="1:13" hidden="1" x14ac:dyDescent="0.25">
      <c r="A46" s="1">
        <v>43</v>
      </c>
      <c r="B46" s="7" t="str">
        <f t="shared" si="0"/>
        <v>Вс</v>
      </c>
      <c r="C46" s="8">
        <v>45347</v>
      </c>
      <c r="D46" s="9"/>
      <c r="E46" s="10"/>
      <c r="F46" s="11"/>
      <c r="G46" s="12"/>
      <c r="H46" s="11"/>
      <c r="I46" s="12"/>
      <c r="J46" s="11"/>
      <c r="K46" s="12"/>
      <c r="L46" s="11">
        <v>3500</v>
      </c>
      <c r="M46" s="12" t="s">
        <v>12</v>
      </c>
    </row>
    <row r="47" spans="1:13" hidden="1" x14ac:dyDescent="0.25">
      <c r="A47" s="1">
        <v>44</v>
      </c>
      <c r="B47" s="7" t="str">
        <f t="shared" si="0"/>
        <v>Пн</v>
      </c>
      <c r="C47" s="8">
        <v>45348</v>
      </c>
      <c r="D47" s="9"/>
      <c r="E47" s="10"/>
      <c r="F47" s="11"/>
      <c r="G47" s="12"/>
      <c r="H47" s="11"/>
      <c r="I47" s="12"/>
      <c r="J47" s="11"/>
      <c r="K47" s="12"/>
      <c r="L47" s="11"/>
      <c r="M47" s="12"/>
    </row>
    <row r="48" spans="1:13" hidden="1" x14ac:dyDescent="0.25">
      <c r="A48" s="1">
        <v>45</v>
      </c>
      <c r="B48" s="7" t="str">
        <f t="shared" si="0"/>
        <v>Вт</v>
      </c>
      <c r="C48" s="8">
        <v>45349</v>
      </c>
      <c r="D48" s="9">
        <v>6000</v>
      </c>
      <c r="E48" s="10" t="s">
        <v>12</v>
      </c>
      <c r="F48" s="11">
        <v>2200</v>
      </c>
      <c r="G48" s="12" t="s">
        <v>12</v>
      </c>
      <c r="H48" s="11">
        <f>14000+6200</f>
        <v>20200</v>
      </c>
      <c r="I48" s="12" t="s">
        <v>12</v>
      </c>
      <c r="J48" s="11">
        <f>10800+9000</f>
        <v>19800</v>
      </c>
      <c r="K48" s="12" t="s">
        <v>12</v>
      </c>
      <c r="L48" s="11"/>
      <c r="M48" s="12"/>
    </row>
    <row r="49" spans="1:13" hidden="1" x14ac:dyDescent="0.25">
      <c r="A49" s="1">
        <v>46</v>
      </c>
      <c r="B49" s="7" t="str">
        <f t="shared" si="0"/>
        <v>Ср</v>
      </c>
      <c r="C49" s="8">
        <v>45350</v>
      </c>
      <c r="D49" s="9"/>
      <c r="E49" s="10"/>
      <c r="F49" s="11"/>
      <c r="G49" s="12"/>
      <c r="H49" s="11"/>
      <c r="I49" s="12"/>
      <c r="J49" s="11"/>
      <c r="K49" s="12"/>
      <c r="L49" s="11"/>
      <c r="M49" s="12"/>
    </row>
    <row r="50" spans="1:13" hidden="1" x14ac:dyDescent="0.25">
      <c r="A50" s="1">
        <v>47</v>
      </c>
      <c r="B50" s="7" t="str">
        <f t="shared" si="0"/>
        <v>Чт</v>
      </c>
      <c r="C50" s="8">
        <v>45351</v>
      </c>
      <c r="D50" s="9">
        <v>10000</v>
      </c>
      <c r="E50" s="10" t="s">
        <v>12</v>
      </c>
      <c r="F50" s="11">
        <v>7100</v>
      </c>
      <c r="G50" s="12" t="s">
        <v>12</v>
      </c>
      <c r="H50" s="11">
        <v>17000</v>
      </c>
      <c r="I50" s="12" t="s">
        <v>12</v>
      </c>
      <c r="J50" s="11">
        <v>17000</v>
      </c>
      <c r="K50" s="12" t="s">
        <v>12</v>
      </c>
      <c r="L50" s="11"/>
      <c r="M50" s="12"/>
    </row>
    <row r="51" spans="1:13" hidden="1" x14ac:dyDescent="0.25">
      <c r="A51" s="1">
        <v>48</v>
      </c>
      <c r="B51" s="7" t="str">
        <f t="shared" si="0"/>
        <v>Чт</v>
      </c>
      <c r="C51" s="8">
        <v>45351</v>
      </c>
      <c r="D51" s="9">
        <v>9700</v>
      </c>
      <c r="E51" s="10" t="s">
        <v>11</v>
      </c>
      <c r="F51" s="11">
        <v>10700</v>
      </c>
      <c r="G51" s="12" t="s">
        <v>11</v>
      </c>
      <c r="H51" s="11">
        <v>2300</v>
      </c>
      <c r="I51" s="12" t="s">
        <v>11</v>
      </c>
      <c r="J51" s="11">
        <v>3600</v>
      </c>
      <c r="K51" s="12" t="s">
        <v>11</v>
      </c>
      <c r="L51" s="11"/>
      <c r="M51" s="12"/>
    </row>
    <row r="52" spans="1:13" hidden="1" x14ac:dyDescent="0.25">
      <c r="A52" s="1">
        <v>49</v>
      </c>
      <c r="B52" s="7" t="str">
        <f t="shared" si="0"/>
        <v>Пт</v>
      </c>
      <c r="C52" s="8">
        <v>45352</v>
      </c>
      <c r="D52" s="9"/>
      <c r="E52" s="10"/>
      <c r="F52" s="11"/>
      <c r="G52" s="12"/>
      <c r="H52" s="11"/>
      <c r="I52" s="12"/>
      <c r="J52" s="11"/>
      <c r="K52" s="12"/>
      <c r="L52" s="11"/>
      <c r="M52" s="12"/>
    </row>
    <row r="53" spans="1:13" hidden="1" x14ac:dyDescent="0.25">
      <c r="A53" s="1">
        <v>50</v>
      </c>
      <c r="B53" s="7" t="str">
        <f t="shared" si="0"/>
        <v>Сб</v>
      </c>
      <c r="C53" s="8">
        <v>45353</v>
      </c>
      <c r="D53" s="9"/>
      <c r="E53" s="10"/>
      <c r="F53" s="11"/>
      <c r="G53" s="12"/>
      <c r="H53" s="11"/>
      <c r="I53" s="12"/>
      <c r="J53" s="11"/>
      <c r="K53" s="12"/>
      <c r="L53" s="11"/>
      <c r="M53" s="12"/>
    </row>
    <row r="54" spans="1:13" hidden="1" x14ac:dyDescent="0.25">
      <c r="A54" s="1">
        <v>51</v>
      </c>
      <c r="B54" s="7" t="str">
        <f t="shared" si="0"/>
        <v>Вс</v>
      </c>
      <c r="C54" s="8">
        <v>45354</v>
      </c>
      <c r="D54" s="9"/>
      <c r="E54" s="10"/>
      <c r="F54" s="11"/>
      <c r="G54" s="12"/>
      <c r="H54" s="11"/>
      <c r="I54" s="12"/>
      <c r="J54" s="11"/>
      <c r="K54" s="12"/>
      <c r="L54" s="11">
        <v>2200</v>
      </c>
      <c r="M54" s="12" t="s">
        <v>12</v>
      </c>
    </row>
    <row r="55" spans="1:13" hidden="1" x14ac:dyDescent="0.25">
      <c r="A55" s="1">
        <v>52</v>
      </c>
      <c r="B55" s="7" t="str">
        <f t="shared" si="0"/>
        <v>Пн</v>
      </c>
      <c r="C55" s="8">
        <v>45355</v>
      </c>
      <c r="D55" s="9"/>
      <c r="E55" s="10"/>
      <c r="F55" s="11"/>
      <c r="G55" s="12"/>
      <c r="H55" s="11"/>
      <c r="I55" s="12"/>
      <c r="J55" s="11"/>
      <c r="K55" s="12"/>
      <c r="L55" s="11"/>
      <c r="M55" s="12"/>
    </row>
    <row r="56" spans="1:13" hidden="1" x14ac:dyDescent="0.25">
      <c r="A56" s="1">
        <v>53</v>
      </c>
      <c r="B56" s="7" t="str">
        <f t="shared" si="0"/>
        <v>Вт</v>
      </c>
      <c r="C56" s="8">
        <v>45356</v>
      </c>
      <c r="D56" s="9">
        <v>12000</v>
      </c>
      <c r="E56" s="10" t="s">
        <v>12</v>
      </c>
      <c r="F56" s="11">
        <v>5400</v>
      </c>
      <c r="G56" s="12" t="s">
        <v>12</v>
      </c>
      <c r="H56" s="11">
        <v>12200</v>
      </c>
      <c r="I56" s="12" t="s">
        <v>12</v>
      </c>
      <c r="J56" s="11">
        <f>3000+5300</f>
        <v>8300</v>
      </c>
      <c r="K56" s="12" t="s">
        <v>12</v>
      </c>
      <c r="L56" s="11"/>
      <c r="M56" s="12"/>
    </row>
    <row r="57" spans="1:13" hidden="1" x14ac:dyDescent="0.25">
      <c r="A57" s="1">
        <v>54</v>
      </c>
      <c r="B57" s="7" t="str">
        <f t="shared" si="0"/>
        <v>Ср</v>
      </c>
      <c r="C57" s="8">
        <v>45357</v>
      </c>
      <c r="D57" s="9"/>
      <c r="E57" s="10"/>
      <c r="F57" s="11"/>
      <c r="G57" s="12"/>
      <c r="H57" s="11"/>
      <c r="I57" s="12"/>
      <c r="J57" s="11"/>
      <c r="K57" s="12"/>
      <c r="L57" s="11"/>
      <c r="M57" s="12"/>
    </row>
    <row r="58" spans="1:13" hidden="1" x14ac:dyDescent="0.25">
      <c r="A58" s="1">
        <v>55</v>
      </c>
      <c r="B58" s="7" t="str">
        <f t="shared" si="0"/>
        <v>Чт</v>
      </c>
      <c r="C58" s="8">
        <v>45358</v>
      </c>
      <c r="D58" s="9">
        <v>8600</v>
      </c>
      <c r="E58" s="10" t="s">
        <v>12</v>
      </c>
      <c r="F58" s="11">
        <v>3300</v>
      </c>
      <c r="G58" s="12" t="s">
        <v>12</v>
      </c>
      <c r="H58" s="11">
        <v>7500</v>
      </c>
      <c r="I58" s="12" t="s">
        <v>12</v>
      </c>
      <c r="J58" s="11">
        <v>6600</v>
      </c>
      <c r="K58" s="12" t="s">
        <v>12</v>
      </c>
      <c r="L58" s="11"/>
      <c r="M58" s="12"/>
    </row>
    <row r="59" spans="1:13" hidden="1" x14ac:dyDescent="0.25">
      <c r="A59" s="1">
        <v>56</v>
      </c>
      <c r="B59" s="7" t="str">
        <f t="shared" si="0"/>
        <v>Чт</v>
      </c>
      <c r="C59" s="8">
        <v>45358</v>
      </c>
      <c r="D59" s="9">
        <v>13200</v>
      </c>
      <c r="E59" s="10" t="s">
        <v>11</v>
      </c>
      <c r="F59" s="11">
        <v>6600</v>
      </c>
      <c r="G59" s="12" t="s">
        <v>11</v>
      </c>
      <c r="H59" s="11">
        <v>4000</v>
      </c>
      <c r="I59" s="12" t="s">
        <v>11</v>
      </c>
      <c r="J59" s="11">
        <v>2500</v>
      </c>
      <c r="K59" s="12" t="s">
        <v>11</v>
      </c>
      <c r="L59" s="11"/>
      <c r="M59" s="12"/>
    </row>
    <row r="60" spans="1:13" hidden="1" x14ac:dyDescent="0.25">
      <c r="A60" s="1">
        <v>57</v>
      </c>
      <c r="B60" s="7" t="str">
        <f t="shared" si="0"/>
        <v>Пт</v>
      </c>
      <c r="C60" s="8">
        <v>45359</v>
      </c>
      <c r="D60" s="9"/>
      <c r="E60" s="10"/>
      <c r="F60" s="11"/>
      <c r="G60" s="12"/>
      <c r="H60" s="11"/>
      <c r="I60" s="12"/>
      <c r="J60" s="11"/>
      <c r="K60" s="12"/>
      <c r="L60" s="11"/>
      <c r="M60" s="12"/>
    </row>
    <row r="61" spans="1:13" hidden="1" x14ac:dyDescent="0.25">
      <c r="A61" s="1">
        <v>58</v>
      </c>
      <c r="B61" s="7" t="str">
        <f t="shared" si="0"/>
        <v>Сб</v>
      </c>
      <c r="C61" s="8">
        <v>45360</v>
      </c>
      <c r="D61" s="9"/>
      <c r="E61" s="10"/>
      <c r="F61" s="11"/>
      <c r="G61" s="12"/>
      <c r="H61" s="11"/>
      <c r="I61" s="12"/>
      <c r="J61" s="11"/>
      <c r="K61" s="12"/>
      <c r="L61" s="11"/>
      <c r="M61" s="12"/>
    </row>
    <row r="62" spans="1:13" hidden="1" x14ac:dyDescent="0.25">
      <c r="A62" s="1">
        <v>59</v>
      </c>
      <c r="B62" s="7" t="str">
        <f t="shared" si="0"/>
        <v>Вс</v>
      </c>
      <c r="C62" s="8">
        <v>45361</v>
      </c>
      <c r="D62" s="9"/>
      <c r="E62" s="10"/>
      <c r="F62" s="11"/>
      <c r="G62" s="12"/>
      <c r="H62" s="11"/>
      <c r="I62" s="12"/>
      <c r="J62" s="11"/>
      <c r="K62" s="12"/>
      <c r="L62" s="11">
        <v>4000</v>
      </c>
      <c r="M62" s="12" t="s">
        <v>12</v>
      </c>
    </row>
    <row r="63" spans="1:13" hidden="1" x14ac:dyDescent="0.25">
      <c r="A63" s="1">
        <v>60</v>
      </c>
      <c r="B63" s="7" t="str">
        <f t="shared" si="0"/>
        <v>Пн</v>
      </c>
      <c r="C63" s="8">
        <v>45362</v>
      </c>
      <c r="D63" s="9"/>
      <c r="E63" s="10"/>
      <c r="F63" s="11"/>
      <c r="G63" s="12"/>
      <c r="H63" s="11"/>
      <c r="I63" s="12"/>
      <c r="J63" s="11"/>
      <c r="K63" s="12"/>
      <c r="L63" s="11">
        <v>5900</v>
      </c>
      <c r="M63" s="12" t="s">
        <v>11</v>
      </c>
    </row>
    <row r="64" spans="1:13" hidden="1" x14ac:dyDescent="0.25">
      <c r="A64" s="1">
        <v>61</v>
      </c>
      <c r="B64" s="7" t="str">
        <f t="shared" si="0"/>
        <v>Вт</v>
      </c>
      <c r="C64" s="8">
        <v>45363</v>
      </c>
      <c r="D64" s="9">
        <v>9100</v>
      </c>
      <c r="E64" s="10" t="s">
        <v>12</v>
      </c>
      <c r="F64" s="11">
        <v>8700</v>
      </c>
      <c r="G64" s="12" t="s">
        <v>12</v>
      </c>
      <c r="H64" s="11">
        <f>17500+6200</f>
        <v>23700</v>
      </c>
      <c r="I64" s="12" t="s">
        <v>12</v>
      </c>
      <c r="J64" s="11">
        <f>17200+2100</f>
        <v>19300</v>
      </c>
      <c r="K64" s="12" t="s">
        <v>12</v>
      </c>
      <c r="L64" s="11"/>
      <c r="M64" s="12"/>
    </row>
    <row r="65" spans="1:13" hidden="1" x14ac:dyDescent="0.25">
      <c r="A65" s="1">
        <v>62</v>
      </c>
      <c r="B65" s="7" t="str">
        <f t="shared" si="0"/>
        <v>Ср</v>
      </c>
      <c r="C65" s="8">
        <v>45364</v>
      </c>
      <c r="D65" s="9"/>
      <c r="E65" s="10"/>
      <c r="F65" s="11"/>
      <c r="G65" s="12"/>
      <c r="H65" s="11"/>
      <c r="I65" s="12"/>
      <c r="J65" s="11"/>
      <c r="K65" s="12"/>
      <c r="L65" s="11"/>
      <c r="M65" s="12"/>
    </row>
    <row r="66" spans="1:13" hidden="1" x14ac:dyDescent="0.25">
      <c r="A66" s="1">
        <v>63</v>
      </c>
      <c r="B66" s="7" t="str">
        <f t="shared" si="0"/>
        <v>Чт</v>
      </c>
      <c r="C66" s="8">
        <v>45365</v>
      </c>
      <c r="D66" s="9">
        <f>3100+7000</f>
        <v>10100</v>
      </c>
      <c r="E66" s="10" t="s">
        <v>12</v>
      </c>
      <c r="F66" s="11">
        <v>5000</v>
      </c>
      <c r="G66" s="12" t="s">
        <v>12</v>
      </c>
      <c r="H66" s="11">
        <v>17300</v>
      </c>
      <c r="I66" s="12" t="s">
        <v>12</v>
      </c>
      <c r="J66" s="11">
        <v>9000</v>
      </c>
      <c r="K66" s="12" t="s">
        <v>12</v>
      </c>
      <c r="L66" s="11"/>
      <c r="M66" s="12"/>
    </row>
    <row r="67" spans="1:13" hidden="1" x14ac:dyDescent="0.25">
      <c r="A67" s="1">
        <v>64</v>
      </c>
      <c r="B67" s="7" t="str">
        <f t="shared" si="0"/>
        <v>Чт</v>
      </c>
      <c r="C67" s="8">
        <v>45365</v>
      </c>
      <c r="D67" s="9">
        <v>7200</v>
      </c>
      <c r="E67" s="10" t="s">
        <v>11</v>
      </c>
      <c r="F67" s="11">
        <v>9300</v>
      </c>
      <c r="G67" s="12" t="s">
        <v>11</v>
      </c>
      <c r="H67" s="11">
        <v>2100</v>
      </c>
      <c r="I67" s="12" t="s">
        <v>11</v>
      </c>
      <c r="J67" s="11">
        <v>4000</v>
      </c>
      <c r="K67" s="12" t="s">
        <v>11</v>
      </c>
      <c r="L67" s="11"/>
      <c r="M67" s="12"/>
    </row>
    <row r="68" spans="1:13" hidden="1" x14ac:dyDescent="0.25">
      <c r="A68" s="1">
        <v>65</v>
      </c>
      <c r="B68" s="7" t="str">
        <f t="shared" ref="B68:B131" si="1">IF(C68&lt;&gt;"",TEXT(C68,"ДДД"),"")</f>
        <v>Пт</v>
      </c>
      <c r="C68" s="8">
        <v>45366</v>
      </c>
      <c r="D68" s="9"/>
      <c r="E68" s="10"/>
      <c r="F68" s="11"/>
      <c r="G68" s="12"/>
      <c r="H68" s="11"/>
      <c r="I68" s="12"/>
      <c r="J68" s="11"/>
      <c r="K68" s="12"/>
      <c r="L68" s="11"/>
      <c r="M68" s="12"/>
    </row>
    <row r="69" spans="1:13" hidden="1" x14ac:dyDescent="0.25">
      <c r="A69" s="1">
        <v>66</v>
      </c>
      <c r="B69" s="7" t="str">
        <f t="shared" si="1"/>
        <v>Сб</v>
      </c>
      <c r="C69" s="8">
        <v>45367</v>
      </c>
      <c r="D69" s="9"/>
      <c r="E69" s="10"/>
      <c r="F69" s="11"/>
      <c r="G69" s="12"/>
      <c r="H69" s="11"/>
      <c r="I69" s="12"/>
      <c r="J69" s="11"/>
      <c r="K69" s="12"/>
      <c r="L69" s="11"/>
      <c r="M69" s="12"/>
    </row>
    <row r="70" spans="1:13" hidden="1" x14ac:dyDescent="0.25">
      <c r="A70" s="1">
        <v>67</v>
      </c>
      <c r="B70" s="7" t="str">
        <f t="shared" si="1"/>
        <v>Вс</v>
      </c>
      <c r="C70" s="8">
        <v>45368</v>
      </c>
      <c r="D70" s="9"/>
      <c r="E70" s="10"/>
      <c r="F70" s="11"/>
      <c r="G70" s="12"/>
      <c r="H70" s="11"/>
      <c r="I70" s="12"/>
      <c r="J70" s="11"/>
      <c r="K70" s="12"/>
      <c r="L70" s="11">
        <v>2200</v>
      </c>
      <c r="M70" s="12" t="s">
        <v>12</v>
      </c>
    </row>
    <row r="71" spans="1:13" hidden="1" x14ac:dyDescent="0.25">
      <c r="A71" s="1">
        <v>68</v>
      </c>
      <c r="B71" s="7" t="str">
        <f t="shared" si="1"/>
        <v>Пн</v>
      </c>
      <c r="C71" s="8">
        <v>45369</v>
      </c>
      <c r="D71" s="9"/>
      <c r="E71" s="10"/>
      <c r="F71" s="11"/>
      <c r="G71" s="12"/>
      <c r="H71" s="11"/>
      <c r="I71" s="12"/>
      <c r="J71" s="11"/>
      <c r="K71" s="12"/>
      <c r="L71" s="11"/>
      <c r="M71" s="12"/>
    </row>
    <row r="72" spans="1:13" hidden="1" x14ac:dyDescent="0.25">
      <c r="A72" s="1">
        <v>69</v>
      </c>
      <c r="B72" s="7" t="str">
        <f t="shared" si="1"/>
        <v>Вт</v>
      </c>
      <c r="C72" s="8">
        <v>45370</v>
      </c>
      <c r="D72" s="9">
        <f>2300+10000</f>
        <v>12300</v>
      </c>
      <c r="E72" s="10" t="s">
        <v>12</v>
      </c>
      <c r="F72" s="11">
        <v>7000</v>
      </c>
      <c r="G72" s="12" t="s">
        <v>12</v>
      </c>
      <c r="H72" s="11">
        <v>10100</v>
      </c>
      <c r="I72" s="12" t="s">
        <v>12</v>
      </c>
      <c r="J72" s="11">
        <v>12700</v>
      </c>
      <c r="K72" s="12" t="s">
        <v>12</v>
      </c>
      <c r="L72" s="11"/>
      <c r="M72" s="12"/>
    </row>
    <row r="73" spans="1:13" hidden="1" x14ac:dyDescent="0.25">
      <c r="A73" s="1">
        <v>70</v>
      </c>
      <c r="B73" s="7" t="str">
        <f t="shared" si="1"/>
        <v>Ср</v>
      </c>
      <c r="C73" s="8">
        <v>45371</v>
      </c>
      <c r="D73" s="9"/>
      <c r="E73" s="10"/>
      <c r="F73" s="11"/>
      <c r="G73" s="12"/>
      <c r="H73" s="11"/>
      <c r="I73" s="12"/>
      <c r="J73" s="11"/>
      <c r="K73" s="12"/>
      <c r="L73" s="11"/>
      <c r="M73" s="12"/>
    </row>
    <row r="74" spans="1:13" hidden="1" x14ac:dyDescent="0.25">
      <c r="A74" s="1">
        <v>71</v>
      </c>
      <c r="B74" s="7" t="str">
        <f t="shared" si="1"/>
        <v>Чт</v>
      </c>
      <c r="C74" s="8">
        <v>45372</v>
      </c>
      <c r="D74" s="9">
        <v>4300</v>
      </c>
      <c r="E74" s="10" t="s">
        <v>12</v>
      </c>
      <c r="F74" s="11">
        <v>5100</v>
      </c>
      <c r="G74" s="12" t="s">
        <v>12</v>
      </c>
      <c r="H74" s="11">
        <v>13000</v>
      </c>
      <c r="I74" s="12" t="s">
        <v>12</v>
      </c>
      <c r="J74" s="11">
        <v>12400</v>
      </c>
      <c r="K74" s="12" t="s">
        <v>12</v>
      </c>
      <c r="L74" s="11"/>
      <c r="M74" s="12"/>
    </row>
    <row r="75" spans="1:13" hidden="1" x14ac:dyDescent="0.25">
      <c r="A75" s="1">
        <v>72</v>
      </c>
      <c r="B75" s="7" t="str">
        <f t="shared" si="1"/>
        <v>Чт</v>
      </c>
      <c r="C75" s="8">
        <v>45372</v>
      </c>
      <c r="D75" s="9">
        <f>13600+3700</f>
        <v>17300</v>
      </c>
      <c r="E75" s="10" t="s">
        <v>11</v>
      </c>
      <c r="F75" s="11">
        <v>3800</v>
      </c>
      <c r="G75" s="12" t="s">
        <v>11</v>
      </c>
      <c r="H75" s="11">
        <v>2000</v>
      </c>
      <c r="I75" s="12" t="s">
        <v>11</v>
      </c>
      <c r="J75" s="11">
        <v>3700</v>
      </c>
      <c r="K75" s="12" t="s">
        <v>11</v>
      </c>
      <c r="L75" s="11"/>
      <c r="M75" s="12"/>
    </row>
    <row r="76" spans="1:13" hidden="1" x14ac:dyDescent="0.25">
      <c r="A76" s="1">
        <v>73</v>
      </c>
      <c r="B76" s="7" t="str">
        <f t="shared" si="1"/>
        <v>Пт</v>
      </c>
      <c r="C76" s="8">
        <v>45373</v>
      </c>
      <c r="D76" s="9"/>
      <c r="E76" s="10"/>
      <c r="F76" s="11"/>
      <c r="G76" s="12"/>
      <c r="H76" s="11"/>
      <c r="I76" s="12"/>
      <c r="J76" s="11"/>
      <c r="K76" s="12"/>
      <c r="L76" s="11"/>
      <c r="M76" s="12"/>
    </row>
    <row r="77" spans="1:13" hidden="1" x14ac:dyDescent="0.25">
      <c r="A77" s="1">
        <v>74</v>
      </c>
      <c r="B77" s="7" t="str">
        <f t="shared" si="1"/>
        <v>Сб</v>
      </c>
      <c r="C77" s="8">
        <v>45374</v>
      </c>
      <c r="D77" s="9"/>
      <c r="E77" s="10"/>
      <c r="F77" s="11"/>
      <c r="G77" s="12"/>
      <c r="H77" s="11"/>
      <c r="I77" s="12"/>
      <c r="J77" s="11"/>
      <c r="K77" s="12"/>
      <c r="L77" s="11"/>
      <c r="M77" s="12"/>
    </row>
    <row r="78" spans="1:13" hidden="1" x14ac:dyDescent="0.25">
      <c r="A78" s="1">
        <v>75</v>
      </c>
      <c r="B78" s="7" t="str">
        <f t="shared" si="1"/>
        <v>Вс</v>
      </c>
      <c r="C78" s="8">
        <v>45375</v>
      </c>
      <c r="D78" s="9"/>
      <c r="E78" s="10"/>
      <c r="F78" s="11"/>
      <c r="G78" s="12"/>
      <c r="H78" s="11"/>
      <c r="I78" s="12"/>
      <c r="J78" s="11"/>
      <c r="K78" s="12"/>
      <c r="L78" s="11"/>
      <c r="M78" s="12"/>
    </row>
    <row r="79" spans="1:13" hidden="1" x14ac:dyDescent="0.25">
      <c r="A79" s="1">
        <v>76</v>
      </c>
      <c r="B79" s="7" t="str">
        <f t="shared" si="1"/>
        <v>Пн</v>
      </c>
      <c r="C79" s="8">
        <v>45376</v>
      </c>
      <c r="D79" s="9"/>
      <c r="E79" s="10"/>
      <c r="F79" s="11"/>
      <c r="G79" s="12"/>
      <c r="H79" s="11"/>
      <c r="I79" s="12"/>
      <c r="J79" s="11"/>
      <c r="K79" s="12"/>
      <c r="L79" s="11">
        <v>2900</v>
      </c>
      <c r="M79" s="12" t="s">
        <v>12</v>
      </c>
    </row>
    <row r="80" spans="1:13" hidden="1" x14ac:dyDescent="0.25">
      <c r="A80" s="1">
        <v>77</v>
      </c>
      <c r="B80" s="7" t="str">
        <f t="shared" si="1"/>
        <v>Вт</v>
      </c>
      <c r="C80" s="8">
        <v>45377</v>
      </c>
      <c r="D80" s="9">
        <v>10000</v>
      </c>
      <c r="E80" s="10" t="s">
        <v>12</v>
      </c>
      <c r="F80" s="11">
        <f>4500+7200</f>
        <v>11700</v>
      </c>
      <c r="G80" s="12" t="s">
        <v>12</v>
      </c>
      <c r="H80" s="11">
        <f>13400+9200</f>
        <v>22600</v>
      </c>
      <c r="I80" s="12" t="s">
        <v>12</v>
      </c>
      <c r="J80" s="11">
        <f>8400+13000</f>
        <v>21400</v>
      </c>
      <c r="K80" s="12" t="s">
        <v>12</v>
      </c>
      <c r="L80" s="11"/>
      <c r="M80" s="12"/>
    </row>
    <row r="81" spans="1:13" hidden="1" x14ac:dyDescent="0.25">
      <c r="A81" s="1">
        <v>78</v>
      </c>
      <c r="B81" s="7" t="str">
        <f t="shared" si="1"/>
        <v>Ср</v>
      </c>
      <c r="C81" s="8">
        <v>45378</v>
      </c>
      <c r="D81" s="9"/>
      <c r="E81" s="10"/>
      <c r="F81" s="11"/>
      <c r="G81" s="12"/>
      <c r="H81" s="11"/>
      <c r="I81" s="12"/>
      <c r="J81" s="11"/>
      <c r="K81" s="12"/>
      <c r="L81" s="11"/>
      <c r="M81" s="12"/>
    </row>
    <row r="82" spans="1:13" hidden="1" x14ac:dyDescent="0.25">
      <c r="A82" s="1">
        <v>79</v>
      </c>
      <c r="B82" s="7" t="str">
        <f t="shared" si="1"/>
        <v>Чт</v>
      </c>
      <c r="C82" s="8">
        <v>45379</v>
      </c>
      <c r="D82" s="9">
        <v>11000</v>
      </c>
      <c r="E82" s="10" t="s">
        <v>11</v>
      </c>
      <c r="F82" s="11">
        <v>13400</v>
      </c>
      <c r="G82" s="12" t="s">
        <v>11</v>
      </c>
      <c r="H82" s="11">
        <v>4500</v>
      </c>
      <c r="I82" s="12" t="s">
        <v>11</v>
      </c>
      <c r="J82" s="11">
        <v>7200</v>
      </c>
      <c r="K82" s="12" t="s">
        <v>11</v>
      </c>
      <c r="L82" s="11"/>
      <c r="M82" s="12"/>
    </row>
    <row r="83" spans="1:13" hidden="1" x14ac:dyDescent="0.25">
      <c r="A83" s="1">
        <v>80</v>
      </c>
      <c r="B83" s="7" t="str">
        <f t="shared" si="1"/>
        <v>Чт</v>
      </c>
      <c r="C83" s="8">
        <v>45379</v>
      </c>
      <c r="D83" s="9">
        <v>11600</v>
      </c>
      <c r="E83" s="10" t="s">
        <v>12</v>
      </c>
      <c r="F83" s="11">
        <v>3900</v>
      </c>
      <c r="G83" s="12" t="s">
        <v>12</v>
      </c>
      <c r="H83" s="11">
        <v>17300</v>
      </c>
      <c r="I83" s="12" t="s">
        <v>12</v>
      </c>
      <c r="J83" s="11">
        <v>17500</v>
      </c>
      <c r="K83" s="12" t="s">
        <v>12</v>
      </c>
      <c r="L83" s="11"/>
      <c r="M83" s="12"/>
    </row>
    <row r="84" spans="1:13" hidden="1" x14ac:dyDescent="0.25">
      <c r="A84" s="1">
        <v>81</v>
      </c>
      <c r="B84" s="7" t="str">
        <f t="shared" si="1"/>
        <v>Пт</v>
      </c>
      <c r="C84" s="8">
        <v>45380</v>
      </c>
      <c r="D84" s="9"/>
      <c r="E84" s="10"/>
      <c r="F84" s="11"/>
      <c r="G84" s="12"/>
      <c r="H84" s="11"/>
      <c r="I84" s="12"/>
      <c r="J84" s="11"/>
      <c r="K84" s="12"/>
      <c r="L84" s="11"/>
      <c r="M84" s="12"/>
    </row>
    <row r="85" spans="1:13" hidden="1" x14ac:dyDescent="0.25">
      <c r="A85" s="1">
        <v>82</v>
      </c>
      <c r="B85" s="7" t="str">
        <f t="shared" si="1"/>
        <v>Сб</v>
      </c>
      <c r="C85" s="8">
        <v>45381</v>
      </c>
      <c r="D85" s="9"/>
      <c r="E85" s="10"/>
      <c r="F85" s="11"/>
      <c r="G85" s="12"/>
      <c r="H85" s="11"/>
      <c r="I85" s="12"/>
      <c r="J85" s="11"/>
      <c r="K85" s="12"/>
      <c r="L85" s="11"/>
      <c r="M85" s="12"/>
    </row>
    <row r="86" spans="1:13" hidden="1" x14ac:dyDescent="0.25">
      <c r="A86" s="1">
        <v>83</v>
      </c>
      <c r="B86" s="7" t="str">
        <f t="shared" si="1"/>
        <v>Вс</v>
      </c>
      <c r="C86" s="8">
        <v>45382</v>
      </c>
      <c r="D86" s="9"/>
      <c r="E86" s="10"/>
      <c r="F86" s="11"/>
      <c r="G86" s="12"/>
      <c r="H86" s="11"/>
      <c r="I86" s="12"/>
      <c r="J86" s="11"/>
      <c r="K86" s="12"/>
      <c r="L86" s="11">
        <v>3500</v>
      </c>
      <c r="M86" s="12" t="s">
        <v>12</v>
      </c>
    </row>
    <row r="87" spans="1:13" hidden="1" x14ac:dyDescent="0.25">
      <c r="A87" s="1">
        <v>84</v>
      </c>
      <c r="B87" s="7" t="str">
        <f t="shared" si="1"/>
        <v>Пн</v>
      </c>
      <c r="C87" s="8">
        <v>45383</v>
      </c>
      <c r="D87" s="9"/>
      <c r="E87" s="10"/>
      <c r="F87" s="11"/>
      <c r="G87" s="12"/>
      <c r="H87" s="11"/>
      <c r="I87" s="12"/>
      <c r="J87" s="11"/>
      <c r="K87" s="12"/>
      <c r="L87" s="11"/>
      <c r="M87" s="12"/>
    </row>
    <row r="88" spans="1:13" hidden="1" x14ac:dyDescent="0.25">
      <c r="A88" s="1">
        <v>85</v>
      </c>
      <c r="B88" s="7" t="str">
        <f t="shared" si="1"/>
        <v>Вт</v>
      </c>
      <c r="C88" s="8">
        <v>45384</v>
      </c>
      <c r="D88" s="9">
        <f>5500+5500</f>
        <v>11000</v>
      </c>
      <c r="E88" s="10" t="s">
        <v>12</v>
      </c>
      <c r="F88" s="11">
        <v>12000</v>
      </c>
      <c r="G88" s="12" t="s">
        <v>12</v>
      </c>
      <c r="H88" s="11">
        <f>1000+17500</f>
        <v>18500</v>
      </c>
      <c r="I88" s="12" t="s">
        <v>12</v>
      </c>
      <c r="J88" s="11">
        <v>16500</v>
      </c>
      <c r="K88" s="12" t="s">
        <v>12</v>
      </c>
      <c r="L88" s="11"/>
      <c r="M88" s="12"/>
    </row>
    <row r="89" spans="1:13" hidden="1" x14ac:dyDescent="0.25">
      <c r="A89" s="1">
        <v>86</v>
      </c>
      <c r="B89" s="7" t="str">
        <f t="shared" si="1"/>
        <v>Ср</v>
      </c>
      <c r="C89" s="8">
        <v>45385</v>
      </c>
      <c r="D89" s="9"/>
      <c r="E89" s="10"/>
      <c r="F89" s="11"/>
      <c r="G89" s="12"/>
      <c r="H89" s="11"/>
      <c r="I89" s="12"/>
      <c r="J89" s="11"/>
      <c r="K89" s="12"/>
      <c r="L89" s="11"/>
      <c r="M89" s="12"/>
    </row>
    <row r="90" spans="1:13" hidden="1" x14ac:dyDescent="0.25">
      <c r="A90" s="1">
        <v>87</v>
      </c>
      <c r="B90" s="7" t="str">
        <f t="shared" si="1"/>
        <v>Чт</v>
      </c>
      <c r="C90" s="8">
        <v>45386</v>
      </c>
      <c r="D90" s="9">
        <v>6400</v>
      </c>
      <c r="E90" s="10" t="s">
        <v>12</v>
      </c>
      <c r="F90" s="11">
        <v>8100</v>
      </c>
      <c r="G90" s="12" t="s">
        <v>12</v>
      </c>
      <c r="H90" s="11">
        <v>17100</v>
      </c>
      <c r="I90" s="12" t="s">
        <v>12</v>
      </c>
      <c r="J90" s="11">
        <v>17500</v>
      </c>
      <c r="K90" s="12" t="s">
        <v>12</v>
      </c>
      <c r="L90" s="11"/>
      <c r="M90" s="12"/>
    </row>
    <row r="91" spans="1:13" hidden="1" x14ac:dyDescent="0.25">
      <c r="A91" s="1">
        <v>88</v>
      </c>
      <c r="B91" s="7" t="str">
        <f t="shared" si="1"/>
        <v>Чт</v>
      </c>
      <c r="C91" s="8">
        <v>45386</v>
      </c>
      <c r="D91" s="9">
        <v>8000</v>
      </c>
      <c r="E91" s="10" t="s">
        <v>11</v>
      </c>
      <c r="F91" s="11">
        <v>2500</v>
      </c>
      <c r="G91" s="12" t="s">
        <v>11</v>
      </c>
      <c r="H91" s="11">
        <v>5500</v>
      </c>
      <c r="I91" s="12" t="s">
        <v>11</v>
      </c>
      <c r="J91" s="11">
        <v>6400</v>
      </c>
      <c r="K91" s="12" t="s">
        <v>11</v>
      </c>
      <c r="L91" s="11"/>
      <c r="M91" s="12"/>
    </row>
    <row r="92" spans="1:13" hidden="1" x14ac:dyDescent="0.25">
      <c r="A92" s="1">
        <v>89</v>
      </c>
      <c r="B92" s="7" t="str">
        <f t="shared" si="1"/>
        <v>Пт</v>
      </c>
      <c r="C92" s="8">
        <v>45387</v>
      </c>
      <c r="D92" s="9"/>
      <c r="E92" s="10"/>
      <c r="F92" s="11"/>
      <c r="G92" s="12"/>
      <c r="H92" s="11"/>
      <c r="I92" s="12"/>
      <c r="J92" s="11"/>
      <c r="K92" s="12"/>
      <c r="L92" s="11"/>
      <c r="M92" s="12"/>
    </row>
    <row r="93" spans="1:13" hidden="1" x14ac:dyDescent="0.25">
      <c r="A93" s="1">
        <v>90</v>
      </c>
      <c r="B93" s="7" t="str">
        <f t="shared" si="1"/>
        <v>Сб</v>
      </c>
      <c r="C93" s="8">
        <v>45388</v>
      </c>
      <c r="D93" s="9"/>
      <c r="E93" s="10"/>
      <c r="F93" s="11"/>
      <c r="G93" s="12"/>
      <c r="H93" s="11"/>
      <c r="I93" s="12"/>
      <c r="J93" s="11"/>
      <c r="K93" s="12"/>
      <c r="L93" s="11"/>
      <c r="M93" s="12"/>
    </row>
    <row r="94" spans="1:13" hidden="1" x14ac:dyDescent="0.25">
      <c r="A94" s="1">
        <v>91</v>
      </c>
      <c r="B94" s="7" t="str">
        <f t="shared" si="1"/>
        <v>Вс</v>
      </c>
      <c r="C94" s="8">
        <v>45389</v>
      </c>
      <c r="D94" s="9"/>
      <c r="E94" s="10"/>
      <c r="F94" s="11"/>
      <c r="G94" s="12"/>
      <c r="H94" s="11"/>
      <c r="I94" s="12"/>
      <c r="J94" s="11"/>
      <c r="K94" s="12"/>
      <c r="L94" s="11">
        <v>3000</v>
      </c>
      <c r="M94" s="12" t="s">
        <v>12</v>
      </c>
    </row>
    <row r="95" spans="1:13" hidden="1" x14ac:dyDescent="0.25">
      <c r="A95" s="1">
        <v>92</v>
      </c>
      <c r="B95" s="7" t="str">
        <f t="shared" si="1"/>
        <v>Пн</v>
      </c>
      <c r="C95" s="8">
        <v>45390</v>
      </c>
      <c r="D95" s="9"/>
      <c r="E95" s="10"/>
      <c r="F95" s="11"/>
      <c r="G95" s="12"/>
      <c r="H95" s="11"/>
      <c r="I95" s="12"/>
      <c r="J95" s="11"/>
      <c r="K95" s="12"/>
      <c r="L95" s="11">
        <v>5900</v>
      </c>
      <c r="M95" s="12" t="s">
        <v>11</v>
      </c>
    </row>
    <row r="96" spans="1:13" hidden="1" x14ac:dyDescent="0.25">
      <c r="A96" s="1">
        <v>93</v>
      </c>
      <c r="B96" s="7" t="str">
        <f t="shared" si="1"/>
        <v>Вт</v>
      </c>
      <c r="C96" s="8">
        <v>45391</v>
      </c>
      <c r="D96" s="9">
        <v>8500</v>
      </c>
      <c r="E96" s="10" t="s">
        <v>12</v>
      </c>
      <c r="F96" s="11">
        <v>4800</v>
      </c>
      <c r="G96" s="12" t="s">
        <v>12</v>
      </c>
      <c r="H96" s="11">
        <v>17100</v>
      </c>
      <c r="I96" s="12" t="s">
        <v>12</v>
      </c>
      <c r="J96" s="11">
        <v>14000</v>
      </c>
      <c r="K96" s="12" t="s">
        <v>12</v>
      </c>
      <c r="L96" s="11"/>
      <c r="M96" s="12"/>
    </row>
    <row r="97" spans="1:13" hidden="1" x14ac:dyDescent="0.25">
      <c r="A97" s="1">
        <v>94</v>
      </c>
      <c r="B97" s="7" t="str">
        <f t="shared" si="1"/>
        <v>Ср</v>
      </c>
      <c r="C97" s="8">
        <v>45392</v>
      </c>
      <c r="D97" s="9"/>
      <c r="E97" s="10"/>
      <c r="F97" s="11"/>
      <c r="G97" s="12"/>
      <c r="H97" s="11"/>
      <c r="I97" s="12"/>
      <c r="J97" s="11"/>
      <c r="K97" s="12"/>
      <c r="L97" s="11"/>
      <c r="M97" s="12"/>
    </row>
    <row r="98" spans="1:13" hidden="1" x14ac:dyDescent="0.25">
      <c r="A98" s="1">
        <v>95</v>
      </c>
      <c r="B98" s="7" t="str">
        <f t="shared" si="1"/>
        <v>Чт</v>
      </c>
      <c r="C98" s="8">
        <v>45393</v>
      </c>
      <c r="D98" s="9">
        <v>6800</v>
      </c>
      <c r="E98" s="10" t="s">
        <v>12</v>
      </c>
      <c r="F98" s="11">
        <v>1700</v>
      </c>
      <c r="G98" s="12" t="s">
        <v>12</v>
      </c>
      <c r="H98" s="11">
        <f>17000+5900</f>
        <v>22900</v>
      </c>
      <c r="I98" s="12" t="s">
        <v>12</v>
      </c>
      <c r="J98" s="11">
        <v>8400</v>
      </c>
      <c r="K98" s="12" t="s">
        <v>12</v>
      </c>
      <c r="L98" s="11"/>
      <c r="M98" s="12"/>
    </row>
    <row r="99" spans="1:13" hidden="1" x14ac:dyDescent="0.25">
      <c r="A99" s="1">
        <v>96</v>
      </c>
      <c r="B99" s="7" t="str">
        <f t="shared" si="1"/>
        <v>Чт</v>
      </c>
      <c r="C99" s="8">
        <v>45393</v>
      </c>
      <c r="D99" s="9">
        <v>6800</v>
      </c>
      <c r="E99" s="10" t="s">
        <v>11</v>
      </c>
      <c r="F99" s="11">
        <v>1900</v>
      </c>
      <c r="G99" s="12" t="s">
        <v>11</v>
      </c>
      <c r="H99" s="11">
        <v>2000</v>
      </c>
      <c r="I99" s="12" t="s">
        <v>11</v>
      </c>
      <c r="J99" s="11">
        <v>2400</v>
      </c>
      <c r="K99" s="12" t="s">
        <v>11</v>
      </c>
      <c r="L99" s="11"/>
      <c r="M99" s="12"/>
    </row>
    <row r="100" spans="1:13" hidden="1" x14ac:dyDescent="0.25">
      <c r="A100" s="1">
        <v>97</v>
      </c>
      <c r="B100" s="7" t="str">
        <f t="shared" si="1"/>
        <v>Пт</v>
      </c>
      <c r="C100" s="8">
        <v>45394</v>
      </c>
      <c r="D100" s="9"/>
      <c r="E100" s="10"/>
      <c r="F100" s="11"/>
      <c r="G100" s="12"/>
      <c r="H100" s="11"/>
      <c r="I100" s="12"/>
      <c r="J100" s="11"/>
      <c r="K100" s="12"/>
      <c r="L100" s="11"/>
      <c r="M100" s="12"/>
    </row>
    <row r="101" spans="1:13" hidden="1" x14ac:dyDescent="0.25">
      <c r="A101" s="1">
        <v>98</v>
      </c>
      <c r="B101" s="7" t="str">
        <f t="shared" si="1"/>
        <v>Сб</v>
      </c>
      <c r="C101" s="8">
        <v>45395</v>
      </c>
      <c r="D101" s="9"/>
      <c r="E101" s="10"/>
      <c r="F101" s="11"/>
      <c r="G101" s="12"/>
      <c r="H101" s="11"/>
      <c r="I101" s="12"/>
      <c r="J101" s="11"/>
      <c r="K101" s="12"/>
      <c r="L101" s="11"/>
      <c r="M101" s="12"/>
    </row>
    <row r="102" spans="1:13" hidden="1" x14ac:dyDescent="0.25">
      <c r="A102" s="1">
        <v>99</v>
      </c>
      <c r="B102" s="7" t="str">
        <f t="shared" si="1"/>
        <v>Вс</v>
      </c>
      <c r="C102" s="8">
        <v>45396</v>
      </c>
      <c r="D102" s="9"/>
      <c r="E102" s="10"/>
      <c r="F102" s="11"/>
      <c r="G102" s="12"/>
      <c r="H102" s="11"/>
      <c r="I102" s="12"/>
      <c r="J102" s="11"/>
      <c r="K102" s="12"/>
      <c r="L102" s="11">
        <v>3500</v>
      </c>
      <c r="M102" s="12" t="s">
        <v>12</v>
      </c>
    </row>
    <row r="103" spans="1:13" hidden="1" x14ac:dyDescent="0.25">
      <c r="A103" s="1">
        <v>100</v>
      </c>
      <c r="B103" s="7" t="str">
        <f t="shared" si="1"/>
        <v>Пн</v>
      </c>
      <c r="C103" s="8">
        <v>45397</v>
      </c>
      <c r="D103" s="9"/>
      <c r="E103" s="10"/>
      <c r="F103" s="11"/>
      <c r="G103" s="12"/>
      <c r="H103" s="11"/>
      <c r="I103" s="12"/>
      <c r="J103" s="11"/>
      <c r="K103" s="12"/>
      <c r="L103" s="11"/>
      <c r="M103" s="12"/>
    </row>
    <row r="104" spans="1:13" hidden="1" x14ac:dyDescent="0.25">
      <c r="A104" s="1">
        <v>101</v>
      </c>
      <c r="B104" s="7" t="str">
        <f t="shared" si="1"/>
        <v>Вт</v>
      </c>
      <c r="C104" s="8">
        <v>45398</v>
      </c>
      <c r="D104" s="9">
        <v>14800</v>
      </c>
      <c r="E104" s="10" t="s">
        <v>12</v>
      </c>
      <c r="F104" s="11">
        <v>800</v>
      </c>
      <c r="G104" s="12" t="s">
        <v>12</v>
      </c>
      <c r="H104" s="11">
        <f>17200+9100</f>
        <v>26300</v>
      </c>
      <c r="I104" s="12" t="s">
        <v>12</v>
      </c>
      <c r="J104" s="11">
        <f>17200+7000</f>
        <v>24200</v>
      </c>
      <c r="K104" s="12" t="s">
        <v>12</v>
      </c>
      <c r="L104" s="11"/>
      <c r="M104" s="12"/>
    </row>
    <row r="105" spans="1:13" hidden="1" x14ac:dyDescent="0.25">
      <c r="A105" s="1">
        <v>102</v>
      </c>
      <c r="B105" s="7" t="str">
        <f t="shared" si="1"/>
        <v>Ср</v>
      </c>
      <c r="C105" s="8">
        <v>45399</v>
      </c>
      <c r="D105" s="9"/>
      <c r="E105" s="10"/>
      <c r="F105" s="11"/>
      <c r="G105" s="12"/>
      <c r="H105" s="11"/>
      <c r="I105" s="12"/>
      <c r="J105" s="11"/>
      <c r="K105" s="12"/>
      <c r="L105" s="11"/>
      <c r="M105" s="12"/>
    </row>
    <row r="106" spans="1:13" hidden="1" x14ac:dyDescent="0.25">
      <c r="A106" s="1">
        <v>103</v>
      </c>
      <c r="B106" s="7" t="str">
        <f t="shared" si="1"/>
        <v>Чт</v>
      </c>
      <c r="C106" s="8">
        <v>45400</v>
      </c>
      <c r="D106" s="9">
        <v>6200</v>
      </c>
      <c r="E106" s="10" t="s">
        <v>12</v>
      </c>
      <c r="F106" s="11">
        <v>3900</v>
      </c>
      <c r="G106" s="12" t="s">
        <v>12</v>
      </c>
      <c r="H106" s="11">
        <v>10700</v>
      </c>
      <c r="I106" s="12" t="s">
        <v>12</v>
      </c>
      <c r="J106" s="11">
        <v>17200</v>
      </c>
      <c r="K106" s="12" t="s">
        <v>12</v>
      </c>
      <c r="L106" s="11"/>
      <c r="M106" s="12"/>
    </row>
    <row r="107" spans="1:13" hidden="1" x14ac:dyDescent="0.25">
      <c r="A107" s="1">
        <v>104</v>
      </c>
      <c r="B107" s="7" t="str">
        <f t="shared" si="1"/>
        <v>Чт</v>
      </c>
      <c r="C107" s="8">
        <v>45400</v>
      </c>
      <c r="D107" s="9">
        <v>4600</v>
      </c>
      <c r="E107" s="10" t="s">
        <v>11</v>
      </c>
      <c r="F107" s="11">
        <v>9600</v>
      </c>
      <c r="G107" s="12" t="s">
        <v>11</v>
      </c>
      <c r="H107" s="11">
        <v>3700</v>
      </c>
      <c r="I107" s="12" t="s">
        <v>11</v>
      </c>
      <c r="J107" s="11">
        <v>8800</v>
      </c>
      <c r="K107" s="12" t="s">
        <v>11</v>
      </c>
      <c r="L107" s="11"/>
      <c r="M107" s="12"/>
    </row>
    <row r="108" spans="1:13" hidden="1" x14ac:dyDescent="0.25">
      <c r="A108" s="1">
        <v>105</v>
      </c>
      <c r="B108" s="7" t="str">
        <f t="shared" si="1"/>
        <v>Пт</v>
      </c>
      <c r="C108" s="8">
        <v>45401</v>
      </c>
      <c r="D108" s="9"/>
      <c r="E108" s="10"/>
      <c r="F108" s="11"/>
      <c r="G108" s="12"/>
      <c r="H108" s="11"/>
      <c r="I108" s="12"/>
      <c r="J108" s="11"/>
      <c r="K108" s="12"/>
      <c r="L108" s="11"/>
      <c r="M108" s="12"/>
    </row>
    <row r="109" spans="1:13" hidden="1" x14ac:dyDescent="0.25">
      <c r="A109" s="1">
        <v>106</v>
      </c>
      <c r="B109" s="7" t="str">
        <f t="shared" si="1"/>
        <v>Сб</v>
      </c>
      <c r="C109" s="8">
        <v>45402</v>
      </c>
      <c r="D109" s="9"/>
      <c r="E109" s="10"/>
      <c r="F109" s="11"/>
      <c r="G109" s="12"/>
      <c r="H109" s="11"/>
      <c r="I109" s="12"/>
      <c r="J109" s="11"/>
      <c r="K109" s="12"/>
      <c r="L109" s="11"/>
      <c r="M109" s="12"/>
    </row>
    <row r="110" spans="1:13" hidden="1" x14ac:dyDescent="0.25">
      <c r="A110" s="1">
        <v>107</v>
      </c>
      <c r="B110" s="7" t="str">
        <f t="shared" si="1"/>
        <v>Вс</v>
      </c>
      <c r="C110" s="8">
        <v>45403</v>
      </c>
      <c r="D110" s="9"/>
      <c r="E110" s="10"/>
      <c r="F110" s="11"/>
      <c r="G110" s="12"/>
      <c r="H110" s="11"/>
      <c r="I110" s="12"/>
      <c r="J110" s="11"/>
      <c r="K110" s="12"/>
      <c r="L110" s="11">
        <v>2800</v>
      </c>
      <c r="M110" s="12" t="s">
        <v>12</v>
      </c>
    </row>
    <row r="111" spans="1:13" hidden="1" x14ac:dyDescent="0.25">
      <c r="A111" s="1">
        <v>108</v>
      </c>
      <c r="B111" s="7" t="str">
        <f t="shared" si="1"/>
        <v>Пн</v>
      </c>
      <c r="C111" s="8">
        <v>45404</v>
      </c>
      <c r="D111" s="9"/>
      <c r="E111" s="10"/>
      <c r="F111" s="11"/>
      <c r="G111" s="12"/>
      <c r="H111" s="11"/>
      <c r="I111" s="12"/>
      <c r="J111" s="11"/>
      <c r="K111" s="12"/>
      <c r="L111" s="11"/>
      <c r="M111" s="12"/>
    </row>
    <row r="112" spans="1:13" hidden="1" x14ac:dyDescent="0.25">
      <c r="A112" s="1">
        <v>109</v>
      </c>
      <c r="B112" s="7" t="str">
        <f t="shared" si="1"/>
        <v>Вт</v>
      </c>
      <c r="C112" s="8">
        <v>45405</v>
      </c>
      <c r="D112" s="9">
        <f>2600+1400+10600</f>
        <v>14600</v>
      </c>
      <c r="E112" s="10" t="s">
        <v>12</v>
      </c>
      <c r="F112" s="11">
        <v>6700</v>
      </c>
      <c r="G112" s="12" t="s">
        <v>12</v>
      </c>
      <c r="H112" s="11">
        <f>11100+14600</f>
        <v>25700</v>
      </c>
      <c r="I112" s="12" t="s">
        <v>12</v>
      </c>
      <c r="J112" s="11">
        <f>17000+6000</f>
        <v>23000</v>
      </c>
      <c r="K112" s="12" t="s">
        <v>12</v>
      </c>
      <c r="L112" s="11"/>
      <c r="M112" s="12"/>
    </row>
    <row r="113" spans="1:13" hidden="1" x14ac:dyDescent="0.25">
      <c r="A113" s="1">
        <v>110</v>
      </c>
      <c r="B113" s="7" t="str">
        <f t="shared" si="1"/>
        <v>Ср</v>
      </c>
      <c r="C113" s="8">
        <v>45406</v>
      </c>
      <c r="D113" s="9"/>
      <c r="E113" s="10"/>
      <c r="F113" s="11"/>
      <c r="G113" s="12"/>
      <c r="H113" s="11"/>
      <c r="I113" s="12"/>
      <c r="J113" s="11"/>
      <c r="K113" s="12"/>
      <c r="L113" s="11"/>
      <c r="M113" s="12"/>
    </row>
    <row r="114" spans="1:13" hidden="1" x14ac:dyDescent="0.25">
      <c r="A114" s="1">
        <v>111</v>
      </c>
      <c r="B114" s="7" t="str">
        <f t="shared" si="1"/>
        <v>Чт</v>
      </c>
      <c r="C114" s="8">
        <v>45407</v>
      </c>
      <c r="D114" s="9">
        <v>3300</v>
      </c>
      <c r="E114" s="10" t="s">
        <v>12</v>
      </c>
      <c r="F114" s="11">
        <v>4100</v>
      </c>
      <c r="G114" s="12" t="s">
        <v>12</v>
      </c>
      <c r="H114" s="11">
        <f>1500+12000</f>
        <v>13500</v>
      </c>
      <c r="I114" s="12" t="s">
        <v>12</v>
      </c>
      <c r="J114" s="11">
        <v>16100</v>
      </c>
      <c r="K114" s="12" t="s">
        <v>12</v>
      </c>
      <c r="L114" s="11"/>
      <c r="M114" s="12"/>
    </row>
    <row r="115" spans="1:13" hidden="1" x14ac:dyDescent="0.25">
      <c r="A115" s="1">
        <v>112</v>
      </c>
      <c r="B115" s="7" t="str">
        <f t="shared" si="1"/>
        <v>Чт</v>
      </c>
      <c r="C115" s="8">
        <v>45407</v>
      </c>
      <c r="D115" s="9">
        <v>8500</v>
      </c>
      <c r="E115" s="10" t="s">
        <v>11</v>
      </c>
      <c r="F115" s="11">
        <v>4800</v>
      </c>
      <c r="G115" s="12" t="s">
        <v>11</v>
      </c>
      <c r="H115" s="11">
        <v>8200</v>
      </c>
      <c r="I115" s="12" t="s">
        <v>11</v>
      </c>
      <c r="J115" s="11">
        <v>4700</v>
      </c>
      <c r="K115" s="12" t="s">
        <v>11</v>
      </c>
      <c r="L115" s="11"/>
      <c r="M115" s="12"/>
    </row>
    <row r="116" spans="1:13" hidden="1" x14ac:dyDescent="0.25">
      <c r="A116" s="1">
        <v>113</v>
      </c>
      <c r="B116" s="7" t="str">
        <f t="shared" si="1"/>
        <v>Пт</v>
      </c>
      <c r="C116" s="8">
        <v>45408</v>
      </c>
      <c r="D116" s="9"/>
      <c r="E116" s="10"/>
      <c r="F116" s="11"/>
      <c r="G116" s="12"/>
      <c r="H116" s="11"/>
      <c r="I116" s="12"/>
      <c r="J116" s="11"/>
      <c r="K116" s="12"/>
      <c r="L116" s="11"/>
      <c r="M116" s="12"/>
    </row>
    <row r="117" spans="1:13" hidden="1" x14ac:dyDescent="0.25">
      <c r="A117" s="1">
        <v>114</v>
      </c>
      <c r="B117" s="7" t="str">
        <f t="shared" si="1"/>
        <v>Сб</v>
      </c>
      <c r="C117" s="8">
        <v>45409</v>
      </c>
      <c r="D117" s="9"/>
      <c r="E117" s="10"/>
      <c r="F117" s="11"/>
      <c r="G117" s="12"/>
      <c r="H117" s="11"/>
      <c r="I117" s="12"/>
      <c r="J117" s="11"/>
      <c r="K117" s="12"/>
      <c r="L117" s="11"/>
      <c r="M117" s="12"/>
    </row>
    <row r="118" spans="1:13" hidden="1" x14ac:dyDescent="0.25">
      <c r="A118" s="1">
        <v>115</v>
      </c>
      <c r="B118" s="7" t="str">
        <f t="shared" si="1"/>
        <v>Вс</v>
      </c>
      <c r="C118" s="8">
        <v>45410</v>
      </c>
      <c r="D118" s="9"/>
      <c r="E118" s="10"/>
      <c r="F118" s="11"/>
      <c r="G118" s="12"/>
      <c r="H118" s="11"/>
      <c r="I118" s="12"/>
      <c r="J118" s="11"/>
      <c r="K118" s="12"/>
      <c r="L118" s="11">
        <v>4800</v>
      </c>
      <c r="M118" s="12" t="s">
        <v>12</v>
      </c>
    </row>
    <row r="119" spans="1:13" hidden="1" x14ac:dyDescent="0.25">
      <c r="A119" s="1">
        <v>116</v>
      </c>
      <c r="B119" s="7" t="str">
        <f t="shared" si="1"/>
        <v>Пн</v>
      </c>
      <c r="C119" s="8">
        <v>45411</v>
      </c>
      <c r="D119" s="9"/>
      <c r="E119" s="10"/>
      <c r="F119" s="11"/>
      <c r="G119" s="12"/>
      <c r="H119" s="11"/>
      <c r="I119" s="12"/>
      <c r="J119" s="11"/>
      <c r="K119" s="12"/>
      <c r="L119" s="11"/>
      <c r="M119" s="12"/>
    </row>
    <row r="120" spans="1:13" hidden="1" x14ac:dyDescent="0.25">
      <c r="A120" s="1">
        <v>117</v>
      </c>
      <c r="B120" s="7" t="str">
        <f t="shared" si="1"/>
        <v>Вт</v>
      </c>
      <c r="C120" s="8">
        <v>45412</v>
      </c>
      <c r="D120" s="9">
        <f>1800+17600</f>
        <v>19400</v>
      </c>
      <c r="E120" s="10" t="s">
        <v>12</v>
      </c>
      <c r="F120" s="11">
        <f>10000</f>
        <v>10000</v>
      </c>
      <c r="G120" s="12" t="s">
        <v>12</v>
      </c>
      <c r="H120" s="11">
        <f>12100+2400</f>
        <v>14500</v>
      </c>
      <c r="I120" s="12" t="s">
        <v>12</v>
      </c>
      <c r="J120" s="11">
        <f>4700+17500</f>
        <v>22200</v>
      </c>
      <c r="K120" s="12" t="s">
        <v>12</v>
      </c>
      <c r="L120" s="11"/>
      <c r="M120" s="12"/>
    </row>
    <row r="121" spans="1:13" x14ac:dyDescent="0.25">
      <c r="A121" s="1">
        <v>118</v>
      </c>
      <c r="B121" s="7" t="str">
        <f t="shared" si="1"/>
        <v>Ср</v>
      </c>
      <c r="C121" s="8">
        <v>45413</v>
      </c>
      <c r="D121" s="9"/>
      <c r="E121" s="10"/>
      <c r="F121" s="11"/>
      <c r="G121" s="12"/>
      <c r="H121" s="11"/>
      <c r="I121" s="12"/>
      <c r="J121" s="11"/>
      <c r="K121" s="12"/>
      <c r="L121" s="11"/>
      <c r="M121" s="12"/>
    </row>
    <row r="122" spans="1:13" x14ac:dyDescent="0.25">
      <c r="A122" s="1">
        <v>119</v>
      </c>
      <c r="B122" s="7" t="str">
        <f t="shared" si="1"/>
        <v>Чт</v>
      </c>
      <c r="C122" s="8">
        <v>45414</v>
      </c>
      <c r="D122" s="9">
        <v>12300</v>
      </c>
      <c r="E122" s="10" t="s">
        <v>12</v>
      </c>
      <c r="F122" s="11">
        <v>5100</v>
      </c>
      <c r="G122" s="12" t="s">
        <v>12</v>
      </c>
      <c r="H122" s="11">
        <v>17000</v>
      </c>
      <c r="I122" s="12" t="s">
        <v>12</v>
      </c>
      <c r="J122" s="11">
        <v>17100</v>
      </c>
      <c r="K122" s="12" t="s">
        <v>12</v>
      </c>
      <c r="L122" s="11"/>
      <c r="M122" s="12"/>
    </row>
    <row r="123" spans="1:13" x14ac:dyDescent="0.25">
      <c r="A123" s="1">
        <v>120</v>
      </c>
      <c r="B123" s="7" t="str">
        <f t="shared" si="1"/>
        <v>Чт</v>
      </c>
      <c r="C123" s="8">
        <v>45414</v>
      </c>
      <c r="D123" s="9">
        <v>13800</v>
      </c>
      <c r="E123" s="10" t="s">
        <v>11</v>
      </c>
      <c r="F123" s="11">
        <v>8500</v>
      </c>
      <c r="G123" s="12" t="s">
        <v>11</v>
      </c>
      <c r="H123" s="11">
        <v>1500</v>
      </c>
      <c r="I123" s="12" t="s">
        <v>11</v>
      </c>
      <c r="J123" s="11">
        <v>3400</v>
      </c>
      <c r="K123" s="12" t="s">
        <v>11</v>
      </c>
      <c r="L123" s="11"/>
      <c r="M123" s="12"/>
    </row>
    <row r="124" spans="1:13" x14ac:dyDescent="0.25">
      <c r="A124" s="1">
        <v>121</v>
      </c>
      <c r="B124" s="7" t="str">
        <f t="shared" si="1"/>
        <v>Пт</v>
      </c>
      <c r="C124" s="8">
        <v>45415</v>
      </c>
      <c r="D124" s="9"/>
      <c r="E124" s="10"/>
      <c r="F124" s="11"/>
      <c r="G124" s="12"/>
      <c r="H124" s="11">
        <v>17000</v>
      </c>
      <c r="I124" s="12" t="s">
        <v>12</v>
      </c>
      <c r="J124" s="11"/>
      <c r="K124" s="12"/>
      <c r="L124" s="11"/>
      <c r="M124" s="12"/>
    </row>
    <row r="125" spans="1:13" x14ac:dyDescent="0.25">
      <c r="A125" s="1">
        <v>122</v>
      </c>
      <c r="B125" s="7" t="str">
        <f t="shared" si="1"/>
        <v>Сб</v>
      </c>
      <c r="C125" s="8">
        <v>45416</v>
      </c>
      <c r="D125" s="9"/>
      <c r="E125" s="10"/>
      <c r="F125" s="11"/>
      <c r="G125" s="12"/>
      <c r="H125" s="11"/>
      <c r="I125" s="12"/>
      <c r="J125" s="11"/>
      <c r="K125" s="12"/>
      <c r="L125" s="11"/>
      <c r="M125" s="12"/>
    </row>
    <row r="126" spans="1:13" x14ac:dyDescent="0.25">
      <c r="A126" s="1">
        <v>123</v>
      </c>
      <c r="B126" s="7" t="str">
        <f t="shared" si="1"/>
        <v>Вс</v>
      </c>
      <c r="C126" s="8">
        <v>45417</v>
      </c>
      <c r="D126" s="9"/>
      <c r="E126" s="10"/>
      <c r="F126" s="11"/>
      <c r="G126" s="12"/>
      <c r="H126" s="11"/>
      <c r="I126" s="12"/>
      <c r="J126" s="11"/>
      <c r="K126" s="12"/>
      <c r="L126" s="11">
        <v>3200</v>
      </c>
      <c r="M126" s="12" t="s">
        <v>12</v>
      </c>
    </row>
    <row r="127" spans="1:13" x14ac:dyDescent="0.25">
      <c r="A127" s="1">
        <v>124</v>
      </c>
      <c r="B127" s="7" t="str">
        <f t="shared" si="1"/>
        <v>Пн</v>
      </c>
      <c r="C127" s="8">
        <v>45418</v>
      </c>
      <c r="D127" s="9"/>
      <c r="E127" s="10"/>
      <c r="F127" s="11"/>
      <c r="G127" s="12"/>
      <c r="H127" s="11"/>
      <c r="I127" s="12"/>
      <c r="J127" s="11"/>
      <c r="K127" s="12"/>
      <c r="L127" s="11"/>
      <c r="M127" s="12"/>
    </row>
    <row r="128" spans="1:13" x14ac:dyDescent="0.25">
      <c r="A128" s="1">
        <v>125</v>
      </c>
      <c r="B128" s="7" t="str">
        <f t="shared" si="1"/>
        <v>Вт</v>
      </c>
      <c r="C128" s="8">
        <v>45419</v>
      </c>
      <c r="D128" s="9">
        <v>13500</v>
      </c>
      <c r="E128" s="10" t="s">
        <v>12</v>
      </c>
      <c r="F128" s="11">
        <v>5600</v>
      </c>
      <c r="G128" s="12" t="s">
        <v>12</v>
      </c>
      <c r="H128" s="9">
        <v>17400</v>
      </c>
      <c r="I128" s="10" t="s">
        <v>12</v>
      </c>
      <c r="J128" s="11">
        <f>17300+3800+3900</f>
        <v>25000</v>
      </c>
      <c r="K128" s="12" t="s">
        <v>12</v>
      </c>
      <c r="L128" s="11"/>
      <c r="M128" s="12"/>
    </row>
    <row r="129" spans="1:13" x14ac:dyDescent="0.25">
      <c r="A129" s="1">
        <v>126</v>
      </c>
      <c r="B129" s="7" t="str">
        <f t="shared" si="1"/>
        <v>Ср</v>
      </c>
      <c r="C129" s="8">
        <v>45420</v>
      </c>
      <c r="D129" s="9"/>
      <c r="E129" s="10"/>
      <c r="F129" s="11"/>
      <c r="G129" s="12"/>
      <c r="H129" s="9">
        <v>17600</v>
      </c>
      <c r="I129" s="10" t="s">
        <v>12</v>
      </c>
      <c r="J129" s="11"/>
      <c r="K129" s="12"/>
      <c r="L129" s="11"/>
      <c r="M129" s="12"/>
    </row>
    <row r="130" spans="1:13" x14ac:dyDescent="0.25">
      <c r="A130" s="1">
        <v>127</v>
      </c>
      <c r="B130" s="7" t="str">
        <f t="shared" si="1"/>
        <v>Чт</v>
      </c>
      <c r="C130" s="8">
        <v>45421</v>
      </c>
      <c r="D130" s="9">
        <v>4800</v>
      </c>
      <c r="E130" s="10" t="s">
        <v>12</v>
      </c>
      <c r="F130" s="11">
        <v>2400</v>
      </c>
      <c r="G130" s="12" t="s">
        <v>12</v>
      </c>
      <c r="H130" s="11"/>
      <c r="I130" s="12"/>
      <c r="J130" s="11">
        <v>17200</v>
      </c>
      <c r="K130" s="12" t="s">
        <v>12</v>
      </c>
      <c r="L130" s="11"/>
      <c r="M130" s="12"/>
    </row>
    <row r="131" spans="1:13" x14ac:dyDescent="0.25">
      <c r="A131" s="1">
        <v>128</v>
      </c>
      <c r="B131" s="7" t="str">
        <f t="shared" si="1"/>
        <v>Чт</v>
      </c>
      <c r="C131" s="8">
        <v>45421</v>
      </c>
      <c r="D131" s="9">
        <v>13000</v>
      </c>
      <c r="E131" s="10" t="s">
        <v>11</v>
      </c>
      <c r="F131" s="11">
        <v>6800</v>
      </c>
      <c r="G131" s="12" t="s">
        <v>11</v>
      </c>
      <c r="H131" s="11">
        <v>2200</v>
      </c>
      <c r="I131" s="12" t="s">
        <v>11</v>
      </c>
      <c r="J131" s="11">
        <v>4000</v>
      </c>
      <c r="K131" s="12" t="s">
        <v>11</v>
      </c>
      <c r="L131" s="11"/>
      <c r="M131" s="12"/>
    </row>
    <row r="132" spans="1:13" x14ac:dyDescent="0.25">
      <c r="A132" s="1">
        <v>129</v>
      </c>
      <c r="B132" s="7" t="str">
        <f t="shared" ref="B132:B195" si="2">IF(C132&lt;&gt;"",TEXT(C132,"ДДД"),"")</f>
        <v>Пт</v>
      </c>
      <c r="C132" s="8">
        <v>45422</v>
      </c>
      <c r="D132" s="9"/>
      <c r="E132" s="10"/>
      <c r="F132" s="11"/>
      <c r="G132" s="12"/>
      <c r="H132" s="11">
        <v>11400</v>
      </c>
      <c r="I132" s="12" t="s">
        <v>12</v>
      </c>
      <c r="J132" s="11">
        <v>5700</v>
      </c>
      <c r="K132" s="12" t="s">
        <v>12</v>
      </c>
      <c r="L132" s="11"/>
      <c r="M132" s="12"/>
    </row>
    <row r="133" spans="1:13" x14ac:dyDescent="0.25">
      <c r="A133" s="1">
        <v>130</v>
      </c>
      <c r="B133" s="7" t="str">
        <f t="shared" si="2"/>
        <v>Сб</v>
      </c>
      <c r="C133" s="8">
        <v>45423</v>
      </c>
      <c r="D133" s="9"/>
      <c r="E133" s="10"/>
      <c r="F133" s="11"/>
      <c r="G133" s="12"/>
      <c r="H133" s="11"/>
      <c r="I133" s="12"/>
      <c r="J133" s="11"/>
      <c r="K133" s="12"/>
      <c r="L133" s="11">
        <v>6100</v>
      </c>
      <c r="M133" s="12" t="s">
        <v>11</v>
      </c>
    </row>
    <row r="134" spans="1:13" x14ac:dyDescent="0.25">
      <c r="A134" s="1">
        <v>131</v>
      </c>
      <c r="B134" s="7" t="str">
        <f t="shared" si="2"/>
        <v>Вс</v>
      </c>
      <c r="C134" s="8">
        <v>45424</v>
      </c>
      <c r="D134" s="9"/>
      <c r="E134" s="10"/>
      <c r="F134" s="11"/>
      <c r="G134" s="12"/>
      <c r="H134" s="11"/>
      <c r="I134" s="12"/>
      <c r="J134" s="11"/>
      <c r="K134" s="12"/>
      <c r="L134" s="11">
        <v>1700</v>
      </c>
      <c r="M134" s="12" t="s">
        <v>12</v>
      </c>
    </row>
    <row r="135" spans="1:13" x14ac:dyDescent="0.25">
      <c r="A135" s="1">
        <v>132</v>
      </c>
      <c r="B135" s="7" t="str">
        <f t="shared" si="2"/>
        <v>Пн</v>
      </c>
      <c r="C135" s="8">
        <v>45425</v>
      </c>
      <c r="D135" s="9"/>
      <c r="E135" s="10"/>
      <c r="F135" s="11"/>
      <c r="G135" s="12"/>
      <c r="H135" s="11"/>
      <c r="I135" s="12"/>
      <c r="J135" s="11"/>
      <c r="K135" s="12"/>
      <c r="L135" s="11"/>
      <c r="M135" s="12"/>
    </row>
    <row r="136" spans="1:13" x14ac:dyDescent="0.25">
      <c r="A136" s="1">
        <v>133</v>
      </c>
      <c r="B136" s="7" t="str">
        <f t="shared" si="2"/>
        <v>Вт</v>
      </c>
      <c r="C136" s="8">
        <v>45426</v>
      </c>
      <c r="D136" s="9">
        <v>1600</v>
      </c>
      <c r="E136" s="10" t="s">
        <v>12</v>
      </c>
      <c r="F136" s="11">
        <v>4100</v>
      </c>
      <c r="G136" s="12" t="s">
        <v>12</v>
      </c>
      <c r="H136" s="11">
        <v>6800</v>
      </c>
      <c r="I136" s="12" t="s">
        <v>12</v>
      </c>
      <c r="J136" s="11">
        <v>8600</v>
      </c>
      <c r="K136" s="12" t="s">
        <v>12</v>
      </c>
      <c r="L136" s="11"/>
      <c r="M136" s="12"/>
    </row>
    <row r="137" spans="1:13" x14ac:dyDescent="0.25">
      <c r="A137" s="1">
        <v>134</v>
      </c>
      <c r="B137" s="7" t="str">
        <f t="shared" si="2"/>
        <v>Ср</v>
      </c>
      <c r="C137" s="8">
        <v>45427</v>
      </c>
      <c r="D137" s="9"/>
      <c r="E137" s="10"/>
      <c r="F137" s="11"/>
      <c r="G137" s="12"/>
      <c r="H137" s="11"/>
      <c r="I137" s="12"/>
      <c r="J137" s="11"/>
      <c r="K137" s="12"/>
      <c r="L137" s="11"/>
      <c r="M137" s="12"/>
    </row>
    <row r="138" spans="1:13" x14ac:dyDescent="0.25">
      <c r="A138" s="1">
        <v>135</v>
      </c>
      <c r="B138" s="7" t="str">
        <f t="shared" si="2"/>
        <v>Чт</v>
      </c>
      <c r="C138" s="8">
        <v>45428</v>
      </c>
      <c r="D138" s="9">
        <v>3200</v>
      </c>
      <c r="E138" s="10" t="s">
        <v>12</v>
      </c>
      <c r="F138" s="11">
        <v>5300</v>
      </c>
      <c r="G138" s="12" t="s">
        <v>12</v>
      </c>
      <c r="H138" s="11">
        <v>4200</v>
      </c>
      <c r="I138" s="12" t="s">
        <v>12</v>
      </c>
      <c r="J138" s="11">
        <v>11800</v>
      </c>
      <c r="K138" s="12" t="s">
        <v>12</v>
      </c>
      <c r="L138" s="11"/>
      <c r="M138" s="12"/>
    </row>
    <row r="139" spans="1:13" x14ac:dyDescent="0.25">
      <c r="A139" s="1">
        <v>136</v>
      </c>
      <c r="B139" s="7" t="str">
        <f t="shared" si="2"/>
        <v>Чт</v>
      </c>
      <c r="C139" s="8">
        <v>45428</v>
      </c>
      <c r="D139" s="9">
        <v>3900</v>
      </c>
      <c r="E139" s="10" t="s">
        <v>11</v>
      </c>
      <c r="F139" s="11">
        <v>1700</v>
      </c>
      <c r="G139" s="12" t="s">
        <v>11</v>
      </c>
      <c r="H139" s="11">
        <v>500</v>
      </c>
      <c r="I139" s="12" t="s">
        <v>11</v>
      </c>
      <c r="J139" s="11">
        <v>4800</v>
      </c>
      <c r="K139" s="12" t="s">
        <v>11</v>
      </c>
      <c r="L139" s="11"/>
      <c r="M139" s="12"/>
    </row>
    <row r="140" spans="1:13" x14ac:dyDescent="0.25">
      <c r="A140" s="1">
        <v>137</v>
      </c>
      <c r="B140" s="7" t="str">
        <f t="shared" si="2"/>
        <v>Пт</v>
      </c>
      <c r="C140" s="8">
        <v>45429</v>
      </c>
      <c r="D140" s="9"/>
      <c r="E140" s="10"/>
      <c r="F140" s="11"/>
      <c r="G140" s="12"/>
      <c r="H140" s="11"/>
      <c r="I140" s="12"/>
      <c r="J140" s="11"/>
      <c r="K140" s="12"/>
      <c r="L140" s="11"/>
      <c r="M140" s="12"/>
    </row>
    <row r="141" spans="1:13" x14ac:dyDescent="0.25">
      <c r="A141" s="1">
        <v>138</v>
      </c>
      <c r="B141" s="7" t="str">
        <f t="shared" si="2"/>
        <v>Сб</v>
      </c>
      <c r="C141" s="8">
        <v>45430</v>
      </c>
      <c r="D141" s="9"/>
      <c r="E141" s="10"/>
      <c r="F141" s="11"/>
      <c r="G141" s="12"/>
      <c r="H141" s="11"/>
      <c r="I141" s="12"/>
      <c r="J141" s="11"/>
      <c r="K141" s="12"/>
      <c r="L141" s="11"/>
      <c r="M141" s="12"/>
    </row>
    <row r="142" spans="1:13" x14ac:dyDescent="0.25">
      <c r="A142" s="1">
        <v>139</v>
      </c>
      <c r="B142" s="7" t="str">
        <f t="shared" si="2"/>
        <v>Вс</v>
      </c>
      <c r="C142" s="8">
        <v>45431</v>
      </c>
      <c r="D142" s="9"/>
      <c r="E142" s="10"/>
      <c r="F142" s="11"/>
      <c r="G142" s="12"/>
      <c r="H142" s="11"/>
      <c r="I142" s="12"/>
      <c r="J142" s="11"/>
      <c r="K142" s="12"/>
      <c r="L142" s="11">
        <v>2300</v>
      </c>
      <c r="M142" s="12" t="s">
        <v>12</v>
      </c>
    </row>
    <row r="143" spans="1:13" x14ac:dyDescent="0.25">
      <c r="A143" s="1">
        <v>140</v>
      </c>
      <c r="B143" s="7" t="str">
        <f t="shared" si="2"/>
        <v>Пн</v>
      </c>
      <c r="C143" s="8">
        <v>45432</v>
      </c>
      <c r="D143" s="9"/>
      <c r="E143" s="10"/>
      <c r="F143" s="11"/>
      <c r="G143" s="12"/>
      <c r="H143" s="11"/>
      <c r="I143" s="12"/>
      <c r="J143" s="11"/>
      <c r="K143" s="12"/>
      <c r="L143" s="11"/>
      <c r="M143" s="12"/>
    </row>
    <row r="144" spans="1:13" x14ac:dyDescent="0.25">
      <c r="A144" s="1">
        <v>141</v>
      </c>
      <c r="B144" s="7" t="str">
        <f t="shared" si="2"/>
        <v>Вт</v>
      </c>
      <c r="C144" s="8">
        <v>45433</v>
      </c>
      <c r="D144" s="9">
        <v>7000</v>
      </c>
      <c r="E144" s="10" t="s">
        <v>12</v>
      </c>
      <c r="F144" s="11">
        <v>1400</v>
      </c>
      <c r="G144" s="12" t="s">
        <v>12</v>
      </c>
      <c r="H144" s="11">
        <v>12200</v>
      </c>
      <c r="I144" s="12" t="s">
        <v>12</v>
      </c>
      <c r="J144" s="11">
        <v>8200</v>
      </c>
      <c r="K144" s="12" t="s">
        <v>12</v>
      </c>
      <c r="L144" s="11"/>
      <c r="M144" s="12"/>
    </row>
    <row r="145" spans="1:13" x14ac:dyDescent="0.25">
      <c r="A145" s="1">
        <v>142</v>
      </c>
      <c r="B145" s="7" t="str">
        <f t="shared" si="2"/>
        <v>Ср</v>
      </c>
      <c r="C145" s="8">
        <v>45434</v>
      </c>
      <c r="D145" s="9"/>
      <c r="E145" s="10"/>
      <c r="F145" s="11"/>
      <c r="G145" s="12"/>
      <c r="H145" s="11"/>
      <c r="I145" s="12"/>
      <c r="J145" s="11"/>
      <c r="K145" s="12"/>
      <c r="L145" s="11"/>
      <c r="M145" s="12"/>
    </row>
    <row r="146" spans="1:13" x14ac:dyDescent="0.25">
      <c r="A146" s="1">
        <v>143</v>
      </c>
      <c r="B146" s="7" t="str">
        <f t="shared" si="2"/>
        <v>Чт</v>
      </c>
      <c r="C146" s="8">
        <v>45435</v>
      </c>
      <c r="D146" s="9">
        <v>6500</v>
      </c>
      <c r="E146" s="10" t="s">
        <v>12</v>
      </c>
      <c r="F146" s="11">
        <v>1900</v>
      </c>
      <c r="G146" s="12" t="s">
        <v>12</v>
      </c>
      <c r="H146" s="11">
        <f>2500+11100</f>
        <v>13600</v>
      </c>
      <c r="I146" s="12" t="s">
        <v>12</v>
      </c>
      <c r="J146" s="11">
        <v>6100</v>
      </c>
      <c r="K146" s="12" t="s">
        <v>12</v>
      </c>
      <c r="L146" s="11"/>
      <c r="M146" s="12"/>
    </row>
    <row r="147" spans="1:13" x14ac:dyDescent="0.25">
      <c r="A147" s="1">
        <v>144</v>
      </c>
      <c r="B147" s="7" t="str">
        <f t="shared" si="2"/>
        <v>Чт</v>
      </c>
      <c r="C147" s="8">
        <v>45435</v>
      </c>
      <c r="D147" s="9">
        <v>12600</v>
      </c>
      <c r="E147" s="10" t="s">
        <v>11</v>
      </c>
      <c r="F147" s="11">
        <f>4300+800</f>
        <v>5100</v>
      </c>
      <c r="G147" s="12" t="s">
        <v>11</v>
      </c>
      <c r="H147" s="11">
        <v>4600</v>
      </c>
      <c r="I147" s="12" t="s">
        <v>11</v>
      </c>
      <c r="J147" s="11">
        <v>4400</v>
      </c>
      <c r="K147" s="12" t="s">
        <v>11</v>
      </c>
      <c r="L147" s="11"/>
      <c r="M147" s="12"/>
    </row>
    <row r="148" spans="1:13" x14ac:dyDescent="0.25">
      <c r="A148" s="1">
        <v>145</v>
      </c>
      <c r="B148" s="7" t="str">
        <f t="shared" si="2"/>
        <v>Пт</v>
      </c>
      <c r="C148" s="8">
        <v>45436</v>
      </c>
      <c r="D148" s="9"/>
      <c r="E148" s="10"/>
      <c r="F148" s="11"/>
      <c r="G148" s="12"/>
      <c r="H148" s="11">
        <v>11100</v>
      </c>
      <c r="I148" s="12" t="s">
        <v>12</v>
      </c>
      <c r="J148" s="11">
        <v>6110</v>
      </c>
      <c r="K148" s="12" t="s">
        <v>12</v>
      </c>
      <c r="L148" s="11"/>
      <c r="M148" s="12"/>
    </row>
    <row r="149" spans="1:13" x14ac:dyDescent="0.25">
      <c r="A149" s="1">
        <v>146</v>
      </c>
      <c r="B149" s="7" t="str">
        <f t="shared" si="2"/>
        <v>Сб</v>
      </c>
      <c r="C149" s="8">
        <v>45437</v>
      </c>
      <c r="D149" s="9"/>
      <c r="E149" s="10"/>
      <c r="F149" s="11"/>
      <c r="G149" s="12"/>
      <c r="H149" s="11"/>
      <c r="I149" s="12"/>
      <c r="J149" s="11"/>
      <c r="K149" s="12"/>
      <c r="L149" s="11"/>
      <c r="M149" s="12"/>
    </row>
    <row r="150" spans="1:13" x14ac:dyDescent="0.25">
      <c r="A150" s="1">
        <v>147</v>
      </c>
      <c r="B150" s="7" t="str">
        <f t="shared" si="2"/>
        <v>Вс</v>
      </c>
      <c r="C150" s="8">
        <v>45438</v>
      </c>
      <c r="D150" s="9"/>
      <c r="E150" s="10"/>
      <c r="F150" s="11"/>
      <c r="G150" s="12"/>
      <c r="H150" s="11"/>
      <c r="I150" s="12"/>
      <c r="J150" s="11"/>
      <c r="K150" s="12"/>
      <c r="L150" s="11">
        <v>6300</v>
      </c>
      <c r="M150" s="12" t="s">
        <v>12</v>
      </c>
    </row>
    <row r="151" spans="1:13" x14ac:dyDescent="0.25">
      <c r="A151" s="1">
        <v>148</v>
      </c>
      <c r="B151" s="7" t="str">
        <f t="shared" si="2"/>
        <v>Пн</v>
      </c>
      <c r="C151" s="8">
        <v>45439</v>
      </c>
      <c r="D151" s="9"/>
      <c r="E151" s="10"/>
      <c r="F151" s="11"/>
      <c r="G151" s="12"/>
      <c r="H151" s="11"/>
      <c r="I151" s="12"/>
      <c r="J151" s="11"/>
      <c r="K151" s="12"/>
      <c r="L151" s="11">
        <v>9000</v>
      </c>
      <c r="M151" s="12" t="s">
        <v>11</v>
      </c>
    </row>
    <row r="152" spans="1:13" x14ac:dyDescent="0.25">
      <c r="A152" s="1">
        <v>149</v>
      </c>
      <c r="B152" s="7" t="str">
        <f t="shared" si="2"/>
        <v>Вт</v>
      </c>
      <c r="C152" s="8">
        <v>45440</v>
      </c>
      <c r="D152" s="9">
        <v>17400</v>
      </c>
      <c r="E152" s="10" t="s">
        <v>12</v>
      </c>
      <c r="F152" s="11">
        <v>10000</v>
      </c>
      <c r="G152" s="12" t="s">
        <v>12</v>
      </c>
      <c r="H152" s="11">
        <f>17100+7000</f>
        <v>24100</v>
      </c>
      <c r="I152" s="12" t="s">
        <v>12</v>
      </c>
      <c r="J152" s="11">
        <v>17100</v>
      </c>
      <c r="K152" s="12" t="s">
        <v>12</v>
      </c>
      <c r="L152" s="11"/>
      <c r="M152" s="12"/>
    </row>
    <row r="153" spans="1:13" x14ac:dyDescent="0.25">
      <c r="A153" s="1">
        <v>150</v>
      </c>
      <c r="B153" s="7" t="str">
        <f t="shared" si="2"/>
        <v>Ср</v>
      </c>
      <c r="C153" s="8">
        <v>45441</v>
      </c>
      <c r="D153" s="9"/>
      <c r="E153" s="10"/>
      <c r="F153" s="11"/>
      <c r="G153" s="12"/>
      <c r="H153" s="11">
        <v>8300</v>
      </c>
      <c r="I153" s="12" t="s">
        <v>12</v>
      </c>
      <c r="J153" s="11">
        <v>8800</v>
      </c>
      <c r="K153" s="12" t="s">
        <v>12</v>
      </c>
      <c r="L153" s="11"/>
      <c r="M153" s="12"/>
    </row>
    <row r="154" spans="1:13" x14ac:dyDescent="0.25">
      <c r="A154" s="1">
        <v>151</v>
      </c>
      <c r="B154" s="7" t="str">
        <f t="shared" si="2"/>
        <v>Чт</v>
      </c>
      <c r="C154" s="8">
        <v>45442</v>
      </c>
      <c r="D154" s="9">
        <f>2700+4500</f>
        <v>7200</v>
      </c>
      <c r="E154" s="10" t="s">
        <v>12</v>
      </c>
      <c r="F154" s="11">
        <v>5200</v>
      </c>
      <c r="G154" s="12" t="s">
        <v>12</v>
      </c>
      <c r="H154" s="11">
        <v>12000</v>
      </c>
      <c r="I154" s="12" t="s">
        <v>12</v>
      </c>
      <c r="J154" s="11">
        <v>14400</v>
      </c>
      <c r="K154" s="12" t="s">
        <v>12</v>
      </c>
      <c r="L154" s="11"/>
      <c r="M154" s="12"/>
    </row>
    <row r="155" spans="1:13" x14ac:dyDescent="0.25">
      <c r="A155" s="1">
        <v>152</v>
      </c>
      <c r="B155" s="7" t="str">
        <f t="shared" si="2"/>
        <v>Чт</v>
      </c>
      <c r="C155" s="8">
        <v>45442</v>
      </c>
      <c r="D155" s="9">
        <v>13900</v>
      </c>
      <c r="E155" s="10" t="s">
        <v>11</v>
      </c>
      <c r="F155" s="11">
        <v>6000</v>
      </c>
      <c r="G155" s="12" t="s">
        <v>11</v>
      </c>
      <c r="H155" s="11">
        <v>2700</v>
      </c>
      <c r="I155" s="12" t="s">
        <v>11</v>
      </c>
      <c r="J155" s="11">
        <v>4200</v>
      </c>
      <c r="K155" s="12" t="s">
        <v>11</v>
      </c>
      <c r="L155" s="11"/>
      <c r="M155" s="12"/>
    </row>
    <row r="156" spans="1:13" x14ac:dyDescent="0.25">
      <c r="A156" s="1">
        <v>153</v>
      </c>
      <c r="B156" s="7" t="str">
        <f t="shared" si="2"/>
        <v>Пт</v>
      </c>
      <c r="C156" s="8">
        <v>45443</v>
      </c>
      <c r="D156" s="9"/>
      <c r="E156" s="10"/>
      <c r="F156" s="11"/>
      <c r="G156" s="12"/>
      <c r="H156" s="11">
        <v>8500</v>
      </c>
      <c r="I156" s="12" t="s">
        <v>12</v>
      </c>
      <c r="J156" s="11">
        <v>8600</v>
      </c>
      <c r="K156" s="12" t="s">
        <v>12</v>
      </c>
      <c r="L156" s="11"/>
      <c r="M156" s="12"/>
    </row>
    <row r="157" spans="1:13" x14ac:dyDescent="0.25">
      <c r="A157" s="1">
        <v>154</v>
      </c>
      <c r="B157" s="7" t="str">
        <f t="shared" si="2"/>
        <v>Пт</v>
      </c>
      <c r="C157" s="8">
        <v>45443</v>
      </c>
      <c r="D157" s="9"/>
      <c r="E157" s="10"/>
      <c r="F157" s="11">
        <v>9000</v>
      </c>
      <c r="G157" s="12" t="s">
        <v>11</v>
      </c>
      <c r="H157" s="11"/>
      <c r="I157" s="12"/>
      <c r="J157" s="11">
        <v>4800</v>
      </c>
      <c r="K157" s="12" t="s">
        <v>11</v>
      </c>
      <c r="L157" s="11"/>
      <c r="M157" s="12"/>
    </row>
    <row r="158" spans="1:13" x14ac:dyDescent="0.25">
      <c r="A158" s="1">
        <v>155</v>
      </c>
      <c r="B158" s="7" t="str">
        <f t="shared" si="2"/>
        <v>Сб</v>
      </c>
      <c r="C158" s="8">
        <v>45444</v>
      </c>
      <c r="D158" s="9"/>
      <c r="E158" s="10"/>
      <c r="F158" s="11"/>
      <c r="G158" s="12"/>
      <c r="H158" s="11"/>
      <c r="I158" s="12"/>
      <c r="J158" s="11"/>
      <c r="K158" s="12"/>
      <c r="L158" s="11"/>
      <c r="M158" s="12"/>
    </row>
    <row r="159" spans="1:13" x14ac:dyDescent="0.25">
      <c r="A159" s="1">
        <v>156</v>
      </c>
      <c r="B159" s="7" t="str">
        <f t="shared" si="2"/>
        <v>Вс</v>
      </c>
      <c r="C159" s="8">
        <v>45445</v>
      </c>
      <c r="D159" s="9"/>
      <c r="E159" s="10"/>
      <c r="F159" s="11"/>
      <c r="G159" s="12"/>
      <c r="H159" s="11"/>
      <c r="I159" s="12"/>
      <c r="J159" s="11"/>
      <c r="K159" s="12"/>
      <c r="L159" s="11">
        <v>3800</v>
      </c>
      <c r="M159" s="12" t="s">
        <v>12</v>
      </c>
    </row>
    <row r="160" spans="1:13" x14ac:dyDescent="0.25">
      <c r="A160" s="1">
        <v>157</v>
      </c>
      <c r="B160" s="7" t="str">
        <f t="shared" si="2"/>
        <v>Пн</v>
      </c>
      <c r="C160" s="8">
        <v>45446</v>
      </c>
      <c r="D160" s="9"/>
      <c r="E160" s="10"/>
      <c r="F160" s="11"/>
      <c r="G160" s="12"/>
      <c r="H160" s="11"/>
      <c r="I160" s="12"/>
      <c r="J160" s="11"/>
      <c r="K160" s="12"/>
      <c r="L160" s="11"/>
      <c r="M160" s="12"/>
    </row>
    <row r="161" spans="1:13" x14ac:dyDescent="0.25">
      <c r="A161" s="1">
        <v>158</v>
      </c>
      <c r="B161" s="7" t="str">
        <f t="shared" si="2"/>
        <v>Вт</v>
      </c>
      <c r="C161" s="8">
        <v>45447</v>
      </c>
      <c r="D161" s="9">
        <v>8300</v>
      </c>
      <c r="E161" s="10" t="s">
        <v>12</v>
      </c>
      <c r="F161" s="11">
        <f>1900+9000</f>
        <v>10900</v>
      </c>
      <c r="G161" s="12" t="s">
        <v>12</v>
      </c>
      <c r="H161" s="11">
        <f>5400+15400</f>
        <v>20800</v>
      </c>
      <c r="I161" s="12" t="s">
        <v>12</v>
      </c>
      <c r="J161" s="11">
        <v>11800</v>
      </c>
      <c r="K161" s="12" t="s">
        <v>12</v>
      </c>
      <c r="L161" s="11"/>
      <c r="M161" s="12"/>
    </row>
    <row r="162" spans="1:13" x14ac:dyDescent="0.25">
      <c r="A162" s="1">
        <v>159</v>
      </c>
      <c r="B162" s="7" t="str">
        <f t="shared" si="2"/>
        <v>Ср</v>
      </c>
      <c r="C162" s="8">
        <v>45448</v>
      </c>
      <c r="D162" s="9"/>
      <c r="E162" s="10"/>
      <c r="F162" s="11"/>
      <c r="G162" s="12"/>
      <c r="H162" s="11"/>
      <c r="I162" s="12"/>
      <c r="J162" s="11"/>
      <c r="K162" s="12"/>
      <c r="L162" s="11"/>
      <c r="M162" s="12"/>
    </row>
    <row r="163" spans="1:13" x14ac:dyDescent="0.25">
      <c r="A163" s="1">
        <v>160</v>
      </c>
      <c r="B163" s="7" t="str">
        <f t="shared" si="2"/>
        <v>Чт</v>
      </c>
      <c r="C163" s="8">
        <v>45449</v>
      </c>
      <c r="D163" s="9">
        <f>2500+3800</f>
        <v>6300</v>
      </c>
      <c r="E163" s="10" t="s">
        <v>12</v>
      </c>
      <c r="F163" s="11">
        <v>3900</v>
      </c>
      <c r="G163" s="12" t="s">
        <v>12</v>
      </c>
      <c r="H163" s="11">
        <v>14800</v>
      </c>
      <c r="I163" s="12" t="s">
        <v>12</v>
      </c>
      <c r="J163" s="11">
        <v>9600</v>
      </c>
      <c r="K163" s="12" t="s">
        <v>12</v>
      </c>
      <c r="L163" s="11"/>
      <c r="M163" s="12"/>
    </row>
    <row r="164" spans="1:13" x14ac:dyDescent="0.25">
      <c r="A164" s="1">
        <v>161</v>
      </c>
      <c r="B164" s="7" t="str">
        <f t="shared" si="2"/>
        <v>Чт</v>
      </c>
      <c r="C164" s="8">
        <v>45449</v>
      </c>
      <c r="D164" s="9">
        <v>13100</v>
      </c>
      <c r="E164" s="10" t="s">
        <v>11</v>
      </c>
      <c r="F164" s="11">
        <v>6300</v>
      </c>
      <c r="G164" s="12" t="s">
        <v>11</v>
      </c>
      <c r="H164" s="11">
        <v>2300</v>
      </c>
      <c r="I164" s="12" t="s">
        <v>11</v>
      </c>
      <c r="J164" s="11">
        <v>4400</v>
      </c>
      <c r="K164" s="12" t="s">
        <v>11</v>
      </c>
      <c r="L164" s="11"/>
      <c r="M164" s="12"/>
    </row>
    <row r="165" spans="1:13" x14ac:dyDescent="0.25">
      <c r="A165" s="1">
        <v>162</v>
      </c>
      <c r="B165" s="7" t="str">
        <f t="shared" si="2"/>
        <v>Пт</v>
      </c>
      <c r="C165" s="8">
        <v>45450</v>
      </c>
      <c r="D165" s="9"/>
      <c r="E165" s="10"/>
      <c r="F165" s="11"/>
      <c r="G165" s="12"/>
      <c r="H165" s="11"/>
      <c r="I165" s="12"/>
      <c r="J165" s="11"/>
      <c r="K165" s="12"/>
      <c r="L165" s="11"/>
      <c r="M165" s="12"/>
    </row>
    <row r="166" spans="1:13" x14ac:dyDescent="0.25">
      <c r="A166" s="1">
        <v>163</v>
      </c>
      <c r="B166" s="7" t="str">
        <f t="shared" si="2"/>
        <v>Сб</v>
      </c>
      <c r="C166" s="8">
        <v>45451</v>
      </c>
      <c r="D166" s="9"/>
      <c r="E166" s="10"/>
      <c r="F166" s="11"/>
      <c r="G166" s="12"/>
      <c r="H166" s="11"/>
      <c r="I166" s="12"/>
      <c r="J166" s="11"/>
      <c r="K166" s="12"/>
      <c r="L166" s="11"/>
      <c r="M166" s="12"/>
    </row>
    <row r="167" spans="1:13" x14ac:dyDescent="0.25">
      <c r="A167" s="1">
        <v>164</v>
      </c>
      <c r="B167" s="7" t="str">
        <f t="shared" si="2"/>
        <v>Вс</v>
      </c>
      <c r="C167" s="8">
        <v>45452</v>
      </c>
      <c r="D167" s="9"/>
      <c r="E167" s="10"/>
      <c r="F167" s="11"/>
      <c r="G167" s="12"/>
      <c r="H167" s="11"/>
      <c r="I167" s="12"/>
      <c r="J167" s="11"/>
      <c r="K167" s="12"/>
      <c r="L167" s="11">
        <v>4800</v>
      </c>
      <c r="M167" s="12" t="s">
        <v>12</v>
      </c>
    </row>
    <row r="168" spans="1:13" x14ac:dyDescent="0.25">
      <c r="A168" s="1">
        <v>165</v>
      </c>
      <c r="B168" s="7" t="str">
        <f t="shared" si="2"/>
        <v>Пн</v>
      </c>
      <c r="C168" s="8">
        <v>45453</v>
      </c>
      <c r="D168" s="9"/>
      <c r="E168" s="10"/>
      <c r="F168" s="11"/>
      <c r="G168" s="12"/>
      <c r="H168" s="11"/>
      <c r="I168" s="12"/>
      <c r="J168" s="11"/>
      <c r="K168" s="12"/>
      <c r="L168" s="11"/>
      <c r="M168" s="12"/>
    </row>
    <row r="169" spans="1:13" x14ac:dyDescent="0.25">
      <c r="A169" s="1">
        <v>166</v>
      </c>
      <c r="B169" s="7" t="str">
        <f t="shared" si="2"/>
        <v>Вт</v>
      </c>
      <c r="C169" s="8">
        <v>45454</v>
      </c>
      <c r="D169" s="9">
        <f>8000+4400</f>
        <v>12400</v>
      </c>
      <c r="E169" s="10" t="s">
        <v>12</v>
      </c>
      <c r="F169" s="11">
        <v>5600</v>
      </c>
      <c r="G169" s="12" t="s">
        <v>12</v>
      </c>
      <c r="H169" s="11">
        <f>6100+9500</f>
        <v>15600</v>
      </c>
      <c r="I169" s="12" t="s">
        <v>12</v>
      </c>
      <c r="J169" s="11">
        <f>11300+11500</f>
        <v>22800</v>
      </c>
      <c r="K169" s="12" t="s">
        <v>12</v>
      </c>
      <c r="L169" s="11"/>
      <c r="M169" s="12"/>
    </row>
    <row r="170" spans="1:13" x14ac:dyDescent="0.25">
      <c r="A170" s="1">
        <v>167</v>
      </c>
      <c r="B170" s="7" t="str">
        <f t="shared" si="2"/>
        <v>Ср</v>
      </c>
      <c r="C170" s="8">
        <v>45455</v>
      </c>
      <c r="D170" s="9"/>
      <c r="E170" s="10"/>
      <c r="F170" s="11"/>
      <c r="G170" s="12"/>
      <c r="H170" s="11"/>
      <c r="I170" s="12"/>
      <c r="J170" s="11"/>
      <c r="K170" s="12"/>
      <c r="L170" s="11"/>
      <c r="M170" s="12"/>
    </row>
    <row r="171" spans="1:13" x14ac:dyDescent="0.25">
      <c r="A171" s="1">
        <v>168</v>
      </c>
      <c r="B171" s="7" t="str">
        <f t="shared" si="2"/>
        <v>Чт</v>
      </c>
      <c r="C171" s="8">
        <v>45456</v>
      </c>
      <c r="D171" s="9">
        <f>1000+5600</f>
        <v>6600</v>
      </c>
      <c r="E171" s="10" t="s">
        <v>12</v>
      </c>
      <c r="F171" s="11">
        <v>3500</v>
      </c>
      <c r="G171" s="12" t="s">
        <v>12</v>
      </c>
      <c r="H171" s="11">
        <v>17400</v>
      </c>
      <c r="I171" s="12" t="s">
        <v>12</v>
      </c>
      <c r="J171" s="11">
        <v>13000</v>
      </c>
      <c r="K171" s="12" t="s">
        <v>12</v>
      </c>
      <c r="L171" s="11"/>
      <c r="M171" s="12"/>
    </row>
    <row r="172" spans="1:13" x14ac:dyDescent="0.25">
      <c r="A172" s="1">
        <v>169</v>
      </c>
      <c r="B172" s="7" t="str">
        <f t="shared" si="2"/>
        <v>Чт</v>
      </c>
      <c r="C172" s="8">
        <v>45456</v>
      </c>
      <c r="D172" s="9">
        <v>10100</v>
      </c>
      <c r="E172" s="10" t="s">
        <v>11</v>
      </c>
      <c r="F172" s="11">
        <f>6000+1800</f>
        <v>7800</v>
      </c>
      <c r="G172" s="12" t="s">
        <v>11</v>
      </c>
      <c r="H172" s="11">
        <v>2100</v>
      </c>
      <c r="I172" s="12" t="s">
        <v>11</v>
      </c>
      <c r="J172" s="11">
        <v>6300</v>
      </c>
      <c r="K172" s="12" t="s">
        <v>11</v>
      </c>
      <c r="L172" s="11"/>
      <c r="M172" s="12"/>
    </row>
    <row r="173" spans="1:13" x14ac:dyDescent="0.25">
      <c r="A173" s="1">
        <v>170</v>
      </c>
      <c r="B173" s="7" t="str">
        <f t="shared" si="2"/>
        <v>Пт</v>
      </c>
      <c r="C173" s="8">
        <v>45457</v>
      </c>
      <c r="D173" s="9"/>
      <c r="E173" s="10"/>
      <c r="F173" s="11"/>
      <c r="G173" s="12"/>
      <c r="H173" s="11"/>
      <c r="I173" s="12"/>
      <c r="J173" s="11"/>
      <c r="K173" s="12"/>
      <c r="L173" s="11"/>
      <c r="M173" s="12"/>
    </row>
    <row r="174" spans="1:13" x14ac:dyDescent="0.25">
      <c r="A174" s="1">
        <v>171</v>
      </c>
      <c r="B174" s="7" t="str">
        <f t="shared" si="2"/>
        <v>Сб</v>
      </c>
      <c r="C174" s="8">
        <v>45458</v>
      </c>
      <c r="D174" s="9"/>
      <c r="E174" s="10"/>
      <c r="F174" s="11"/>
      <c r="G174" s="12"/>
      <c r="H174" s="11"/>
      <c r="I174" s="12"/>
      <c r="J174" s="11"/>
      <c r="K174" s="12"/>
      <c r="L174" s="11"/>
      <c r="M174" s="12"/>
    </row>
    <row r="175" spans="1:13" x14ac:dyDescent="0.25">
      <c r="A175" s="1">
        <v>172</v>
      </c>
      <c r="B175" s="7" t="str">
        <f t="shared" si="2"/>
        <v>Вс</v>
      </c>
      <c r="C175" s="8">
        <v>45459</v>
      </c>
      <c r="D175" s="9"/>
      <c r="E175" s="10"/>
      <c r="F175" s="11"/>
      <c r="G175" s="12"/>
      <c r="H175" s="11"/>
      <c r="I175" s="12"/>
      <c r="J175" s="11"/>
      <c r="K175" s="12"/>
      <c r="L175" s="11">
        <v>4300</v>
      </c>
      <c r="M175" s="12" t="s">
        <v>12</v>
      </c>
    </row>
    <row r="176" spans="1:13" x14ac:dyDescent="0.25">
      <c r="A176" s="1">
        <v>173</v>
      </c>
      <c r="B176" s="7" t="str">
        <f t="shared" si="2"/>
        <v>Пн</v>
      </c>
      <c r="C176" s="8">
        <v>45460</v>
      </c>
      <c r="D176" s="9"/>
      <c r="E176" s="10"/>
      <c r="F176" s="11"/>
      <c r="G176" s="12"/>
      <c r="H176" s="11"/>
      <c r="I176" s="12"/>
      <c r="J176" s="11"/>
      <c r="K176" s="12"/>
      <c r="L176" s="11"/>
      <c r="M176" s="12"/>
    </row>
    <row r="177" spans="1:13" x14ac:dyDescent="0.25">
      <c r="A177" s="1">
        <v>174</v>
      </c>
      <c r="B177" s="7" t="str">
        <f t="shared" si="2"/>
        <v>Вт</v>
      </c>
      <c r="C177" s="8">
        <v>45461</v>
      </c>
      <c r="D177" s="9">
        <f>3000+8700</f>
        <v>11700</v>
      </c>
      <c r="E177" s="10" t="s">
        <v>12</v>
      </c>
      <c r="F177" s="11">
        <v>11400</v>
      </c>
      <c r="G177" s="12" t="s">
        <v>12</v>
      </c>
      <c r="H177" s="11">
        <f>17100+6000</f>
        <v>23100</v>
      </c>
      <c r="I177" s="12" t="s">
        <v>12</v>
      </c>
      <c r="J177" s="11">
        <v>14300</v>
      </c>
      <c r="K177" s="12" t="s">
        <v>12</v>
      </c>
      <c r="L177" s="11"/>
      <c r="M177" s="12"/>
    </row>
    <row r="178" spans="1:13" x14ac:dyDescent="0.25">
      <c r="A178" s="1">
        <v>175</v>
      </c>
      <c r="B178" s="7" t="str">
        <f t="shared" si="2"/>
        <v>Ср</v>
      </c>
      <c r="C178" s="8">
        <v>45462</v>
      </c>
      <c r="D178" s="9"/>
      <c r="E178" s="10"/>
      <c r="F178" s="11"/>
      <c r="G178" s="12"/>
      <c r="H178" s="11"/>
      <c r="I178" s="12"/>
      <c r="J178" s="11">
        <v>17000</v>
      </c>
      <c r="K178" s="12" t="s">
        <v>12</v>
      </c>
      <c r="L178" s="11"/>
      <c r="M178" s="12"/>
    </row>
    <row r="179" spans="1:13" x14ac:dyDescent="0.25">
      <c r="A179" s="1">
        <v>176</v>
      </c>
      <c r="B179" s="7" t="str">
        <f t="shared" si="2"/>
        <v>Ср</v>
      </c>
      <c r="C179" s="8">
        <v>45462</v>
      </c>
      <c r="D179" s="9">
        <v>10800</v>
      </c>
      <c r="E179" s="10" t="s">
        <v>11</v>
      </c>
      <c r="F179" s="11">
        <v>9900</v>
      </c>
      <c r="G179" s="12" t="s">
        <v>11</v>
      </c>
      <c r="H179" s="11">
        <v>2500</v>
      </c>
      <c r="I179" s="12" t="s">
        <v>11</v>
      </c>
      <c r="J179" s="11">
        <v>4000</v>
      </c>
      <c r="K179" s="12" t="s">
        <v>11</v>
      </c>
      <c r="L179" s="11"/>
      <c r="M179" s="12"/>
    </row>
    <row r="180" spans="1:13" x14ac:dyDescent="0.25">
      <c r="A180" s="1">
        <v>177</v>
      </c>
      <c r="B180" s="7" t="str">
        <f t="shared" si="2"/>
        <v>Чт</v>
      </c>
      <c r="C180" s="8">
        <v>45463</v>
      </c>
      <c r="D180" s="9">
        <v>7500</v>
      </c>
      <c r="E180" s="10" t="s">
        <v>12</v>
      </c>
      <c r="F180" s="11">
        <v>2600</v>
      </c>
      <c r="G180" s="12" t="s">
        <v>12</v>
      </c>
      <c r="H180" s="11">
        <v>7400</v>
      </c>
      <c r="I180" s="12" t="s">
        <v>12</v>
      </c>
      <c r="J180" s="11">
        <v>13600</v>
      </c>
      <c r="K180" s="12" t="s">
        <v>12</v>
      </c>
      <c r="L180" s="11"/>
      <c r="M180" s="12"/>
    </row>
    <row r="181" spans="1:13" x14ac:dyDescent="0.25">
      <c r="A181" s="1">
        <v>178</v>
      </c>
      <c r="B181" s="7" t="str">
        <f t="shared" si="2"/>
        <v>Пт</v>
      </c>
      <c r="C181" s="8">
        <v>45464</v>
      </c>
      <c r="D181" s="9"/>
      <c r="E181" s="10"/>
      <c r="F181" s="11"/>
      <c r="G181" s="12"/>
      <c r="H181" s="11"/>
      <c r="I181" s="12"/>
      <c r="J181" s="11"/>
      <c r="K181" s="12"/>
      <c r="L181" s="11"/>
      <c r="M181" s="12"/>
    </row>
    <row r="182" spans="1:13" x14ac:dyDescent="0.25">
      <c r="A182" s="1">
        <v>179</v>
      </c>
      <c r="B182" s="7" t="str">
        <f t="shared" si="2"/>
        <v>Сб</v>
      </c>
      <c r="C182" s="8">
        <v>45465</v>
      </c>
      <c r="D182" s="9"/>
      <c r="E182" s="10"/>
      <c r="F182" s="11"/>
      <c r="G182" s="12"/>
      <c r="H182" s="11"/>
      <c r="I182" s="12"/>
      <c r="J182" s="11"/>
      <c r="K182" s="12"/>
      <c r="L182" s="11"/>
      <c r="M182" s="12"/>
    </row>
    <row r="183" spans="1:13" x14ac:dyDescent="0.25">
      <c r="A183" s="1">
        <v>180</v>
      </c>
      <c r="B183" s="7" t="str">
        <f t="shared" si="2"/>
        <v>Вс</v>
      </c>
      <c r="C183" s="8">
        <v>45466</v>
      </c>
      <c r="D183" s="9"/>
      <c r="E183" s="10"/>
      <c r="F183" s="11"/>
      <c r="G183" s="12"/>
      <c r="H183" s="11"/>
      <c r="I183" s="12"/>
      <c r="J183" s="11"/>
      <c r="K183" s="12"/>
      <c r="L183" s="11">
        <v>7000</v>
      </c>
      <c r="M183" s="12" t="s">
        <v>12</v>
      </c>
    </row>
    <row r="184" spans="1:13" x14ac:dyDescent="0.25">
      <c r="A184" s="1">
        <v>181</v>
      </c>
      <c r="B184" s="7" t="str">
        <f t="shared" si="2"/>
        <v>Пн</v>
      </c>
      <c r="C184" s="8">
        <v>45467</v>
      </c>
      <c r="D184" s="9"/>
      <c r="E184" s="10"/>
      <c r="F184" s="11"/>
      <c r="G184" s="12"/>
      <c r="H184" s="11"/>
      <c r="I184" s="12"/>
      <c r="J184" s="11"/>
      <c r="K184" s="12"/>
      <c r="L184" s="11"/>
      <c r="M184" s="12"/>
    </row>
    <row r="185" spans="1:13" x14ac:dyDescent="0.25">
      <c r="A185" s="1">
        <v>182</v>
      </c>
      <c r="B185" s="7" t="str">
        <f t="shared" si="2"/>
        <v>Вт</v>
      </c>
      <c r="C185" s="8">
        <v>45468</v>
      </c>
      <c r="D185" s="9">
        <f>2300+9100</f>
        <v>11400</v>
      </c>
      <c r="E185" s="10" t="s">
        <v>12</v>
      </c>
      <c r="F185" s="11">
        <v>8000</v>
      </c>
      <c r="G185" s="12" t="s">
        <v>12</v>
      </c>
      <c r="H185" s="11">
        <v>15200</v>
      </c>
      <c r="I185" s="12" t="s">
        <v>12</v>
      </c>
      <c r="J185" s="11">
        <v>17600</v>
      </c>
      <c r="K185" s="12" t="s">
        <v>12</v>
      </c>
      <c r="L185" s="11"/>
      <c r="M185" s="12"/>
    </row>
    <row r="186" spans="1:13" x14ac:dyDescent="0.25">
      <c r="A186" s="1">
        <v>183</v>
      </c>
      <c r="B186" s="7" t="str">
        <f t="shared" si="2"/>
        <v>Ср</v>
      </c>
      <c r="C186" s="8">
        <v>45469</v>
      </c>
      <c r="D186" s="9"/>
      <c r="E186" s="10"/>
      <c r="F186" s="11"/>
      <c r="G186" s="12"/>
      <c r="H186" s="11"/>
      <c r="I186" s="12"/>
      <c r="J186" s="11"/>
      <c r="K186" s="12"/>
      <c r="L186" s="11"/>
      <c r="M186" s="12"/>
    </row>
    <row r="187" spans="1:13" x14ac:dyDescent="0.25">
      <c r="A187" s="1">
        <v>184</v>
      </c>
      <c r="B187" s="7" t="str">
        <f t="shared" si="2"/>
        <v>Чт</v>
      </c>
      <c r="C187" s="8">
        <v>45470</v>
      </c>
      <c r="D187" s="9">
        <v>9200</v>
      </c>
      <c r="E187" s="10" t="s">
        <v>12</v>
      </c>
      <c r="F187" s="11">
        <v>4800</v>
      </c>
      <c r="G187" s="12" t="s">
        <v>12</v>
      </c>
      <c r="H187" s="11">
        <v>17300</v>
      </c>
      <c r="I187" s="12" t="s">
        <v>12</v>
      </c>
      <c r="J187" s="11">
        <v>8200</v>
      </c>
      <c r="K187" s="12" t="s">
        <v>12</v>
      </c>
      <c r="L187" s="11"/>
      <c r="M187" s="12"/>
    </row>
    <row r="188" spans="1:13" x14ac:dyDescent="0.25">
      <c r="A188" s="1">
        <v>185</v>
      </c>
      <c r="B188" s="7" t="str">
        <f t="shared" si="2"/>
        <v>Чт</v>
      </c>
      <c r="C188" s="8">
        <v>45470</v>
      </c>
      <c r="D188" s="9">
        <f>13300+2900</f>
        <v>16200</v>
      </c>
      <c r="E188" s="10" t="s">
        <v>11</v>
      </c>
      <c r="F188" s="11">
        <v>3100</v>
      </c>
      <c r="G188" s="12" t="s">
        <v>11</v>
      </c>
      <c r="H188" s="11">
        <v>1300</v>
      </c>
      <c r="I188" s="12" t="s">
        <v>11</v>
      </c>
      <c r="J188" s="11">
        <v>6000</v>
      </c>
      <c r="K188" s="12" t="s">
        <v>11</v>
      </c>
      <c r="L188" s="11"/>
      <c r="M188" s="12"/>
    </row>
    <row r="189" spans="1:13" x14ac:dyDescent="0.25">
      <c r="A189" s="1">
        <v>186</v>
      </c>
      <c r="B189" s="7" t="str">
        <f t="shared" si="2"/>
        <v>Пт</v>
      </c>
      <c r="C189" s="8">
        <v>45471</v>
      </c>
      <c r="D189" s="9"/>
      <c r="E189" s="10"/>
      <c r="F189" s="11"/>
      <c r="G189" s="12"/>
      <c r="H189" s="11">
        <v>7400</v>
      </c>
      <c r="I189" s="12" t="s">
        <v>12</v>
      </c>
      <c r="J189" s="11">
        <v>9900</v>
      </c>
      <c r="K189" s="12" t="s">
        <v>12</v>
      </c>
      <c r="L189" s="11"/>
      <c r="M189" s="12"/>
    </row>
    <row r="190" spans="1:13" x14ac:dyDescent="0.25">
      <c r="A190" s="1">
        <v>187</v>
      </c>
      <c r="B190" s="7" t="str">
        <f t="shared" si="2"/>
        <v>Сб</v>
      </c>
      <c r="C190" s="8">
        <v>45472</v>
      </c>
      <c r="D190" s="9"/>
      <c r="E190" s="10"/>
      <c r="F190" s="11"/>
      <c r="G190" s="12"/>
      <c r="H190" s="11"/>
      <c r="I190" s="12"/>
      <c r="J190" s="11"/>
      <c r="K190" s="12"/>
      <c r="L190" s="11"/>
      <c r="M190" s="12"/>
    </row>
    <row r="191" spans="1:13" x14ac:dyDescent="0.25">
      <c r="A191" s="1">
        <v>188</v>
      </c>
      <c r="B191" s="7" t="str">
        <f t="shared" si="2"/>
        <v>Вс</v>
      </c>
      <c r="C191" s="8">
        <v>45473</v>
      </c>
      <c r="D191" s="9"/>
      <c r="E191" s="10"/>
      <c r="F191" s="11"/>
      <c r="G191" s="12"/>
      <c r="H191" s="11"/>
      <c r="I191" s="12"/>
      <c r="J191" s="11"/>
      <c r="K191" s="12"/>
      <c r="L191" s="11">
        <v>8600</v>
      </c>
      <c r="M191" s="12" t="s">
        <v>12</v>
      </c>
    </row>
    <row r="192" spans="1:13" x14ac:dyDescent="0.25">
      <c r="A192" s="1">
        <v>189</v>
      </c>
      <c r="B192" s="7" t="str">
        <f t="shared" si="2"/>
        <v>Пн</v>
      </c>
      <c r="C192" s="8">
        <v>45474</v>
      </c>
      <c r="D192" s="9"/>
      <c r="E192" s="10"/>
      <c r="F192" s="11"/>
      <c r="G192" s="12"/>
      <c r="H192" s="11"/>
      <c r="I192" s="12"/>
      <c r="J192" s="11"/>
      <c r="K192" s="12"/>
      <c r="L192" s="11"/>
      <c r="M192" s="12"/>
    </row>
    <row r="193" spans="1:13" x14ac:dyDescent="0.25">
      <c r="A193" s="1">
        <v>190</v>
      </c>
      <c r="B193" s="7" t="str">
        <f t="shared" si="2"/>
        <v>Вт</v>
      </c>
      <c r="C193" s="8">
        <v>45475</v>
      </c>
      <c r="D193" s="9">
        <f>1500+9900</f>
        <v>11400</v>
      </c>
      <c r="E193" s="10" t="s">
        <v>12</v>
      </c>
      <c r="F193" s="11">
        <f>2200+7500</f>
        <v>9700</v>
      </c>
      <c r="G193" s="12" t="s">
        <v>12</v>
      </c>
      <c r="H193" s="11">
        <v>15900</v>
      </c>
      <c r="I193" s="12" t="s">
        <v>12</v>
      </c>
      <c r="J193" s="11">
        <v>15200</v>
      </c>
      <c r="K193" s="12" t="s">
        <v>12</v>
      </c>
      <c r="L193" s="11">
        <v>6200</v>
      </c>
      <c r="M193" s="12" t="s">
        <v>11</v>
      </c>
    </row>
    <row r="194" spans="1:13" x14ac:dyDescent="0.25">
      <c r="A194" s="1">
        <v>191</v>
      </c>
      <c r="B194" s="7" t="str">
        <f t="shared" si="2"/>
        <v>Ср</v>
      </c>
      <c r="C194" s="8">
        <v>45476</v>
      </c>
      <c r="D194" s="9"/>
      <c r="E194" s="10"/>
      <c r="F194" s="11"/>
      <c r="G194" s="12"/>
      <c r="H194" s="11"/>
      <c r="I194" s="12"/>
      <c r="J194" s="11"/>
      <c r="K194" s="12"/>
      <c r="L194" s="11"/>
      <c r="M194" s="12"/>
    </row>
    <row r="195" spans="1:13" x14ac:dyDescent="0.25">
      <c r="A195" s="1">
        <v>192</v>
      </c>
      <c r="B195" s="7" t="str">
        <f t="shared" si="2"/>
        <v>Чт</v>
      </c>
      <c r="C195" s="8">
        <v>45477</v>
      </c>
      <c r="D195" s="9">
        <v>10600</v>
      </c>
      <c r="E195" s="10" t="s">
        <v>12</v>
      </c>
      <c r="F195" s="11">
        <v>6200</v>
      </c>
      <c r="G195" s="12" t="s">
        <v>12</v>
      </c>
      <c r="H195" s="11">
        <v>6500</v>
      </c>
      <c r="I195" s="12" t="s">
        <v>12</v>
      </c>
      <c r="J195" s="11">
        <v>17100</v>
      </c>
      <c r="K195" s="12" t="s">
        <v>12</v>
      </c>
      <c r="L195" s="11"/>
      <c r="M195" s="12"/>
    </row>
    <row r="196" spans="1:13" x14ac:dyDescent="0.25">
      <c r="A196" s="1">
        <v>193</v>
      </c>
      <c r="B196" s="7" t="str">
        <f t="shared" ref="B196:B259" si="3">IF(C196&lt;&gt;"",TEXT(C196,"ДДД"),"")</f>
        <v>Чт</v>
      </c>
      <c r="C196" s="8">
        <v>45477</v>
      </c>
      <c r="D196" s="9">
        <v>12700</v>
      </c>
      <c r="E196" s="10" t="s">
        <v>11</v>
      </c>
      <c r="F196" s="11">
        <v>5300</v>
      </c>
      <c r="G196" s="12" t="s">
        <v>11</v>
      </c>
      <c r="H196" s="11">
        <v>1500</v>
      </c>
      <c r="I196" s="12" t="s">
        <v>11</v>
      </c>
      <c r="J196" s="11">
        <v>5000</v>
      </c>
      <c r="K196" s="12" t="s">
        <v>11</v>
      </c>
      <c r="L196" s="11"/>
      <c r="M196" s="12"/>
    </row>
    <row r="197" spans="1:13" x14ac:dyDescent="0.25">
      <c r="A197" s="1">
        <v>194</v>
      </c>
      <c r="B197" s="7" t="str">
        <f t="shared" si="3"/>
        <v>Пт</v>
      </c>
      <c r="C197" s="8">
        <v>45478</v>
      </c>
      <c r="D197" s="9"/>
      <c r="E197" s="10"/>
      <c r="F197" s="11"/>
      <c r="G197" s="12"/>
      <c r="H197" s="11">
        <v>5900</v>
      </c>
      <c r="I197" s="12" t="s">
        <v>12</v>
      </c>
      <c r="J197" s="11">
        <v>11200</v>
      </c>
      <c r="K197" s="12" t="s">
        <v>12</v>
      </c>
      <c r="L197" s="11"/>
      <c r="M197" s="12"/>
    </row>
    <row r="198" spans="1:13" x14ac:dyDescent="0.25">
      <c r="A198" s="1">
        <v>195</v>
      </c>
      <c r="B198" s="7" t="str">
        <f t="shared" si="3"/>
        <v>Сб</v>
      </c>
      <c r="C198" s="8">
        <v>45479</v>
      </c>
      <c r="D198" s="9"/>
      <c r="E198" s="10"/>
      <c r="F198" s="11"/>
      <c r="G198" s="12"/>
      <c r="H198" s="11"/>
      <c r="I198" s="12"/>
      <c r="J198" s="11"/>
      <c r="K198" s="12"/>
      <c r="L198" s="11"/>
      <c r="M198" s="12"/>
    </row>
    <row r="199" spans="1:13" x14ac:dyDescent="0.25">
      <c r="A199" s="1">
        <v>196</v>
      </c>
      <c r="B199" s="7" t="str">
        <f t="shared" si="3"/>
        <v>Вс</v>
      </c>
      <c r="C199" s="8">
        <v>45480</v>
      </c>
      <c r="D199" s="9"/>
      <c r="E199" s="10"/>
      <c r="F199" s="11"/>
      <c r="G199" s="12"/>
      <c r="H199" s="11"/>
      <c r="I199" s="12"/>
      <c r="J199" s="11"/>
      <c r="K199" s="12"/>
      <c r="L199" s="11">
        <v>5100</v>
      </c>
      <c r="M199" s="12" t="s">
        <v>12</v>
      </c>
    </row>
    <row r="200" spans="1:13" x14ac:dyDescent="0.25">
      <c r="A200" s="1">
        <v>197</v>
      </c>
      <c r="B200" s="7" t="str">
        <f t="shared" si="3"/>
        <v>Пн</v>
      </c>
      <c r="C200" s="8">
        <v>45481</v>
      </c>
      <c r="D200" s="9"/>
      <c r="E200" s="10"/>
      <c r="F200" s="11"/>
      <c r="G200" s="12"/>
      <c r="H200" s="11"/>
      <c r="I200" s="12"/>
      <c r="J200" s="11"/>
      <c r="K200" s="12"/>
      <c r="L200" s="11"/>
      <c r="M200" s="12"/>
    </row>
    <row r="201" spans="1:13" x14ac:dyDescent="0.25">
      <c r="A201" s="1">
        <v>198</v>
      </c>
      <c r="B201" s="7" t="str">
        <f t="shared" si="3"/>
        <v>Вт</v>
      </c>
      <c r="C201" s="8">
        <v>45482</v>
      </c>
      <c r="D201" s="9">
        <v>3600</v>
      </c>
      <c r="E201" s="10" t="s">
        <v>12</v>
      </c>
      <c r="F201" s="11">
        <v>3500</v>
      </c>
      <c r="G201" s="12" t="s">
        <v>12</v>
      </c>
      <c r="H201" s="11">
        <v>12600</v>
      </c>
      <c r="I201" s="12" t="s">
        <v>12</v>
      </c>
      <c r="J201" s="11">
        <v>10200</v>
      </c>
      <c r="K201" s="12" t="s">
        <v>12</v>
      </c>
      <c r="L201" s="11"/>
      <c r="M201" s="12"/>
    </row>
    <row r="202" spans="1:13" x14ac:dyDescent="0.25">
      <c r="A202" s="1">
        <v>199</v>
      </c>
      <c r="B202" s="7" t="str">
        <f t="shared" si="3"/>
        <v>Ср</v>
      </c>
      <c r="C202" s="8">
        <v>45483</v>
      </c>
      <c r="D202" s="9"/>
      <c r="E202" s="10"/>
      <c r="F202" s="11"/>
      <c r="G202" s="12"/>
      <c r="H202" s="11"/>
      <c r="I202" s="12"/>
      <c r="J202" s="11"/>
      <c r="K202" s="12"/>
      <c r="L202" s="11"/>
      <c r="M202" s="12"/>
    </row>
    <row r="203" spans="1:13" x14ac:dyDescent="0.25">
      <c r="A203" s="1">
        <v>200</v>
      </c>
      <c r="B203" s="7" t="str">
        <f t="shared" si="3"/>
        <v>Чт</v>
      </c>
      <c r="C203" s="8">
        <v>45484</v>
      </c>
      <c r="D203" s="9">
        <v>6000</v>
      </c>
      <c r="E203" s="10" t="s">
        <v>12</v>
      </c>
      <c r="F203" s="11">
        <v>3700</v>
      </c>
      <c r="G203" s="12" t="s">
        <v>12</v>
      </c>
      <c r="H203" s="11">
        <v>13500</v>
      </c>
      <c r="I203" s="12" t="s">
        <v>12</v>
      </c>
      <c r="J203" s="11">
        <v>11200</v>
      </c>
      <c r="K203" s="12" t="s">
        <v>12</v>
      </c>
      <c r="L203" s="11"/>
      <c r="M203" s="12"/>
    </row>
    <row r="204" spans="1:13" x14ac:dyDescent="0.25">
      <c r="A204" s="1">
        <v>201</v>
      </c>
      <c r="B204" s="7" t="str">
        <f t="shared" si="3"/>
        <v>Чт</v>
      </c>
      <c r="C204" s="8">
        <v>45484</v>
      </c>
      <c r="D204" s="9">
        <v>7400</v>
      </c>
      <c r="E204" s="10" t="s">
        <v>11</v>
      </c>
      <c r="F204" s="11">
        <v>6300</v>
      </c>
      <c r="G204" s="12" t="s">
        <v>11</v>
      </c>
      <c r="H204" s="11">
        <v>4800</v>
      </c>
      <c r="I204" s="12" t="s">
        <v>11</v>
      </c>
      <c r="J204" s="11">
        <v>6400</v>
      </c>
      <c r="K204" s="12" t="s">
        <v>11</v>
      </c>
      <c r="L204" s="11"/>
      <c r="M204" s="12"/>
    </row>
    <row r="205" spans="1:13" x14ac:dyDescent="0.25">
      <c r="A205" s="1">
        <v>202</v>
      </c>
      <c r="B205" s="7" t="str">
        <f t="shared" si="3"/>
        <v>Пт</v>
      </c>
      <c r="C205" s="8">
        <v>45485</v>
      </c>
      <c r="D205" s="9"/>
      <c r="E205" s="10"/>
      <c r="F205" s="11"/>
      <c r="G205" s="12"/>
      <c r="H205" s="11"/>
      <c r="I205" s="12"/>
      <c r="J205" s="11"/>
      <c r="K205" s="12"/>
      <c r="L205" s="11"/>
      <c r="M205" s="12"/>
    </row>
    <row r="206" spans="1:13" x14ac:dyDescent="0.25">
      <c r="A206" s="1">
        <v>203</v>
      </c>
      <c r="B206" s="7" t="str">
        <f t="shared" si="3"/>
        <v>Сб</v>
      </c>
      <c r="C206" s="8">
        <v>45486</v>
      </c>
      <c r="D206" s="9"/>
      <c r="E206" s="10"/>
      <c r="F206" s="11"/>
      <c r="G206" s="12"/>
      <c r="H206" s="11"/>
      <c r="I206" s="12"/>
      <c r="J206" s="11"/>
      <c r="K206" s="12"/>
      <c r="L206" s="11"/>
      <c r="M206" s="12"/>
    </row>
    <row r="207" spans="1:13" x14ac:dyDescent="0.25">
      <c r="A207" s="1">
        <v>204</v>
      </c>
      <c r="B207" s="7" t="str">
        <f t="shared" si="3"/>
        <v>Вс</v>
      </c>
      <c r="C207" s="8">
        <v>45487</v>
      </c>
      <c r="D207" s="9"/>
      <c r="E207" s="10"/>
      <c r="F207" s="11"/>
      <c r="G207" s="12"/>
      <c r="H207" s="11"/>
      <c r="I207" s="12"/>
      <c r="J207" s="11"/>
      <c r="K207" s="12"/>
      <c r="L207" s="11">
        <v>4800</v>
      </c>
      <c r="M207" s="12" t="s">
        <v>12</v>
      </c>
    </row>
    <row r="208" spans="1:13" x14ac:dyDescent="0.25">
      <c r="A208" s="1">
        <v>205</v>
      </c>
      <c r="B208" s="7" t="str">
        <f t="shared" si="3"/>
        <v>Пн</v>
      </c>
      <c r="C208" s="8">
        <v>45488</v>
      </c>
      <c r="D208" s="9"/>
      <c r="E208" s="10"/>
      <c r="F208" s="11"/>
      <c r="G208" s="12"/>
      <c r="H208" s="11"/>
      <c r="I208" s="12"/>
      <c r="J208" s="11"/>
      <c r="K208" s="12"/>
      <c r="L208" s="11"/>
      <c r="M208" s="12"/>
    </row>
    <row r="209" spans="1:13" x14ac:dyDescent="0.25">
      <c r="A209" s="1">
        <v>206</v>
      </c>
      <c r="B209" s="7" t="str">
        <f t="shared" si="3"/>
        <v>Вт</v>
      </c>
      <c r="C209" s="8">
        <v>45489</v>
      </c>
      <c r="D209" s="9">
        <v>9900</v>
      </c>
      <c r="E209" s="10" t="s">
        <v>12</v>
      </c>
      <c r="F209" s="11">
        <v>6400</v>
      </c>
      <c r="G209" s="12" t="s">
        <v>12</v>
      </c>
      <c r="H209" s="11">
        <v>17100</v>
      </c>
      <c r="I209" s="12" t="s">
        <v>12</v>
      </c>
      <c r="J209" s="11"/>
      <c r="K209" s="12"/>
      <c r="L209" s="11"/>
      <c r="M209" s="12"/>
    </row>
    <row r="210" spans="1:13" x14ac:dyDescent="0.25">
      <c r="A210" s="1">
        <v>207</v>
      </c>
      <c r="B210" s="7" t="str">
        <f t="shared" si="3"/>
        <v>Ср</v>
      </c>
      <c r="C210" s="8">
        <v>45490</v>
      </c>
      <c r="D210" s="9"/>
      <c r="E210" s="10"/>
      <c r="F210" s="11"/>
      <c r="G210" s="12"/>
      <c r="H210" s="11"/>
      <c r="I210" s="12"/>
      <c r="J210" s="11">
        <v>17500</v>
      </c>
      <c r="K210" s="12" t="s">
        <v>12</v>
      </c>
      <c r="L210" s="11"/>
      <c r="M210" s="12"/>
    </row>
    <row r="211" spans="1:13" x14ac:dyDescent="0.25">
      <c r="A211" s="1">
        <v>208</v>
      </c>
      <c r="B211" s="7" t="str">
        <f t="shared" si="3"/>
        <v>Чт</v>
      </c>
      <c r="C211" s="8">
        <v>45491</v>
      </c>
      <c r="D211" s="9">
        <v>5200</v>
      </c>
      <c r="E211" s="10" t="s">
        <v>12</v>
      </c>
      <c r="F211" s="11">
        <v>2200</v>
      </c>
      <c r="G211" s="12" t="s">
        <v>12</v>
      </c>
      <c r="H211" s="11">
        <f>1800+6400</f>
        <v>8200</v>
      </c>
      <c r="I211" s="12" t="s">
        <v>12</v>
      </c>
      <c r="J211" s="11">
        <v>11000</v>
      </c>
      <c r="K211" s="12" t="s">
        <v>12</v>
      </c>
      <c r="L211" s="11"/>
      <c r="M211" s="12"/>
    </row>
    <row r="212" spans="1:13" x14ac:dyDescent="0.25">
      <c r="A212" s="1">
        <v>209</v>
      </c>
      <c r="B212" s="7" t="str">
        <f t="shared" si="3"/>
        <v>Чт</v>
      </c>
      <c r="C212" s="8">
        <v>45491</v>
      </c>
      <c r="D212" s="9">
        <v>3600</v>
      </c>
      <c r="E212" s="10" t="s">
        <v>11</v>
      </c>
      <c r="F212" s="11">
        <v>6100</v>
      </c>
      <c r="G212" s="12" t="s">
        <v>11</v>
      </c>
      <c r="H212" s="11">
        <v>9300</v>
      </c>
      <c r="I212" s="12" t="s">
        <v>11</v>
      </c>
      <c r="J212" s="11">
        <v>6900</v>
      </c>
      <c r="K212" s="12" t="s">
        <v>11</v>
      </c>
      <c r="L212" s="11"/>
      <c r="M212" s="12"/>
    </row>
    <row r="213" spans="1:13" x14ac:dyDescent="0.25">
      <c r="A213" s="1">
        <v>210</v>
      </c>
      <c r="B213" s="7" t="str">
        <f t="shared" si="3"/>
        <v>Пт</v>
      </c>
      <c r="C213" s="8">
        <v>45492</v>
      </c>
      <c r="D213" s="9">
        <v>4000</v>
      </c>
      <c r="E213" s="10" t="s">
        <v>12</v>
      </c>
      <c r="F213" s="11"/>
      <c r="G213" s="12"/>
      <c r="H213" s="11">
        <v>5000</v>
      </c>
      <c r="I213" s="12" t="s">
        <v>12</v>
      </c>
      <c r="J213" s="11">
        <v>8000</v>
      </c>
      <c r="K213" s="12" t="s">
        <v>12</v>
      </c>
      <c r="L213" s="11"/>
      <c r="M213" s="12"/>
    </row>
    <row r="214" spans="1:13" x14ac:dyDescent="0.25">
      <c r="A214" s="1">
        <v>211</v>
      </c>
      <c r="B214" s="7" t="str">
        <f t="shared" si="3"/>
        <v>Сб</v>
      </c>
      <c r="C214" s="8">
        <v>45493</v>
      </c>
      <c r="D214" s="9"/>
      <c r="E214" s="10"/>
      <c r="F214" s="11"/>
      <c r="G214" s="12"/>
      <c r="H214" s="11"/>
      <c r="I214" s="12"/>
      <c r="J214" s="11"/>
      <c r="K214" s="12"/>
      <c r="L214" s="11"/>
      <c r="M214" s="12"/>
    </row>
    <row r="215" spans="1:13" x14ac:dyDescent="0.25">
      <c r="A215" s="1">
        <v>212</v>
      </c>
      <c r="B215" s="7" t="str">
        <f t="shared" si="3"/>
        <v>Вс</v>
      </c>
      <c r="C215" s="8">
        <v>45494</v>
      </c>
      <c r="D215" s="9"/>
      <c r="E215" s="10"/>
      <c r="F215" s="11"/>
      <c r="G215" s="12"/>
      <c r="H215" s="11"/>
      <c r="I215" s="12"/>
      <c r="J215" s="11"/>
      <c r="K215" s="12"/>
      <c r="L215" s="11">
        <v>5200</v>
      </c>
      <c r="M215" s="12" t="s">
        <v>12</v>
      </c>
    </row>
    <row r="216" spans="1:13" x14ac:dyDescent="0.25">
      <c r="A216" s="1">
        <v>213</v>
      </c>
      <c r="B216" s="7" t="str">
        <f t="shared" si="3"/>
        <v>Пн</v>
      </c>
      <c r="C216" s="8">
        <v>45495</v>
      </c>
      <c r="D216" s="9"/>
      <c r="E216" s="10"/>
      <c r="F216" s="11"/>
      <c r="G216" s="12"/>
      <c r="H216" s="11"/>
      <c r="I216" s="12"/>
      <c r="J216" s="11"/>
      <c r="K216" s="12"/>
      <c r="L216" s="11"/>
      <c r="M216" s="12"/>
    </row>
    <row r="217" spans="1:13" x14ac:dyDescent="0.25">
      <c r="A217" s="1">
        <v>214</v>
      </c>
      <c r="B217" s="7" t="str">
        <f t="shared" si="3"/>
        <v>Вт</v>
      </c>
      <c r="C217" s="8">
        <v>45496</v>
      </c>
      <c r="D217" s="9">
        <v>6200</v>
      </c>
      <c r="E217" s="10" t="s">
        <v>12</v>
      </c>
      <c r="F217" s="11">
        <f>5200+7300</f>
        <v>12500</v>
      </c>
      <c r="G217" s="12" t="s">
        <v>12</v>
      </c>
      <c r="H217" s="11">
        <v>17200</v>
      </c>
      <c r="I217" s="12" t="s">
        <v>12</v>
      </c>
      <c r="J217" s="11">
        <v>17100</v>
      </c>
      <c r="K217" s="12" t="s">
        <v>12</v>
      </c>
      <c r="L217" s="11"/>
      <c r="M217" s="12"/>
    </row>
    <row r="218" spans="1:13" x14ac:dyDescent="0.25">
      <c r="A218" s="1">
        <v>215</v>
      </c>
      <c r="B218" s="7" t="str">
        <f t="shared" si="3"/>
        <v>Ср</v>
      </c>
      <c r="C218" s="8">
        <v>45497</v>
      </c>
      <c r="D218" s="9">
        <v>4300</v>
      </c>
      <c r="E218" s="10" t="s">
        <v>12</v>
      </c>
      <c r="F218" s="11"/>
      <c r="G218" s="12"/>
      <c r="H218" s="11">
        <v>5100</v>
      </c>
      <c r="I218" s="12" t="s">
        <v>12</v>
      </c>
      <c r="J218" s="11">
        <v>7700</v>
      </c>
      <c r="K218" s="12" t="s">
        <v>12</v>
      </c>
      <c r="L218" s="11"/>
      <c r="M218" s="12"/>
    </row>
    <row r="219" spans="1:13" x14ac:dyDescent="0.25">
      <c r="A219" s="1">
        <v>216</v>
      </c>
      <c r="B219" s="7" t="str">
        <f t="shared" si="3"/>
        <v>Чт</v>
      </c>
      <c r="C219" s="8">
        <v>45498</v>
      </c>
      <c r="D219" s="9">
        <v>7900</v>
      </c>
      <c r="E219" s="10" t="s">
        <v>12</v>
      </c>
      <c r="F219" s="11">
        <f>2800+2800</f>
        <v>5600</v>
      </c>
      <c r="G219" s="12" t="s">
        <v>12</v>
      </c>
      <c r="H219" s="11">
        <v>14700</v>
      </c>
      <c r="I219" s="12" t="s">
        <v>12</v>
      </c>
      <c r="J219" s="11">
        <v>14400</v>
      </c>
      <c r="K219" s="12" t="s">
        <v>12</v>
      </c>
      <c r="L219" s="11">
        <v>5900</v>
      </c>
      <c r="M219" s="12" t="s">
        <v>11</v>
      </c>
    </row>
    <row r="220" spans="1:13" x14ac:dyDescent="0.25">
      <c r="A220" s="1">
        <v>217</v>
      </c>
      <c r="B220" s="7" t="str">
        <f t="shared" si="3"/>
        <v>Чт</v>
      </c>
      <c r="C220" s="8">
        <v>45498</v>
      </c>
      <c r="D220" s="9">
        <v>5700</v>
      </c>
      <c r="E220" s="10" t="s">
        <v>11</v>
      </c>
      <c r="F220" s="11">
        <v>13400</v>
      </c>
      <c r="G220" s="12" t="s">
        <v>11</v>
      </c>
      <c r="H220" s="11">
        <v>2300</v>
      </c>
      <c r="I220" s="12" t="s">
        <v>11</v>
      </c>
      <c r="J220" s="11">
        <v>5200</v>
      </c>
      <c r="K220" s="12" t="s">
        <v>11</v>
      </c>
      <c r="L220" s="11"/>
      <c r="M220" s="12"/>
    </row>
    <row r="221" spans="1:13" x14ac:dyDescent="0.25">
      <c r="A221" s="1">
        <v>218</v>
      </c>
      <c r="B221" s="7" t="str">
        <f t="shared" si="3"/>
        <v>Пт</v>
      </c>
      <c r="C221" s="8">
        <v>45499</v>
      </c>
      <c r="D221" s="9">
        <v>13200</v>
      </c>
      <c r="E221" s="10" t="s">
        <v>11</v>
      </c>
      <c r="F221" s="11"/>
      <c r="G221" s="12"/>
      <c r="H221" s="11"/>
      <c r="I221" s="12"/>
      <c r="J221" s="11"/>
      <c r="K221" s="12"/>
      <c r="L221" s="11"/>
      <c r="M221" s="12"/>
    </row>
    <row r="222" spans="1:13" x14ac:dyDescent="0.25">
      <c r="A222" s="1">
        <v>219</v>
      </c>
      <c r="B222" s="7" t="str">
        <f t="shared" si="3"/>
        <v>Сб</v>
      </c>
      <c r="C222" s="8">
        <v>45500</v>
      </c>
      <c r="D222" s="9"/>
      <c r="E222" s="10"/>
      <c r="F222" s="11"/>
      <c r="G222" s="12"/>
      <c r="H222" s="11"/>
      <c r="I222" s="12"/>
      <c r="J222" s="11"/>
      <c r="K222" s="12"/>
      <c r="L222" s="11"/>
      <c r="M222" s="12"/>
    </row>
    <row r="223" spans="1:13" x14ac:dyDescent="0.25">
      <c r="A223" s="1">
        <v>220</v>
      </c>
      <c r="B223" s="7" t="str">
        <f t="shared" si="3"/>
        <v>Вс</v>
      </c>
      <c r="C223" s="8">
        <v>45501</v>
      </c>
      <c r="D223" s="9"/>
      <c r="E223" s="10"/>
      <c r="F223" s="11"/>
      <c r="G223" s="12"/>
      <c r="H223" s="11"/>
      <c r="I223" s="12"/>
      <c r="J223" s="11"/>
      <c r="K223" s="12"/>
      <c r="L223" s="11">
        <v>8100</v>
      </c>
      <c r="M223" s="12" t="s">
        <v>12</v>
      </c>
    </row>
    <row r="224" spans="1:13" x14ac:dyDescent="0.25">
      <c r="A224" s="1">
        <v>221</v>
      </c>
      <c r="B224" s="7" t="str">
        <f t="shared" si="3"/>
        <v>Пн</v>
      </c>
      <c r="C224" s="8">
        <v>45502</v>
      </c>
      <c r="D224" s="9"/>
      <c r="E224" s="10"/>
      <c r="F224" s="11"/>
      <c r="G224" s="12"/>
      <c r="H224" s="11"/>
      <c r="I224" s="12"/>
      <c r="J224" s="11"/>
      <c r="K224" s="12"/>
      <c r="L224" s="11"/>
      <c r="M224" s="12"/>
    </row>
    <row r="225" spans="1:13" x14ac:dyDescent="0.25">
      <c r="A225" s="1">
        <v>222</v>
      </c>
      <c r="B225" s="7" t="str">
        <f t="shared" si="3"/>
        <v>Вт</v>
      </c>
      <c r="C225" s="8">
        <v>45503</v>
      </c>
      <c r="D225" s="9">
        <v>8900</v>
      </c>
      <c r="E225" s="10" t="s">
        <v>12</v>
      </c>
      <c r="F225" s="11">
        <v>2700</v>
      </c>
      <c r="G225" s="12" t="s">
        <v>12</v>
      </c>
      <c r="H225" s="11">
        <v>14600</v>
      </c>
      <c r="I225" s="12" t="s">
        <v>12</v>
      </c>
      <c r="J225" s="11">
        <f>2900+17500</f>
        <v>20400</v>
      </c>
      <c r="K225" s="12" t="s">
        <v>12</v>
      </c>
      <c r="L225" s="11"/>
      <c r="M225" s="12"/>
    </row>
    <row r="226" spans="1:13" x14ac:dyDescent="0.25">
      <c r="A226" s="1">
        <v>223</v>
      </c>
      <c r="B226" s="7" t="str">
        <f t="shared" si="3"/>
        <v>Ср</v>
      </c>
      <c r="C226" s="8">
        <v>45504</v>
      </c>
      <c r="D226" s="9"/>
      <c r="E226" s="10"/>
      <c r="F226" s="11"/>
      <c r="G226" s="12"/>
      <c r="H226" s="11"/>
      <c r="I226" s="12"/>
      <c r="J226" s="11"/>
      <c r="K226" s="12"/>
      <c r="L226" s="11"/>
      <c r="M226" s="12"/>
    </row>
    <row r="227" spans="1:13" x14ac:dyDescent="0.25">
      <c r="A227" s="1">
        <v>224</v>
      </c>
      <c r="B227" s="7" t="str">
        <f t="shared" si="3"/>
        <v>Чт</v>
      </c>
      <c r="C227" s="8">
        <v>45505</v>
      </c>
      <c r="D227" s="9">
        <v>4100</v>
      </c>
      <c r="E227" s="10" t="s">
        <v>12</v>
      </c>
      <c r="F227" s="11">
        <v>2900</v>
      </c>
      <c r="G227" s="12" t="s">
        <v>12</v>
      </c>
      <c r="H227" s="11">
        <v>5600</v>
      </c>
      <c r="I227" s="12" t="s">
        <v>12</v>
      </c>
      <c r="J227" s="11">
        <v>11600</v>
      </c>
      <c r="K227" s="12" t="s">
        <v>12</v>
      </c>
      <c r="L227" s="11"/>
      <c r="M227" s="12"/>
    </row>
    <row r="228" spans="1:13" x14ac:dyDescent="0.25">
      <c r="A228" s="1">
        <v>225</v>
      </c>
      <c r="B228" s="7" t="str">
        <f t="shared" si="3"/>
        <v>Чт</v>
      </c>
      <c r="C228" s="8">
        <v>45505</v>
      </c>
      <c r="D228" s="9">
        <v>12700</v>
      </c>
      <c r="E228" s="10" t="s">
        <v>11</v>
      </c>
      <c r="F228" s="11">
        <v>3900</v>
      </c>
      <c r="G228" s="12" t="s">
        <v>11</v>
      </c>
      <c r="H228" s="11">
        <f>1700+1200</f>
        <v>2900</v>
      </c>
      <c r="I228" s="12" t="s">
        <v>11</v>
      </c>
      <c r="J228" s="11">
        <v>5300</v>
      </c>
      <c r="K228" s="12" t="s">
        <v>11</v>
      </c>
      <c r="L228" s="11"/>
      <c r="M228" s="12"/>
    </row>
    <row r="229" spans="1:13" x14ac:dyDescent="0.25">
      <c r="A229" s="1">
        <v>226</v>
      </c>
      <c r="B229" s="7" t="str">
        <f t="shared" si="3"/>
        <v>Пт</v>
      </c>
      <c r="C229" s="8">
        <v>45506</v>
      </c>
      <c r="D229" s="9"/>
      <c r="E229" s="10"/>
      <c r="F229" s="11"/>
      <c r="G229" s="12"/>
      <c r="H229" s="11">
        <v>5600</v>
      </c>
      <c r="I229" s="12" t="s">
        <v>12</v>
      </c>
      <c r="J229" s="11">
        <v>11500</v>
      </c>
      <c r="K229" s="12" t="s">
        <v>12</v>
      </c>
      <c r="L229" s="11"/>
      <c r="M229" s="12"/>
    </row>
    <row r="230" spans="1:13" x14ac:dyDescent="0.25">
      <c r="A230" s="1">
        <v>227</v>
      </c>
      <c r="B230" s="7" t="str">
        <f t="shared" si="3"/>
        <v>Сб</v>
      </c>
      <c r="C230" s="8">
        <v>45507</v>
      </c>
      <c r="D230" s="9"/>
      <c r="E230" s="10"/>
      <c r="F230" s="11"/>
      <c r="G230" s="12"/>
      <c r="H230" s="11"/>
      <c r="I230" s="12"/>
      <c r="J230" s="11"/>
      <c r="K230" s="12"/>
      <c r="L230" s="11"/>
      <c r="M230" s="12"/>
    </row>
    <row r="231" spans="1:13" x14ac:dyDescent="0.25">
      <c r="A231" s="1">
        <v>228</v>
      </c>
      <c r="B231" s="7" t="str">
        <f t="shared" si="3"/>
        <v>Вс</v>
      </c>
      <c r="C231" s="8">
        <v>45508</v>
      </c>
      <c r="D231" s="9"/>
      <c r="E231" s="10"/>
      <c r="F231" s="11"/>
      <c r="G231" s="12"/>
      <c r="H231" s="11"/>
      <c r="I231" s="12"/>
      <c r="J231" s="11"/>
      <c r="K231" s="12"/>
      <c r="L231" s="11">
        <v>6600</v>
      </c>
      <c r="M231" s="12" t="s">
        <v>12</v>
      </c>
    </row>
    <row r="232" spans="1:13" x14ac:dyDescent="0.25">
      <c r="A232" s="1">
        <v>229</v>
      </c>
      <c r="B232" s="7" t="str">
        <f t="shared" si="3"/>
        <v>Пн</v>
      </c>
      <c r="C232" s="8">
        <v>45509</v>
      </c>
      <c r="D232" s="9"/>
      <c r="E232" s="10"/>
      <c r="F232" s="11"/>
      <c r="G232" s="12"/>
      <c r="H232" s="11"/>
      <c r="I232" s="12"/>
      <c r="J232" s="11"/>
      <c r="K232" s="12"/>
      <c r="L232" s="11"/>
      <c r="M232" s="12"/>
    </row>
    <row r="233" spans="1:13" x14ac:dyDescent="0.25">
      <c r="A233" s="1">
        <v>230</v>
      </c>
      <c r="B233" s="7" t="str">
        <f t="shared" si="3"/>
        <v>Вт</v>
      </c>
      <c r="C233" s="8">
        <v>45510</v>
      </c>
      <c r="D233" s="9">
        <v>15200</v>
      </c>
      <c r="E233" s="10" t="s">
        <v>12</v>
      </c>
      <c r="F233" s="11">
        <v>13200</v>
      </c>
      <c r="G233" s="12" t="s">
        <v>12</v>
      </c>
      <c r="H233" s="11">
        <f>17200+4000</f>
        <v>21200</v>
      </c>
      <c r="I233" s="12" t="s">
        <v>12</v>
      </c>
      <c r="J233" s="11">
        <v>17100</v>
      </c>
      <c r="K233" s="12" t="s">
        <v>12</v>
      </c>
      <c r="L233" s="11"/>
      <c r="M233" s="12"/>
    </row>
    <row r="234" spans="1:13" x14ac:dyDescent="0.25">
      <c r="A234" s="1">
        <v>231</v>
      </c>
      <c r="B234" s="7" t="str">
        <f t="shared" si="3"/>
        <v>Ср</v>
      </c>
      <c r="C234" s="8">
        <v>45511</v>
      </c>
      <c r="D234" s="9"/>
      <c r="E234" s="10"/>
      <c r="F234" s="11"/>
      <c r="G234" s="12"/>
      <c r="H234" s="11"/>
      <c r="I234" s="12"/>
      <c r="J234" s="11"/>
      <c r="K234" s="12"/>
      <c r="L234" s="11"/>
      <c r="M234" s="12"/>
    </row>
    <row r="235" spans="1:13" x14ac:dyDescent="0.25">
      <c r="A235" s="1">
        <v>232</v>
      </c>
      <c r="B235" s="7" t="str">
        <f t="shared" si="3"/>
        <v>Чт</v>
      </c>
      <c r="C235" s="8">
        <v>45512</v>
      </c>
      <c r="D235" s="9">
        <v>9100</v>
      </c>
      <c r="E235" s="10" t="s">
        <v>12</v>
      </c>
      <c r="F235" s="11">
        <f>1200+2400</f>
        <v>3600</v>
      </c>
      <c r="G235" s="12" t="s">
        <v>12</v>
      </c>
      <c r="H235" s="11">
        <v>6900</v>
      </c>
      <c r="I235" s="12" t="s">
        <v>12</v>
      </c>
      <c r="J235" s="11">
        <v>13500</v>
      </c>
      <c r="K235" s="12" t="s">
        <v>12</v>
      </c>
      <c r="L235" s="11"/>
      <c r="M235" s="12"/>
    </row>
    <row r="236" spans="1:13" x14ac:dyDescent="0.25">
      <c r="A236" s="1">
        <v>233</v>
      </c>
      <c r="B236" s="7" t="str">
        <f t="shared" si="3"/>
        <v>Чт</v>
      </c>
      <c r="C236" s="8">
        <v>45512</v>
      </c>
      <c r="D236" s="9">
        <f>4000+5800</f>
        <v>9800</v>
      </c>
      <c r="E236" s="10" t="s">
        <v>11</v>
      </c>
      <c r="F236" s="11">
        <v>6200</v>
      </c>
      <c r="G236" s="12" t="s">
        <v>11</v>
      </c>
      <c r="H236" s="11">
        <v>2500</v>
      </c>
      <c r="I236" s="12" t="s">
        <v>11</v>
      </c>
      <c r="J236" s="11">
        <v>6700</v>
      </c>
      <c r="K236" s="12" t="s">
        <v>11</v>
      </c>
      <c r="L236" s="11"/>
      <c r="M236" s="12"/>
    </row>
    <row r="237" spans="1:13" x14ac:dyDescent="0.25">
      <c r="A237" s="1">
        <v>234</v>
      </c>
      <c r="B237" s="7" t="str">
        <f t="shared" si="3"/>
        <v>Пт</v>
      </c>
      <c r="C237" s="8">
        <v>45513</v>
      </c>
      <c r="D237" s="9"/>
      <c r="E237" s="10"/>
      <c r="F237" s="11"/>
      <c r="G237" s="12"/>
      <c r="H237" s="11"/>
      <c r="I237" s="12"/>
      <c r="J237" s="11"/>
      <c r="K237" s="12"/>
      <c r="L237" s="11"/>
      <c r="M237" s="12"/>
    </row>
    <row r="238" spans="1:13" x14ac:dyDescent="0.25">
      <c r="A238" s="1">
        <v>235</v>
      </c>
      <c r="B238" s="7" t="str">
        <f t="shared" si="3"/>
        <v>Сб</v>
      </c>
      <c r="C238" s="8">
        <v>45514</v>
      </c>
      <c r="D238" s="9"/>
      <c r="E238" s="10"/>
      <c r="F238" s="11"/>
      <c r="G238" s="12"/>
      <c r="H238" s="11"/>
      <c r="I238" s="12"/>
      <c r="J238" s="11"/>
      <c r="K238" s="12"/>
      <c r="L238" s="11"/>
      <c r="M238" s="12"/>
    </row>
    <row r="239" spans="1:13" x14ac:dyDescent="0.25">
      <c r="A239" s="1">
        <v>236</v>
      </c>
      <c r="B239" s="7" t="str">
        <f t="shared" si="3"/>
        <v>Вс</v>
      </c>
      <c r="C239" s="8">
        <v>45515</v>
      </c>
      <c r="D239" s="9"/>
      <c r="E239" s="10"/>
      <c r="F239" s="11"/>
      <c r="G239" s="12"/>
      <c r="H239" s="11"/>
      <c r="I239" s="12"/>
      <c r="J239" s="11"/>
      <c r="K239" s="12"/>
      <c r="L239" s="11">
        <v>4600</v>
      </c>
      <c r="M239" s="12" t="s">
        <v>12</v>
      </c>
    </row>
    <row r="240" spans="1:13" x14ac:dyDescent="0.25">
      <c r="A240" s="1">
        <v>237</v>
      </c>
      <c r="B240" s="7" t="str">
        <f t="shared" si="3"/>
        <v>Пн</v>
      </c>
      <c r="C240" s="8">
        <v>45516</v>
      </c>
      <c r="D240" s="9"/>
      <c r="E240" s="10"/>
      <c r="F240" s="11"/>
      <c r="G240" s="12"/>
      <c r="H240" s="11"/>
      <c r="I240" s="12"/>
      <c r="J240" s="11"/>
      <c r="K240" s="12"/>
      <c r="L240" s="11"/>
      <c r="M240" s="12"/>
    </row>
    <row r="241" spans="1:13" x14ac:dyDescent="0.25">
      <c r="A241" s="1">
        <v>238</v>
      </c>
      <c r="B241" s="7" t="str">
        <f t="shared" si="3"/>
        <v>Вт</v>
      </c>
      <c r="C241" s="8">
        <v>45517</v>
      </c>
      <c r="D241" s="9">
        <v>5200</v>
      </c>
      <c r="E241" s="10" t="s">
        <v>12</v>
      </c>
      <c r="F241" s="11">
        <v>2900</v>
      </c>
      <c r="G241" s="12" t="s">
        <v>12</v>
      </c>
      <c r="H241" s="11">
        <v>17700</v>
      </c>
      <c r="I241" s="12" t="s">
        <v>12</v>
      </c>
      <c r="J241" s="11">
        <v>17700</v>
      </c>
      <c r="K241" s="12" t="s">
        <v>12</v>
      </c>
      <c r="L241" s="11"/>
      <c r="M241" s="12"/>
    </row>
    <row r="242" spans="1:13" x14ac:dyDescent="0.25">
      <c r="A242" s="1">
        <v>239</v>
      </c>
      <c r="B242" s="7" t="str">
        <f t="shared" si="3"/>
        <v>Ср</v>
      </c>
      <c r="C242" s="8">
        <v>45518</v>
      </c>
      <c r="D242" s="9"/>
      <c r="E242" s="10"/>
      <c r="F242" s="11"/>
      <c r="G242" s="12"/>
      <c r="H242" s="11"/>
      <c r="I242" s="12"/>
      <c r="J242" s="11"/>
      <c r="K242" s="12"/>
      <c r="L242" s="11"/>
      <c r="M242" s="12"/>
    </row>
    <row r="243" spans="1:13" x14ac:dyDescent="0.25">
      <c r="A243" s="1">
        <v>240</v>
      </c>
      <c r="B243" s="7" t="str">
        <f t="shared" si="3"/>
        <v>Чт</v>
      </c>
      <c r="C243" s="8">
        <v>45519</v>
      </c>
      <c r="D243" s="9">
        <v>8500</v>
      </c>
      <c r="E243" s="10" t="s">
        <v>12</v>
      </c>
      <c r="F243" s="11">
        <v>4500</v>
      </c>
      <c r="G243" s="12" t="s">
        <v>12</v>
      </c>
      <c r="H243" s="11">
        <f>17200+2900</f>
        <v>20100</v>
      </c>
      <c r="I243" s="12" t="s">
        <v>12</v>
      </c>
      <c r="J243" s="11">
        <v>17500</v>
      </c>
      <c r="K243" s="12" t="s">
        <v>12</v>
      </c>
      <c r="L243" s="11"/>
      <c r="M243" s="12"/>
    </row>
    <row r="244" spans="1:13" x14ac:dyDescent="0.25">
      <c r="A244" s="1">
        <v>241</v>
      </c>
      <c r="B244" s="7" t="str">
        <f t="shared" si="3"/>
        <v>Чт</v>
      </c>
      <c r="C244" s="8">
        <v>45519</v>
      </c>
      <c r="D244" s="9">
        <f>2500+14000</f>
        <v>16500</v>
      </c>
      <c r="E244" s="10" t="s">
        <v>11</v>
      </c>
      <c r="F244" s="11">
        <v>9300</v>
      </c>
      <c r="G244" s="12" t="s">
        <v>11</v>
      </c>
      <c r="H244" s="11">
        <f>4800+1400</f>
        <v>6200</v>
      </c>
      <c r="I244" s="12" t="s">
        <v>11</v>
      </c>
      <c r="J244" s="11">
        <v>6700</v>
      </c>
      <c r="K244" s="12" t="s">
        <v>11</v>
      </c>
      <c r="L244" s="11">
        <v>6000</v>
      </c>
      <c r="M244" s="12" t="s">
        <v>11</v>
      </c>
    </row>
    <row r="245" spans="1:13" x14ac:dyDescent="0.25">
      <c r="A245" s="1">
        <v>242</v>
      </c>
      <c r="B245" s="7" t="str">
        <f t="shared" si="3"/>
        <v>Пт</v>
      </c>
      <c r="C245" s="8">
        <v>45520</v>
      </c>
      <c r="D245" s="9"/>
      <c r="E245" s="10"/>
      <c r="F245" s="11"/>
      <c r="G245" s="12"/>
      <c r="H245" s="11"/>
      <c r="I245" s="12"/>
      <c r="J245" s="11"/>
      <c r="K245" s="12"/>
      <c r="L245" s="11"/>
      <c r="M245" s="12"/>
    </row>
    <row r="246" spans="1:13" x14ac:dyDescent="0.25">
      <c r="A246" s="1">
        <v>243</v>
      </c>
      <c r="B246" s="7" t="str">
        <f t="shared" si="3"/>
        <v>Сб</v>
      </c>
      <c r="C246" s="8">
        <v>45521</v>
      </c>
      <c r="D246" s="9"/>
      <c r="E246" s="10"/>
      <c r="F246" s="11"/>
      <c r="G246" s="12"/>
      <c r="H246" s="11"/>
      <c r="I246" s="12"/>
      <c r="J246" s="11"/>
      <c r="K246" s="12"/>
      <c r="L246" s="11"/>
      <c r="M246" s="12"/>
    </row>
    <row r="247" spans="1:13" x14ac:dyDescent="0.25">
      <c r="A247" s="1">
        <v>244</v>
      </c>
      <c r="B247" s="7" t="str">
        <f t="shared" si="3"/>
        <v>Вс</v>
      </c>
      <c r="C247" s="8">
        <v>45522</v>
      </c>
      <c r="D247" s="9"/>
      <c r="E247" s="10"/>
      <c r="F247" s="11"/>
      <c r="G247" s="12"/>
      <c r="H247" s="11"/>
      <c r="I247" s="12"/>
      <c r="J247" s="11"/>
      <c r="K247" s="12"/>
      <c r="L247" s="11">
        <v>6300</v>
      </c>
      <c r="M247" s="12" t="s">
        <v>12</v>
      </c>
    </row>
    <row r="248" spans="1:13" x14ac:dyDescent="0.25">
      <c r="A248" s="1">
        <v>245</v>
      </c>
      <c r="B248" s="7" t="str">
        <f t="shared" si="3"/>
        <v>Пн</v>
      </c>
      <c r="C248" s="8">
        <v>45523</v>
      </c>
      <c r="D248" s="9"/>
      <c r="E248" s="10"/>
      <c r="F248" s="11"/>
      <c r="G248" s="12"/>
      <c r="H248" s="11"/>
      <c r="I248" s="12"/>
      <c r="J248" s="11"/>
      <c r="K248" s="12"/>
      <c r="L248" s="11"/>
      <c r="M248" s="12"/>
    </row>
    <row r="249" spans="1:13" x14ac:dyDescent="0.25">
      <c r="A249" s="1">
        <v>246</v>
      </c>
      <c r="B249" s="7" t="str">
        <f t="shared" si="3"/>
        <v>Вт</v>
      </c>
      <c r="C249" s="8">
        <v>45524</v>
      </c>
      <c r="D249" s="9">
        <v>8500</v>
      </c>
      <c r="E249" s="10" t="s">
        <v>12</v>
      </c>
      <c r="F249" s="11">
        <v>8600</v>
      </c>
      <c r="G249" s="12" t="s">
        <v>12</v>
      </c>
      <c r="H249" s="11">
        <v>12900</v>
      </c>
      <c r="I249" s="12" t="s">
        <v>12</v>
      </c>
      <c r="J249" s="11">
        <f>17100+4100</f>
        <v>21200</v>
      </c>
      <c r="K249" s="12" t="s">
        <v>12</v>
      </c>
      <c r="L249" s="11"/>
      <c r="M249" s="12"/>
    </row>
    <row r="250" spans="1:13" x14ac:dyDescent="0.25">
      <c r="A250" s="1">
        <v>247</v>
      </c>
      <c r="B250" s="7" t="str">
        <f t="shared" si="3"/>
        <v>Ср</v>
      </c>
      <c r="C250" s="8">
        <v>45525</v>
      </c>
      <c r="D250" s="9"/>
      <c r="E250" s="10"/>
      <c r="F250" s="11"/>
      <c r="G250" s="12"/>
      <c r="H250" s="11"/>
      <c r="I250" s="12"/>
      <c r="J250" s="11"/>
      <c r="K250" s="12"/>
      <c r="L250" s="11"/>
      <c r="M250" s="12"/>
    </row>
    <row r="251" spans="1:13" x14ac:dyDescent="0.25">
      <c r="A251" s="1">
        <v>248</v>
      </c>
      <c r="B251" s="7" t="str">
        <f t="shared" si="3"/>
        <v>Чт</v>
      </c>
      <c r="C251" s="8">
        <v>45526</v>
      </c>
      <c r="D251" s="9">
        <v>5000</v>
      </c>
      <c r="E251" s="10" t="s">
        <v>12</v>
      </c>
      <c r="F251" s="11">
        <v>3000</v>
      </c>
      <c r="G251" s="12" t="s">
        <v>12</v>
      </c>
      <c r="H251" s="11">
        <v>17100</v>
      </c>
      <c r="I251" s="12" t="s">
        <v>12</v>
      </c>
      <c r="J251" s="11">
        <v>16900</v>
      </c>
      <c r="K251" s="12" t="s">
        <v>12</v>
      </c>
      <c r="L251" s="11"/>
      <c r="M251" s="12"/>
    </row>
    <row r="252" spans="1:13" x14ac:dyDescent="0.25">
      <c r="A252" s="1">
        <v>249</v>
      </c>
      <c r="B252" s="7" t="str">
        <f t="shared" si="3"/>
        <v>Чт</v>
      </c>
      <c r="C252" s="8">
        <v>45526</v>
      </c>
      <c r="D252" s="9">
        <f>6500+1500</f>
        <v>8000</v>
      </c>
      <c r="E252" s="10" t="s">
        <v>11</v>
      </c>
      <c r="F252" s="11">
        <v>8800</v>
      </c>
      <c r="G252" s="12" t="s">
        <v>11</v>
      </c>
      <c r="H252" s="11">
        <v>2200</v>
      </c>
      <c r="I252" s="12" t="s">
        <v>11</v>
      </c>
      <c r="J252" s="11">
        <v>6100</v>
      </c>
      <c r="K252" s="12" t="s">
        <v>11</v>
      </c>
      <c r="L252" s="11"/>
      <c r="M252" s="12"/>
    </row>
    <row r="253" spans="1:13" x14ac:dyDescent="0.25">
      <c r="A253" s="1">
        <v>250</v>
      </c>
      <c r="B253" s="7" t="str">
        <f t="shared" si="3"/>
        <v>Пт</v>
      </c>
      <c r="C253" s="8">
        <v>45527</v>
      </c>
      <c r="D253" s="9"/>
      <c r="E253" s="10"/>
      <c r="F253" s="11"/>
      <c r="G253" s="12"/>
      <c r="H253" s="11"/>
      <c r="I253" s="12"/>
      <c r="J253" s="11"/>
      <c r="K253" s="12"/>
      <c r="L253" s="11"/>
      <c r="M253" s="12"/>
    </row>
    <row r="254" spans="1:13" x14ac:dyDescent="0.25">
      <c r="A254" s="1">
        <v>251</v>
      </c>
      <c r="B254" s="7" t="str">
        <f t="shared" si="3"/>
        <v>Сб</v>
      </c>
      <c r="C254" s="8">
        <v>45528</v>
      </c>
      <c r="D254" s="9"/>
      <c r="E254" s="10"/>
      <c r="F254" s="11"/>
      <c r="G254" s="12"/>
      <c r="H254" s="11"/>
      <c r="I254" s="12"/>
      <c r="J254" s="11"/>
      <c r="K254" s="12"/>
      <c r="L254" s="11"/>
      <c r="M254" s="12"/>
    </row>
    <row r="255" spans="1:13" x14ac:dyDescent="0.25">
      <c r="A255" s="1">
        <v>252</v>
      </c>
      <c r="B255" s="7" t="str">
        <f t="shared" si="3"/>
        <v>Вс</v>
      </c>
      <c r="C255" s="8">
        <v>45529</v>
      </c>
      <c r="D255" s="9"/>
      <c r="E255" s="10"/>
      <c r="F255" s="11"/>
      <c r="G255" s="12"/>
      <c r="H255" s="11"/>
      <c r="I255" s="12"/>
      <c r="J255" s="11"/>
      <c r="K255" s="12"/>
      <c r="L255" s="11">
        <v>6000</v>
      </c>
      <c r="M255" s="12" t="s">
        <v>12</v>
      </c>
    </row>
    <row r="256" spans="1:13" x14ac:dyDescent="0.25">
      <c r="A256" s="1">
        <v>253</v>
      </c>
      <c r="B256" s="7" t="str">
        <f t="shared" si="3"/>
        <v>Пн</v>
      </c>
      <c r="C256" s="8">
        <v>45530</v>
      </c>
      <c r="D256" s="9"/>
      <c r="E256" s="10"/>
      <c r="F256" s="11"/>
      <c r="G256" s="12"/>
      <c r="H256" s="11"/>
      <c r="I256" s="12"/>
      <c r="J256" s="11"/>
      <c r="K256" s="12"/>
      <c r="L256" s="11"/>
      <c r="M256" s="12"/>
    </row>
    <row r="257" spans="1:13" x14ac:dyDescent="0.25">
      <c r="A257" s="1">
        <v>254</v>
      </c>
      <c r="B257" s="7" t="str">
        <f t="shared" si="3"/>
        <v>Вт</v>
      </c>
      <c r="C257" s="8">
        <v>45531</v>
      </c>
      <c r="D257" s="9">
        <v>10500</v>
      </c>
      <c r="E257" s="10" t="s">
        <v>12</v>
      </c>
      <c r="F257" s="11">
        <v>6600</v>
      </c>
      <c r="G257" s="12" t="s">
        <v>12</v>
      </c>
      <c r="H257" s="11">
        <v>15400</v>
      </c>
      <c r="I257" s="12" t="s">
        <v>12</v>
      </c>
      <c r="J257" s="11">
        <f>17300+2000</f>
        <v>19300</v>
      </c>
      <c r="K257" s="12" t="s">
        <v>12</v>
      </c>
      <c r="L257" s="11"/>
      <c r="M257" s="12"/>
    </row>
    <row r="258" spans="1:13" x14ac:dyDescent="0.25">
      <c r="A258" s="1">
        <v>255</v>
      </c>
      <c r="B258" s="7" t="str">
        <f t="shared" si="3"/>
        <v>Ср</v>
      </c>
      <c r="C258" s="8">
        <v>45532</v>
      </c>
      <c r="D258" s="9"/>
      <c r="E258" s="10"/>
      <c r="F258" s="11"/>
      <c r="G258" s="12"/>
      <c r="H258" s="11"/>
      <c r="I258" s="12"/>
      <c r="J258" s="11"/>
      <c r="K258" s="12"/>
      <c r="L258" s="11"/>
      <c r="M258" s="12"/>
    </row>
    <row r="259" spans="1:13" x14ac:dyDescent="0.25">
      <c r="A259" s="1">
        <v>256</v>
      </c>
      <c r="B259" s="7" t="str">
        <f t="shared" si="3"/>
        <v>Чт</v>
      </c>
      <c r="C259" s="8">
        <v>45533</v>
      </c>
      <c r="D259" s="9">
        <v>2100</v>
      </c>
      <c r="E259" s="10" t="s">
        <v>12</v>
      </c>
      <c r="F259" s="11">
        <v>1800</v>
      </c>
      <c r="G259" s="12" t="s">
        <v>12</v>
      </c>
      <c r="H259" s="11">
        <v>9600</v>
      </c>
      <c r="I259" s="12" t="s">
        <v>12</v>
      </c>
      <c r="J259" s="11">
        <v>13300</v>
      </c>
      <c r="K259" s="12" t="s">
        <v>12</v>
      </c>
      <c r="L259" s="11"/>
      <c r="M259" s="12"/>
    </row>
    <row r="260" spans="1:13" x14ac:dyDescent="0.25">
      <c r="A260" s="1">
        <v>257</v>
      </c>
      <c r="B260" s="7" t="str">
        <f t="shared" ref="B260:B323" si="4">IF(C260&lt;&gt;"",TEXT(C260,"ДДД"),"")</f>
        <v>Чт</v>
      </c>
      <c r="C260" s="8">
        <v>45533</v>
      </c>
      <c r="D260" s="9">
        <v>13100</v>
      </c>
      <c r="E260" s="10" t="s">
        <v>11</v>
      </c>
      <c r="F260" s="11">
        <v>7800</v>
      </c>
      <c r="G260" s="12" t="s">
        <v>11</v>
      </c>
      <c r="H260" s="11">
        <v>4700</v>
      </c>
      <c r="I260" s="12" t="s">
        <v>11</v>
      </c>
      <c r="J260" s="11">
        <v>10900</v>
      </c>
      <c r="K260" s="12" t="s">
        <v>11</v>
      </c>
      <c r="L260" s="11"/>
      <c r="M260" s="12"/>
    </row>
    <row r="261" spans="1:13" x14ac:dyDescent="0.25">
      <c r="A261" s="1">
        <v>258</v>
      </c>
      <c r="B261" s="7" t="str">
        <f t="shared" si="4"/>
        <v>Пт</v>
      </c>
      <c r="C261" s="8">
        <v>45534</v>
      </c>
      <c r="D261" s="9"/>
      <c r="E261" s="10"/>
      <c r="F261" s="11"/>
      <c r="G261" s="12"/>
      <c r="H261" s="11"/>
      <c r="I261" s="12"/>
      <c r="J261" s="11"/>
      <c r="K261" s="12"/>
      <c r="L261" s="11"/>
      <c r="M261" s="12"/>
    </row>
    <row r="262" spans="1:13" x14ac:dyDescent="0.25">
      <c r="A262" s="1">
        <v>259</v>
      </c>
      <c r="B262" s="7" t="str">
        <f t="shared" si="4"/>
        <v>Сб</v>
      </c>
      <c r="C262" s="8">
        <v>45535</v>
      </c>
      <c r="D262" s="9"/>
      <c r="E262" s="10"/>
      <c r="F262" s="11"/>
      <c r="G262" s="12"/>
      <c r="H262" s="11"/>
      <c r="I262" s="12"/>
      <c r="J262" s="11"/>
      <c r="K262" s="12"/>
      <c r="L262" s="11"/>
      <c r="M262" s="12"/>
    </row>
    <row r="263" spans="1:13" x14ac:dyDescent="0.25">
      <c r="A263" s="1">
        <v>260</v>
      </c>
      <c r="B263" s="7" t="str">
        <f t="shared" si="4"/>
        <v>Вс</v>
      </c>
      <c r="C263" s="8">
        <v>45536</v>
      </c>
      <c r="D263" s="9"/>
      <c r="E263" s="10"/>
      <c r="F263" s="11"/>
      <c r="G263" s="12"/>
      <c r="H263" s="11"/>
      <c r="I263" s="12"/>
      <c r="J263" s="11"/>
      <c r="K263" s="12"/>
      <c r="L263" s="11">
        <v>4300</v>
      </c>
      <c r="M263" s="12" t="s">
        <v>12</v>
      </c>
    </row>
    <row r="264" spans="1:13" x14ac:dyDescent="0.25">
      <c r="A264" s="1">
        <v>261</v>
      </c>
      <c r="B264" s="7" t="str">
        <f t="shared" si="4"/>
        <v>Пн</v>
      </c>
      <c r="C264" s="8">
        <v>45537</v>
      </c>
      <c r="D264" s="9"/>
      <c r="E264" s="10"/>
      <c r="F264" s="11"/>
      <c r="G264" s="12"/>
      <c r="H264" s="11"/>
      <c r="I264" s="12"/>
      <c r="J264" s="11"/>
      <c r="K264" s="12"/>
      <c r="L264" s="11">
        <v>5100</v>
      </c>
      <c r="M264" s="12" t="s">
        <v>11</v>
      </c>
    </row>
    <row r="265" spans="1:13" x14ac:dyDescent="0.25">
      <c r="A265" s="1">
        <v>262</v>
      </c>
      <c r="B265" s="7" t="str">
        <f t="shared" si="4"/>
        <v>Вт</v>
      </c>
      <c r="C265" s="8">
        <v>45538</v>
      </c>
      <c r="D265" s="9">
        <v>12000</v>
      </c>
      <c r="E265" s="10" t="s">
        <v>12</v>
      </c>
      <c r="F265" s="11">
        <f>5100+3200</f>
        <v>8300</v>
      </c>
      <c r="G265" s="12" t="s">
        <v>12</v>
      </c>
      <c r="H265" s="11">
        <v>13900</v>
      </c>
      <c r="I265" s="12" t="s">
        <v>12</v>
      </c>
      <c r="J265" s="11">
        <v>17100</v>
      </c>
      <c r="K265" s="12" t="s">
        <v>12</v>
      </c>
      <c r="L265" s="11"/>
      <c r="M265" s="12"/>
    </row>
    <row r="266" spans="1:13" x14ac:dyDescent="0.25">
      <c r="A266" s="1">
        <v>263</v>
      </c>
      <c r="B266" s="7" t="str">
        <f t="shared" si="4"/>
        <v>Ср</v>
      </c>
      <c r="C266" s="8">
        <v>45539</v>
      </c>
      <c r="D266" s="9"/>
      <c r="E266" s="10"/>
      <c r="F266" s="11">
        <v>5500</v>
      </c>
      <c r="G266" s="12" t="s">
        <v>11</v>
      </c>
      <c r="H266" s="11">
        <v>1000</v>
      </c>
      <c r="I266" s="12" t="s">
        <v>11</v>
      </c>
      <c r="J266" s="11">
        <v>6400</v>
      </c>
      <c r="K266" s="12" t="s">
        <v>11</v>
      </c>
      <c r="L266" s="11"/>
      <c r="M266" s="12"/>
    </row>
    <row r="267" spans="1:13" x14ac:dyDescent="0.25">
      <c r="A267" s="1">
        <v>264</v>
      </c>
      <c r="B267" s="7" t="str">
        <f t="shared" si="4"/>
        <v>Чт</v>
      </c>
      <c r="C267" s="8">
        <v>45540</v>
      </c>
      <c r="D267" s="9">
        <v>10300</v>
      </c>
      <c r="E267" s="10" t="s">
        <v>11</v>
      </c>
      <c r="F267" s="11"/>
      <c r="G267" s="12"/>
      <c r="H267" s="11"/>
      <c r="I267" s="12"/>
      <c r="J267" s="11"/>
      <c r="K267" s="12"/>
      <c r="L267" s="11"/>
      <c r="M267" s="12"/>
    </row>
    <row r="268" spans="1:13" x14ac:dyDescent="0.25">
      <c r="A268" s="1">
        <v>265</v>
      </c>
      <c r="B268" s="7" t="str">
        <f t="shared" si="4"/>
        <v>Чт</v>
      </c>
      <c r="C268" s="8">
        <v>45540</v>
      </c>
      <c r="D268" s="9">
        <v>5400</v>
      </c>
      <c r="E268" s="10" t="s">
        <v>12</v>
      </c>
      <c r="F268" s="11">
        <v>2600</v>
      </c>
      <c r="G268" s="12" t="s">
        <v>12</v>
      </c>
      <c r="H268" s="11">
        <v>9300</v>
      </c>
      <c r="I268" s="12" t="s">
        <v>12</v>
      </c>
      <c r="J268" s="11">
        <v>12400</v>
      </c>
      <c r="K268" s="12" t="s">
        <v>12</v>
      </c>
      <c r="L268" s="11"/>
      <c r="M268" s="12"/>
    </row>
    <row r="269" spans="1:13" x14ac:dyDescent="0.25">
      <c r="A269" s="1">
        <v>266</v>
      </c>
      <c r="B269" s="7" t="str">
        <f t="shared" si="4"/>
        <v>Пт</v>
      </c>
      <c r="C269" s="8">
        <v>45541</v>
      </c>
      <c r="D269" s="9"/>
      <c r="E269" s="10"/>
      <c r="F269" s="11"/>
      <c r="G269" s="12"/>
      <c r="H269" s="11"/>
      <c r="I269" s="12"/>
      <c r="J269" s="11"/>
      <c r="K269" s="12"/>
      <c r="L269" s="11"/>
      <c r="M269" s="12"/>
    </row>
    <row r="270" spans="1:13" x14ac:dyDescent="0.25">
      <c r="A270" s="1">
        <v>267</v>
      </c>
      <c r="B270" s="7" t="str">
        <f t="shared" si="4"/>
        <v>Сб</v>
      </c>
      <c r="C270" s="8">
        <v>45542</v>
      </c>
      <c r="D270" s="9"/>
      <c r="E270" s="10"/>
      <c r="F270" s="11"/>
      <c r="G270" s="12"/>
      <c r="H270" s="11"/>
      <c r="I270" s="12"/>
      <c r="J270" s="11"/>
      <c r="K270" s="12"/>
      <c r="L270" s="11"/>
      <c r="M270" s="12"/>
    </row>
    <row r="271" spans="1:13" x14ac:dyDescent="0.25">
      <c r="A271" s="1">
        <v>268</v>
      </c>
      <c r="B271" s="7" t="str">
        <f t="shared" si="4"/>
        <v>Вс</v>
      </c>
      <c r="C271" s="8">
        <v>45543</v>
      </c>
      <c r="D271" s="9"/>
      <c r="E271" s="10"/>
      <c r="F271" s="11"/>
      <c r="G271" s="12"/>
      <c r="H271" s="11"/>
      <c r="I271" s="12"/>
      <c r="J271" s="11"/>
      <c r="K271" s="12"/>
      <c r="L271" s="11">
        <v>1700</v>
      </c>
      <c r="M271" s="12" t="s">
        <v>12</v>
      </c>
    </row>
    <row r="272" spans="1:13" x14ac:dyDescent="0.25">
      <c r="A272" s="1">
        <v>269</v>
      </c>
      <c r="B272" s="7" t="str">
        <f t="shared" si="4"/>
        <v>Пн</v>
      </c>
      <c r="C272" s="8">
        <v>45544</v>
      </c>
      <c r="D272" s="9"/>
      <c r="E272" s="10"/>
      <c r="F272" s="11"/>
      <c r="G272" s="12"/>
      <c r="H272" s="11"/>
      <c r="I272" s="12"/>
      <c r="J272" s="11"/>
      <c r="K272" s="12"/>
      <c r="L272" s="11"/>
      <c r="M272" s="12"/>
    </row>
    <row r="273" spans="1:13" x14ac:dyDescent="0.25">
      <c r="A273" s="1">
        <v>270</v>
      </c>
      <c r="B273" s="7" t="str">
        <f t="shared" si="4"/>
        <v>Вт</v>
      </c>
      <c r="C273" s="8">
        <v>45545</v>
      </c>
      <c r="D273" s="9">
        <v>6300</v>
      </c>
      <c r="E273" s="10" t="s">
        <v>12</v>
      </c>
      <c r="F273" s="11">
        <v>4900</v>
      </c>
      <c r="G273" s="12" t="s">
        <v>12</v>
      </c>
      <c r="H273" s="11">
        <v>17400</v>
      </c>
      <c r="I273" s="12" t="s">
        <v>12</v>
      </c>
      <c r="J273" s="11">
        <v>17100</v>
      </c>
      <c r="K273" s="12" t="s">
        <v>12</v>
      </c>
      <c r="L273" s="11"/>
      <c r="M273" s="12"/>
    </row>
    <row r="274" spans="1:13" x14ac:dyDescent="0.25">
      <c r="A274" s="1">
        <v>271</v>
      </c>
      <c r="B274" s="7" t="str">
        <f t="shared" si="4"/>
        <v>Ср</v>
      </c>
      <c r="C274" s="8">
        <v>45546</v>
      </c>
      <c r="D274" s="9"/>
      <c r="E274" s="10"/>
      <c r="F274" s="11"/>
      <c r="G274" s="12"/>
      <c r="H274" s="11"/>
      <c r="I274" s="12"/>
      <c r="J274" s="11"/>
      <c r="K274" s="12"/>
      <c r="L274" s="11"/>
      <c r="M274" s="12"/>
    </row>
    <row r="275" spans="1:13" x14ac:dyDescent="0.25">
      <c r="A275" s="1">
        <v>272</v>
      </c>
      <c r="B275" s="7" t="str">
        <f t="shared" si="4"/>
        <v>Чт</v>
      </c>
      <c r="C275" s="8">
        <v>45547</v>
      </c>
      <c r="D275" s="9">
        <v>8800</v>
      </c>
      <c r="E275" s="10" t="s">
        <v>12</v>
      </c>
      <c r="F275" s="11">
        <v>3500</v>
      </c>
      <c r="G275" s="12" t="s">
        <v>12</v>
      </c>
      <c r="H275" s="11">
        <v>17200</v>
      </c>
      <c r="I275" s="12" t="s">
        <v>12</v>
      </c>
      <c r="J275" s="11">
        <v>13700</v>
      </c>
      <c r="K275" s="12" t="s">
        <v>12</v>
      </c>
      <c r="L275" s="11"/>
      <c r="M275" s="12"/>
    </row>
    <row r="276" spans="1:13" x14ac:dyDescent="0.25">
      <c r="A276" s="1">
        <v>273</v>
      </c>
      <c r="B276" s="7" t="str">
        <f t="shared" si="4"/>
        <v>Чт</v>
      </c>
      <c r="C276" s="8">
        <v>45547</v>
      </c>
      <c r="D276" s="9">
        <v>14800</v>
      </c>
      <c r="E276" s="10" t="s">
        <v>11</v>
      </c>
      <c r="F276" s="11">
        <v>4000</v>
      </c>
      <c r="G276" s="12" t="s">
        <v>11</v>
      </c>
      <c r="H276" s="11">
        <v>4600</v>
      </c>
      <c r="I276" s="12" t="s">
        <v>11</v>
      </c>
      <c r="J276" s="11">
        <v>3900</v>
      </c>
      <c r="K276" s="12" t="s">
        <v>11</v>
      </c>
      <c r="L276" s="11"/>
      <c r="M276" s="12"/>
    </row>
    <row r="277" spans="1:13" x14ac:dyDescent="0.25">
      <c r="A277" s="1">
        <v>274</v>
      </c>
      <c r="B277" s="7" t="str">
        <f t="shared" si="4"/>
        <v>Пт</v>
      </c>
      <c r="C277" s="8">
        <v>45548</v>
      </c>
      <c r="D277" s="9"/>
      <c r="E277" s="10"/>
      <c r="F277" s="11"/>
      <c r="G277" s="12"/>
      <c r="H277" s="11"/>
      <c r="I277" s="12"/>
      <c r="J277" s="11"/>
      <c r="K277" s="12"/>
      <c r="L277" s="11"/>
      <c r="M277" s="12"/>
    </row>
    <row r="278" spans="1:13" x14ac:dyDescent="0.25">
      <c r="A278" s="1">
        <v>275</v>
      </c>
      <c r="B278" s="7" t="str">
        <f t="shared" si="4"/>
        <v>Сб</v>
      </c>
      <c r="C278" s="8">
        <v>45549</v>
      </c>
      <c r="D278" s="9"/>
      <c r="E278" s="10"/>
      <c r="F278" s="11"/>
      <c r="G278" s="12"/>
      <c r="H278" s="11"/>
      <c r="I278" s="12"/>
      <c r="J278" s="11"/>
      <c r="K278" s="12"/>
      <c r="L278" s="11"/>
      <c r="M278" s="12"/>
    </row>
    <row r="279" spans="1:13" x14ac:dyDescent="0.25">
      <c r="A279" s="1">
        <v>276</v>
      </c>
      <c r="B279" s="7" t="str">
        <f t="shared" si="4"/>
        <v>Вс</v>
      </c>
      <c r="C279" s="8">
        <v>45550</v>
      </c>
      <c r="D279" s="9"/>
      <c r="E279" s="10"/>
      <c r="F279" s="11"/>
      <c r="G279" s="12"/>
      <c r="H279" s="11"/>
      <c r="I279" s="12"/>
      <c r="J279" s="11"/>
      <c r="K279" s="12"/>
      <c r="L279" s="11">
        <v>2400</v>
      </c>
      <c r="M279" s="12" t="s">
        <v>12</v>
      </c>
    </row>
    <row r="280" spans="1:13" x14ac:dyDescent="0.25">
      <c r="A280" s="1">
        <v>277</v>
      </c>
      <c r="B280" s="7" t="str">
        <f t="shared" si="4"/>
        <v>Пн</v>
      </c>
      <c r="C280" s="8">
        <v>45551</v>
      </c>
      <c r="D280" s="9"/>
      <c r="E280" s="10"/>
      <c r="F280" s="11"/>
      <c r="G280" s="12"/>
      <c r="H280" s="11"/>
      <c r="I280" s="12"/>
      <c r="J280" s="11"/>
      <c r="K280" s="12"/>
      <c r="L280" s="11"/>
      <c r="M280" s="12"/>
    </row>
    <row r="281" spans="1:13" x14ac:dyDescent="0.25">
      <c r="A281" s="1">
        <v>278</v>
      </c>
      <c r="B281" s="7" t="str">
        <f t="shared" si="4"/>
        <v>Вт</v>
      </c>
      <c r="C281" s="8">
        <v>45552</v>
      </c>
      <c r="D281" s="9">
        <v>9100</v>
      </c>
      <c r="E281" s="10" t="s">
        <v>12</v>
      </c>
      <c r="F281" s="11">
        <v>8500</v>
      </c>
      <c r="G281" s="12" t="s">
        <v>12</v>
      </c>
      <c r="H281" s="11">
        <f>6500+12500</f>
        <v>19000</v>
      </c>
      <c r="I281" s="12" t="s">
        <v>12</v>
      </c>
      <c r="J281" s="11">
        <f>17500+5200</f>
        <v>22700</v>
      </c>
      <c r="K281" s="12" t="s">
        <v>12</v>
      </c>
      <c r="L281" s="11"/>
      <c r="M281" s="12"/>
    </row>
    <row r="282" spans="1:13" x14ac:dyDescent="0.25">
      <c r="A282" s="1">
        <v>279</v>
      </c>
      <c r="B282" s="7" t="str">
        <f t="shared" si="4"/>
        <v>Ср</v>
      </c>
      <c r="C282" s="8">
        <v>45553</v>
      </c>
      <c r="D282" s="9"/>
      <c r="E282" s="10"/>
      <c r="F282" s="11"/>
      <c r="G282" s="12"/>
      <c r="H282" s="11"/>
      <c r="I282" s="12"/>
      <c r="J282" s="11"/>
      <c r="K282" s="12"/>
      <c r="L282" s="11"/>
      <c r="M282" s="12"/>
    </row>
    <row r="283" spans="1:13" x14ac:dyDescent="0.25">
      <c r="A283" s="1">
        <v>280</v>
      </c>
      <c r="B283" s="7" t="str">
        <f t="shared" si="4"/>
        <v>Чт</v>
      </c>
      <c r="C283" s="8">
        <v>45554</v>
      </c>
      <c r="D283" s="9">
        <v>9300</v>
      </c>
      <c r="E283" s="10" t="s">
        <v>12</v>
      </c>
      <c r="F283" s="11">
        <v>7600</v>
      </c>
      <c r="G283" s="12" t="s">
        <v>12</v>
      </c>
      <c r="H283" s="11">
        <v>17400</v>
      </c>
      <c r="I283" s="12" t="s">
        <v>12</v>
      </c>
      <c r="J283" s="11">
        <f>8100+10600</f>
        <v>18700</v>
      </c>
      <c r="K283" s="12" t="s">
        <v>12</v>
      </c>
      <c r="L283" s="11"/>
      <c r="M283" s="12"/>
    </row>
    <row r="284" spans="1:13" x14ac:dyDescent="0.25">
      <c r="A284" s="1">
        <v>281</v>
      </c>
      <c r="B284" s="7" t="str">
        <f t="shared" si="4"/>
        <v>Чт</v>
      </c>
      <c r="C284" s="8">
        <v>45554</v>
      </c>
      <c r="D284" s="9">
        <v>13600</v>
      </c>
      <c r="E284" s="10" t="s">
        <v>11</v>
      </c>
      <c r="F284" s="11">
        <v>9800</v>
      </c>
      <c r="G284" s="12" t="s">
        <v>11</v>
      </c>
      <c r="H284" s="11">
        <v>3400</v>
      </c>
      <c r="I284" s="12" t="s">
        <v>11</v>
      </c>
      <c r="J284" s="11">
        <v>11200</v>
      </c>
      <c r="K284" s="12" t="s">
        <v>11</v>
      </c>
      <c r="L284" s="11"/>
      <c r="M284" s="12"/>
    </row>
    <row r="285" spans="1:13" x14ac:dyDescent="0.25">
      <c r="A285" s="1">
        <v>282</v>
      </c>
      <c r="B285" s="7" t="str">
        <f t="shared" si="4"/>
        <v>Пт</v>
      </c>
      <c r="C285" s="8">
        <v>45555</v>
      </c>
      <c r="D285" s="9"/>
      <c r="E285" s="10"/>
      <c r="F285" s="11"/>
      <c r="G285" s="12"/>
      <c r="H285" s="11"/>
      <c r="I285" s="12"/>
      <c r="J285" s="11"/>
      <c r="K285" s="12"/>
      <c r="L285" s="11"/>
      <c r="M285" s="12"/>
    </row>
    <row r="286" spans="1:13" x14ac:dyDescent="0.25">
      <c r="A286" s="1">
        <v>283</v>
      </c>
      <c r="B286" s="7" t="str">
        <f t="shared" si="4"/>
        <v>Сб</v>
      </c>
      <c r="C286" s="8">
        <v>45556</v>
      </c>
      <c r="D286" s="9"/>
      <c r="E286" s="10"/>
      <c r="F286" s="11"/>
      <c r="G286" s="12"/>
      <c r="H286" s="11"/>
      <c r="I286" s="12"/>
      <c r="J286" s="11"/>
      <c r="K286" s="12"/>
      <c r="L286" s="11"/>
      <c r="M286" s="12"/>
    </row>
    <row r="287" spans="1:13" x14ac:dyDescent="0.25">
      <c r="A287" s="1">
        <v>284</v>
      </c>
      <c r="B287" s="7" t="str">
        <f t="shared" si="4"/>
        <v>Вс</v>
      </c>
      <c r="C287" s="8">
        <v>45557</v>
      </c>
      <c r="D287" s="9"/>
      <c r="E287" s="10"/>
      <c r="F287" s="11"/>
      <c r="G287" s="12"/>
      <c r="H287" s="11"/>
      <c r="I287" s="12"/>
      <c r="J287" s="11"/>
      <c r="K287" s="12"/>
      <c r="L287" s="11">
        <v>6700</v>
      </c>
      <c r="M287" s="12" t="s">
        <v>12</v>
      </c>
    </row>
    <row r="288" spans="1:13" x14ac:dyDescent="0.25">
      <c r="A288" s="1">
        <v>285</v>
      </c>
      <c r="B288" s="7" t="str">
        <f t="shared" si="4"/>
        <v>Пн</v>
      </c>
      <c r="C288" s="8">
        <v>45558</v>
      </c>
      <c r="D288" s="9"/>
      <c r="E288" s="10"/>
      <c r="F288" s="11"/>
      <c r="G288" s="12"/>
      <c r="H288" s="11"/>
      <c r="I288" s="12"/>
      <c r="J288" s="11"/>
      <c r="K288" s="12"/>
      <c r="L288" s="11"/>
      <c r="M288" s="12"/>
    </row>
    <row r="289" spans="1:13" x14ac:dyDescent="0.25">
      <c r="A289" s="1">
        <v>286</v>
      </c>
      <c r="B289" s="7" t="str">
        <f t="shared" si="4"/>
        <v>Вт</v>
      </c>
      <c r="C289" s="8">
        <v>45559</v>
      </c>
      <c r="D289" s="9"/>
      <c r="E289" s="10"/>
      <c r="F289" s="11"/>
      <c r="G289" s="12"/>
      <c r="H289" s="11"/>
      <c r="I289" s="12"/>
      <c r="J289" s="11"/>
      <c r="K289" s="12"/>
      <c r="L289" s="11"/>
      <c r="M289" s="12"/>
    </row>
    <row r="290" spans="1:13" x14ac:dyDescent="0.25">
      <c r="A290" s="1">
        <v>287</v>
      </c>
      <c r="B290" s="7" t="str">
        <f t="shared" si="4"/>
        <v>Ср</v>
      </c>
      <c r="C290" s="8">
        <v>45560</v>
      </c>
      <c r="D290" s="9"/>
      <c r="E290" s="10"/>
      <c r="F290" s="11"/>
      <c r="G290" s="12"/>
      <c r="H290" s="11"/>
      <c r="I290" s="12"/>
      <c r="J290" s="11"/>
      <c r="K290" s="12"/>
      <c r="L290" s="11">
        <v>5500</v>
      </c>
      <c r="M290" s="12" t="s">
        <v>11</v>
      </c>
    </row>
    <row r="291" spans="1:13" x14ac:dyDescent="0.25">
      <c r="A291" s="1">
        <v>288</v>
      </c>
      <c r="B291" s="7" t="str">
        <f t="shared" si="4"/>
        <v>Чт</v>
      </c>
      <c r="C291" s="8">
        <v>45561</v>
      </c>
      <c r="D291" s="9">
        <v>7300</v>
      </c>
      <c r="E291" s="10" t="s">
        <v>12</v>
      </c>
      <c r="F291" s="11">
        <v>3900</v>
      </c>
      <c r="G291" s="12" t="s">
        <v>12</v>
      </c>
      <c r="H291" s="11">
        <f>17100+3500</f>
        <v>20600</v>
      </c>
      <c r="I291" s="12" t="s">
        <v>12</v>
      </c>
      <c r="J291" s="11">
        <v>13600</v>
      </c>
      <c r="K291" s="12" t="s">
        <v>12</v>
      </c>
      <c r="L291" s="11"/>
      <c r="M291" s="12"/>
    </row>
    <row r="292" spans="1:13" x14ac:dyDescent="0.25">
      <c r="A292" s="1">
        <v>289</v>
      </c>
      <c r="B292" s="7" t="str">
        <f t="shared" si="4"/>
        <v>Чт</v>
      </c>
      <c r="C292" s="8">
        <v>45561</v>
      </c>
      <c r="D292" s="9">
        <v>8300</v>
      </c>
      <c r="E292" s="10" t="s">
        <v>11</v>
      </c>
      <c r="F292" s="11">
        <v>5500</v>
      </c>
      <c r="G292" s="12" t="s">
        <v>11</v>
      </c>
      <c r="H292" s="11">
        <v>3500</v>
      </c>
      <c r="I292" s="12" t="s">
        <v>11</v>
      </c>
      <c r="J292" s="11">
        <v>8500</v>
      </c>
      <c r="K292" s="12" t="s">
        <v>11</v>
      </c>
      <c r="L292" s="11"/>
      <c r="M292" s="12"/>
    </row>
    <row r="293" spans="1:13" x14ac:dyDescent="0.25">
      <c r="A293" s="1">
        <v>290</v>
      </c>
      <c r="B293" s="7" t="str">
        <f t="shared" si="4"/>
        <v>Пт</v>
      </c>
      <c r="C293" s="8">
        <v>45562</v>
      </c>
      <c r="D293" s="9"/>
      <c r="E293" s="10"/>
      <c r="F293" s="11"/>
      <c r="G293" s="12"/>
      <c r="H293" s="11"/>
      <c r="I293" s="12"/>
      <c r="J293" s="11"/>
      <c r="K293" s="12"/>
      <c r="L293" s="11"/>
      <c r="M293" s="12"/>
    </row>
    <row r="294" spans="1:13" x14ac:dyDescent="0.25">
      <c r="A294" s="1">
        <v>291</v>
      </c>
      <c r="B294" s="7" t="str">
        <f t="shared" si="4"/>
        <v>Сб</v>
      </c>
      <c r="C294" s="8">
        <v>45563</v>
      </c>
      <c r="D294" s="9"/>
      <c r="E294" s="10"/>
      <c r="F294" s="11"/>
      <c r="G294" s="12"/>
      <c r="H294" s="11"/>
      <c r="I294" s="12"/>
      <c r="J294" s="11"/>
      <c r="K294" s="12"/>
      <c r="L294" s="11"/>
      <c r="M294" s="12"/>
    </row>
    <row r="295" spans="1:13" x14ac:dyDescent="0.25">
      <c r="A295" s="1">
        <v>292</v>
      </c>
      <c r="B295" s="7" t="str">
        <f t="shared" si="4"/>
        <v>Вс</v>
      </c>
      <c r="C295" s="8">
        <v>45564</v>
      </c>
      <c r="D295" s="9"/>
      <c r="E295" s="10"/>
      <c r="F295" s="11"/>
      <c r="G295" s="12"/>
      <c r="H295" s="11"/>
      <c r="I295" s="12"/>
      <c r="J295" s="11"/>
      <c r="K295" s="12"/>
      <c r="L295" s="11">
        <v>3900</v>
      </c>
      <c r="M295" s="12" t="s">
        <v>12</v>
      </c>
    </row>
    <row r="296" spans="1:13" x14ac:dyDescent="0.25">
      <c r="A296" s="1">
        <v>293</v>
      </c>
      <c r="B296" s="7" t="str">
        <f t="shared" si="4"/>
        <v>Пн</v>
      </c>
      <c r="C296" s="8">
        <v>45565</v>
      </c>
      <c r="D296" s="9"/>
      <c r="E296" s="10"/>
      <c r="F296" s="11"/>
      <c r="G296" s="12"/>
      <c r="H296" s="11"/>
      <c r="I296" s="12"/>
      <c r="J296" s="11"/>
      <c r="K296" s="12"/>
      <c r="L296" s="11"/>
      <c r="M296" s="12"/>
    </row>
    <row r="297" spans="1:13" x14ac:dyDescent="0.25">
      <c r="A297" s="1">
        <v>294</v>
      </c>
      <c r="B297" s="7" t="str">
        <f t="shared" si="4"/>
        <v>Вт</v>
      </c>
      <c r="C297" s="8">
        <v>45566</v>
      </c>
      <c r="D297" s="9">
        <f>9000+2100</f>
        <v>11100</v>
      </c>
      <c r="E297" s="10" t="s">
        <v>12</v>
      </c>
      <c r="F297" s="11">
        <v>7800</v>
      </c>
      <c r="G297" s="12" t="s">
        <v>12</v>
      </c>
      <c r="H297" s="11">
        <v>14100</v>
      </c>
      <c r="I297" s="12" t="s">
        <v>12</v>
      </c>
      <c r="J297" s="11">
        <v>17300</v>
      </c>
      <c r="K297" s="12" t="s">
        <v>12</v>
      </c>
      <c r="L297" s="11"/>
      <c r="M297" s="12"/>
    </row>
    <row r="298" spans="1:13" x14ac:dyDescent="0.25">
      <c r="A298" s="1">
        <v>295</v>
      </c>
      <c r="B298" s="7" t="str">
        <f t="shared" si="4"/>
        <v>Ср</v>
      </c>
      <c r="C298" s="8">
        <v>45567</v>
      </c>
      <c r="D298" s="9"/>
      <c r="E298" s="10"/>
      <c r="F298" s="11"/>
      <c r="G298" s="12"/>
      <c r="H298" s="11"/>
      <c r="I298" s="12"/>
      <c r="J298" s="11"/>
      <c r="K298" s="12"/>
      <c r="L298" s="11"/>
      <c r="M298" s="12"/>
    </row>
    <row r="299" spans="1:13" x14ac:dyDescent="0.25">
      <c r="A299" s="1">
        <v>296</v>
      </c>
      <c r="B299" s="7" t="str">
        <f t="shared" si="4"/>
        <v>Чт</v>
      </c>
      <c r="C299" s="8">
        <v>45568</v>
      </c>
      <c r="D299" s="9">
        <v>5800</v>
      </c>
      <c r="E299" s="10" t="s">
        <v>12</v>
      </c>
      <c r="F299" s="11">
        <v>4200</v>
      </c>
      <c r="G299" s="12" t="s">
        <v>12</v>
      </c>
      <c r="H299" s="11">
        <v>12900</v>
      </c>
      <c r="I299" s="12" t="s">
        <v>12</v>
      </c>
      <c r="J299" s="11">
        <v>17200</v>
      </c>
      <c r="K299" s="12" t="s">
        <v>12</v>
      </c>
      <c r="L299" s="11"/>
      <c r="M299" s="12"/>
    </row>
    <row r="300" spans="1:13" x14ac:dyDescent="0.25">
      <c r="A300" s="1">
        <v>297</v>
      </c>
      <c r="B300" s="7" t="str">
        <f t="shared" si="4"/>
        <v>Чт</v>
      </c>
      <c r="C300" s="8">
        <v>45568</v>
      </c>
      <c r="D300" s="9">
        <f>12000+300+4900</f>
        <v>17200</v>
      </c>
      <c r="E300" s="10" t="s">
        <v>11</v>
      </c>
      <c r="F300" s="11">
        <v>7600</v>
      </c>
      <c r="G300" s="12" t="s">
        <v>11</v>
      </c>
      <c r="H300" s="11">
        <v>7200</v>
      </c>
      <c r="I300" s="12" t="s">
        <v>11</v>
      </c>
      <c r="J300" s="11">
        <v>4900</v>
      </c>
      <c r="K300" s="12" t="s">
        <v>11</v>
      </c>
      <c r="L300" s="11"/>
      <c r="M300" s="12"/>
    </row>
    <row r="301" spans="1:13" x14ac:dyDescent="0.25">
      <c r="A301" s="1">
        <v>298</v>
      </c>
      <c r="B301" s="7" t="str">
        <f t="shared" si="4"/>
        <v>Пт</v>
      </c>
      <c r="C301" s="8">
        <v>45569</v>
      </c>
      <c r="D301" s="9"/>
      <c r="E301" s="10"/>
      <c r="F301" s="11"/>
      <c r="G301" s="12"/>
      <c r="H301" s="11"/>
      <c r="I301" s="12"/>
      <c r="J301" s="11"/>
      <c r="K301" s="12"/>
      <c r="L301" s="11"/>
      <c r="M301" s="12"/>
    </row>
    <row r="302" spans="1:13" x14ac:dyDescent="0.25">
      <c r="A302" s="1">
        <v>299</v>
      </c>
      <c r="B302" s="7" t="str">
        <f t="shared" si="4"/>
        <v>Сб</v>
      </c>
      <c r="C302" s="8">
        <v>45570</v>
      </c>
      <c r="D302" s="9"/>
      <c r="E302" s="10"/>
      <c r="F302" s="11"/>
      <c r="G302" s="12"/>
      <c r="H302" s="11"/>
      <c r="I302" s="12"/>
      <c r="J302" s="11"/>
      <c r="K302" s="12"/>
      <c r="L302" s="11"/>
      <c r="M302" s="12"/>
    </row>
    <row r="303" spans="1:13" x14ac:dyDescent="0.25">
      <c r="A303" s="1">
        <v>300</v>
      </c>
      <c r="B303" s="7" t="str">
        <f t="shared" si="4"/>
        <v>Вс</v>
      </c>
      <c r="C303" s="8">
        <v>45571</v>
      </c>
      <c r="D303" s="9"/>
      <c r="E303" s="10"/>
      <c r="F303" s="11"/>
      <c r="G303" s="12"/>
      <c r="H303" s="11"/>
      <c r="I303" s="12"/>
      <c r="J303" s="11"/>
      <c r="K303" s="12"/>
      <c r="L303" s="11">
        <v>5000</v>
      </c>
      <c r="M303" s="12" t="s">
        <v>12</v>
      </c>
    </row>
    <row r="304" spans="1:13" x14ac:dyDescent="0.25">
      <c r="A304" s="1">
        <v>301</v>
      </c>
      <c r="B304" s="7" t="str">
        <f t="shared" si="4"/>
        <v>Пн</v>
      </c>
      <c r="C304" s="8">
        <v>45572</v>
      </c>
      <c r="D304" s="9"/>
      <c r="E304" s="10"/>
      <c r="F304" s="11"/>
      <c r="G304" s="12"/>
      <c r="H304" s="11"/>
      <c r="I304" s="12"/>
      <c r="J304" s="11"/>
      <c r="K304" s="12"/>
      <c r="L304" s="11"/>
      <c r="M304" s="12"/>
    </row>
    <row r="305" spans="1:13" x14ac:dyDescent="0.25">
      <c r="A305" s="1">
        <v>302</v>
      </c>
      <c r="B305" s="7" t="str">
        <f t="shared" si="4"/>
        <v>Вт</v>
      </c>
      <c r="C305" s="8">
        <v>45573</v>
      </c>
      <c r="D305" s="9">
        <v>5900</v>
      </c>
      <c r="E305" s="10" t="s">
        <v>12</v>
      </c>
      <c r="F305" s="11">
        <v>4600</v>
      </c>
      <c r="G305" s="12" t="s">
        <v>12</v>
      </c>
      <c r="H305" s="11">
        <f>17400+3600</f>
        <v>21000</v>
      </c>
      <c r="I305" s="12" t="s">
        <v>12</v>
      </c>
      <c r="J305" s="11">
        <v>13700</v>
      </c>
      <c r="K305" s="12" t="s">
        <v>12</v>
      </c>
      <c r="L305" s="11"/>
      <c r="M305" s="12"/>
    </row>
    <row r="306" spans="1:13" x14ac:dyDescent="0.25">
      <c r="A306" s="1">
        <v>303</v>
      </c>
      <c r="B306" s="7" t="str">
        <f t="shared" si="4"/>
        <v>Ср</v>
      </c>
      <c r="C306" s="8">
        <v>45574</v>
      </c>
      <c r="D306" s="9"/>
      <c r="E306" s="10"/>
      <c r="F306" s="11"/>
      <c r="G306" s="12"/>
      <c r="H306" s="11"/>
      <c r="I306" s="12"/>
      <c r="J306" s="11"/>
      <c r="K306" s="12"/>
      <c r="L306" s="11"/>
      <c r="M306" s="12"/>
    </row>
    <row r="307" spans="1:13" x14ac:dyDescent="0.25">
      <c r="A307" s="1">
        <v>304</v>
      </c>
      <c r="B307" s="7" t="str">
        <f t="shared" si="4"/>
        <v>Чт</v>
      </c>
      <c r="C307" s="8">
        <v>45575</v>
      </c>
      <c r="D307" s="9">
        <v>7700</v>
      </c>
      <c r="E307" s="10" t="s">
        <v>12</v>
      </c>
      <c r="F307" s="11">
        <v>1600</v>
      </c>
      <c r="G307" s="12" t="s">
        <v>12</v>
      </c>
      <c r="H307" s="11">
        <v>5700</v>
      </c>
      <c r="I307" s="12" t="s">
        <v>12</v>
      </c>
      <c r="J307" s="11">
        <v>8200</v>
      </c>
      <c r="K307" s="12" t="s">
        <v>12</v>
      </c>
      <c r="L307" s="11"/>
      <c r="M307" s="12"/>
    </row>
    <row r="308" spans="1:13" x14ac:dyDescent="0.25">
      <c r="A308" s="1">
        <v>305</v>
      </c>
      <c r="B308" s="7" t="str">
        <f t="shared" si="4"/>
        <v>Чт</v>
      </c>
      <c r="C308" s="8">
        <v>45575</v>
      </c>
      <c r="D308" s="9">
        <v>9900</v>
      </c>
      <c r="E308" s="10" t="s">
        <v>11</v>
      </c>
      <c r="F308" s="11">
        <v>6800</v>
      </c>
      <c r="G308" s="12" t="s">
        <v>11</v>
      </c>
      <c r="H308" s="11">
        <v>3300</v>
      </c>
      <c r="I308" s="12" t="s">
        <v>11</v>
      </c>
      <c r="J308" s="11">
        <v>5600</v>
      </c>
      <c r="K308" s="12" t="s">
        <v>11</v>
      </c>
      <c r="L308" s="11"/>
      <c r="M308" s="12"/>
    </row>
    <row r="309" spans="1:13" x14ac:dyDescent="0.25">
      <c r="A309" s="1">
        <v>306</v>
      </c>
      <c r="B309" s="7" t="str">
        <f t="shared" si="4"/>
        <v>Пт</v>
      </c>
      <c r="C309" s="8">
        <v>45576</v>
      </c>
      <c r="D309" s="9"/>
      <c r="E309" s="10"/>
      <c r="F309" s="11"/>
      <c r="G309" s="12"/>
      <c r="H309" s="11"/>
      <c r="I309" s="12"/>
      <c r="J309" s="11"/>
      <c r="K309" s="12"/>
      <c r="L309" s="11"/>
      <c r="M309" s="12"/>
    </row>
    <row r="310" spans="1:13" x14ac:dyDescent="0.25">
      <c r="A310" s="1">
        <v>307</v>
      </c>
      <c r="B310" s="7" t="str">
        <f t="shared" si="4"/>
        <v>Сб</v>
      </c>
      <c r="C310" s="8">
        <v>45577</v>
      </c>
      <c r="D310" s="9"/>
      <c r="E310" s="10"/>
      <c r="F310" s="11"/>
      <c r="G310" s="12"/>
      <c r="H310" s="11"/>
      <c r="I310" s="12"/>
      <c r="J310" s="11"/>
      <c r="K310" s="12"/>
      <c r="L310" s="11"/>
      <c r="M310" s="12"/>
    </row>
    <row r="311" spans="1:13" x14ac:dyDescent="0.25">
      <c r="A311" s="1">
        <v>308</v>
      </c>
      <c r="B311" s="7" t="str">
        <f t="shared" si="4"/>
        <v>Вс</v>
      </c>
      <c r="C311" s="8">
        <v>45578</v>
      </c>
      <c r="D311" s="9"/>
      <c r="E311" s="10"/>
      <c r="F311" s="11"/>
      <c r="G311" s="12"/>
      <c r="H311" s="11"/>
      <c r="I311" s="12"/>
      <c r="J311" s="11"/>
      <c r="K311" s="12"/>
      <c r="L311" s="11">
        <v>2500</v>
      </c>
      <c r="M311" s="12" t="s">
        <v>12</v>
      </c>
    </row>
    <row r="312" spans="1:13" x14ac:dyDescent="0.25">
      <c r="A312" s="1">
        <v>309</v>
      </c>
      <c r="B312" s="7" t="str">
        <f t="shared" si="4"/>
        <v>Пн</v>
      </c>
      <c r="C312" s="8">
        <v>45579</v>
      </c>
      <c r="D312" s="9"/>
      <c r="E312" s="10"/>
      <c r="F312" s="11"/>
      <c r="G312" s="12"/>
      <c r="H312" s="11"/>
      <c r="I312" s="12"/>
      <c r="J312" s="11"/>
      <c r="K312" s="12"/>
      <c r="L312" s="11"/>
      <c r="M312" s="12"/>
    </row>
    <row r="313" spans="1:13" x14ac:dyDescent="0.25">
      <c r="A313" s="1">
        <v>310</v>
      </c>
      <c r="B313" s="7" t="str">
        <f t="shared" si="4"/>
        <v>Вт</v>
      </c>
      <c r="C313" s="8">
        <v>45580</v>
      </c>
      <c r="D313" s="9">
        <v>6400</v>
      </c>
      <c r="E313" s="10" t="s">
        <v>12</v>
      </c>
      <c r="F313" s="11">
        <v>8600</v>
      </c>
      <c r="G313" s="12" t="s">
        <v>12</v>
      </c>
      <c r="H313" s="11">
        <v>11100</v>
      </c>
      <c r="I313" s="12" t="s">
        <v>12</v>
      </c>
      <c r="J313" s="11">
        <f>17500+8900</f>
        <v>26400</v>
      </c>
      <c r="K313" s="12" t="s">
        <v>12</v>
      </c>
      <c r="L313" s="11"/>
      <c r="M313" s="12"/>
    </row>
    <row r="314" spans="1:13" x14ac:dyDescent="0.25">
      <c r="A314" s="1">
        <v>311</v>
      </c>
      <c r="B314" s="7" t="str">
        <f t="shared" si="4"/>
        <v>Ср</v>
      </c>
      <c r="C314" s="8">
        <v>45581</v>
      </c>
      <c r="D314" s="9"/>
      <c r="E314" s="10"/>
      <c r="F314" s="11"/>
      <c r="G314" s="12"/>
      <c r="H314" s="11"/>
      <c r="I314" s="12"/>
      <c r="J314" s="11"/>
      <c r="K314" s="12"/>
      <c r="L314" s="11"/>
      <c r="M314" s="12"/>
    </row>
    <row r="315" spans="1:13" x14ac:dyDescent="0.25">
      <c r="A315" s="1">
        <v>312</v>
      </c>
      <c r="B315" s="7" t="str">
        <f t="shared" si="4"/>
        <v>Чт</v>
      </c>
      <c r="C315" s="8">
        <v>45582</v>
      </c>
      <c r="D315" s="9">
        <v>2200</v>
      </c>
      <c r="E315" s="10" t="s">
        <v>12</v>
      </c>
      <c r="F315" s="11">
        <v>5500</v>
      </c>
      <c r="G315" s="12" t="s">
        <v>12</v>
      </c>
      <c r="H315" s="11">
        <v>6100</v>
      </c>
      <c r="I315" s="12" t="s">
        <v>12</v>
      </c>
      <c r="J315" s="11">
        <v>12000</v>
      </c>
      <c r="K315" s="12" t="s">
        <v>12</v>
      </c>
      <c r="L315" s="11"/>
      <c r="M315" s="12"/>
    </row>
    <row r="316" spans="1:13" x14ac:dyDescent="0.25">
      <c r="A316" s="1">
        <v>313</v>
      </c>
      <c r="B316" s="7" t="str">
        <f t="shared" si="4"/>
        <v>Чт</v>
      </c>
      <c r="C316" s="8">
        <v>45582</v>
      </c>
      <c r="D316" s="9">
        <v>11000</v>
      </c>
      <c r="E316" s="10" t="s">
        <v>11</v>
      </c>
      <c r="F316" s="11">
        <f>2800+5700</f>
        <v>8500</v>
      </c>
      <c r="G316" s="12" t="s">
        <v>11</v>
      </c>
      <c r="H316" s="11">
        <v>9300</v>
      </c>
      <c r="I316" s="12" t="s">
        <v>11</v>
      </c>
      <c r="J316" s="11">
        <v>8300</v>
      </c>
      <c r="K316" s="12" t="s">
        <v>11</v>
      </c>
      <c r="L316" s="11"/>
      <c r="M316" s="12"/>
    </row>
    <row r="317" spans="1:13" x14ac:dyDescent="0.25">
      <c r="A317" s="1">
        <v>314</v>
      </c>
      <c r="B317" s="7" t="str">
        <f t="shared" si="4"/>
        <v>Пт</v>
      </c>
      <c r="C317" s="8">
        <v>45583</v>
      </c>
      <c r="D317" s="9"/>
      <c r="E317" s="10"/>
      <c r="F317" s="11"/>
      <c r="G317" s="12"/>
      <c r="H317" s="11"/>
      <c r="I317" s="12"/>
      <c r="J317" s="11"/>
      <c r="K317" s="12"/>
      <c r="L317" s="11"/>
      <c r="M317" s="12"/>
    </row>
    <row r="318" spans="1:13" x14ac:dyDescent="0.25">
      <c r="A318" s="1">
        <v>315</v>
      </c>
      <c r="B318" s="7" t="str">
        <f t="shared" si="4"/>
        <v>Сб</v>
      </c>
      <c r="C318" s="8">
        <v>45584</v>
      </c>
      <c r="D318" s="9"/>
      <c r="E318" s="10"/>
      <c r="F318" s="11"/>
      <c r="G318" s="12"/>
      <c r="H318" s="11"/>
      <c r="I318" s="12"/>
      <c r="J318" s="11"/>
      <c r="K318" s="12"/>
      <c r="L318" s="11"/>
      <c r="M318" s="12"/>
    </row>
    <row r="319" spans="1:13" x14ac:dyDescent="0.25">
      <c r="A319" s="1">
        <v>316</v>
      </c>
      <c r="B319" s="7" t="str">
        <f t="shared" si="4"/>
        <v>Вс</v>
      </c>
      <c r="C319" s="8">
        <v>45585</v>
      </c>
      <c r="D319" s="9"/>
      <c r="E319" s="10"/>
      <c r="F319" s="11"/>
      <c r="G319" s="12"/>
      <c r="H319" s="11"/>
      <c r="I319" s="12"/>
      <c r="J319" s="11"/>
      <c r="K319" s="12"/>
      <c r="L319" s="11">
        <v>2600</v>
      </c>
      <c r="M319" s="12" t="s">
        <v>12</v>
      </c>
    </row>
    <row r="320" spans="1:13" x14ac:dyDescent="0.25">
      <c r="A320" s="1">
        <v>317</v>
      </c>
      <c r="B320" s="7" t="str">
        <f t="shared" si="4"/>
        <v>Пн</v>
      </c>
      <c r="C320" s="8">
        <v>45586</v>
      </c>
      <c r="D320" s="9"/>
      <c r="E320" s="10"/>
      <c r="F320" s="11"/>
      <c r="G320" s="12"/>
      <c r="H320" s="11"/>
      <c r="I320" s="12"/>
      <c r="J320" s="11"/>
      <c r="K320" s="12"/>
      <c r="L320" s="11">
        <v>4700</v>
      </c>
      <c r="M320" s="12" t="s">
        <v>11</v>
      </c>
    </row>
    <row r="321" spans="1:13" x14ac:dyDescent="0.25">
      <c r="A321" s="1">
        <v>318</v>
      </c>
      <c r="B321" s="7" t="str">
        <f t="shared" si="4"/>
        <v>Вт</v>
      </c>
      <c r="C321" s="8">
        <v>45587</v>
      </c>
      <c r="D321" s="9">
        <v>11200</v>
      </c>
      <c r="E321" s="10" t="s">
        <v>12</v>
      </c>
      <c r="F321" s="11">
        <v>6000</v>
      </c>
      <c r="G321" s="12" t="s">
        <v>12</v>
      </c>
      <c r="H321" s="11">
        <f>13000+2500</f>
        <v>15500</v>
      </c>
      <c r="I321" s="12" t="s">
        <v>12</v>
      </c>
      <c r="J321" s="11">
        <v>17500</v>
      </c>
      <c r="K321" s="12" t="s">
        <v>12</v>
      </c>
      <c r="L321" s="11"/>
      <c r="M321" s="12"/>
    </row>
    <row r="322" spans="1:13" x14ac:dyDescent="0.25">
      <c r="A322" s="1">
        <v>319</v>
      </c>
      <c r="B322" s="7" t="str">
        <f t="shared" si="4"/>
        <v>Ср</v>
      </c>
      <c r="C322" s="8">
        <v>45588</v>
      </c>
      <c r="D322" s="9"/>
      <c r="E322" s="10"/>
      <c r="F322" s="11"/>
      <c r="G322" s="12"/>
      <c r="H322" s="11"/>
      <c r="I322" s="12"/>
      <c r="J322" s="11"/>
      <c r="K322" s="12"/>
      <c r="L322" s="11"/>
      <c r="M322" s="12"/>
    </row>
    <row r="323" spans="1:13" x14ac:dyDescent="0.25">
      <c r="A323" s="1">
        <v>320</v>
      </c>
      <c r="B323" s="7" t="str">
        <f t="shared" si="4"/>
        <v>Чт</v>
      </c>
      <c r="C323" s="8">
        <v>45589</v>
      </c>
      <c r="D323" s="9">
        <v>3100</v>
      </c>
      <c r="E323" s="10" t="s">
        <v>12</v>
      </c>
      <c r="F323" s="11">
        <v>1800</v>
      </c>
      <c r="G323" s="12" t="s">
        <v>12</v>
      </c>
      <c r="H323" s="11">
        <v>6500</v>
      </c>
      <c r="I323" s="12" t="s">
        <v>12</v>
      </c>
      <c r="J323" s="11">
        <v>15700</v>
      </c>
      <c r="K323" s="12" t="s">
        <v>12</v>
      </c>
      <c r="L323" s="11"/>
      <c r="M323" s="12"/>
    </row>
    <row r="324" spans="1:13" x14ac:dyDescent="0.25">
      <c r="A324" s="1">
        <v>321</v>
      </c>
      <c r="B324" s="7" t="str">
        <f t="shared" ref="B324:B387" si="5">IF(C324&lt;&gt;"",TEXT(C324,"ДДД"),"")</f>
        <v>Чт</v>
      </c>
      <c r="C324" s="8">
        <v>45589</v>
      </c>
      <c r="D324" s="9">
        <v>10900</v>
      </c>
      <c r="E324" s="10" t="s">
        <v>11</v>
      </c>
      <c r="F324" s="11">
        <v>5600</v>
      </c>
      <c r="G324" s="12" t="s">
        <v>11</v>
      </c>
      <c r="H324" s="11">
        <v>3300</v>
      </c>
      <c r="I324" s="12" t="s">
        <v>11</v>
      </c>
      <c r="J324" s="11">
        <v>10000</v>
      </c>
      <c r="K324" s="12" t="s">
        <v>11</v>
      </c>
      <c r="L324" s="11"/>
      <c r="M324" s="12"/>
    </row>
    <row r="325" spans="1:13" x14ac:dyDescent="0.25">
      <c r="A325" s="1">
        <v>322</v>
      </c>
      <c r="B325" s="7" t="str">
        <f t="shared" si="5"/>
        <v>Пт</v>
      </c>
      <c r="C325" s="8">
        <v>45590</v>
      </c>
      <c r="D325" s="9"/>
      <c r="E325" s="10"/>
      <c r="F325" s="11"/>
      <c r="G325" s="12"/>
      <c r="H325" s="11"/>
      <c r="I325" s="12"/>
      <c r="J325" s="11"/>
      <c r="K325" s="12"/>
      <c r="L325" s="11"/>
      <c r="M325" s="12"/>
    </row>
    <row r="326" spans="1:13" x14ac:dyDescent="0.25">
      <c r="A326" s="1">
        <v>323</v>
      </c>
      <c r="B326" s="7" t="str">
        <f t="shared" si="5"/>
        <v>Сб</v>
      </c>
      <c r="C326" s="8">
        <v>45591</v>
      </c>
      <c r="D326" s="9"/>
      <c r="E326" s="10"/>
      <c r="F326" s="11"/>
      <c r="G326" s="12"/>
      <c r="H326" s="11"/>
      <c r="I326" s="12"/>
      <c r="J326" s="11"/>
      <c r="K326" s="12"/>
      <c r="L326" s="11"/>
      <c r="M326" s="12"/>
    </row>
    <row r="327" spans="1:13" x14ac:dyDescent="0.25">
      <c r="A327" s="1">
        <v>324</v>
      </c>
      <c r="B327" s="7" t="str">
        <f t="shared" si="5"/>
        <v>Вс</v>
      </c>
      <c r="C327" s="8">
        <v>45592</v>
      </c>
      <c r="D327" s="9"/>
      <c r="E327" s="10"/>
      <c r="F327" s="11"/>
      <c r="G327" s="12"/>
      <c r="H327" s="11"/>
      <c r="I327" s="12"/>
      <c r="J327" s="11"/>
      <c r="K327" s="12"/>
      <c r="L327" s="11">
        <v>1300</v>
      </c>
      <c r="M327" s="12" t="s">
        <v>12</v>
      </c>
    </row>
    <row r="328" spans="1:13" x14ac:dyDescent="0.25">
      <c r="A328" s="1">
        <v>325</v>
      </c>
      <c r="B328" s="7" t="str">
        <f t="shared" si="5"/>
        <v>Пн</v>
      </c>
      <c r="C328" s="8">
        <v>45593</v>
      </c>
      <c r="D328" s="9"/>
      <c r="E328" s="10"/>
      <c r="F328" s="11"/>
      <c r="G328" s="12"/>
      <c r="H328" s="11"/>
      <c r="I328" s="12"/>
      <c r="J328" s="11"/>
      <c r="K328" s="12"/>
      <c r="L328" s="11"/>
      <c r="M328" s="12"/>
    </row>
    <row r="329" spans="1:13" x14ac:dyDescent="0.25">
      <c r="A329" s="1">
        <v>326</v>
      </c>
      <c r="B329" s="7" t="str">
        <f t="shared" si="5"/>
        <v>Вт</v>
      </c>
      <c r="C329" s="8">
        <v>45594</v>
      </c>
      <c r="D329" s="9">
        <v>6400</v>
      </c>
      <c r="E329" s="10" t="s">
        <v>12</v>
      </c>
      <c r="F329" s="11">
        <f>3300+3500</f>
        <v>6800</v>
      </c>
      <c r="G329" s="12" t="s">
        <v>12</v>
      </c>
      <c r="H329" s="11">
        <f>12600+13600</f>
        <v>26200</v>
      </c>
      <c r="I329" s="12" t="s">
        <v>12</v>
      </c>
      <c r="J329" s="11">
        <v>17000</v>
      </c>
      <c r="K329" s="12" t="s">
        <v>12</v>
      </c>
      <c r="L329" s="11"/>
      <c r="M329" s="12"/>
    </row>
    <row r="330" spans="1:13" x14ac:dyDescent="0.25">
      <c r="A330" s="1">
        <v>327</v>
      </c>
      <c r="B330" s="7" t="str">
        <f t="shared" si="5"/>
        <v>Ср</v>
      </c>
      <c r="C330" s="8">
        <v>45595</v>
      </c>
      <c r="D330" s="9"/>
      <c r="E330" s="10"/>
      <c r="F330" s="11"/>
      <c r="G330" s="12"/>
      <c r="H330" s="11"/>
      <c r="I330" s="12"/>
      <c r="J330" s="11"/>
      <c r="K330" s="12"/>
      <c r="L330" s="11"/>
      <c r="M330" s="12"/>
    </row>
    <row r="331" spans="1:13" x14ac:dyDescent="0.25">
      <c r="A331" s="1">
        <v>328</v>
      </c>
      <c r="B331" s="7" t="str">
        <f t="shared" si="5"/>
        <v>Чт</v>
      </c>
      <c r="C331" s="8">
        <v>45596</v>
      </c>
      <c r="D331" s="9">
        <v>2900</v>
      </c>
      <c r="E331" s="10" t="s">
        <v>12</v>
      </c>
      <c r="F331" s="11">
        <v>1500</v>
      </c>
      <c r="G331" s="12" t="s">
        <v>12</v>
      </c>
      <c r="H331" s="11">
        <v>9800</v>
      </c>
      <c r="I331" s="12" t="s">
        <v>12</v>
      </c>
      <c r="J331" s="11">
        <v>12800</v>
      </c>
      <c r="K331" s="12" t="s">
        <v>12</v>
      </c>
      <c r="L331" s="11"/>
      <c r="M331" s="12"/>
    </row>
    <row r="332" spans="1:13" x14ac:dyDescent="0.25">
      <c r="A332" s="1">
        <v>329</v>
      </c>
      <c r="B332" s="7" t="str">
        <f t="shared" si="5"/>
        <v>Чт</v>
      </c>
      <c r="C332" s="8">
        <v>45596</v>
      </c>
      <c r="D332" s="9">
        <v>7600</v>
      </c>
      <c r="E332" s="10" t="s">
        <v>11</v>
      </c>
      <c r="F332" s="11">
        <v>5500</v>
      </c>
      <c r="G332" s="12" t="s">
        <v>11</v>
      </c>
      <c r="H332" s="11">
        <v>4900</v>
      </c>
      <c r="I332" s="12" t="s">
        <v>11</v>
      </c>
      <c r="J332" s="11">
        <v>7900</v>
      </c>
      <c r="K332" s="12" t="s">
        <v>11</v>
      </c>
      <c r="L332" s="11"/>
      <c r="M332" s="12"/>
    </row>
    <row r="333" spans="1:13" x14ac:dyDescent="0.25">
      <c r="A333" s="1">
        <v>330</v>
      </c>
      <c r="B333" s="7" t="str">
        <f t="shared" si="5"/>
        <v>Пт</v>
      </c>
      <c r="C333" s="8">
        <v>45597</v>
      </c>
      <c r="D333" s="9"/>
      <c r="E333" s="10"/>
      <c r="F333" s="11"/>
      <c r="G333" s="12"/>
      <c r="H333" s="11"/>
      <c r="I333" s="12"/>
      <c r="J333" s="11"/>
      <c r="K333" s="12"/>
      <c r="L333" s="11"/>
      <c r="M333" s="12"/>
    </row>
    <row r="334" spans="1:13" x14ac:dyDescent="0.25">
      <c r="A334" s="1">
        <v>331</v>
      </c>
      <c r="B334" s="7" t="str">
        <f t="shared" si="5"/>
        <v>Сб</v>
      </c>
      <c r="C334" s="8">
        <v>45598</v>
      </c>
      <c r="D334" s="9"/>
      <c r="E334" s="10"/>
      <c r="F334" s="11"/>
      <c r="G334" s="12"/>
      <c r="H334" s="11"/>
      <c r="I334" s="12"/>
      <c r="J334" s="11"/>
      <c r="K334" s="12"/>
      <c r="L334" s="11"/>
      <c r="M334" s="12"/>
    </row>
    <row r="335" spans="1:13" x14ac:dyDescent="0.25">
      <c r="A335" s="1">
        <v>332</v>
      </c>
      <c r="B335" s="7" t="str">
        <f t="shared" si="5"/>
        <v>Вс</v>
      </c>
      <c r="C335" s="8">
        <v>45599</v>
      </c>
      <c r="D335" s="9"/>
      <c r="E335" s="10"/>
      <c r="F335" s="11"/>
      <c r="G335" s="12"/>
      <c r="H335" s="11"/>
      <c r="I335" s="12"/>
      <c r="J335" s="11"/>
      <c r="K335" s="12"/>
      <c r="L335" s="11">
        <v>1200</v>
      </c>
      <c r="M335" s="12" t="s">
        <v>12</v>
      </c>
    </row>
    <row r="336" spans="1:13" x14ac:dyDescent="0.25">
      <c r="A336" s="1">
        <v>333</v>
      </c>
      <c r="B336" s="7" t="str">
        <f t="shared" si="5"/>
        <v>Пн</v>
      </c>
      <c r="C336" s="8">
        <v>45600</v>
      </c>
      <c r="D336" s="9"/>
      <c r="E336" s="10"/>
      <c r="F336" s="11"/>
      <c r="G336" s="12"/>
      <c r="H336" s="11"/>
      <c r="I336" s="12"/>
      <c r="J336" s="11"/>
      <c r="K336" s="12"/>
      <c r="L336" s="11"/>
      <c r="M336" s="12"/>
    </row>
    <row r="337" spans="1:13" x14ac:dyDescent="0.25">
      <c r="A337" s="1">
        <v>334</v>
      </c>
      <c r="B337" s="7" t="str">
        <f t="shared" si="5"/>
        <v>Вт</v>
      </c>
      <c r="C337" s="8">
        <v>45601</v>
      </c>
      <c r="D337" s="9">
        <v>9700</v>
      </c>
      <c r="E337" s="10" t="s">
        <v>12</v>
      </c>
      <c r="F337" s="11">
        <v>7400</v>
      </c>
      <c r="G337" s="12" t="s">
        <v>12</v>
      </c>
      <c r="H337" s="11">
        <v>6900</v>
      </c>
      <c r="I337" s="12" t="s">
        <v>12</v>
      </c>
      <c r="J337" s="11"/>
      <c r="K337" s="12"/>
      <c r="L337" s="11"/>
      <c r="M337" s="12"/>
    </row>
    <row r="338" spans="1:13" x14ac:dyDescent="0.25">
      <c r="A338" s="1">
        <v>335</v>
      </c>
      <c r="B338" s="7" t="str">
        <f t="shared" si="5"/>
        <v>Ср</v>
      </c>
      <c r="C338" s="8">
        <v>45602</v>
      </c>
      <c r="D338" s="9"/>
      <c r="E338" s="10"/>
      <c r="F338" s="11"/>
      <c r="G338" s="12"/>
      <c r="H338" s="11"/>
      <c r="I338" s="12"/>
      <c r="J338" s="11"/>
      <c r="K338" s="12"/>
      <c r="L338" s="11"/>
      <c r="M338" s="12"/>
    </row>
    <row r="339" spans="1:13" x14ac:dyDescent="0.25">
      <c r="A339" s="1">
        <v>336</v>
      </c>
      <c r="B339" s="7" t="str">
        <f t="shared" si="5"/>
        <v>Чт</v>
      </c>
      <c r="C339" s="8">
        <v>45603</v>
      </c>
      <c r="D339" s="9">
        <v>1100</v>
      </c>
      <c r="E339" s="10" t="s">
        <v>12</v>
      </c>
      <c r="F339" s="11">
        <v>700</v>
      </c>
      <c r="G339" s="12" t="s">
        <v>12</v>
      </c>
      <c r="H339" s="11">
        <v>6200</v>
      </c>
      <c r="I339" s="12" t="s">
        <v>12</v>
      </c>
      <c r="J339" s="11"/>
      <c r="K339" s="12"/>
      <c r="L339" s="11"/>
      <c r="M339" s="12"/>
    </row>
    <row r="340" spans="1:13" x14ac:dyDescent="0.25">
      <c r="A340" s="1">
        <v>337</v>
      </c>
      <c r="B340" s="7" t="str">
        <f t="shared" si="5"/>
        <v>Чт</v>
      </c>
      <c r="C340" s="8">
        <v>45603</v>
      </c>
      <c r="D340" s="9">
        <v>12900</v>
      </c>
      <c r="E340" s="10" t="s">
        <v>11</v>
      </c>
      <c r="F340" s="11">
        <v>10600</v>
      </c>
      <c r="G340" s="12" t="s">
        <v>11</v>
      </c>
      <c r="H340" s="11">
        <v>2100</v>
      </c>
      <c r="I340" s="12" t="s">
        <v>11</v>
      </c>
      <c r="J340" s="11"/>
      <c r="K340" s="12"/>
      <c r="L340" s="11"/>
      <c r="M340" s="12"/>
    </row>
    <row r="341" spans="1:13" x14ac:dyDescent="0.25">
      <c r="A341" s="1">
        <v>338</v>
      </c>
      <c r="B341" s="7" t="str">
        <f t="shared" si="5"/>
        <v>Пт</v>
      </c>
      <c r="C341" s="8">
        <v>45604</v>
      </c>
      <c r="D341" s="9"/>
      <c r="E341" s="10"/>
      <c r="F341" s="11"/>
      <c r="G341" s="12"/>
      <c r="H341" s="11"/>
      <c r="I341" s="12"/>
      <c r="J341" s="11"/>
      <c r="K341" s="12"/>
      <c r="L341" s="11"/>
      <c r="M341" s="12"/>
    </row>
    <row r="342" spans="1:13" x14ac:dyDescent="0.25">
      <c r="A342" s="1">
        <v>339</v>
      </c>
      <c r="B342" s="7" t="str">
        <f t="shared" si="5"/>
        <v>Сб</v>
      </c>
      <c r="C342" s="8">
        <v>45605</v>
      </c>
      <c r="D342" s="9"/>
      <c r="E342" s="10"/>
      <c r="F342" s="11"/>
      <c r="G342" s="12"/>
      <c r="H342" s="11"/>
      <c r="I342" s="12"/>
      <c r="J342" s="11"/>
      <c r="K342" s="12"/>
      <c r="L342" s="11"/>
      <c r="M342" s="12"/>
    </row>
    <row r="343" spans="1:13" x14ac:dyDescent="0.25">
      <c r="A343" s="1">
        <v>340</v>
      </c>
      <c r="B343" s="7" t="str">
        <f t="shared" si="5"/>
        <v>Вс</v>
      </c>
      <c r="C343" s="8">
        <v>45606</v>
      </c>
      <c r="D343" s="9"/>
      <c r="E343" s="10"/>
      <c r="F343" s="11"/>
      <c r="G343" s="12"/>
      <c r="H343" s="11"/>
      <c r="I343" s="12"/>
      <c r="J343" s="11"/>
      <c r="K343" s="12"/>
      <c r="L343" s="11">
        <v>1800</v>
      </c>
      <c r="M343" s="12" t="s">
        <v>12</v>
      </c>
    </row>
    <row r="344" spans="1:13" x14ac:dyDescent="0.25">
      <c r="A344" s="1">
        <v>341</v>
      </c>
      <c r="B344" s="7" t="str">
        <f t="shared" si="5"/>
        <v>Пн</v>
      </c>
      <c r="C344" s="8">
        <v>45607</v>
      </c>
      <c r="D344" s="9"/>
      <c r="E344" s="10"/>
      <c r="F344" s="11"/>
      <c r="G344" s="12"/>
      <c r="H344" s="11"/>
      <c r="I344" s="12"/>
      <c r="J344" s="11"/>
      <c r="K344" s="12"/>
      <c r="L344" s="11"/>
      <c r="M344" s="12"/>
    </row>
    <row r="345" spans="1:13" x14ac:dyDescent="0.25">
      <c r="A345" s="1">
        <v>342</v>
      </c>
      <c r="B345" s="7" t="str">
        <f t="shared" si="5"/>
        <v>Вт</v>
      </c>
      <c r="C345" s="8">
        <v>45608</v>
      </c>
      <c r="D345" s="9">
        <v>6700</v>
      </c>
      <c r="E345" s="10" t="s">
        <v>12</v>
      </c>
      <c r="F345" s="11">
        <v>3700</v>
      </c>
      <c r="G345" s="12" t="s">
        <v>12</v>
      </c>
      <c r="H345" s="11">
        <f>13500+7200</f>
        <v>20700</v>
      </c>
      <c r="I345" s="12" t="s">
        <v>12</v>
      </c>
      <c r="J345" s="11">
        <f>17600+4800</f>
        <v>22400</v>
      </c>
      <c r="K345" s="12"/>
      <c r="L345" s="11"/>
      <c r="M345" s="12"/>
    </row>
    <row r="346" spans="1:13" x14ac:dyDescent="0.25">
      <c r="A346" s="1">
        <v>343</v>
      </c>
      <c r="B346" s="7" t="str">
        <f t="shared" si="5"/>
        <v>Ср</v>
      </c>
      <c r="C346" s="8">
        <v>45609</v>
      </c>
      <c r="D346" s="9"/>
      <c r="E346" s="10"/>
      <c r="F346" s="11"/>
      <c r="G346" s="12"/>
      <c r="H346" s="11"/>
      <c r="I346" s="12"/>
      <c r="J346" s="11"/>
      <c r="K346" s="12"/>
      <c r="L346" s="11"/>
      <c r="M346" s="12"/>
    </row>
    <row r="347" spans="1:13" x14ac:dyDescent="0.25">
      <c r="A347" s="1">
        <v>344</v>
      </c>
      <c r="B347" s="7" t="str">
        <f t="shared" si="5"/>
        <v>Чт</v>
      </c>
      <c r="C347" s="8">
        <v>45610</v>
      </c>
      <c r="D347" s="9">
        <v>6900</v>
      </c>
      <c r="E347" s="10" t="s">
        <v>12</v>
      </c>
      <c r="F347" s="11">
        <v>2800</v>
      </c>
      <c r="G347" s="12" t="s">
        <v>12</v>
      </c>
      <c r="H347" s="11">
        <f>12400+7800</f>
        <v>20200</v>
      </c>
      <c r="I347" s="12" t="s">
        <v>12</v>
      </c>
      <c r="J347" s="11">
        <f>17600+5100</f>
        <v>22700</v>
      </c>
      <c r="K347" s="12" t="s">
        <v>12</v>
      </c>
      <c r="L347" s="11"/>
      <c r="M347" s="12"/>
    </row>
    <row r="348" spans="1:13" x14ac:dyDescent="0.25">
      <c r="A348" s="1">
        <v>345</v>
      </c>
      <c r="B348" s="7" t="str">
        <f t="shared" si="5"/>
        <v>Чт</v>
      </c>
      <c r="C348" s="8">
        <v>45610</v>
      </c>
      <c r="D348" s="9">
        <v>3700</v>
      </c>
      <c r="E348" s="10" t="s">
        <v>11</v>
      </c>
      <c r="F348" s="11">
        <v>2800</v>
      </c>
      <c r="G348" s="12" t="s">
        <v>11</v>
      </c>
      <c r="H348" s="11">
        <f>2600+800</f>
        <v>3400</v>
      </c>
      <c r="I348" s="12" t="s">
        <v>11</v>
      </c>
      <c r="J348" s="11">
        <v>6700</v>
      </c>
      <c r="K348" s="12" t="s">
        <v>11</v>
      </c>
      <c r="L348" s="11"/>
      <c r="M348" s="12"/>
    </row>
    <row r="349" spans="1:13" x14ac:dyDescent="0.25">
      <c r="A349" s="1">
        <v>346</v>
      </c>
      <c r="B349" s="7" t="str">
        <f t="shared" si="5"/>
        <v>Пт</v>
      </c>
      <c r="C349" s="8">
        <v>45611</v>
      </c>
      <c r="D349" s="9"/>
      <c r="E349" s="10"/>
      <c r="F349" s="11"/>
      <c r="G349" s="12"/>
      <c r="H349" s="11"/>
      <c r="I349" s="12"/>
      <c r="J349" s="11"/>
      <c r="K349" s="12"/>
      <c r="L349" s="11"/>
      <c r="M349" s="12"/>
    </row>
    <row r="350" spans="1:13" x14ac:dyDescent="0.25">
      <c r="A350" s="1">
        <v>347</v>
      </c>
      <c r="B350" s="7" t="str">
        <f t="shared" si="5"/>
        <v>Сб</v>
      </c>
      <c r="C350" s="8">
        <v>45612</v>
      </c>
      <c r="D350" s="9"/>
      <c r="E350" s="10"/>
      <c r="F350" s="11"/>
      <c r="G350" s="12"/>
      <c r="H350" s="11"/>
      <c r="I350" s="12"/>
      <c r="J350" s="11"/>
      <c r="K350" s="12"/>
      <c r="L350" s="11"/>
      <c r="M350" s="12"/>
    </row>
    <row r="351" spans="1:13" x14ac:dyDescent="0.25">
      <c r="A351" s="1">
        <v>348</v>
      </c>
      <c r="B351" s="7" t="str">
        <f t="shared" si="5"/>
        <v>Вс</v>
      </c>
      <c r="C351" s="8">
        <v>45613</v>
      </c>
      <c r="D351" s="9"/>
      <c r="E351" s="10"/>
      <c r="F351" s="11"/>
      <c r="G351" s="12"/>
      <c r="H351" s="11"/>
      <c r="I351" s="12"/>
      <c r="J351" s="11"/>
      <c r="K351" s="12"/>
      <c r="L351" s="11">
        <v>1900</v>
      </c>
      <c r="M351" s="12" t="s">
        <v>12</v>
      </c>
    </row>
    <row r="352" spans="1:13" x14ac:dyDescent="0.25">
      <c r="A352" s="1">
        <v>349</v>
      </c>
      <c r="B352" s="7" t="str">
        <f t="shared" si="5"/>
        <v>Пн</v>
      </c>
      <c r="C352" s="8">
        <v>45614</v>
      </c>
      <c r="D352" s="9"/>
      <c r="E352" s="10"/>
      <c r="F352" s="11"/>
      <c r="G352" s="12"/>
      <c r="H352" s="11"/>
      <c r="I352" s="12"/>
      <c r="J352" s="11"/>
      <c r="K352" s="12"/>
      <c r="L352" s="11"/>
      <c r="M352" s="12"/>
    </row>
    <row r="353" spans="1:13" x14ac:dyDescent="0.25">
      <c r="A353" s="1">
        <v>350</v>
      </c>
      <c r="B353" s="7" t="str">
        <f t="shared" si="5"/>
        <v>Вт</v>
      </c>
      <c r="C353" s="8">
        <v>45615</v>
      </c>
      <c r="D353" s="9">
        <v>14700</v>
      </c>
      <c r="E353" s="10" t="s">
        <v>12</v>
      </c>
      <c r="F353" s="11">
        <v>10000</v>
      </c>
      <c r="G353" s="12" t="s">
        <v>12</v>
      </c>
      <c r="H353" s="11">
        <v>13200</v>
      </c>
      <c r="I353" s="12" t="s">
        <v>12</v>
      </c>
      <c r="J353" s="11">
        <f>17200+7200</f>
        <v>24400</v>
      </c>
      <c r="K353" s="12" t="s">
        <v>12</v>
      </c>
      <c r="L353" s="11"/>
      <c r="M353" s="12"/>
    </row>
    <row r="354" spans="1:13" x14ac:dyDescent="0.25">
      <c r="A354" s="1">
        <v>351</v>
      </c>
      <c r="B354" s="7" t="str">
        <f t="shared" si="5"/>
        <v>Ср</v>
      </c>
      <c r="C354" s="8">
        <v>45616</v>
      </c>
      <c r="D354" s="9"/>
      <c r="E354" s="10"/>
      <c r="F354" s="11"/>
      <c r="G354" s="12"/>
      <c r="H354" s="11"/>
      <c r="I354" s="12"/>
      <c r="J354" s="11"/>
      <c r="K354" s="12"/>
      <c r="L354" s="11"/>
      <c r="M354" s="12"/>
    </row>
    <row r="355" spans="1:13" x14ac:dyDescent="0.25">
      <c r="A355" s="1">
        <v>352</v>
      </c>
      <c r="B355" s="7" t="str">
        <f t="shared" si="5"/>
        <v>Чт</v>
      </c>
      <c r="C355" s="8">
        <v>45617</v>
      </c>
      <c r="D355" s="9">
        <v>4800</v>
      </c>
      <c r="E355" s="10" t="s">
        <v>12</v>
      </c>
      <c r="F355" s="11">
        <v>2300</v>
      </c>
      <c r="G355" s="12" t="s">
        <v>12</v>
      </c>
      <c r="H355" s="11">
        <f>17000+3600</f>
        <v>20600</v>
      </c>
      <c r="I355" s="12" t="s">
        <v>12</v>
      </c>
      <c r="J355" s="11">
        <v>8800</v>
      </c>
      <c r="K355" s="12" t="s">
        <v>12</v>
      </c>
      <c r="L355" s="11"/>
      <c r="M355" s="12"/>
    </row>
    <row r="356" spans="1:13" x14ac:dyDescent="0.25">
      <c r="A356" s="1">
        <v>353</v>
      </c>
      <c r="B356" s="7" t="str">
        <f t="shared" si="5"/>
        <v>Чт</v>
      </c>
      <c r="C356" s="8">
        <v>45617</v>
      </c>
      <c r="D356" s="9">
        <f>12400+5300</f>
        <v>17700</v>
      </c>
      <c r="E356" s="10" t="s">
        <v>11</v>
      </c>
      <c r="F356" s="11">
        <f>8400+2500</f>
        <v>10900</v>
      </c>
      <c r="G356" s="12" t="s">
        <v>11</v>
      </c>
      <c r="H356" s="11">
        <v>3200</v>
      </c>
      <c r="I356" s="12" t="s">
        <v>11</v>
      </c>
      <c r="J356" s="11">
        <v>7300</v>
      </c>
      <c r="K356" s="12" t="s">
        <v>11</v>
      </c>
      <c r="L356" s="11"/>
      <c r="M356" s="12"/>
    </row>
    <row r="357" spans="1:13" x14ac:dyDescent="0.25">
      <c r="A357" s="1">
        <v>354</v>
      </c>
      <c r="B357" s="7" t="str">
        <f t="shared" si="5"/>
        <v>Пт</v>
      </c>
      <c r="C357" s="8">
        <v>45618</v>
      </c>
      <c r="D357" s="9"/>
      <c r="E357" s="10"/>
      <c r="F357" s="11"/>
      <c r="G357" s="12"/>
      <c r="H357" s="11"/>
      <c r="I357" s="12"/>
      <c r="J357" s="11"/>
      <c r="K357" s="12"/>
      <c r="L357" s="11"/>
      <c r="M357" s="12"/>
    </row>
    <row r="358" spans="1:13" x14ac:dyDescent="0.25">
      <c r="A358" s="1">
        <v>355</v>
      </c>
      <c r="B358" s="7" t="str">
        <f t="shared" si="5"/>
        <v>Сб</v>
      </c>
      <c r="C358" s="8">
        <v>45619</v>
      </c>
      <c r="D358" s="9"/>
      <c r="E358" s="10"/>
      <c r="F358" s="11"/>
      <c r="G358" s="12"/>
      <c r="H358" s="11"/>
      <c r="I358" s="12"/>
      <c r="J358" s="11"/>
      <c r="K358" s="12"/>
      <c r="L358" s="11"/>
      <c r="M358" s="12"/>
    </row>
    <row r="359" spans="1:13" x14ac:dyDescent="0.25">
      <c r="A359" s="1">
        <v>356</v>
      </c>
      <c r="B359" s="7" t="str">
        <f t="shared" si="5"/>
        <v>Вс</v>
      </c>
      <c r="C359" s="8">
        <v>45620</v>
      </c>
      <c r="D359" s="9"/>
      <c r="E359" s="10"/>
      <c r="F359" s="11"/>
      <c r="G359" s="12"/>
      <c r="H359" s="11"/>
      <c r="I359" s="12"/>
      <c r="J359" s="11"/>
      <c r="K359" s="12"/>
      <c r="L359" s="11">
        <v>1500</v>
      </c>
      <c r="M359" s="12" t="s">
        <v>12</v>
      </c>
    </row>
    <row r="360" spans="1:13" x14ac:dyDescent="0.25">
      <c r="A360" s="1">
        <v>357</v>
      </c>
      <c r="B360" s="7" t="str">
        <f t="shared" si="5"/>
        <v>Пн</v>
      </c>
      <c r="C360" s="8">
        <v>45621</v>
      </c>
      <c r="D360" s="9"/>
      <c r="E360" s="10"/>
      <c r="F360" s="11"/>
      <c r="G360" s="12"/>
      <c r="H360" s="11"/>
      <c r="I360" s="12"/>
      <c r="J360" s="11"/>
      <c r="K360" s="12"/>
      <c r="L360" s="11"/>
      <c r="M360" s="12"/>
    </row>
    <row r="361" spans="1:13" x14ac:dyDescent="0.25">
      <c r="A361" s="1">
        <v>358</v>
      </c>
      <c r="B361" s="7" t="str">
        <f t="shared" si="5"/>
        <v>Вт</v>
      </c>
      <c r="C361" s="8">
        <v>45622</v>
      </c>
      <c r="D361" s="9">
        <v>7300</v>
      </c>
      <c r="E361" s="10" t="s">
        <v>12</v>
      </c>
      <c r="F361" s="11">
        <f>1800+2600</f>
        <v>4400</v>
      </c>
      <c r="G361" s="12" t="s">
        <v>12</v>
      </c>
      <c r="H361" s="11">
        <f>16600+8500</f>
        <v>25100</v>
      </c>
      <c r="I361" s="12" t="s">
        <v>12</v>
      </c>
      <c r="J361" s="11">
        <f>17600+1100</f>
        <v>18700</v>
      </c>
      <c r="K361" s="12" t="s">
        <v>12</v>
      </c>
      <c r="L361" s="11"/>
      <c r="M361" s="12"/>
    </row>
    <row r="362" spans="1:13" x14ac:dyDescent="0.25">
      <c r="A362" s="1">
        <v>359</v>
      </c>
      <c r="B362" s="7" t="str">
        <f t="shared" si="5"/>
        <v>Ср</v>
      </c>
      <c r="C362" s="8">
        <v>45623</v>
      </c>
      <c r="D362" s="9"/>
      <c r="E362" s="10"/>
      <c r="F362" s="11"/>
      <c r="G362" s="12"/>
      <c r="H362" s="11"/>
      <c r="I362" s="12"/>
      <c r="J362" s="11"/>
      <c r="K362" s="12"/>
      <c r="L362" s="11"/>
      <c r="M362" s="12"/>
    </row>
    <row r="363" spans="1:13" x14ac:dyDescent="0.25">
      <c r="A363" s="1">
        <v>360</v>
      </c>
      <c r="B363" s="7" t="str">
        <f t="shared" si="5"/>
        <v>Чт</v>
      </c>
      <c r="C363" s="8">
        <v>45624</v>
      </c>
      <c r="D363" s="9">
        <v>3900</v>
      </c>
      <c r="E363" s="10" t="s">
        <v>12</v>
      </c>
      <c r="F363" s="11">
        <v>3000</v>
      </c>
      <c r="G363" s="12" t="s">
        <v>12</v>
      </c>
      <c r="H363" s="11">
        <v>7400</v>
      </c>
      <c r="I363" s="12" t="s">
        <v>12</v>
      </c>
      <c r="J363" s="11">
        <f>17000+1100</f>
        <v>18100</v>
      </c>
      <c r="K363" s="12" t="s">
        <v>12</v>
      </c>
      <c r="L363" s="11"/>
      <c r="M363" s="12"/>
    </row>
    <row r="364" spans="1:13" x14ac:dyDescent="0.25">
      <c r="A364" s="1">
        <v>361</v>
      </c>
      <c r="B364" s="7" t="str">
        <f t="shared" si="5"/>
        <v>Чт</v>
      </c>
      <c r="C364" s="8">
        <v>45624</v>
      </c>
      <c r="D364" s="9">
        <v>11400</v>
      </c>
      <c r="E364" s="10" t="s">
        <v>11</v>
      </c>
      <c r="F364" s="11">
        <v>7200</v>
      </c>
      <c r="G364" s="12" t="s">
        <v>11</v>
      </c>
      <c r="H364" s="11">
        <v>5500</v>
      </c>
      <c r="I364" s="12" t="s">
        <v>11</v>
      </c>
      <c r="J364" s="11">
        <v>9700</v>
      </c>
      <c r="K364" s="12" t="s">
        <v>11</v>
      </c>
      <c r="L364" s="11">
        <v>4900</v>
      </c>
      <c r="M364" s="12" t="s">
        <v>11</v>
      </c>
    </row>
    <row r="365" spans="1:13" x14ac:dyDescent="0.25">
      <c r="A365" s="1">
        <v>362</v>
      </c>
      <c r="B365" s="7" t="str">
        <f t="shared" si="5"/>
        <v>Пт</v>
      </c>
      <c r="C365" s="8">
        <v>45625</v>
      </c>
      <c r="D365" s="9"/>
      <c r="E365" s="10"/>
      <c r="F365" s="11"/>
      <c r="G365" s="12"/>
      <c r="H365" s="11"/>
      <c r="I365" s="12"/>
      <c r="J365" s="11"/>
      <c r="K365" s="12"/>
      <c r="L365" s="11"/>
      <c r="M365" s="12"/>
    </row>
    <row r="366" spans="1:13" x14ac:dyDescent="0.25">
      <c r="A366" s="1">
        <v>363</v>
      </c>
      <c r="B366" s="7" t="str">
        <f t="shared" si="5"/>
        <v>Сб</v>
      </c>
      <c r="C366" s="8">
        <v>45626</v>
      </c>
      <c r="D366" s="9"/>
      <c r="E366" s="10"/>
      <c r="F366" s="11"/>
      <c r="G366" s="12"/>
      <c r="H366" s="11"/>
      <c r="I366" s="12"/>
      <c r="J366" s="11"/>
      <c r="K366" s="12"/>
      <c r="L366" s="11"/>
      <c r="M366" s="12"/>
    </row>
    <row r="367" spans="1:13" x14ac:dyDescent="0.25">
      <c r="A367" s="1">
        <v>364</v>
      </c>
      <c r="B367" s="7" t="str">
        <f t="shared" si="5"/>
        <v>Вс</v>
      </c>
      <c r="C367" s="8">
        <v>45627</v>
      </c>
      <c r="D367" s="9"/>
      <c r="E367" s="10"/>
      <c r="F367" s="11"/>
      <c r="G367" s="12"/>
      <c r="H367" s="11"/>
      <c r="I367" s="12"/>
      <c r="J367" s="11"/>
      <c r="K367" s="12"/>
      <c r="L367" s="11">
        <v>3100</v>
      </c>
      <c r="M367" s="12" t="s">
        <v>12</v>
      </c>
    </row>
    <row r="368" spans="1:13" x14ac:dyDescent="0.25">
      <c r="A368" s="1">
        <v>365</v>
      </c>
      <c r="B368" s="7" t="str">
        <f t="shared" si="5"/>
        <v>Пн</v>
      </c>
      <c r="C368" s="8">
        <v>45628</v>
      </c>
      <c r="D368" s="9"/>
      <c r="E368" s="10"/>
      <c r="F368" s="11"/>
      <c r="G368" s="12"/>
      <c r="H368" s="11"/>
      <c r="I368" s="12"/>
      <c r="J368" s="11"/>
      <c r="K368" s="12"/>
      <c r="L368" s="11"/>
      <c r="M368" s="12"/>
    </row>
    <row r="369" spans="1:13" x14ac:dyDescent="0.25">
      <c r="A369" s="1">
        <v>366</v>
      </c>
      <c r="B369" s="7" t="str">
        <f t="shared" si="5"/>
        <v>Вт</v>
      </c>
      <c r="C369" s="8">
        <v>45629</v>
      </c>
      <c r="D369" s="9">
        <v>6600</v>
      </c>
      <c r="E369" s="10" t="s">
        <v>12</v>
      </c>
      <c r="F369" s="11">
        <v>5100</v>
      </c>
      <c r="G369" s="12" t="s">
        <v>12</v>
      </c>
      <c r="H369" s="11">
        <f>17100+8200+5400</f>
        <v>30700</v>
      </c>
      <c r="I369" s="12" t="s">
        <v>12</v>
      </c>
      <c r="J369" s="11">
        <v>8900</v>
      </c>
      <c r="K369" s="12" t="s">
        <v>12</v>
      </c>
      <c r="L369" s="11"/>
      <c r="M369" s="12"/>
    </row>
    <row r="370" spans="1:13" x14ac:dyDescent="0.25">
      <c r="A370" s="1">
        <v>367</v>
      </c>
      <c r="B370" s="7" t="str">
        <f t="shared" si="5"/>
        <v>Ср</v>
      </c>
      <c r="C370" s="8">
        <v>45630</v>
      </c>
      <c r="D370" s="9"/>
      <c r="E370" s="10"/>
      <c r="F370" s="11"/>
      <c r="G370" s="12"/>
      <c r="H370" s="11"/>
      <c r="I370" s="12"/>
      <c r="J370" s="11"/>
      <c r="K370" s="12"/>
      <c r="L370" s="11"/>
      <c r="M370" s="12"/>
    </row>
    <row r="371" spans="1:13" x14ac:dyDescent="0.25">
      <c r="A371" s="1">
        <v>368</v>
      </c>
      <c r="B371" s="7" t="str">
        <f t="shared" si="5"/>
        <v>Чт</v>
      </c>
      <c r="C371" s="8">
        <v>45631</v>
      </c>
      <c r="D371" s="9">
        <v>4100</v>
      </c>
      <c r="E371" s="10" t="s">
        <v>12</v>
      </c>
      <c r="F371" s="11">
        <v>1300</v>
      </c>
      <c r="G371" s="12" t="s">
        <v>12</v>
      </c>
      <c r="H371" s="11">
        <v>13200</v>
      </c>
      <c r="I371" s="12" t="s">
        <v>12</v>
      </c>
      <c r="J371" s="11">
        <f>6900+2500</f>
        <v>9400</v>
      </c>
      <c r="K371" s="12" t="s">
        <v>12</v>
      </c>
      <c r="L371" s="11"/>
      <c r="M371" s="12"/>
    </row>
    <row r="372" spans="1:13" x14ac:dyDescent="0.25">
      <c r="A372" s="1">
        <v>369</v>
      </c>
      <c r="B372" s="7" t="str">
        <f t="shared" si="5"/>
        <v>Чт</v>
      </c>
      <c r="C372" s="8">
        <v>45631</v>
      </c>
      <c r="D372" s="9">
        <v>10000</v>
      </c>
      <c r="E372" s="10" t="s">
        <v>11</v>
      </c>
      <c r="F372" s="11">
        <v>2000</v>
      </c>
      <c r="G372" s="12" t="s">
        <v>11</v>
      </c>
      <c r="H372" s="11">
        <v>3100</v>
      </c>
      <c r="I372" s="12" t="s">
        <v>11</v>
      </c>
      <c r="J372" s="11">
        <v>5100</v>
      </c>
      <c r="K372" s="12" t="s">
        <v>11</v>
      </c>
      <c r="L372" s="11"/>
      <c r="M372" s="12"/>
    </row>
    <row r="373" spans="1:13" x14ac:dyDescent="0.25">
      <c r="A373" s="1">
        <v>370</v>
      </c>
      <c r="B373" s="7" t="str">
        <f t="shared" si="5"/>
        <v>Пт</v>
      </c>
      <c r="C373" s="8">
        <v>45632</v>
      </c>
      <c r="D373" s="9"/>
      <c r="E373" s="10"/>
      <c r="F373" s="11"/>
      <c r="G373" s="12"/>
      <c r="H373" s="11"/>
      <c r="I373" s="12"/>
      <c r="J373" s="11"/>
      <c r="K373" s="12"/>
      <c r="L373" s="11"/>
      <c r="M373" s="12"/>
    </row>
    <row r="374" spans="1:13" x14ac:dyDescent="0.25">
      <c r="A374" s="1">
        <v>371</v>
      </c>
      <c r="B374" s="7" t="str">
        <f t="shared" si="5"/>
        <v>Сб</v>
      </c>
      <c r="C374" s="8">
        <v>45633</v>
      </c>
      <c r="D374" s="9"/>
      <c r="E374" s="10"/>
      <c r="F374" s="11"/>
      <c r="G374" s="12"/>
      <c r="H374" s="11"/>
      <c r="I374" s="12"/>
      <c r="J374" s="11"/>
      <c r="K374" s="12"/>
      <c r="L374" s="11"/>
      <c r="M374" s="12"/>
    </row>
    <row r="375" spans="1:13" x14ac:dyDescent="0.25">
      <c r="A375" s="1">
        <v>372</v>
      </c>
      <c r="B375" s="7" t="str">
        <f t="shared" si="5"/>
        <v>Вс</v>
      </c>
      <c r="C375" s="8">
        <v>45634</v>
      </c>
      <c r="D375" s="9"/>
      <c r="E375" s="10"/>
      <c r="F375" s="11"/>
      <c r="G375" s="12"/>
      <c r="H375" s="11"/>
      <c r="I375" s="12"/>
      <c r="J375" s="11"/>
      <c r="K375" s="12"/>
      <c r="L375" s="11">
        <v>800</v>
      </c>
      <c r="M375" s="12" t="s">
        <v>12</v>
      </c>
    </row>
    <row r="376" spans="1:13" x14ac:dyDescent="0.25">
      <c r="A376" s="1">
        <v>373</v>
      </c>
      <c r="B376" s="7" t="str">
        <f t="shared" si="5"/>
        <v>Пн</v>
      </c>
      <c r="C376" s="8">
        <v>45635</v>
      </c>
      <c r="D376" s="9"/>
      <c r="E376" s="10"/>
      <c r="F376" s="11"/>
      <c r="G376" s="12"/>
      <c r="H376" s="11"/>
      <c r="I376" s="12"/>
      <c r="J376" s="11"/>
      <c r="K376" s="12"/>
      <c r="L376" s="11"/>
      <c r="M376" s="12"/>
    </row>
    <row r="377" spans="1:13" x14ac:dyDescent="0.25">
      <c r="A377" s="1">
        <v>374</v>
      </c>
      <c r="B377" s="7" t="str">
        <f t="shared" si="5"/>
        <v>Вт</v>
      </c>
      <c r="C377" s="8">
        <v>45636</v>
      </c>
      <c r="D377" s="9">
        <v>5800</v>
      </c>
      <c r="E377" s="10" t="s">
        <v>12</v>
      </c>
      <c r="F377" s="11">
        <v>4800</v>
      </c>
      <c r="G377" s="12" t="s">
        <v>12</v>
      </c>
      <c r="H377" s="11">
        <f>13400+6600</f>
        <v>20000</v>
      </c>
      <c r="I377" s="12" t="s">
        <v>12</v>
      </c>
      <c r="J377" s="11">
        <f>17100+3700</f>
        <v>20800</v>
      </c>
      <c r="K377" s="12" t="s">
        <v>12</v>
      </c>
      <c r="L377" s="11"/>
      <c r="M377" s="12"/>
    </row>
    <row r="378" spans="1:13" x14ac:dyDescent="0.25">
      <c r="A378" s="1">
        <v>375</v>
      </c>
      <c r="B378" s="7" t="str">
        <f t="shared" si="5"/>
        <v>Ср</v>
      </c>
      <c r="C378" s="8">
        <v>45637</v>
      </c>
      <c r="D378" s="9">
        <f>1700+4600</f>
        <v>6300</v>
      </c>
      <c r="E378" s="10" t="s">
        <v>12</v>
      </c>
      <c r="F378" s="11">
        <f>4400</f>
        <v>4400</v>
      </c>
      <c r="G378" s="12" t="s">
        <v>12</v>
      </c>
      <c r="H378" s="11">
        <f>13100+8400</f>
        <v>21500</v>
      </c>
      <c r="I378" s="12" t="s">
        <v>12</v>
      </c>
      <c r="J378" s="11">
        <v>17100</v>
      </c>
      <c r="K378" s="12" t="s">
        <v>12</v>
      </c>
      <c r="L378" s="11"/>
      <c r="M378" s="12"/>
    </row>
    <row r="379" spans="1:13" x14ac:dyDescent="0.25">
      <c r="A379" s="1">
        <v>376</v>
      </c>
      <c r="B379" s="7" t="str">
        <f t="shared" si="5"/>
        <v>Ср</v>
      </c>
      <c r="C379" s="8">
        <v>45637</v>
      </c>
      <c r="D379" s="9">
        <v>9400</v>
      </c>
      <c r="E379" s="10" t="s">
        <v>11</v>
      </c>
      <c r="F379" s="11">
        <v>5900</v>
      </c>
      <c r="G379" s="12" t="s">
        <v>11</v>
      </c>
      <c r="H379" s="11">
        <v>5000</v>
      </c>
      <c r="I379" s="12" t="s">
        <v>11</v>
      </c>
      <c r="J379" s="11">
        <v>6700</v>
      </c>
      <c r="K379" s="12" t="s">
        <v>11</v>
      </c>
      <c r="L379" s="11"/>
      <c r="M379" s="12"/>
    </row>
    <row r="380" spans="1:13" x14ac:dyDescent="0.25">
      <c r="A380" s="1">
        <v>377</v>
      </c>
      <c r="B380" s="7" t="str">
        <f t="shared" si="5"/>
        <v>Чт</v>
      </c>
      <c r="C380" s="8">
        <v>45638</v>
      </c>
      <c r="D380" s="9"/>
      <c r="E380" s="10"/>
      <c r="F380" s="11"/>
      <c r="G380" s="12"/>
      <c r="H380" s="11"/>
      <c r="I380" s="12"/>
      <c r="J380" s="11"/>
      <c r="K380" s="12"/>
      <c r="L380" s="11"/>
      <c r="M380" s="12"/>
    </row>
    <row r="381" spans="1:13" x14ac:dyDescent="0.25">
      <c r="A381" s="1">
        <v>378</v>
      </c>
      <c r="B381" s="7" t="str">
        <f t="shared" si="5"/>
        <v>Пт</v>
      </c>
      <c r="C381" s="8">
        <v>45639</v>
      </c>
      <c r="D381" s="9"/>
      <c r="E381" s="10"/>
      <c r="F381" s="11"/>
      <c r="G381" s="12"/>
      <c r="H381" s="11"/>
      <c r="I381" s="12"/>
      <c r="J381" s="11"/>
      <c r="K381" s="12"/>
      <c r="L381" s="11"/>
      <c r="M381" s="12"/>
    </row>
    <row r="382" spans="1:13" x14ac:dyDescent="0.25">
      <c r="A382" s="1">
        <v>379</v>
      </c>
      <c r="B382" s="7" t="str">
        <f t="shared" si="5"/>
        <v>Сб</v>
      </c>
      <c r="C382" s="8">
        <v>45640</v>
      </c>
      <c r="D382" s="9"/>
      <c r="E382" s="10"/>
      <c r="F382" s="11"/>
      <c r="G382" s="12"/>
      <c r="H382" s="11"/>
      <c r="I382" s="12"/>
      <c r="J382" s="11"/>
      <c r="K382" s="12"/>
      <c r="L382" s="11"/>
      <c r="M382" s="12"/>
    </row>
    <row r="383" spans="1:13" x14ac:dyDescent="0.25">
      <c r="A383" s="1">
        <v>380</v>
      </c>
      <c r="B383" s="7" t="str">
        <f t="shared" si="5"/>
        <v>Вс</v>
      </c>
      <c r="C383" s="8">
        <v>45641</v>
      </c>
      <c r="D383" s="9"/>
      <c r="E383" s="10"/>
      <c r="F383" s="11"/>
      <c r="G383" s="12"/>
      <c r="H383" s="11"/>
      <c r="I383" s="12"/>
      <c r="J383" s="11"/>
      <c r="K383" s="12"/>
      <c r="L383" s="11">
        <v>3000</v>
      </c>
      <c r="M383" s="12" t="s">
        <v>12</v>
      </c>
    </row>
    <row r="384" spans="1:13" x14ac:dyDescent="0.25">
      <c r="A384" s="1">
        <v>381</v>
      </c>
      <c r="B384" s="7" t="str">
        <f t="shared" si="5"/>
        <v>Пн</v>
      </c>
      <c r="C384" s="8">
        <v>45642</v>
      </c>
      <c r="D384" s="9"/>
      <c r="E384" s="10"/>
      <c r="F384" s="11"/>
      <c r="G384" s="12"/>
      <c r="H384" s="11"/>
      <c r="I384" s="12"/>
      <c r="J384" s="11"/>
      <c r="K384" s="12"/>
      <c r="L384" s="11"/>
      <c r="M384" s="12"/>
    </row>
    <row r="385" spans="1:13" x14ac:dyDescent="0.25">
      <c r="A385" s="1">
        <v>382</v>
      </c>
      <c r="B385" s="7" t="str">
        <f t="shared" si="5"/>
        <v>Вт</v>
      </c>
      <c r="C385" s="8">
        <v>45643</v>
      </c>
      <c r="D385" s="9">
        <v>6700</v>
      </c>
      <c r="E385" s="10" t="s">
        <v>12</v>
      </c>
      <c r="F385" s="11">
        <v>5800</v>
      </c>
      <c r="G385" s="12" t="s">
        <v>12</v>
      </c>
      <c r="H385" s="11">
        <f>2400+4800</f>
        <v>7200</v>
      </c>
      <c r="I385" s="12" t="s">
        <v>12</v>
      </c>
      <c r="J385" s="11">
        <v>14900</v>
      </c>
      <c r="K385" s="12" t="s">
        <v>12</v>
      </c>
      <c r="L385" s="11"/>
      <c r="M385" s="12"/>
    </row>
    <row r="386" spans="1:13" x14ac:dyDescent="0.25">
      <c r="A386" s="1">
        <v>383</v>
      </c>
      <c r="B386" s="7" t="str">
        <f t="shared" si="5"/>
        <v>Ср</v>
      </c>
      <c r="C386" s="8">
        <v>45644</v>
      </c>
      <c r="D386" s="9"/>
      <c r="E386" s="10"/>
      <c r="F386" s="11"/>
      <c r="G386" s="12"/>
      <c r="H386" s="11"/>
      <c r="I386" s="12"/>
      <c r="J386" s="11"/>
      <c r="K386" s="12"/>
      <c r="L386" s="11"/>
      <c r="M386" s="12"/>
    </row>
    <row r="387" spans="1:13" x14ac:dyDescent="0.25">
      <c r="A387" s="1">
        <v>384</v>
      </c>
      <c r="B387" s="7" t="str">
        <f t="shared" si="5"/>
        <v>Чт</v>
      </c>
      <c r="C387" s="8">
        <v>45645</v>
      </c>
      <c r="D387" s="9">
        <f>2700+3100</f>
        <v>5800</v>
      </c>
      <c r="E387" s="10" t="s">
        <v>12</v>
      </c>
      <c r="F387" s="11">
        <v>3700</v>
      </c>
      <c r="G387" s="12" t="s">
        <v>12</v>
      </c>
      <c r="H387" s="11">
        <v>17100</v>
      </c>
      <c r="I387" s="12" t="s">
        <v>12</v>
      </c>
      <c r="J387" s="11">
        <f>16900+3600</f>
        <v>20500</v>
      </c>
      <c r="K387" s="12" t="s">
        <v>12</v>
      </c>
      <c r="L387" s="11"/>
      <c r="M387" s="12"/>
    </row>
    <row r="388" spans="1:13" x14ac:dyDescent="0.25">
      <c r="A388" s="1">
        <v>385</v>
      </c>
      <c r="B388" s="7" t="str">
        <f t="shared" ref="B388:B416" si="6">IF(C388&lt;&gt;"",TEXT(C388,"ДДД"),"")</f>
        <v>Чт</v>
      </c>
      <c r="C388" s="8">
        <v>45645</v>
      </c>
      <c r="D388" s="9">
        <v>8600</v>
      </c>
      <c r="E388" s="10" t="s">
        <v>11</v>
      </c>
      <c r="F388" s="11">
        <v>6100</v>
      </c>
      <c r="G388" s="12" t="s">
        <v>11</v>
      </c>
      <c r="H388" s="11">
        <v>1800</v>
      </c>
      <c r="I388" s="12" t="s">
        <v>11</v>
      </c>
      <c r="J388" s="11">
        <v>4500</v>
      </c>
      <c r="K388" s="12" t="s">
        <v>11</v>
      </c>
      <c r="L388" s="11"/>
      <c r="M388" s="12"/>
    </row>
    <row r="389" spans="1:13" x14ac:dyDescent="0.25">
      <c r="A389" s="1">
        <v>386</v>
      </c>
      <c r="B389" s="7" t="str">
        <f t="shared" si="6"/>
        <v>Пт</v>
      </c>
      <c r="C389" s="8">
        <v>45646</v>
      </c>
      <c r="D389" s="9"/>
      <c r="E389" s="10"/>
      <c r="F389" s="11"/>
      <c r="G389" s="12"/>
      <c r="H389" s="11"/>
      <c r="I389" s="12"/>
      <c r="J389" s="11"/>
      <c r="K389" s="12"/>
      <c r="L389" s="11"/>
      <c r="M389" s="12"/>
    </row>
    <row r="390" spans="1:13" x14ac:dyDescent="0.25">
      <c r="A390" s="1">
        <v>387</v>
      </c>
      <c r="B390" s="7" t="str">
        <f t="shared" si="6"/>
        <v>Сб</v>
      </c>
      <c r="C390" s="8">
        <v>45647</v>
      </c>
      <c r="D390" s="9"/>
      <c r="E390" s="10"/>
      <c r="F390" s="11"/>
      <c r="G390" s="12"/>
      <c r="H390" s="11"/>
      <c r="I390" s="12"/>
      <c r="J390" s="11"/>
      <c r="K390" s="12"/>
      <c r="L390" s="11"/>
      <c r="M390" s="12"/>
    </row>
    <row r="391" spans="1:13" x14ac:dyDescent="0.25">
      <c r="A391" s="1">
        <v>388</v>
      </c>
      <c r="B391" s="7" t="str">
        <f t="shared" si="6"/>
        <v>Вс</v>
      </c>
      <c r="C391" s="8">
        <v>45648</v>
      </c>
      <c r="D391" s="9"/>
      <c r="E391" s="10"/>
      <c r="F391" s="11"/>
      <c r="G391" s="12"/>
      <c r="H391" s="11"/>
      <c r="I391" s="12"/>
      <c r="J391" s="11"/>
      <c r="K391" s="12"/>
      <c r="L391" s="11">
        <v>1400</v>
      </c>
      <c r="M391" s="12" t="s">
        <v>12</v>
      </c>
    </row>
    <row r="392" spans="1:13" x14ac:dyDescent="0.25">
      <c r="A392" s="1">
        <v>389</v>
      </c>
      <c r="B392" s="7" t="str">
        <f t="shared" si="6"/>
        <v>Пн</v>
      </c>
      <c r="C392" s="8">
        <v>45649</v>
      </c>
      <c r="D392" s="9"/>
      <c r="E392" s="10"/>
      <c r="F392" s="11"/>
      <c r="G392" s="12"/>
      <c r="H392" s="11"/>
      <c r="I392" s="12"/>
      <c r="J392" s="11"/>
      <c r="K392" s="12"/>
      <c r="L392" s="11"/>
      <c r="M392" s="12"/>
    </row>
    <row r="393" spans="1:13" x14ac:dyDescent="0.25">
      <c r="A393" s="1">
        <v>390</v>
      </c>
      <c r="B393" s="7" t="str">
        <f t="shared" si="6"/>
        <v>Вт</v>
      </c>
      <c r="C393" s="8">
        <v>45650</v>
      </c>
      <c r="D393" s="9">
        <v>4700</v>
      </c>
      <c r="E393" s="10" t="s">
        <v>12</v>
      </c>
      <c r="F393" s="11">
        <v>5000</v>
      </c>
      <c r="G393" s="12" t="s">
        <v>12</v>
      </c>
      <c r="H393" s="11">
        <v>7200</v>
      </c>
      <c r="I393" s="12" t="s">
        <v>12</v>
      </c>
      <c r="J393" s="11">
        <v>17000</v>
      </c>
      <c r="K393" s="12" t="s">
        <v>12</v>
      </c>
      <c r="L393" s="11"/>
      <c r="M393" s="12"/>
    </row>
    <row r="394" spans="1:13" x14ac:dyDescent="0.25">
      <c r="A394" s="1">
        <v>391</v>
      </c>
      <c r="B394" s="7" t="str">
        <f t="shared" si="6"/>
        <v>Ср</v>
      </c>
      <c r="C394" s="8">
        <v>45651</v>
      </c>
      <c r="D394" s="9"/>
      <c r="E394" s="10"/>
      <c r="F394" s="11"/>
      <c r="G394" s="12"/>
      <c r="H394" s="11"/>
      <c r="I394" s="12"/>
      <c r="J394" s="11"/>
      <c r="K394" s="12"/>
      <c r="L394" s="11"/>
      <c r="M394" s="12"/>
    </row>
    <row r="395" spans="1:13" x14ac:dyDescent="0.25">
      <c r="A395" s="1">
        <v>392</v>
      </c>
      <c r="B395" s="7" t="str">
        <f t="shared" si="6"/>
        <v>Чт</v>
      </c>
      <c r="C395" s="8">
        <v>45652</v>
      </c>
      <c r="D395" s="9">
        <v>3800</v>
      </c>
      <c r="E395" s="10" t="s">
        <v>12</v>
      </c>
      <c r="F395" s="11">
        <v>3900</v>
      </c>
      <c r="G395" s="12" t="s">
        <v>12</v>
      </c>
      <c r="H395" s="11">
        <v>2900</v>
      </c>
      <c r="I395" s="12" t="s">
        <v>12</v>
      </c>
      <c r="J395" s="11">
        <v>6300</v>
      </c>
      <c r="K395" s="12" t="s">
        <v>12</v>
      </c>
      <c r="L395" s="11"/>
      <c r="M395" s="12"/>
    </row>
    <row r="396" spans="1:13" x14ac:dyDescent="0.25">
      <c r="A396" s="1">
        <v>393</v>
      </c>
      <c r="B396" s="7" t="str">
        <f t="shared" si="6"/>
        <v>Чт</v>
      </c>
      <c r="C396" s="8">
        <v>45652</v>
      </c>
      <c r="D396" s="9">
        <v>6500</v>
      </c>
      <c r="E396" s="10" t="s">
        <v>11</v>
      </c>
      <c r="F396" s="11">
        <v>4900</v>
      </c>
      <c r="G396" s="12" t="s">
        <v>11</v>
      </c>
      <c r="H396" s="11">
        <v>4700</v>
      </c>
      <c r="I396" s="12" t="s">
        <v>11</v>
      </c>
      <c r="J396" s="11">
        <v>2800</v>
      </c>
      <c r="K396" s="12" t="s">
        <v>11</v>
      </c>
      <c r="L396" s="11"/>
      <c r="M396" s="12"/>
    </row>
    <row r="397" spans="1:13" x14ac:dyDescent="0.25">
      <c r="A397" s="1">
        <v>394</v>
      </c>
      <c r="B397" s="7" t="str">
        <f t="shared" si="6"/>
        <v>Пт</v>
      </c>
      <c r="C397" s="8">
        <v>45653</v>
      </c>
      <c r="D397" s="9"/>
      <c r="E397" s="10"/>
      <c r="F397" s="11"/>
      <c r="G397" s="12"/>
      <c r="H397" s="11"/>
      <c r="I397" s="12"/>
      <c r="J397" s="11"/>
      <c r="K397" s="12"/>
      <c r="L397" s="11"/>
      <c r="M397" s="12"/>
    </row>
    <row r="398" spans="1:13" x14ac:dyDescent="0.25">
      <c r="A398" s="1">
        <v>395</v>
      </c>
      <c r="B398" s="7" t="str">
        <f t="shared" si="6"/>
        <v>Сб</v>
      </c>
      <c r="C398" s="8">
        <v>45654</v>
      </c>
      <c r="D398" s="9"/>
      <c r="E398" s="10"/>
      <c r="F398" s="11"/>
      <c r="G398" s="12"/>
      <c r="H398" s="11"/>
      <c r="I398" s="12"/>
      <c r="J398" s="11"/>
      <c r="K398" s="12"/>
      <c r="L398" s="11"/>
      <c r="M398" s="12"/>
    </row>
    <row r="399" spans="1:13" x14ac:dyDescent="0.25">
      <c r="A399" s="1">
        <v>396</v>
      </c>
      <c r="B399" s="7" t="str">
        <f t="shared" si="6"/>
        <v>Вс</v>
      </c>
      <c r="C399" s="8">
        <v>45655</v>
      </c>
      <c r="D399" s="9"/>
      <c r="E399" s="10"/>
      <c r="F399" s="11"/>
      <c r="G399" s="12"/>
      <c r="H399" s="11"/>
      <c r="I399" s="12"/>
      <c r="J399" s="11"/>
      <c r="K399" s="12"/>
      <c r="L399" s="11">
        <v>2000</v>
      </c>
      <c r="M399" s="12" t="s">
        <v>12</v>
      </c>
    </row>
    <row r="400" spans="1:13" x14ac:dyDescent="0.25">
      <c r="A400" s="1">
        <v>397</v>
      </c>
      <c r="B400" s="7" t="str">
        <f t="shared" si="6"/>
        <v>Пн</v>
      </c>
      <c r="C400" s="8">
        <v>45656</v>
      </c>
      <c r="D400" s="9"/>
      <c r="E400" s="10"/>
      <c r="F400" s="11"/>
      <c r="G400" s="12"/>
      <c r="H400" s="11"/>
      <c r="I400" s="12"/>
      <c r="J400" s="11"/>
      <c r="K400" s="12"/>
      <c r="L400" s="11"/>
      <c r="M400" s="12"/>
    </row>
    <row r="401" spans="1:13" x14ac:dyDescent="0.25">
      <c r="A401" s="1">
        <v>398</v>
      </c>
      <c r="B401" s="7" t="str">
        <f t="shared" si="6"/>
        <v>Вт</v>
      </c>
      <c r="C401" s="8">
        <v>45657</v>
      </c>
      <c r="D401" s="9"/>
      <c r="E401" s="10"/>
      <c r="F401" s="11"/>
      <c r="G401" s="12"/>
      <c r="H401" s="11"/>
      <c r="I401" s="12"/>
      <c r="J401" s="11"/>
      <c r="K401" s="12"/>
      <c r="L401" s="11"/>
      <c r="M401" s="12"/>
    </row>
    <row r="402" spans="1:13" x14ac:dyDescent="0.25">
      <c r="A402" s="1">
        <v>399</v>
      </c>
      <c r="B402" s="7" t="str">
        <f t="shared" si="6"/>
        <v>Ср</v>
      </c>
      <c r="C402" s="8">
        <v>45658</v>
      </c>
      <c r="D402" s="9"/>
      <c r="E402" s="10"/>
      <c r="F402" s="11"/>
      <c r="G402" s="12"/>
      <c r="H402" s="11"/>
      <c r="I402" s="12"/>
      <c r="J402" s="11"/>
      <c r="K402" s="12"/>
      <c r="L402" s="11"/>
      <c r="M402" s="12"/>
    </row>
    <row r="403" spans="1:13" x14ac:dyDescent="0.25">
      <c r="A403" s="1">
        <v>400</v>
      </c>
      <c r="B403" s="7" t="str">
        <f t="shared" si="6"/>
        <v>Чт</v>
      </c>
      <c r="C403" s="8">
        <v>45659</v>
      </c>
      <c r="D403" s="9"/>
      <c r="E403" s="10"/>
      <c r="F403" s="11"/>
      <c r="G403" s="12"/>
      <c r="H403" s="11"/>
      <c r="I403" s="12"/>
      <c r="J403" s="11"/>
      <c r="K403" s="12"/>
      <c r="L403" s="11"/>
      <c r="M403" s="12"/>
    </row>
    <row r="404" spans="1:13" x14ac:dyDescent="0.25">
      <c r="A404" s="1">
        <v>401</v>
      </c>
      <c r="B404" s="7" t="str">
        <f t="shared" si="6"/>
        <v>Пт</v>
      </c>
      <c r="C404" s="8">
        <v>45660</v>
      </c>
      <c r="D404" s="9">
        <v>15100</v>
      </c>
      <c r="E404" s="10" t="s">
        <v>12</v>
      </c>
      <c r="F404" s="11">
        <v>12000</v>
      </c>
      <c r="G404" s="12" t="s">
        <v>12</v>
      </c>
      <c r="H404" s="11">
        <v>17100</v>
      </c>
      <c r="I404" s="12" t="s">
        <v>12</v>
      </c>
      <c r="J404" s="11">
        <v>17300</v>
      </c>
      <c r="K404" s="12" t="s">
        <v>12</v>
      </c>
      <c r="L404" s="11"/>
      <c r="M404" s="12"/>
    </row>
    <row r="405" spans="1:13" x14ac:dyDescent="0.25">
      <c r="A405" s="1">
        <v>402</v>
      </c>
      <c r="B405" s="7" t="str">
        <f t="shared" si="6"/>
        <v>Пт</v>
      </c>
      <c r="C405" s="8">
        <v>45660</v>
      </c>
      <c r="D405" s="9">
        <v>9000</v>
      </c>
      <c r="E405" s="10" t="s">
        <v>11</v>
      </c>
      <c r="F405" s="11">
        <v>6800</v>
      </c>
      <c r="G405" s="12" t="s">
        <v>11</v>
      </c>
      <c r="H405" s="11">
        <v>3900</v>
      </c>
      <c r="I405" s="12" t="s">
        <v>11</v>
      </c>
      <c r="J405" s="11">
        <v>4400</v>
      </c>
      <c r="K405" s="12" t="s">
        <v>11</v>
      </c>
      <c r="L405" s="11"/>
      <c r="M405" s="12"/>
    </row>
    <row r="406" spans="1:13" x14ac:dyDescent="0.25">
      <c r="A406" s="1">
        <v>403</v>
      </c>
      <c r="B406" s="7" t="str">
        <f t="shared" si="6"/>
        <v>Сб</v>
      </c>
      <c r="C406" s="8">
        <v>45661</v>
      </c>
      <c r="D406" s="9"/>
      <c r="E406" s="10"/>
      <c r="F406" s="11"/>
      <c r="G406" s="12"/>
      <c r="H406" s="11"/>
      <c r="I406" s="12"/>
      <c r="J406" s="11"/>
      <c r="K406" s="12"/>
      <c r="L406" s="11"/>
      <c r="M406" s="12"/>
    </row>
    <row r="407" spans="1:13" x14ac:dyDescent="0.25">
      <c r="A407" s="1">
        <v>404</v>
      </c>
      <c r="B407" s="7" t="str">
        <f t="shared" si="6"/>
        <v>Вс</v>
      </c>
      <c r="C407" s="8">
        <v>45662</v>
      </c>
      <c r="D407" s="9"/>
      <c r="E407" s="10"/>
      <c r="F407" s="11"/>
      <c r="G407" s="12"/>
      <c r="H407" s="11"/>
      <c r="I407" s="12"/>
      <c r="J407" s="11"/>
      <c r="K407" s="12"/>
      <c r="L407" s="11">
        <v>5300</v>
      </c>
      <c r="M407" s="12" t="s">
        <v>11</v>
      </c>
    </row>
    <row r="408" spans="1:13" x14ac:dyDescent="0.25">
      <c r="A408" s="1">
        <v>405</v>
      </c>
      <c r="B408" s="7" t="str">
        <f t="shared" si="6"/>
        <v>Пн</v>
      </c>
      <c r="C408" s="8">
        <v>45663</v>
      </c>
      <c r="D408" s="9">
        <v>4700</v>
      </c>
      <c r="E408" s="10" t="s">
        <v>12</v>
      </c>
      <c r="F408" s="11">
        <v>1200</v>
      </c>
      <c r="G408" s="12" t="s">
        <v>12</v>
      </c>
      <c r="H408" s="11">
        <v>7400</v>
      </c>
      <c r="I408" s="12" t="s">
        <v>12</v>
      </c>
      <c r="J408" s="11">
        <v>4100</v>
      </c>
      <c r="K408" s="12" t="s">
        <v>12</v>
      </c>
      <c r="L408" s="11"/>
      <c r="M408" s="12"/>
    </row>
    <row r="409" spans="1:13" x14ac:dyDescent="0.25">
      <c r="A409" s="1">
        <v>406</v>
      </c>
      <c r="B409" s="7" t="str">
        <f t="shared" si="6"/>
        <v>Вт</v>
      </c>
      <c r="C409" s="8">
        <v>45664</v>
      </c>
      <c r="D409" s="9"/>
      <c r="E409" s="10"/>
      <c r="F409" s="11"/>
      <c r="G409" s="12"/>
      <c r="H409" s="11"/>
      <c r="I409" s="12"/>
      <c r="J409" s="11"/>
      <c r="K409" s="12"/>
      <c r="L409" s="11"/>
      <c r="M409" s="12"/>
    </row>
    <row r="410" spans="1:13" x14ac:dyDescent="0.25">
      <c r="A410" s="1">
        <v>407</v>
      </c>
      <c r="B410" s="7" t="str">
        <f t="shared" si="6"/>
        <v>Ср</v>
      </c>
      <c r="C410" s="8">
        <v>45665</v>
      </c>
      <c r="D410" s="9"/>
      <c r="E410" s="10"/>
      <c r="F410" s="11"/>
      <c r="G410" s="12"/>
      <c r="H410" s="11"/>
      <c r="I410" s="12"/>
      <c r="J410" s="11"/>
      <c r="K410" s="12"/>
      <c r="L410" s="11"/>
      <c r="M410" s="12"/>
    </row>
    <row r="411" spans="1:13" x14ac:dyDescent="0.25">
      <c r="A411" s="1">
        <v>408</v>
      </c>
      <c r="B411" s="7" t="str">
        <f t="shared" si="6"/>
        <v>Чт</v>
      </c>
      <c r="C411" s="8">
        <v>45666</v>
      </c>
      <c r="D411" s="9">
        <v>3800</v>
      </c>
      <c r="E411" s="10" t="s">
        <v>12</v>
      </c>
      <c r="F411" s="11">
        <v>2000</v>
      </c>
      <c r="G411" s="12" t="s">
        <v>12</v>
      </c>
      <c r="H411" s="11">
        <v>5300</v>
      </c>
      <c r="I411" s="12" t="s">
        <v>12</v>
      </c>
      <c r="J411" s="11">
        <v>13800</v>
      </c>
      <c r="K411" s="12" t="s">
        <v>12</v>
      </c>
      <c r="L411" s="11"/>
      <c r="M411" s="12"/>
    </row>
    <row r="412" spans="1:13" x14ac:dyDescent="0.25">
      <c r="A412" s="1">
        <v>409</v>
      </c>
      <c r="B412" s="7" t="str">
        <f t="shared" si="6"/>
        <v>Чт</v>
      </c>
      <c r="C412" s="8">
        <v>45666</v>
      </c>
      <c r="D412" s="9">
        <v>6900</v>
      </c>
      <c r="E412" s="10" t="s">
        <v>11</v>
      </c>
      <c r="F412" s="11">
        <v>6900</v>
      </c>
      <c r="G412" s="12" t="s">
        <v>11</v>
      </c>
      <c r="H412" s="11">
        <v>3300</v>
      </c>
      <c r="I412" s="12" t="s">
        <v>11</v>
      </c>
      <c r="J412" s="11">
        <v>4900</v>
      </c>
      <c r="K412" s="12" t="s">
        <v>11</v>
      </c>
      <c r="L412" s="11"/>
      <c r="M412" s="12"/>
    </row>
    <row r="413" spans="1:13" x14ac:dyDescent="0.25">
      <c r="A413" s="1">
        <v>410</v>
      </c>
      <c r="B413" s="7" t="str">
        <f t="shared" si="6"/>
        <v>Пт</v>
      </c>
      <c r="C413" s="8">
        <v>45667</v>
      </c>
      <c r="D413" s="9"/>
      <c r="E413" s="10"/>
      <c r="F413" s="11"/>
      <c r="G413" s="12"/>
      <c r="H413" s="11"/>
      <c r="I413" s="12"/>
      <c r="J413" s="11"/>
      <c r="K413" s="12"/>
      <c r="L413" s="11"/>
      <c r="M413" s="12"/>
    </row>
    <row r="414" spans="1:13" x14ac:dyDescent="0.25">
      <c r="A414" s="1">
        <v>411</v>
      </c>
      <c r="B414" s="7" t="str">
        <f t="shared" si="6"/>
        <v>Сб</v>
      </c>
      <c r="C414" s="8">
        <v>45668</v>
      </c>
      <c r="D414" s="9"/>
      <c r="E414" s="10"/>
      <c r="F414" s="11"/>
      <c r="G414" s="12"/>
      <c r="H414" s="11"/>
      <c r="I414" s="12"/>
      <c r="J414" s="11"/>
      <c r="K414" s="12"/>
      <c r="L414" s="11"/>
      <c r="M414" s="12"/>
    </row>
    <row r="415" spans="1:13" x14ac:dyDescent="0.25">
      <c r="A415" s="1">
        <v>412</v>
      </c>
      <c r="B415" s="7" t="str">
        <f t="shared" si="6"/>
        <v>Вс</v>
      </c>
      <c r="C415" s="8">
        <v>45669</v>
      </c>
      <c r="D415" s="9"/>
      <c r="E415" s="10"/>
      <c r="F415" s="11"/>
      <c r="G415" s="12"/>
      <c r="H415" s="11"/>
      <c r="I415" s="12"/>
      <c r="J415" s="11"/>
      <c r="K415" s="12"/>
      <c r="L415" s="11">
        <v>2000</v>
      </c>
      <c r="M415" s="12" t="s">
        <v>12</v>
      </c>
    </row>
    <row r="416" spans="1:13" x14ac:dyDescent="0.25">
      <c r="A416" s="1">
        <v>413</v>
      </c>
      <c r="B416" s="7" t="str">
        <f t="shared" si="6"/>
        <v>Пн</v>
      </c>
      <c r="C416" s="8">
        <v>45670</v>
      </c>
      <c r="D416" s="9"/>
      <c r="E416" s="10"/>
      <c r="F416" s="11"/>
      <c r="G416" s="12"/>
      <c r="H416" s="11"/>
      <c r="I416" s="12"/>
      <c r="J416" s="11"/>
      <c r="K416" s="12"/>
      <c r="L416" s="11"/>
      <c r="M416" s="12"/>
    </row>
    <row r="417" spans="1:13" x14ac:dyDescent="0.25">
      <c r="A417" s="1">
        <v>414</v>
      </c>
      <c r="B417" s="7" t="str">
        <f t="shared" ref="B417:B421" si="7">IF(C417&lt;&gt;"",TEXT(C417,"ДДД"),"")</f>
        <v>Вт</v>
      </c>
      <c r="C417" s="8">
        <v>45671</v>
      </c>
      <c r="D417" s="9">
        <v>3700</v>
      </c>
      <c r="E417" s="10" t="s">
        <v>12</v>
      </c>
      <c r="F417" s="11">
        <v>1600</v>
      </c>
      <c r="G417" s="12" t="s">
        <v>12</v>
      </c>
      <c r="H417" s="11">
        <v>9300</v>
      </c>
      <c r="I417" s="12" t="s">
        <v>12</v>
      </c>
      <c r="J417" s="11">
        <f>17400+2800</f>
        <v>20200</v>
      </c>
      <c r="K417" s="12" t="s">
        <v>12</v>
      </c>
      <c r="L417" s="11"/>
      <c r="M417" s="12"/>
    </row>
    <row r="418" spans="1:13" x14ac:dyDescent="0.25">
      <c r="A418" s="1">
        <v>415</v>
      </c>
      <c r="B418" s="7" t="str">
        <f t="shared" si="7"/>
        <v>Ср</v>
      </c>
      <c r="C418" s="8">
        <v>45672</v>
      </c>
      <c r="D418" s="9"/>
      <c r="E418" s="10"/>
      <c r="F418" s="11"/>
      <c r="G418" s="12"/>
      <c r="H418" s="11"/>
      <c r="I418" s="12"/>
      <c r="J418" s="11"/>
      <c r="K418" s="12"/>
      <c r="L418" s="11"/>
      <c r="M418" s="12"/>
    </row>
    <row r="419" spans="1:13" x14ac:dyDescent="0.25">
      <c r="A419" s="1">
        <v>416</v>
      </c>
      <c r="B419" s="7" t="str">
        <f t="shared" si="7"/>
        <v>Чт</v>
      </c>
      <c r="C419" s="8">
        <v>45673</v>
      </c>
      <c r="D419" s="9">
        <v>2100</v>
      </c>
      <c r="E419" s="10" t="s">
        <v>12</v>
      </c>
      <c r="F419" s="11">
        <v>1000</v>
      </c>
      <c r="G419" s="12" t="s">
        <v>12</v>
      </c>
      <c r="H419" s="11">
        <v>8400</v>
      </c>
      <c r="I419" s="12" t="s">
        <v>12</v>
      </c>
      <c r="J419" s="11">
        <f>5000+4900</f>
        <v>9900</v>
      </c>
      <c r="K419" s="12" t="s">
        <v>12</v>
      </c>
      <c r="L419" s="11"/>
      <c r="M419" s="12"/>
    </row>
    <row r="420" spans="1:13" x14ac:dyDescent="0.25">
      <c r="A420" s="1">
        <v>417</v>
      </c>
      <c r="B420" s="7" t="str">
        <f t="shared" ref="B420" si="8">IF(C420&lt;&gt;"",TEXT(C420,"ДДД"),"")</f>
        <v>Чт</v>
      </c>
      <c r="C420" s="8">
        <v>45673</v>
      </c>
      <c r="D420" s="9">
        <v>7700</v>
      </c>
      <c r="E420" s="10" t="s">
        <v>11</v>
      </c>
      <c r="F420" s="11">
        <v>5900</v>
      </c>
      <c r="G420" s="12" t="s">
        <v>11</v>
      </c>
      <c r="H420" s="11">
        <v>4900</v>
      </c>
      <c r="I420" s="12" t="s">
        <v>11</v>
      </c>
      <c r="J420" s="11">
        <v>6100</v>
      </c>
      <c r="K420" s="12" t="s">
        <v>11</v>
      </c>
      <c r="L420" s="11"/>
      <c r="M420" s="12"/>
    </row>
    <row r="421" spans="1:13" x14ac:dyDescent="0.25">
      <c r="A421" s="1">
        <v>418</v>
      </c>
      <c r="B421" s="7" t="str">
        <f t="shared" si="7"/>
        <v>Пт</v>
      </c>
      <c r="C421" s="8">
        <v>45674</v>
      </c>
      <c r="D421" s="9"/>
      <c r="E421" s="10"/>
      <c r="F421" s="11"/>
      <c r="G421" s="12"/>
      <c r="H421" s="11"/>
      <c r="I421" s="12"/>
      <c r="J421" s="11"/>
      <c r="K421" s="12"/>
      <c r="L421" s="11"/>
      <c r="M421" s="12"/>
    </row>
    <row r="422" spans="1:13" x14ac:dyDescent="0.25">
      <c r="A422" s="1">
        <v>419</v>
      </c>
      <c r="B422" s="7" t="str">
        <f t="shared" ref="B422:B429" si="9">IF(C422&lt;&gt;"",TEXT(C422,"ДДД"),"")</f>
        <v>Сб</v>
      </c>
      <c r="C422" s="8">
        <v>45675</v>
      </c>
      <c r="D422" s="9"/>
      <c r="E422" s="10"/>
      <c r="F422" s="11"/>
      <c r="G422" s="12"/>
      <c r="H422" s="11"/>
      <c r="I422" s="12"/>
      <c r="J422" s="11"/>
      <c r="K422" s="12"/>
      <c r="L422" s="11"/>
      <c r="M422" s="12"/>
    </row>
    <row r="423" spans="1:13" x14ac:dyDescent="0.25">
      <c r="A423" s="1">
        <v>420</v>
      </c>
      <c r="B423" s="7" t="str">
        <f t="shared" si="9"/>
        <v>Вс</v>
      </c>
      <c r="C423" s="8">
        <v>45676</v>
      </c>
      <c r="D423" s="9"/>
      <c r="E423" s="10"/>
      <c r="F423" s="11"/>
      <c r="G423" s="12"/>
      <c r="H423" s="11"/>
      <c r="I423" s="12"/>
      <c r="J423" s="11"/>
      <c r="K423" s="12"/>
      <c r="L423" s="11">
        <v>1400</v>
      </c>
      <c r="M423" s="12" t="s">
        <v>12</v>
      </c>
    </row>
    <row r="424" spans="1:13" x14ac:dyDescent="0.25">
      <c r="A424" s="1">
        <v>421</v>
      </c>
      <c r="B424" s="7" t="str">
        <f t="shared" si="9"/>
        <v>Пн</v>
      </c>
      <c r="C424" s="8">
        <v>45677</v>
      </c>
      <c r="D424" s="9"/>
      <c r="E424" s="10"/>
      <c r="F424" s="11"/>
      <c r="G424" s="12"/>
      <c r="H424" s="11"/>
      <c r="I424" s="12"/>
      <c r="J424" s="11">
        <v>3000</v>
      </c>
      <c r="K424" s="12" t="s">
        <v>12</v>
      </c>
      <c r="L424" s="11"/>
      <c r="M424" s="12"/>
    </row>
    <row r="425" spans="1:13" x14ac:dyDescent="0.25">
      <c r="A425" s="1">
        <v>422</v>
      </c>
      <c r="B425" s="7" t="str">
        <f t="shared" si="9"/>
        <v>Вт</v>
      </c>
      <c r="C425" s="8">
        <v>45678</v>
      </c>
      <c r="D425" s="9">
        <v>5100</v>
      </c>
      <c r="E425" s="10" t="s">
        <v>12</v>
      </c>
      <c r="F425" s="11">
        <v>8900</v>
      </c>
      <c r="G425" s="12" t="s">
        <v>12</v>
      </c>
      <c r="H425" s="11">
        <v>14700</v>
      </c>
      <c r="I425" s="12" t="s">
        <v>12</v>
      </c>
      <c r="J425" s="11">
        <v>21000</v>
      </c>
      <c r="K425" s="12" t="s">
        <v>12</v>
      </c>
      <c r="L425" s="11"/>
      <c r="M425" s="12"/>
    </row>
    <row r="426" spans="1:13" x14ac:dyDescent="0.25">
      <c r="A426" s="1">
        <v>423</v>
      </c>
      <c r="B426" s="7" t="str">
        <f t="shared" si="9"/>
        <v>Ср</v>
      </c>
      <c r="C426" s="8">
        <v>45679</v>
      </c>
      <c r="D426" s="9"/>
      <c r="E426" s="10"/>
      <c r="F426" s="11"/>
      <c r="G426" s="12"/>
      <c r="H426" s="11"/>
      <c r="I426" s="12"/>
      <c r="J426" s="11"/>
      <c r="K426" s="12"/>
      <c r="L426" s="11"/>
      <c r="M426" s="12"/>
    </row>
    <row r="427" spans="1:13" x14ac:dyDescent="0.25">
      <c r="A427" s="1">
        <v>424</v>
      </c>
      <c r="B427" s="7" t="str">
        <f t="shared" si="9"/>
        <v>Чт</v>
      </c>
      <c r="C427" s="8">
        <v>45680</v>
      </c>
      <c r="D427" s="9">
        <v>4300</v>
      </c>
      <c r="E427" s="10" t="s">
        <v>12</v>
      </c>
      <c r="F427" s="11">
        <v>3800</v>
      </c>
      <c r="G427" s="12" t="s">
        <v>12</v>
      </c>
      <c r="H427" s="11">
        <v>10800</v>
      </c>
      <c r="I427" s="12" t="s">
        <v>12</v>
      </c>
      <c r="J427" s="11">
        <v>12700</v>
      </c>
      <c r="K427" s="12" t="s">
        <v>12</v>
      </c>
      <c r="L427" s="11"/>
      <c r="M427" s="12"/>
    </row>
    <row r="428" spans="1:13" x14ac:dyDescent="0.25">
      <c r="A428" s="1">
        <v>425</v>
      </c>
      <c r="B428" s="7" t="str">
        <f t="shared" ref="B428" si="10">IF(C428&lt;&gt;"",TEXT(C428,"ДДД"),"")</f>
        <v>Чт</v>
      </c>
      <c r="C428" s="8">
        <v>45680</v>
      </c>
      <c r="D428" s="9">
        <v>13300</v>
      </c>
      <c r="E428" s="10" t="s">
        <v>11</v>
      </c>
      <c r="F428" s="11">
        <v>7300</v>
      </c>
      <c r="G428" s="12" t="s">
        <v>11</v>
      </c>
      <c r="H428" s="11">
        <v>5300</v>
      </c>
      <c r="I428" s="12" t="s">
        <v>11</v>
      </c>
      <c r="J428" s="11">
        <v>10900</v>
      </c>
      <c r="K428" s="12" t="s">
        <v>11</v>
      </c>
      <c r="L428" s="11"/>
      <c r="M428" s="12"/>
    </row>
    <row r="429" spans="1:13" x14ac:dyDescent="0.25">
      <c r="A429" s="1">
        <v>426</v>
      </c>
      <c r="B429" s="7" t="str">
        <f t="shared" si="9"/>
        <v>Пт</v>
      </c>
      <c r="C429" s="8">
        <v>45681</v>
      </c>
      <c r="D429" s="9"/>
      <c r="E429" s="10"/>
      <c r="F429" s="11"/>
      <c r="G429" s="12"/>
      <c r="H429" s="11"/>
      <c r="I429" s="12"/>
      <c r="J429" s="11"/>
      <c r="K429" s="12"/>
      <c r="L429" s="11"/>
      <c r="M429" s="12"/>
    </row>
    <row r="430" spans="1:13" x14ac:dyDescent="0.25">
      <c r="A430" s="1">
        <v>427</v>
      </c>
      <c r="B430" s="7" t="str">
        <f t="shared" ref="B430:B433" si="11">IF(C430&lt;&gt;"",TEXT(C430,"ДДД"),"")</f>
        <v>Сб</v>
      </c>
      <c r="C430" s="8">
        <v>45682</v>
      </c>
      <c r="D430" s="9"/>
      <c r="E430" s="10"/>
      <c r="F430" s="11"/>
      <c r="G430" s="12"/>
      <c r="H430" s="11"/>
      <c r="I430" s="12"/>
      <c r="J430" s="11"/>
      <c r="K430" s="12"/>
      <c r="L430" s="11"/>
      <c r="M430" s="12"/>
    </row>
    <row r="431" spans="1:13" x14ac:dyDescent="0.25">
      <c r="A431" s="1">
        <v>428</v>
      </c>
      <c r="B431" s="7" t="str">
        <f t="shared" si="11"/>
        <v>Вс</v>
      </c>
      <c r="C431" s="8">
        <v>45683</v>
      </c>
      <c r="D431" s="9"/>
      <c r="E431" s="10"/>
      <c r="F431" s="11"/>
      <c r="G431" s="12"/>
      <c r="H431" s="11"/>
      <c r="I431" s="12"/>
      <c r="J431" s="11"/>
      <c r="K431" s="12"/>
      <c r="L431" s="11">
        <v>2600</v>
      </c>
      <c r="M431" s="12" t="s">
        <v>12</v>
      </c>
    </row>
    <row r="432" spans="1:13" x14ac:dyDescent="0.25">
      <c r="A432" s="1">
        <v>429</v>
      </c>
      <c r="B432" s="7" t="str">
        <f t="shared" si="11"/>
        <v>Пн</v>
      </c>
      <c r="C432" s="8">
        <v>45684</v>
      </c>
      <c r="D432" s="9"/>
      <c r="E432" s="10"/>
      <c r="F432" s="11"/>
      <c r="G432" s="12"/>
      <c r="H432" s="11"/>
      <c r="I432" s="12"/>
      <c r="J432" s="11"/>
      <c r="K432" s="12"/>
      <c r="L432" s="11"/>
      <c r="M432" s="12"/>
    </row>
    <row r="433" spans="1:13" x14ac:dyDescent="0.25">
      <c r="A433" s="1">
        <v>430</v>
      </c>
      <c r="B433" s="7" t="str">
        <f t="shared" si="11"/>
        <v>Вт</v>
      </c>
      <c r="C433" s="8">
        <v>45685</v>
      </c>
      <c r="D433" s="9">
        <v>3400</v>
      </c>
      <c r="E433" s="10" t="s">
        <v>12</v>
      </c>
      <c r="F433" s="11">
        <v>4300</v>
      </c>
      <c r="G433" s="12" t="s">
        <v>12</v>
      </c>
      <c r="H433" s="11">
        <v>12300</v>
      </c>
      <c r="I433" s="12" t="s">
        <v>12</v>
      </c>
      <c r="J433" s="11">
        <v>9700</v>
      </c>
      <c r="K433" s="12" t="s">
        <v>12</v>
      </c>
      <c r="L433" s="11"/>
      <c r="M433" s="12"/>
    </row>
    <row r="434" spans="1:13" x14ac:dyDescent="0.25">
      <c r="A434" s="1">
        <v>431</v>
      </c>
      <c r="B434" s="7" t="str">
        <f t="shared" ref="B434:B437" si="12">IF(C434&lt;&gt;"",TEXT(C434,"ДДД"),"")</f>
        <v>Ср</v>
      </c>
      <c r="C434" s="8">
        <v>45686</v>
      </c>
      <c r="D434" s="9"/>
      <c r="E434" s="10"/>
      <c r="F434" s="11"/>
      <c r="G434" s="12"/>
      <c r="H434" s="11"/>
      <c r="I434" s="12"/>
      <c r="J434" s="11"/>
      <c r="K434" s="12"/>
      <c r="L434" s="11"/>
      <c r="M434" s="12"/>
    </row>
    <row r="435" spans="1:13" x14ac:dyDescent="0.25">
      <c r="A435" s="1">
        <v>432</v>
      </c>
      <c r="B435" s="7" t="str">
        <f t="shared" si="12"/>
        <v>Чт</v>
      </c>
      <c r="C435" s="8">
        <v>45687</v>
      </c>
      <c r="D435" s="9">
        <v>3000</v>
      </c>
      <c r="E435" s="10" t="s">
        <v>12</v>
      </c>
      <c r="F435" s="11">
        <v>2700</v>
      </c>
      <c r="G435" s="12" t="s">
        <v>12</v>
      </c>
      <c r="H435" s="11">
        <f>7300+8200</f>
        <v>15500</v>
      </c>
      <c r="I435" s="12" t="s">
        <v>12</v>
      </c>
      <c r="J435" s="11">
        <f>9200+10200</f>
        <v>19400</v>
      </c>
      <c r="K435" s="12" t="s">
        <v>12</v>
      </c>
      <c r="L435" s="11"/>
      <c r="M435" s="12"/>
    </row>
    <row r="436" spans="1:13" x14ac:dyDescent="0.25">
      <c r="A436" s="1">
        <v>433</v>
      </c>
      <c r="B436" s="7" t="str">
        <f t="shared" ref="B436" si="13">IF(C436&lt;&gt;"",TEXT(C436,"ДДД"),"")</f>
        <v>Чт</v>
      </c>
      <c r="C436" s="8">
        <v>45687</v>
      </c>
      <c r="D436" s="9">
        <v>10300</v>
      </c>
      <c r="E436" s="10" t="s">
        <v>11</v>
      </c>
      <c r="F436" s="11">
        <v>6100</v>
      </c>
      <c r="G436" s="12" t="s">
        <v>11</v>
      </c>
      <c r="H436" s="11">
        <f>4300+2800</f>
        <v>7100</v>
      </c>
      <c r="I436" s="12" t="s">
        <v>11</v>
      </c>
      <c r="J436" s="11">
        <v>8800</v>
      </c>
      <c r="K436" s="12" t="s">
        <v>11</v>
      </c>
      <c r="L436" s="11"/>
      <c r="M436" s="12"/>
    </row>
    <row r="437" spans="1:13" x14ac:dyDescent="0.25">
      <c r="A437" s="1">
        <v>434</v>
      </c>
      <c r="B437" s="7" t="str">
        <f t="shared" si="12"/>
        <v>Пт</v>
      </c>
      <c r="C437" s="8">
        <v>45688</v>
      </c>
      <c r="D437" s="9"/>
      <c r="E437" s="10"/>
      <c r="F437" s="11"/>
      <c r="G437" s="12"/>
      <c r="H437" s="11"/>
      <c r="I437" s="12"/>
      <c r="J437" s="11"/>
      <c r="K437" s="12"/>
      <c r="L437" s="11"/>
      <c r="M437" s="12"/>
    </row>
    <row r="438" spans="1:13" x14ac:dyDescent="0.25">
      <c r="A438" s="1">
        <v>435</v>
      </c>
      <c r="B438" s="7" t="str">
        <f t="shared" ref="B438:B443" si="14">IF(C438&lt;&gt;"",TEXT(C438,"ДДД"),"")</f>
        <v>Сб</v>
      </c>
      <c r="C438" s="8">
        <v>45689</v>
      </c>
      <c r="D438" s="9"/>
      <c r="E438" s="10"/>
      <c r="F438" s="11"/>
      <c r="G438" s="12"/>
      <c r="H438" s="11"/>
      <c r="I438" s="12"/>
      <c r="J438" s="11">
        <v>4500</v>
      </c>
      <c r="K438" s="12" t="s">
        <v>12</v>
      </c>
      <c r="L438" s="11"/>
      <c r="M438" s="12"/>
    </row>
    <row r="439" spans="1:13" x14ac:dyDescent="0.25">
      <c r="A439" s="1">
        <v>436</v>
      </c>
      <c r="B439" s="7" t="str">
        <f t="shared" si="14"/>
        <v>Вс</v>
      </c>
      <c r="C439" s="8">
        <v>45690</v>
      </c>
      <c r="D439" s="9"/>
      <c r="E439" s="10"/>
      <c r="F439" s="11"/>
      <c r="G439" s="12"/>
      <c r="H439" s="11"/>
      <c r="I439" s="12"/>
      <c r="J439" s="11"/>
      <c r="K439" s="12"/>
      <c r="L439" s="11">
        <v>1900</v>
      </c>
      <c r="M439" s="12" t="s">
        <v>12</v>
      </c>
    </row>
    <row r="440" spans="1:13" x14ac:dyDescent="0.25">
      <c r="A440" s="1">
        <v>437</v>
      </c>
      <c r="B440" s="7" t="str">
        <f t="shared" si="14"/>
        <v>Пн</v>
      </c>
      <c r="C440" s="8">
        <v>45691</v>
      </c>
      <c r="D440" s="9"/>
      <c r="E440" s="10"/>
      <c r="F440" s="11"/>
      <c r="G440" s="12"/>
      <c r="H440" s="11"/>
      <c r="I440" s="12"/>
      <c r="J440" s="11"/>
      <c r="K440" s="12"/>
      <c r="L440" s="11"/>
      <c r="M440" s="12"/>
    </row>
    <row r="441" spans="1:13" x14ac:dyDescent="0.25">
      <c r="A441" s="1">
        <v>438</v>
      </c>
      <c r="B441" s="7" t="str">
        <f t="shared" si="14"/>
        <v>Вт</v>
      </c>
      <c r="C441" s="8">
        <v>45692</v>
      </c>
      <c r="D441" s="9">
        <v>4200</v>
      </c>
      <c r="E441" s="10" t="s">
        <v>12</v>
      </c>
      <c r="F441" s="11">
        <v>3700</v>
      </c>
      <c r="G441" s="12" t="s">
        <v>12</v>
      </c>
      <c r="H441" s="11">
        <v>13300</v>
      </c>
      <c r="I441" s="12" t="s">
        <v>12</v>
      </c>
      <c r="J441" s="11">
        <v>14000</v>
      </c>
      <c r="K441" s="12" t="s">
        <v>12</v>
      </c>
      <c r="L441" s="11"/>
      <c r="M441" s="12"/>
    </row>
    <row r="442" spans="1:13" x14ac:dyDescent="0.25">
      <c r="A442" s="1">
        <v>439</v>
      </c>
      <c r="B442" s="7" t="str">
        <f t="shared" si="14"/>
        <v>Ср</v>
      </c>
      <c r="C442" s="8">
        <v>45693</v>
      </c>
      <c r="D442" s="9"/>
      <c r="E442" s="10"/>
      <c r="F442" s="11"/>
      <c r="G442" s="12"/>
      <c r="H442" s="11"/>
      <c r="I442" s="12"/>
      <c r="J442" s="11"/>
      <c r="K442" s="12"/>
      <c r="L442" s="11"/>
      <c r="M442" s="12"/>
    </row>
    <row r="443" spans="1:13" x14ac:dyDescent="0.25">
      <c r="A443" s="1">
        <v>440</v>
      </c>
      <c r="B443" s="7" t="str">
        <f t="shared" si="14"/>
        <v>Чт</v>
      </c>
      <c r="C443" s="8">
        <v>45694</v>
      </c>
      <c r="D443" s="9">
        <v>3900</v>
      </c>
      <c r="E443" s="10" t="s">
        <v>12</v>
      </c>
      <c r="F443" s="11">
        <v>3300</v>
      </c>
      <c r="G443" s="12" t="s">
        <v>12</v>
      </c>
      <c r="H443" s="11">
        <f>8000+4200</f>
        <v>12200</v>
      </c>
      <c r="I443" s="12" t="s">
        <v>12</v>
      </c>
      <c r="J443" s="11">
        <v>13300</v>
      </c>
      <c r="K443" s="12" t="s">
        <v>12</v>
      </c>
      <c r="L443" s="11"/>
      <c r="M443" s="12"/>
    </row>
    <row r="444" spans="1:13" x14ac:dyDescent="0.25">
      <c r="A444" s="1">
        <v>441</v>
      </c>
      <c r="B444" s="7" t="str">
        <f t="shared" ref="B444" si="15">IF(C444&lt;&gt;"",TEXT(C444,"ДДД"),"")</f>
        <v>Чт</v>
      </c>
      <c r="C444" s="8">
        <v>45694</v>
      </c>
      <c r="D444" s="9">
        <v>7100</v>
      </c>
      <c r="E444" s="10" t="s">
        <v>11</v>
      </c>
      <c r="F444" s="11">
        <v>3500</v>
      </c>
      <c r="G444" s="12" t="s">
        <v>11</v>
      </c>
      <c r="H444" s="11">
        <v>1500</v>
      </c>
      <c r="I444" s="12" t="s">
        <v>11</v>
      </c>
      <c r="J444" s="11">
        <v>8600</v>
      </c>
      <c r="K444" s="12" t="s">
        <v>11</v>
      </c>
      <c r="L444" s="11"/>
      <c r="M444" s="12"/>
    </row>
    <row r="445" spans="1:13" x14ac:dyDescent="0.25">
      <c r="A445" s="1">
        <v>442</v>
      </c>
      <c r="B445" s="7" t="str">
        <f t="shared" ref="B445:B447" si="16">IF(C445&lt;&gt;"",TEXT(C445,"ДДД"),"")</f>
        <v>Пт</v>
      </c>
      <c r="C445" s="8">
        <v>45695</v>
      </c>
      <c r="D445" s="9"/>
      <c r="E445" s="10"/>
      <c r="F445" s="11"/>
      <c r="G445" s="12"/>
      <c r="H445" s="11"/>
      <c r="I445" s="12"/>
      <c r="J445" s="11"/>
      <c r="K445" s="12"/>
      <c r="L445" s="11"/>
      <c r="M445" s="12"/>
    </row>
    <row r="446" spans="1:13" x14ac:dyDescent="0.25">
      <c r="A446" s="1">
        <v>443</v>
      </c>
      <c r="B446" s="7" t="str">
        <f t="shared" si="16"/>
        <v>Сб</v>
      </c>
      <c r="C446" s="8">
        <v>45696</v>
      </c>
      <c r="D446" s="9"/>
      <c r="E446" s="10"/>
      <c r="F446" s="11"/>
      <c r="G446" s="12"/>
      <c r="H446" s="11"/>
      <c r="I446" s="12"/>
      <c r="J446" s="11"/>
      <c r="K446" s="12"/>
      <c r="L446" s="11"/>
      <c r="M446" s="12"/>
    </row>
    <row r="447" spans="1:13" x14ac:dyDescent="0.25">
      <c r="A447" s="1">
        <v>444</v>
      </c>
      <c r="B447" s="7" t="str">
        <f t="shared" si="16"/>
        <v>Вс</v>
      </c>
      <c r="C447" s="8">
        <v>45697</v>
      </c>
      <c r="D447" s="9"/>
      <c r="E447" s="10"/>
      <c r="F447" s="11"/>
      <c r="G447" s="12"/>
      <c r="H447" s="11"/>
      <c r="I447" s="12"/>
      <c r="J447" s="11"/>
      <c r="K447" s="12"/>
      <c r="L447" s="11">
        <v>2000</v>
      </c>
      <c r="M447" s="12" t="s">
        <v>12</v>
      </c>
    </row>
    <row r="448" spans="1:13" x14ac:dyDescent="0.25">
      <c r="A448" s="1">
        <v>445</v>
      </c>
      <c r="B448" s="7" t="str">
        <f t="shared" ref="B448:B449" si="17">IF(C448&lt;&gt;"",TEXT(C448,"ДДД"),"")</f>
        <v>Пн</v>
      </c>
      <c r="C448" s="8">
        <v>45698</v>
      </c>
      <c r="D448" s="9"/>
      <c r="E448" s="10"/>
      <c r="F448" s="11"/>
      <c r="G448" s="12"/>
      <c r="H448" s="11"/>
      <c r="I448" s="12"/>
      <c r="J448" s="11"/>
      <c r="K448" s="12"/>
      <c r="L448" s="11"/>
      <c r="M448" s="12"/>
    </row>
    <row r="449" spans="1:13" x14ac:dyDescent="0.25">
      <c r="A449" s="1">
        <v>446</v>
      </c>
      <c r="B449" s="7" t="str">
        <f t="shared" si="17"/>
        <v>Вт</v>
      </c>
      <c r="C449" s="8">
        <v>45699</v>
      </c>
      <c r="D449" s="9">
        <v>3200</v>
      </c>
      <c r="E449" s="10" t="s">
        <v>12</v>
      </c>
      <c r="F449" s="11">
        <v>900</v>
      </c>
      <c r="G449" s="12" t="s">
        <v>12</v>
      </c>
      <c r="H449" s="11">
        <v>5400</v>
      </c>
      <c r="I449" s="12" t="s">
        <v>12</v>
      </c>
      <c r="J449" s="11">
        <v>8100</v>
      </c>
      <c r="K449" s="12" t="s">
        <v>12</v>
      </c>
      <c r="L449" s="11"/>
      <c r="M449" s="12"/>
    </row>
    <row r="450" spans="1:13" x14ac:dyDescent="0.25">
      <c r="A450" s="1">
        <v>447</v>
      </c>
      <c r="B450" s="7" t="str">
        <f t="shared" ref="B450:B456" si="18">IF(C450&lt;&gt;"",TEXT(C450,"ДДД"),"")</f>
        <v>Ср</v>
      </c>
      <c r="C450" s="8">
        <v>45700</v>
      </c>
      <c r="D450" s="9"/>
      <c r="E450" s="10"/>
      <c r="F450" s="11"/>
      <c r="G450" s="12"/>
      <c r="H450" s="11">
        <v>500</v>
      </c>
      <c r="I450" s="12" t="s">
        <v>12</v>
      </c>
      <c r="J450" s="11">
        <v>2700</v>
      </c>
      <c r="K450" s="12" t="s">
        <v>12</v>
      </c>
      <c r="L450" s="11"/>
      <c r="M450" s="12"/>
    </row>
    <row r="451" spans="1:13" x14ac:dyDescent="0.25">
      <c r="A451" s="1">
        <v>448</v>
      </c>
      <c r="B451" s="7" t="str">
        <f t="shared" si="18"/>
        <v>Чт</v>
      </c>
      <c r="C451" s="8">
        <v>45701</v>
      </c>
      <c r="D451" s="9">
        <v>3400</v>
      </c>
      <c r="E451" s="10" t="s">
        <v>12</v>
      </c>
      <c r="F451" s="11">
        <v>1200</v>
      </c>
      <c r="G451" s="12" t="s">
        <v>12</v>
      </c>
      <c r="H451" s="11">
        <v>6100</v>
      </c>
      <c r="I451" s="12" t="s">
        <v>12</v>
      </c>
      <c r="J451" s="11">
        <v>6900</v>
      </c>
      <c r="K451" s="12" t="s">
        <v>12</v>
      </c>
      <c r="L451" s="11"/>
      <c r="M451" s="12"/>
    </row>
    <row r="452" spans="1:13" x14ac:dyDescent="0.25">
      <c r="A452" s="1">
        <v>449</v>
      </c>
      <c r="B452" s="7" t="str">
        <f t="shared" ref="B452" si="19">IF(C452&lt;&gt;"",TEXT(C452,"ДДД"),"")</f>
        <v>Чт</v>
      </c>
      <c r="C452" s="8">
        <v>45701</v>
      </c>
      <c r="D452" s="9">
        <v>3600</v>
      </c>
      <c r="E452" s="10" t="s">
        <v>11</v>
      </c>
      <c r="F452" s="11">
        <v>1200</v>
      </c>
      <c r="G452" s="12" t="s">
        <v>11</v>
      </c>
      <c r="H452" s="11">
        <v>4500</v>
      </c>
      <c r="I452" s="12" t="s">
        <v>11</v>
      </c>
      <c r="J452" s="11">
        <v>4100</v>
      </c>
      <c r="K452" s="12" t="s">
        <v>11</v>
      </c>
      <c r="L452" s="11"/>
      <c r="M452" s="12"/>
    </row>
    <row r="453" spans="1:13" x14ac:dyDescent="0.25">
      <c r="A453" s="1">
        <v>450</v>
      </c>
      <c r="B453" s="7" t="str">
        <f t="shared" si="18"/>
        <v>Пт</v>
      </c>
      <c r="C453" s="8">
        <v>45702</v>
      </c>
      <c r="D453" s="9"/>
      <c r="E453" s="10"/>
      <c r="F453" s="11"/>
      <c r="G453" s="12"/>
      <c r="H453" s="11"/>
      <c r="I453" s="12"/>
      <c r="J453" s="11"/>
      <c r="K453" s="12"/>
      <c r="L453" s="11"/>
      <c r="M453" s="12"/>
    </row>
    <row r="454" spans="1:13" x14ac:dyDescent="0.25">
      <c r="A454" s="1">
        <v>451</v>
      </c>
      <c r="B454" s="7" t="str">
        <f t="shared" si="18"/>
        <v>Сб</v>
      </c>
      <c r="C454" s="8">
        <v>45703</v>
      </c>
      <c r="D454" s="9"/>
      <c r="E454" s="10"/>
      <c r="F454" s="11"/>
      <c r="G454" s="12"/>
      <c r="H454" s="11"/>
      <c r="I454" s="12"/>
      <c r="J454" s="11"/>
      <c r="K454" s="12"/>
      <c r="L454" s="11"/>
      <c r="M454" s="12"/>
    </row>
    <row r="455" spans="1:13" x14ac:dyDescent="0.25">
      <c r="A455" s="1">
        <v>452</v>
      </c>
      <c r="B455" s="7" t="str">
        <f t="shared" si="18"/>
        <v>Вс</v>
      </c>
      <c r="C455" s="8">
        <v>45704</v>
      </c>
      <c r="D455" s="9"/>
      <c r="E455" s="10"/>
      <c r="F455" s="11"/>
      <c r="G455" s="12"/>
      <c r="H455" s="11"/>
      <c r="I455" s="12"/>
      <c r="J455" s="11"/>
      <c r="K455" s="12"/>
      <c r="L455" s="11">
        <v>2000</v>
      </c>
      <c r="M455" s="12" t="s">
        <v>12</v>
      </c>
    </row>
    <row r="456" spans="1:13" x14ac:dyDescent="0.25">
      <c r="A456" s="1">
        <v>453</v>
      </c>
      <c r="B456" s="7" t="str">
        <f t="shared" si="18"/>
        <v>Пн</v>
      </c>
      <c r="C456" s="8">
        <v>45705</v>
      </c>
      <c r="D456" s="9"/>
      <c r="E456" s="10"/>
      <c r="F456" s="11"/>
      <c r="G456" s="12"/>
      <c r="H456" s="11"/>
      <c r="I456" s="12"/>
      <c r="J456" s="11"/>
      <c r="K456" s="12"/>
      <c r="L456" s="11">
        <v>4700</v>
      </c>
      <c r="M456" s="12" t="s">
        <v>11</v>
      </c>
    </row>
    <row r="457" spans="1:13" x14ac:dyDescent="0.25">
      <c r="A457" s="1">
        <v>454</v>
      </c>
      <c r="B457" s="7" t="str">
        <f t="shared" ref="B457:B459" si="20">IF(C457&lt;&gt;"",TEXT(C457,"ДДД"),"")</f>
        <v>Вт</v>
      </c>
      <c r="C457" s="8">
        <v>45706</v>
      </c>
      <c r="D457" s="9">
        <v>9800</v>
      </c>
      <c r="E457" s="10" t="s">
        <v>12</v>
      </c>
      <c r="F457" s="11">
        <v>7800</v>
      </c>
      <c r="G457" s="12" t="s">
        <v>12</v>
      </c>
      <c r="H457" s="11">
        <v>15500</v>
      </c>
      <c r="I457" s="12" t="s">
        <v>12</v>
      </c>
      <c r="J457" s="11">
        <f>17600+2000</f>
        <v>19600</v>
      </c>
      <c r="K457" s="12" t="s">
        <v>12</v>
      </c>
      <c r="L457" s="11"/>
      <c r="M457" s="12"/>
    </row>
    <row r="458" spans="1:13" x14ac:dyDescent="0.25">
      <c r="A458" s="1">
        <v>455</v>
      </c>
      <c r="B458" s="7" t="str">
        <f t="shared" si="20"/>
        <v>Ср</v>
      </c>
      <c r="C458" s="8">
        <v>45707</v>
      </c>
      <c r="D458" s="9"/>
      <c r="E458" s="10"/>
      <c r="F458" s="11"/>
      <c r="G458" s="12"/>
      <c r="H458" s="11"/>
      <c r="I458" s="12"/>
      <c r="J458" s="11"/>
      <c r="K458" s="12"/>
      <c r="L458" s="11"/>
      <c r="M458" s="12"/>
    </row>
    <row r="459" spans="1:13" x14ac:dyDescent="0.25">
      <c r="A459" s="1">
        <v>456</v>
      </c>
      <c r="B459" s="7" t="str">
        <f t="shared" si="20"/>
        <v>Чт</v>
      </c>
      <c r="C459" s="8">
        <v>45708</v>
      </c>
      <c r="D459" s="9">
        <f>3000+5100</f>
        <v>8100</v>
      </c>
      <c r="E459" s="10" t="s">
        <v>12</v>
      </c>
      <c r="F459" s="11">
        <f>2900+4200</f>
        <v>7100</v>
      </c>
      <c r="G459" s="12" t="s">
        <v>12</v>
      </c>
      <c r="H459" s="11">
        <f>11200+7800</f>
        <v>19000</v>
      </c>
      <c r="I459" s="12" t="s">
        <v>12</v>
      </c>
      <c r="J459" s="11">
        <f>17200+5900</f>
        <v>23100</v>
      </c>
      <c r="K459" s="12" t="s">
        <v>12</v>
      </c>
      <c r="L459" s="11"/>
      <c r="M459" s="12"/>
    </row>
    <row r="460" spans="1:13" x14ac:dyDescent="0.25">
      <c r="A460" s="1">
        <v>457</v>
      </c>
      <c r="B460" s="7" t="str">
        <f t="shared" ref="B460" si="21">IF(C460&lt;&gt;"",TEXT(C460,"ДДД"),"")</f>
        <v>Чт</v>
      </c>
      <c r="C460" s="8">
        <v>45708</v>
      </c>
      <c r="D460" s="9">
        <f>13500+3000</f>
        <v>16500</v>
      </c>
      <c r="E460" s="10" t="s">
        <v>11</v>
      </c>
      <c r="F460" s="11">
        <v>10100</v>
      </c>
      <c r="G460" s="12" t="s">
        <v>11</v>
      </c>
      <c r="H460" s="11">
        <v>5000</v>
      </c>
      <c r="I460" s="12" t="s">
        <v>11</v>
      </c>
      <c r="J460" s="11">
        <v>7300</v>
      </c>
      <c r="K460" s="12" t="s">
        <v>11</v>
      </c>
      <c r="L460" s="11"/>
      <c r="M460" s="12"/>
    </row>
    <row r="461" spans="1:13" x14ac:dyDescent="0.25">
      <c r="A461" s="1">
        <v>458</v>
      </c>
      <c r="B461" s="7" t="str">
        <f t="shared" ref="B461:B464" si="22">IF(C461&lt;&gt;"",TEXT(C461,"ДДД"),"")</f>
        <v>Пт</v>
      </c>
      <c r="C461" s="8">
        <v>45709</v>
      </c>
      <c r="D461" s="9"/>
      <c r="E461" s="10"/>
      <c r="F461" s="11"/>
      <c r="G461" s="12"/>
      <c r="H461" s="11"/>
      <c r="I461" s="12"/>
      <c r="J461" s="11"/>
      <c r="K461" s="12"/>
      <c r="L461" s="11"/>
      <c r="M461" s="12"/>
    </row>
    <row r="462" spans="1:13" x14ac:dyDescent="0.25">
      <c r="A462" s="1">
        <v>459</v>
      </c>
      <c r="B462" s="7" t="str">
        <f t="shared" si="22"/>
        <v>Сб</v>
      </c>
      <c r="C462" s="8">
        <v>45710</v>
      </c>
      <c r="D462" s="9"/>
      <c r="E462" s="10"/>
      <c r="F462" s="11"/>
      <c r="G462" s="12"/>
      <c r="H462" s="11"/>
      <c r="I462" s="12"/>
      <c r="J462" s="11">
        <v>4000</v>
      </c>
      <c r="K462" s="12" t="s">
        <v>12</v>
      </c>
      <c r="L462" s="11"/>
      <c r="M462" s="12"/>
    </row>
    <row r="463" spans="1:13" x14ac:dyDescent="0.25">
      <c r="A463" s="1">
        <v>460</v>
      </c>
      <c r="B463" s="7" t="str">
        <f t="shared" si="22"/>
        <v>Вс</v>
      </c>
      <c r="C463" s="8">
        <v>45711</v>
      </c>
      <c r="D463" s="9"/>
      <c r="E463" s="10"/>
      <c r="F463" s="11"/>
      <c r="G463" s="12"/>
      <c r="H463" s="11"/>
      <c r="I463" s="12"/>
      <c r="J463" s="11"/>
      <c r="K463" s="12"/>
      <c r="L463" s="11">
        <v>1500</v>
      </c>
      <c r="M463" s="12" t="s">
        <v>12</v>
      </c>
    </row>
    <row r="464" spans="1:13" x14ac:dyDescent="0.25">
      <c r="A464" s="1">
        <v>461</v>
      </c>
      <c r="B464" s="7" t="str">
        <f t="shared" si="22"/>
        <v>Пн</v>
      </c>
      <c r="C464" s="8">
        <v>45712</v>
      </c>
      <c r="D464" s="9"/>
      <c r="E464" s="10"/>
      <c r="F464" s="11"/>
      <c r="G464" s="12"/>
      <c r="H464" s="11"/>
      <c r="I464" s="12"/>
      <c r="J464" s="11"/>
      <c r="K464" s="12"/>
      <c r="L464" s="11"/>
      <c r="M464" s="12"/>
    </row>
    <row r="465" spans="1:13" x14ac:dyDescent="0.25">
      <c r="A465" s="1">
        <v>462</v>
      </c>
      <c r="B465" s="7" t="str">
        <f t="shared" ref="B465:B472" si="23">IF(C465&lt;&gt;"",TEXT(C465,"ДДД"),"")</f>
        <v>Вт</v>
      </c>
      <c r="C465" s="8">
        <v>45713</v>
      </c>
      <c r="D465" s="9">
        <v>2900</v>
      </c>
      <c r="E465" s="10" t="s">
        <v>12</v>
      </c>
      <c r="F465" s="11">
        <v>2100</v>
      </c>
      <c r="G465" s="12" t="s">
        <v>12</v>
      </c>
      <c r="H465" s="11">
        <v>17000</v>
      </c>
      <c r="I465" s="12" t="s">
        <v>12</v>
      </c>
      <c r="J465" s="11">
        <v>15200</v>
      </c>
      <c r="K465" s="12" t="s">
        <v>12</v>
      </c>
      <c r="L465" s="11"/>
      <c r="M465" s="12"/>
    </row>
    <row r="466" spans="1:13" x14ac:dyDescent="0.25">
      <c r="A466" s="1">
        <v>463</v>
      </c>
      <c r="B466" s="7" t="str">
        <f t="shared" si="23"/>
        <v>Ср</v>
      </c>
      <c r="C466" s="8">
        <v>45714</v>
      </c>
      <c r="D466" s="9"/>
      <c r="E466" s="10"/>
      <c r="F466" s="11"/>
      <c r="G466" s="12"/>
      <c r="H466" s="11"/>
      <c r="I466" s="12"/>
      <c r="J466" s="11"/>
      <c r="K466" s="12"/>
      <c r="L466" s="11"/>
      <c r="M466" s="12"/>
    </row>
    <row r="467" spans="1:13" x14ac:dyDescent="0.25">
      <c r="A467" s="1">
        <v>464</v>
      </c>
      <c r="B467" s="7" t="str">
        <f t="shared" si="23"/>
        <v>Чт</v>
      </c>
      <c r="C467" s="8">
        <v>45715</v>
      </c>
      <c r="D467" s="9">
        <v>1100</v>
      </c>
      <c r="E467" s="10" t="s">
        <v>12</v>
      </c>
      <c r="F467" s="11">
        <v>500</v>
      </c>
      <c r="G467" s="12" t="s">
        <v>12</v>
      </c>
      <c r="H467" s="11">
        <v>16000</v>
      </c>
      <c r="I467" s="12" t="s">
        <v>12</v>
      </c>
      <c r="J467" s="11">
        <v>4100</v>
      </c>
      <c r="K467" s="12" t="s">
        <v>12</v>
      </c>
      <c r="L467" s="11"/>
      <c r="M467" s="12"/>
    </row>
    <row r="468" spans="1:13" x14ac:dyDescent="0.25">
      <c r="A468" s="1">
        <v>465</v>
      </c>
      <c r="B468" s="7" t="str">
        <f t="shared" ref="B468" si="24">IF(C468&lt;&gt;"",TEXT(C468,"ДДД"),"")</f>
        <v>Чт</v>
      </c>
      <c r="C468" s="8">
        <v>45715</v>
      </c>
      <c r="D468" s="9">
        <v>9200</v>
      </c>
      <c r="E468" s="10" t="s">
        <v>11</v>
      </c>
      <c r="F468" s="11">
        <v>4900</v>
      </c>
      <c r="G468" s="12" t="s">
        <v>11</v>
      </c>
      <c r="H468" s="11">
        <f>3100+2100</f>
        <v>5200</v>
      </c>
      <c r="I468" s="12" t="s">
        <v>11</v>
      </c>
      <c r="J468" s="11">
        <v>8000</v>
      </c>
      <c r="K468" s="12" t="s">
        <v>11</v>
      </c>
      <c r="L468" s="11"/>
      <c r="M468" s="12"/>
    </row>
    <row r="469" spans="1:13" x14ac:dyDescent="0.25">
      <c r="A469" s="1">
        <v>466</v>
      </c>
      <c r="B469" s="7" t="str">
        <f t="shared" si="23"/>
        <v>Пт</v>
      </c>
      <c r="C469" s="8">
        <v>45716</v>
      </c>
      <c r="D469" s="9"/>
      <c r="E469" s="10"/>
      <c r="F469" s="11"/>
      <c r="G469" s="12"/>
      <c r="H469" s="11"/>
      <c r="I469" s="12"/>
      <c r="J469" s="11"/>
      <c r="K469" s="12"/>
      <c r="L469" s="11"/>
      <c r="M469" s="12"/>
    </row>
    <row r="470" spans="1:13" x14ac:dyDescent="0.25">
      <c r="A470" s="1">
        <v>467</v>
      </c>
      <c r="B470" s="7" t="str">
        <f t="shared" si="23"/>
        <v>Сб</v>
      </c>
      <c r="C470" s="8">
        <v>45717</v>
      </c>
      <c r="D470" s="9"/>
      <c r="E470" s="10"/>
      <c r="F470" s="11"/>
      <c r="G470" s="12"/>
      <c r="H470" s="11"/>
      <c r="I470" s="12"/>
      <c r="J470" s="11"/>
      <c r="K470" s="12"/>
      <c r="L470" s="11"/>
      <c r="M470" s="12"/>
    </row>
    <row r="471" spans="1:13" x14ac:dyDescent="0.25">
      <c r="A471" s="1">
        <v>468</v>
      </c>
      <c r="B471" s="7" t="str">
        <f t="shared" si="23"/>
        <v>Вс</v>
      </c>
      <c r="C471" s="8">
        <v>45718</v>
      </c>
      <c r="D471" s="9"/>
      <c r="E471" s="10"/>
      <c r="F471" s="11"/>
      <c r="G471" s="12"/>
      <c r="H471" s="11"/>
      <c r="I471" s="12"/>
      <c r="J471" s="11"/>
      <c r="K471" s="12"/>
      <c r="L471" s="11">
        <v>1900</v>
      </c>
      <c r="M471" s="12" t="s">
        <v>12</v>
      </c>
    </row>
    <row r="472" spans="1:13" x14ac:dyDescent="0.25">
      <c r="A472" s="1">
        <v>469</v>
      </c>
      <c r="B472" s="7" t="str">
        <f t="shared" si="23"/>
        <v>Пн</v>
      </c>
      <c r="C472" s="8">
        <v>45719</v>
      </c>
      <c r="D472" s="9"/>
      <c r="E472" s="10"/>
      <c r="F472" s="11"/>
      <c r="G472" s="12"/>
      <c r="H472" s="11"/>
      <c r="I472" s="12"/>
      <c r="J472" s="11"/>
      <c r="K472" s="12"/>
      <c r="L472" s="11"/>
      <c r="M472" s="12"/>
    </row>
    <row r="473" spans="1:13" x14ac:dyDescent="0.25">
      <c r="A473" s="1">
        <v>470</v>
      </c>
      <c r="B473" s="7" t="str">
        <f t="shared" ref="B473:B477" si="25">IF(C473&lt;&gt;"",TEXT(C473,"ДДД"),"")</f>
        <v>Вт</v>
      </c>
      <c r="C473" s="8">
        <v>45720</v>
      </c>
      <c r="D473" s="9">
        <v>4300</v>
      </c>
      <c r="E473" s="10" t="s">
        <v>12</v>
      </c>
      <c r="F473" s="11">
        <v>4000</v>
      </c>
      <c r="G473" s="12" t="s">
        <v>12</v>
      </c>
      <c r="H473" s="11">
        <f>17000+2900+6100</f>
        <v>26000</v>
      </c>
      <c r="I473" s="12" t="s">
        <v>12</v>
      </c>
      <c r="J473" s="11">
        <v>14100</v>
      </c>
      <c r="K473" s="12" t="s">
        <v>12</v>
      </c>
      <c r="L473" s="11"/>
      <c r="M473" s="12"/>
    </row>
    <row r="474" spans="1:13" x14ac:dyDescent="0.25">
      <c r="A474" s="1">
        <v>471</v>
      </c>
      <c r="B474" s="7" t="str">
        <f t="shared" si="25"/>
        <v>Ср</v>
      </c>
      <c r="C474" s="8">
        <v>45721</v>
      </c>
      <c r="D474" s="9"/>
      <c r="E474" s="10"/>
      <c r="F474" s="11"/>
      <c r="G474" s="12"/>
      <c r="H474" s="11"/>
      <c r="I474" s="12"/>
      <c r="J474" s="11"/>
      <c r="K474" s="12"/>
      <c r="L474" s="11"/>
      <c r="M474" s="12"/>
    </row>
    <row r="475" spans="1:13" x14ac:dyDescent="0.25">
      <c r="A475" s="1">
        <v>472</v>
      </c>
      <c r="B475" s="7" t="str">
        <f t="shared" si="25"/>
        <v>Чт</v>
      </c>
      <c r="C475" s="8">
        <v>45722</v>
      </c>
      <c r="D475" s="9">
        <v>5300</v>
      </c>
      <c r="E475" s="10" t="s">
        <v>12</v>
      </c>
      <c r="F475" s="11">
        <v>1200</v>
      </c>
      <c r="G475" s="12" t="s">
        <v>12</v>
      </c>
      <c r="H475" s="11">
        <f>17200+3400</f>
        <v>20600</v>
      </c>
      <c r="I475" s="12" t="s">
        <v>12</v>
      </c>
      <c r="J475" s="11">
        <v>13700</v>
      </c>
      <c r="K475" s="12" t="s">
        <v>12</v>
      </c>
      <c r="L475" s="11"/>
      <c r="M475" s="12"/>
    </row>
    <row r="476" spans="1:13" x14ac:dyDescent="0.25">
      <c r="A476" s="1">
        <v>473</v>
      </c>
      <c r="B476" s="7" t="str">
        <f t="shared" ref="B476" si="26">IF(C476&lt;&gt;"",TEXT(C476,"ДДД"),"")</f>
        <v>Чт</v>
      </c>
      <c r="C476" s="8">
        <v>45722</v>
      </c>
      <c r="D476" s="9">
        <v>4800</v>
      </c>
      <c r="E476" s="10" t="s">
        <v>11</v>
      </c>
      <c r="F476" s="11">
        <v>4700</v>
      </c>
      <c r="G476" s="12" t="s">
        <v>11</v>
      </c>
      <c r="H476" s="11">
        <v>4000</v>
      </c>
      <c r="I476" s="12" t="s">
        <v>11</v>
      </c>
      <c r="J476" s="11">
        <v>7800</v>
      </c>
      <c r="K476" s="12" t="s">
        <v>11</v>
      </c>
      <c r="L476" s="11"/>
      <c r="M476" s="12"/>
    </row>
    <row r="477" spans="1:13" x14ac:dyDescent="0.25">
      <c r="A477" s="1">
        <v>474</v>
      </c>
      <c r="B477" s="7" t="str">
        <f t="shared" si="25"/>
        <v>Пт</v>
      </c>
      <c r="C477" s="8">
        <v>45723</v>
      </c>
      <c r="D477" s="9"/>
      <c r="E477" s="10"/>
      <c r="F477" s="11"/>
      <c r="G477" s="12"/>
      <c r="H477" s="11"/>
      <c r="I477" s="12"/>
      <c r="J477" s="11"/>
      <c r="K477" s="12"/>
      <c r="L477" s="11"/>
      <c r="M477" s="12"/>
    </row>
    <row r="478" spans="1:13" x14ac:dyDescent="0.25">
      <c r="A478" s="1">
        <v>475</v>
      </c>
      <c r="B478" s="7" t="str">
        <f t="shared" ref="B478:B479" si="27">IF(C478&lt;&gt;"",TEXT(C478,"ДДД"),"")</f>
        <v>Сб</v>
      </c>
      <c r="C478" s="8">
        <v>45724</v>
      </c>
      <c r="D478" s="9"/>
      <c r="E478" s="10"/>
      <c r="F478" s="11"/>
      <c r="G478" s="12"/>
      <c r="H478" s="11">
        <v>6400</v>
      </c>
      <c r="I478" s="12" t="s">
        <v>12</v>
      </c>
      <c r="J478" s="11">
        <v>2100</v>
      </c>
      <c r="K478" s="12" t="s">
        <v>12</v>
      </c>
      <c r="L478" s="11"/>
      <c r="M478" s="12"/>
    </row>
    <row r="479" spans="1:13" x14ac:dyDescent="0.25">
      <c r="A479" s="1">
        <v>476</v>
      </c>
      <c r="B479" s="7" t="str">
        <f t="shared" si="27"/>
        <v>Вс</v>
      </c>
      <c r="C479" s="8">
        <v>45725</v>
      </c>
      <c r="D479" s="9"/>
      <c r="E479" s="10"/>
      <c r="F479" s="11"/>
      <c r="G479" s="12"/>
      <c r="H479" s="11"/>
      <c r="I479" s="12"/>
      <c r="J479" s="11"/>
      <c r="K479" s="12"/>
      <c r="L479" s="11">
        <v>2300</v>
      </c>
      <c r="M479" s="12" t="s">
        <v>12</v>
      </c>
    </row>
    <row r="480" spans="1:13" x14ac:dyDescent="0.25">
      <c r="A480" s="1">
        <v>477</v>
      </c>
      <c r="B480" s="7" t="str">
        <f t="shared" ref="B480:B483" si="28">IF(C480&lt;&gt;"",TEXT(C480,"ДДД"),"")</f>
        <v>Пн</v>
      </c>
      <c r="C480" s="8">
        <v>45726</v>
      </c>
      <c r="D480" s="9">
        <v>5700</v>
      </c>
      <c r="E480" s="10" t="s">
        <v>11</v>
      </c>
      <c r="F480" s="11"/>
      <c r="G480" s="12"/>
      <c r="H480" s="11"/>
      <c r="I480" s="12"/>
      <c r="J480" s="11"/>
      <c r="K480" s="12"/>
      <c r="L480" s="11"/>
      <c r="M480" s="12"/>
    </row>
    <row r="481" spans="1:13" x14ac:dyDescent="0.25">
      <c r="A481" s="1">
        <v>478</v>
      </c>
      <c r="B481" s="7" t="str">
        <f t="shared" si="28"/>
        <v>Вт</v>
      </c>
      <c r="C481" s="8">
        <v>45727</v>
      </c>
      <c r="D481" s="9">
        <v>6500</v>
      </c>
      <c r="E481" s="10" t="s">
        <v>12</v>
      </c>
      <c r="F481" s="11">
        <v>2200</v>
      </c>
      <c r="G481" s="12" t="s">
        <v>12</v>
      </c>
      <c r="H481" s="11">
        <v>2400</v>
      </c>
      <c r="I481" s="12" t="s">
        <v>12</v>
      </c>
      <c r="J481" s="11">
        <v>17100</v>
      </c>
      <c r="K481" s="12" t="s">
        <v>12</v>
      </c>
      <c r="L481" s="11"/>
      <c r="M481" s="12"/>
    </row>
    <row r="482" spans="1:13" x14ac:dyDescent="0.25">
      <c r="A482" s="1">
        <v>479</v>
      </c>
      <c r="B482" s="7" t="str">
        <f t="shared" si="28"/>
        <v>Ср</v>
      </c>
      <c r="C482" s="8">
        <v>45728</v>
      </c>
      <c r="D482" s="9"/>
      <c r="E482" s="10"/>
      <c r="F482" s="11"/>
      <c r="G482" s="12"/>
      <c r="H482" s="11"/>
      <c r="I482" s="12"/>
      <c r="J482" s="11"/>
      <c r="K482" s="12"/>
      <c r="L482" s="11">
        <v>4800</v>
      </c>
      <c r="M482" s="12" t="s">
        <v>11</v>
      </c>
    </row>
    <row r="483" spans="1:13" x14ac:dyDescent="0.25">
      <c r="A483" s="1">
        <v>480</v>
      </c>
      <c r="B483" s="7" t="str">
        <f t="shared" si="28"/>
        <v>Чт</v>
      </c>
      <c r="C483" s="8">
        <v>45729</v>
      </c>
      <c r="D483" s="9">
        <v>1000</v>
      </c>
      <c r="E483" s="10" t="s">
        <v>12</v>
      </c>
      <c r="F483" s="11">
        <v>1600</v>
      </c>
      <c r="G483" s="12" t="s">
        <v>12</v>
      </c>
      <c r="H483" s="11">
        <v>2900</v>
      </c>
      <c r="I483" s="12" t="s">
        <v>12</v>
      </c>
      <c r="J483" s="11">
        <v>6500</v>
      </c>
      <c r="K483" s="12" t="s">
        <v>12</v>
      </c>
      <c r="L483" s="11"/>
      <c r="M483" s="12"/>
    </row>
    <row r="484" spans="1:13" x14ac:dyDescent="0.25">
      <c r="A484" s="1">
        <v>481</v>
      </c>
      <c r="B484" s="7" t="str">
        <f t="shared" ref="B484" si="29">IF(C484&lt;&gt;"",TEXT(C484,"ДДД"),"")</f>
        <v>Чт</v>
      </c>
      <c r="C484" s="8">
        <v>45729</v>
      </c>
      <c r="D484" s="9">
        <v>6200</v>
      </c>
      <c r="E484" s="10" t="s">
        <v>11</v>
      </c>
      <c r="F484" s="11">
        <v>8000</v>
      </c>
      <c r="G484" s="12" t="s">
        <v>11</v>
      </c>
      <c r="H484" s="11">
        <v>3500</v>
      </c>
      <c r="I484" s="12" t="s">
        <v>11</v>
      </c>
      <c r="J484" s="11">
        <v>5800</v>
      </c>
      <c r="K484" s="12" t="s">
        <v>11</v>
      </c>
      <c r="L484" s="11"/>
      <c r="M484" s="12"/>
    </row>
    <row r="485" spans="1:13" x14ac:dyDescent="0.25">
      <c r="A485" s="1">
        <v>482</v>
      </c>
      <c r="B485" s="7" t="str">
        <f t="shared" ref="B485:B493" si="30">IF(C485&lt;&gt;"",TEXT(C485,"ДДД"),"")</f>
        <v>Пт</v>
      </c>
      <c r="C485" s="8">
        <v>45730</v>
      </c>
      <c r="D485" s="9"/>
      <c r="E485" s="10"/>
      <c r="F485" s="11"/>
      <c r="G485" s="12"/>
      <c r="H485" s="11"/>
      <c r="I485" s="12"/>
      <c r="J485" s="11"/>
      <c r="K485" s="12"/>
      <c r="L485" s="11"/>
      <c r="M485" s="12"/>
    </row>
    <row r="486" spans="1:13" x14ac:dyDescent="0.25">
      <c r="A486" s="1">
        <v>483</v>
      </c>
      <c r="B486" s="7" t="str">
        <f t="shared" si="30"/>
        <v>Сб</v>
      </c>
      <c r="C486" s="8">
        <v>45731</v>
      </c>
      <c r="D486" s="9"/>
      <c r="E486" s="10"/>
      <c r="F486" s="11"/>
      <c r="G486" s="12"/>
      <c r="H486" s="11"/>
      <c r="I486" s="12"/>
      <c r="J486" s="11">
        <v>3000</v>
      </c>
      <c r="K486" s="12" t="s">
        <v>12</v>
      </c>
      <c r="L486" s="11"/>
      <c r="M486" s="12"/>
    </row>
    <row r="487" spans="1:13" x14ac:dyDescent="0.25">
      <c r="A487" s="1">
        <v>484</v>
      </c>
      <c r="B487" s="7" t="str">
        <f t="shared" si="30"/>
        <v>Вс</v>
      </c>
      <c r="C487" s="8">
        <v>45732</v>
      </c>
      <c r="D487" s="9"/>
      <c r="E487" s="10"/>
      <c r="F487" s="11"/>
      <c r="G487" s="12"/>
      <c r="H487" s="11"/>
      <c r="I487" s="12"/>
      <c r="J487" s="11"/>
      <c r="K487" s="12"/>
      <c r="L487" s="11">
        <v>1500</v>
      </c>
      <c r="M487" s="12" t="s">
        <v>12</v>
      </c>
    </row>
    <row r="488" spans="1:13" x14ac:dyDescent="0.25">
      <c r="A488" s="1">
        <v>485</v>
      </c>
      <c r="B488" s="7" t="str">
        <f t="shared" si="30"/>
        <v>Пн</v>
      </c>
      <c r="C488" s="8">
        <v>45733</v>
      </c>
      <c r="D488" s="9"/>
      <c r="E488" s="10"/>
      <c r="F488" s="11"/>
      <c r="G488" s="12"/>
      <c r="H488" s="11"/>
      <c r="I488" s="12"/>
      <c r="J488" s="11"/>
      <c r="K488" s="12"/>
      <c r="L488" s="11"/>
      <c r="M488" s="12"/>
    </row>
    <row r="489" spans="1:13" x14ac:dyDescent="0.25">
      <c r="A489" s="1">
        <v>486</v>
      </c>
      <c r="B489" s="7" t="str">
        <f t="shared" si="30"/>
        <v>Вт</v>
      </c>
      <c r="C489" s="8">
        <v>45734</v>
      </c>
      <c r="D489" s="9">
        <v>800</v>
      </c>
      <c r="E489" s="10" t="s">
        <v>12</v>
      </c>
      <c r="F489" s="11">
        <f>1900+2300</f>
        <v>4200</v>
      </c>
      <c r="G489" s="12" t="s">
        <v>12</v>
      </c>
      <c r="H489" s="11">
        <f>9500+17800</f>
        <v>27300</v>
      </c>
      <c r="I489" s="12" t="s">
        <v>12</v>
      </c>
      <c r="J489" s="11">
        <v>5500</v>
      </c>
      <c r="K489" s="12" t="s">
        <v>12</v>
      </c>
      <c r="L489" s="11"/>
      <c r="M489" s="12"/>
    </row>
    <row r="490" spans="1:13" x14ac:dyDescent="0.25">
      <c r="A490" s="1">
        <v>487</v>
      </c>
      <c r="B490" s="7" t="str">
        <f t="shared" si="30"/>
        <v>Ср</v>
      </c>
      <c r="C490" s="8">
        <v>45735</v>
      </c>
      <c r="D490" s="9"/>
      <c r="E490" s="10"/>
      <c r="F490" s="11"/>
      <c r="G490" s="12"/>
      <c r="H490" s="11"/>
      <c r="I490" s="12"/>
      <c r="J490" s="11"/>
      <c r="K490" s="12"/>
      <c r="L490" s="11"/>
      <c r="M490" s="12"/>
    </row>
    <row r="491" spans="1:13" x14ac:dyDescent="0.25">
      <c r="A491" s="1">
        <v>488</v>
      </c>
      <c r="B491" s="7" t="str">
        <f t="shared" si="30"/>
        <v>Чт</v>
      </c>
      <c r="C491" s="8">
        <v>45736</v>
      </c>
      <c r="D491" s="9">
        <v>3500</v>
      </c>
      <c r="E491" s="10" t="s">
        <v>12</v>
      </c>
      <c r="F491" s="11">
        <v>3600</v>
      </c>
      <c r="G491" s="12" t="s">
        <v>12</v>
      </c>
      <c r="H491" s="11">
        <f>2200+17700</f>
        <v>19900</v>
      </c>
      <c r="I491" s="12" t="s">
        <v>12</v>
      </c>
      <c r="J491" s="11">
        <v>8300</v>
      </c>
      <c r="K491" s="12" t="s">
        <v>12</v>
      </c>
      <c r="L491" s="11"/>
      <c r="M491" s="12"/>
    </row>
    <row r="492" spans="1:13" x14ac:dyDescent="0.25">
      <c r="A492" s="1">
        <v>489</v>
      </c>
      <c r="B492" s="7" t="str">
        <f t="shared" ref="B492" si="31">IF(C492&lt;&gt;"",TEXT(C492,"ДДД"),"")</f>
        <v>Чт</v>
      </c>
      <c r="C492" s="8">
        <v>45736</v>
      </c>
      <c r="D492" s="9">
        <v>7800</v>
      </c>
      <c r="E492" s="10" t="s">
        <v>11</v>
      </c>
      <c r="F492" s="11">
        <v>5000</v>
      </c>
      <c r="G492" s="12" t="s">
        <v>11</v>
      </c>
      <c r="H492" s="11">
        <v>2900</v>
      </c>
      <c r="I492" s="12" t="s">
        <v>11</v>
      </c>
      <c r="J492" s="11">
        <v>4100</v>
      </c>
      <c r="K492" s="12" t="s">
        <v>11</v>
      </c>
      <c r="L492" s="11"/>
      <c r="M492" s="12"/>
    </row>
    <row r="493" spans="1:13" x14ac:dyDescent="0.25">
      <c r="A493" s="1">
        <v>490</v>
      </c>
      <c r="B493" s="7" t="str">
        <f t="shared" si="30"/>
        <v>Пт</v>
      </c>
      <c r="C493" s="8">
        <v>45737</v>
      </c>
      <c r="D493" s="9"/>
      <c r="E493" s="10"/>
      <c r="F493" s="11"/>
      <c r="G493" s="12"/>
      <c r="H493" s="11"/>
      <c r="I493" s="12"/>
      <c r="J493" s="11"/>
      <c r="K493" s="12"/>
      <c r="L493" s="11"/>
      <c r="M493" s="12"/>
    </row>
    <row r="494" spans="1:13" x14ac:dyDescent="0.25">
      <c r="A494" s="1">
        <v>491</v>
      </c>
      <c r="B494" s="7" t="str">
        <f t="shared" ref="B494:B498" si="32">IF(C494&lt;&gt;"",TEXT(C494,"ДДД"),"")</f>
        <v>Сб</v>
      </c>
      <c r="C494" s="8">
        <v>45738</v>
      </c>
      <c r="D494" s="9"/>
      <c r="E494" s="10"/>
      <c r="F494" s="11"/>
      <c r="G494" s="12"/>
      <c r="H494" s="11"/>
      <c r="I494" s="12"/>
      <c r="J494" s="11"/>
      <c r="K494" s="12"/>
      <c r="L494" s="11"/>
      <c r="M494" s="12"/>
    </row>
    <row r="495" spans="1:13" x14ac:dyDescent="0.25">
      <c r="A495" s="1">
        <v>492</v>
      </c>
      <c r="B495" s="7" t="str">
        <f t="shared" si="32"/>
        <v>Вс</v>
      </c>
      <c r="C495" s="8">
        <v>45739</v>
      </c>
      <c r="D495" s="9"/>
      <c r="E495" s="10"/>
      <c r="F495" s="11"/>
      <c r="G495" s="12"/>
      <c r="H495" s="11"/>
      <c r="I495" s="12"/>
      <c r="J495" s="11"/>
      <c r="K495" s="12"/>
      <c r="L495" s="11">
        <v>1900</v>
      </c>
      <c r="M495" s="12" t="s">
        <v>12</v>
      </c>
    </row>
    <row r="496" spans="1:13" x14ac:dyDescent="0.25">
      <c r="A496" s="1">
        <v>493</v>
      </c>
      <c r="B496" s="7" t="str">
        <f t="shared" si="32"/>
        <v>Пн</v>
      </c>
      <c r="C496" s="8">
        <v>45740</v>
      </c>
      <c r="D496" s="9"/>
      <c r="E496" s="10"/>
      <c r="F496" s="11"/>
      <c r="G496" s="12"/>
      <c r="H496" s="11"/>
      <c r="I496" s="12"/>
      <c r="J496" s="11"/>
      <c r="K496" s="12"/>
      <c r="L496" s="11"/>
      <c r="M496" s="12"/>
    </row>
    <row r="497" spans="1:13" x14ac:dyDescent="0.25">
      <c r="A497" s="1">
        <v>494</v>
      </c>
      <c r="B497" s="7" t="str">
        <f t="shared" si="32"/>
        <v>Вт</v>
      </c>
      <c r="C497" s="8">
        <v>45741</v>
      </c>
      <c r="D497" s="9">
        <v>7100</v>
      </c>
      <c r="E497" s="10" t="s">
        <v>12</v>
      </c>
      <c r="F497" s="11">
        <v>5300</v>
      </c>
      <c r="G497" s="12" t="s">
        <v>12</v>
      </c>
      <c r="H497" s="11">
        <v>11900</v>
      </c>
      <c r="I497" s="12" t="s">
        <v>12</v>
      </c>
      <c r="J497" s="11">
        <f>17600+10000</f>
        <v>27600</v>
      </c>
      <c r="K497" s="12" t="s">
        <v>12</v>
      </c>
      <c r="L497" s="11"/>
      <c r="M497" s="12"/>
    </row>
    <row r="498" spans="1:13" x14ac:dyDescent="0.25">
      <c r="A498" s="1">
        <v>495</v>
      </c>
      <c r="B498" s="7" t="str">
        <f t="shared" si="32"/>
        <v>Ср</v>
      </c>
      <c r="C498" s="8">
        <v>45742</v>
      </c>
      <c r="D498" s="9"/>
      <c r="E498" s="10"/>
      <c r="F498" s="11"/>
      <c r="G498" s="12"/>
      <c r="H498" s="11">
        <v>12000</v>
      </c>
      <c r="I498" s="12" t="s">
        <v>12</v>
      </c>
      <c r="J498" s="11"/>
      <c r="K498" s="12"/>
      <c r="L498" s="11"/>
      <c r="M498" s="12"/>
    </row>
    <row r="499" spans="1:13" x14ac:dyDescent="0.25">
      <c r="A499" s="1">
        <v>496</v>
      </c>
      <c r="B499" s="7" t="str">
        <f t="shared" ref="B499:B502" si="33">IF(C499&lt;&gt;"",TEXT(C499,"ДДД"),"")</f>
        <v>Чт</v>
      </c>
      <c r="C499" s="8">
        <v>45743</v>
      </c>
      <c r="D499" s="9">
        <v>4900</v>
      </c>
      <c r="E499" s="10" t="s">
        <v>12</v>
      </c>
      <c r="F499" s="11">
        <v>1700</v>
      </c>
      <c r="G499" s="12" t="s">
        <v>12</v>
      </c>
      <c r="H499" s="11"/>
      <c r="I499" s="12"/>
      <c r="J499" s="11">
        <v>15500</v>
      </c>
      <c r="K499" s="12" t="s">
        <v>12</v>
      </c>
      <c r="L499" s="11"/>
      <c r="M499" s="12"/>
    </row>
    <row r="500" spans="1:13" x14ac:dyDescent="0.25">
      <c r="A500" s="1">
        <v>497</v>
      </c>
      <c r="B500" s="7" t="str">
        <f t="shared" ref="B500" si="34">IF(C500&lt;&gt;"",TEXT(C500,"ДДД"),"")</f>
        <v>Чт</v>
      </c>
      <c r="C500" s="8">
        <v>45743</v>
      </c>
      <c r="D500" s="9">
        <v>5300</v>
      </c>
      <c r="E500" s="10" t="s">
        <v>11</v>
      </c>
      <c r="F500" s="11">
        <f>2500+1800</f>
        <v>4300</v>
      </c>
      <c r="G500" s="12" t="s">
        <v>11</v>
      </c>
      <c r="H500" s="11">
        <v>5500</v>
      </c>
      <c r="I500" s="12" t="s">
        <v>11</v>
      </c>
      <c r="J500" s="11">
        <v>4300</v>
      </c>
      <c r="K500" s="12" t="s">
        <v>11</v>
      </c>
      <c r="L500" s="11"/>
      <c r="M500" s="12"/>
    </row>
    <row r="501" spans="1:13" x14ac:dyDescent="0.25">
      <c r="A501" s="1">
        <v>498</v>
      </c>
      <c r="B501" s="7" t="str">
        <f t="shared" si="33"/>
        <v>Пт</v>
      </c>
      <c r="C501" s="8">
        <v>45744</v>
      </c>
      <c r="D501" s="9"/>
      <c r="E501" s="10"/>
      <c r="F501" s="11"/>
      <c r="G501" s="12"/>
      <c r="H501" s="11"/>
      <c r="I501" s="12"/>
      <c r="J501" s="11"/>
      <c r="K501" s="12"/>
      <c r="L501" s="11"/>
      <c r="M501" s="12"/>
    </row>
    <row r="502" spans="1:13" x14ac:dyDescent="0.25">
      <c r="A502" s="1">
        <v>499</v>
      </c>
      <c r="B502" s="7" t="str">
        <f t="shared" si="33"/>
        <v>Сб</v>
      </c>
      <c r="C502" s="8">
        <v>45745</v>
      </c>
      <c r="D502" s="9"/>
      <c r="E502" s="10"/>
      <c r="F502" s="11"/>
      <c r="G502" s="12"/>
      <c r="H502" s="11"/>
      <c r="I502" s="12"/>
      <c r="J502" s="11"/>
      <c r="K502" s="12"/>
      <c r="L502" s="11"/>
      <c r="M502" s="12"/>
    </row>
    <row r="503" spans="1:13" x14ac:dyDescent="0.25">
      <c r="A503" s="1">
        <v>500</v>
      </c>
      <c r="B503" s="7" t="str">
        <f t="shared" ref="B503:B507" si="35">IF(C503&lt;&gt;"",TEXT(C503,"ДДД"),"")</f>
        <v>Вс</v>
      </c>
      <c r="C503" s="8">
        <v>45746</v>
      </c>
      <c r="D503" s="9"/>
      <c r="E503" s="10"/>
      <c r="F503" s="11"/>
      <c r="G503" s="12"/>
      <c r="H503" s="11"/>
      <c r="I503" s="12"/>
      <c r="J503" s="11"/>
      <c r="K503" s="12"/>
      <c r="L503" s="11">
        <v>1900</v>
      </c>
      <c r="M503" s="12" t="s">
        <v>12</v>
      </c>
    </row>
    <row r="504" spans="1:13" x14ac:dyDescent="0.25">
      <c r="A504" s="1">
        <v>501</v>
      </c>
      <c r="B504" s="7" t="str">
        <f t="shared" si="35"/>
        <v>Пн</v>
      </c>
      <c r="C504" s="8">
        <v>45747</v>
      </c>
      <c r="D504" s="9"/>
      <c r="E504" s="10"/>
      <c r="F504" s="11"/>
      <c r="G504" s="12"/>
      <c r="H504" s="11"/>
      <c r="I504" s="12"/>
      <c r="J504" s="11"/>
      <c r="K504" s="12"/>
      <c r="L504" s="11"/>
      <c r="M504" s="12"/>
    </row>
    <row r="505" spans="1:13" x14ac:dyDescent="0.25">
      <c r="A505" s="1">
        <v>502</v>
      </c>
      <c r="B505" s="7" t="str">
        <f t="shared" si="35"/>
        <v>Вт</v>
      </c>
      <c r="C505" s="8">
        <v>45748</v>
      </c>
      <c r="D505" s="9">
        <v>4500</v>
      </c>
      <c r="E505" s="10" t="s">
        <v>12</v>
      </c>
      <c r="F505" s="11">
        <v>2900</v>
      </c>
      <c r="G505" s="12" t="s">
        <v>12</v>
      </c>
      <c r="H505" s="11">
        <f>17600+3200+2800</f>
        <v>23600</v>
      </c>
      <c r="I505" s="12" t="s">
        <v>12</v>
      </c>
      <c r="J505" s="11">
        <v>14400</v>
      </c>
      <c r="K505" s="12" t="s">
        <v>12</v>
      </c>
      <c r="L505" s="11"/>
      <c r="M505" s="12"/>
    </row>
    <row r="506" spans="1:13" x14ac:dyDescent="0.25">
      <c r="A506" s="1">
        <v>503</v>
      </c>
      <c r="B506" s="7" t="str">
        <f t="shared" si="35"/>
        <v>Ср</v>
      </c>
      <c r="C506" s="8">
        <v>45749</v>
      </c>
      <c r="D506" s="9"/>
      <c r="E506" s="10"/>
      <c r="F506" s="11"/>
      <c r="G506" s="12"/>
      <c r="H506" s="11"/>
      <c r="I506" s="12"/>
      <c r="J506" s="11"/>
      <c r="K506" s="12"/>
      <c r="L506" s="11"/>
      <c r="M506" s="12"/>
    </row>
    <row r="507" spans="1:13" x14ac:dyDescent="0.25">
      <c r="A507" s="1">
        <v>504</v>
      </c>
      <c r="B507" s="7" t="str">
        <f t="shared" si="35"/>
        <v>Чт</v>
      </c>
      <c r="C507" s="8">
        <v>45750</v>
      </c>
      <c r="D507" s="9">
        <v>1800</v>
      </c>
      <c r="E507" s="10" t="s">
        <v>12</v>
      </c>
      <c r="F507" s="11">
        <v>1200</v>
      </c>
      <c r="G507" s="12" t="s">
        <v>12</v>
      </c>
      <c r="H507" s="11">
        <v>9400</v>
      </c>
      <c r="I507" s="12" t="s">
        <v>12</v>
      </c>
      <c r="J507" s="11">
        <v>8500</v>
      </c>
      <c r="K507" s="12" t="s">
        <v>12</v>
      </c>
      <c r="L507" s="11"/>
      <c r="M507" s="12"/>
    </row>
    <row r="508" spans="1:13" x14ac:dyDescent="0.25">
      <c r="A508" s="1">
        <v>505</v>
      </c>
      <c r="B508" s="7" t="str">
        <f t="shared" ref="B508" si="36">IF(C508&lt;&gt;"",TEXT(C508,"ДДД"),"")</f>
        <v>Чт</v>
      </c>
      <c r="C508" s="8">
        <v>45750</v>
      </c>
      <c r="D508" s="9">
        <v>6600</v>
      </c>
      <c r="E508" s="10" t="s">
        <v>11</v>
      </c>
      <c r="F508" s="11">
        <v>4700</v>
      </c>
      <c r="G508" s="12" t="s">
        <v>11</v>
      </c>
      <c r="H508" s="11">
        <v>5600</v>
      </c>
      <c r="I508" s="12" t="s">
        <v>11</v>
      </c>
      <c r="J508" s="11">
        <v>6000</v>
      </c>
      <c r="K508" s="12" t="s">
        <v>11</v>
      </c>
      <c r="L508" s="11"/>
      <c r="M508" s="12"/>
    </row>
    <row r="509" spans="1:13" x14ac:dyDescent="0.25">
      <c r="A509" s="1">
        <v>506</v>
      </c>
      <c r="B509" s="7" t="str">
        <f t="shared" ref="B509:B512" si="37">IF(C509&lt;&gt;"",TEXT(C509,"ДДД"),"")</f>
        <v>Пт</v>
      </c>
      <c r="C509" s="8">
        <v>45751</v>
      </c>
      <c r="D509" s="9"/>
      <c r="E509" s="10"/>
      <c r="F509" s="11"/>
      <c r="G509" s="12"/>
      <c r="H509" s="11"/>
      <c r="I509" s="12"/>
      <c r="J509" s="11"/>
      <c r="K509" s="12"/>
      <c r="L509" s="11"/>
      <c r="M509" s="12"/>
    </row>
    <row r="510" spans="1:13" x14ac:dyDescent="0.25">
      <c r="A510" s="1">
        <v>507</v>
      </c>
      <c r="B510" s="7" t="str">
        <f t="shared" si="37"/>
        <v>Сб</v>
      </c>
      <c r="C510" s="8">
        <v>45752</v>
      </c>
      <c r="D510" s="9"/>
      <c r="E510" s="10"/>
      <c r="F510" s="11"/>
      <c r="G510" s="12"/>
      <c r="H510" s="11"/>
      <c r="I510" s="12"/>
      <c r="J510" s="11"/>
      <c r="K510" s="12"/>
      <c r="L510" s="11"/>
      <c r="M510" s="12"/>
    </row>
    <row r="511" spans="1:13" x14ac:dyDescent="0.25">
      <c r="A511" s="1">
        <v>508</v>
      </c>
      <c r="B511" s="7" t="str">
        <f t="shared" si="37"/>
        <v>Вс</v>
      </c>
      <c r="C511" s="8">
        <v>45753</v>
      </c>
      <c r="D511" s="9"/>
      <c r="E511" s="10"/>
      <c r="F511" s="11"/>
      <c r="G511" s="12"/>
      <c r="H511" s="11"/>
      <c r="I511" s="12"/>
      <c r="J511" s="11"/>
      <c r="K511" s="12"/>
      <c r="L511" s="11">
        <v>2800</v>
      </c>
      <c r="M511" s="12" t="s">
        <v>12</v>
      </c>
    </row>
    <row r="512" spans="1:13" x14ac:dyDescent="0.25">
      <c r="A512" s="1">
        <v>509</v>
      </c>
      <c r="B512" s="7" t="str">
        <f t="shared" si="37"/>
        <v>Пн</v>
      </c>
      <c r="C512" s="8">
        <v>45754</v>
      </c>
      <c r="D512" s="9"/>
      <c r="E512" s="10"/>
      <c r="F512" s="11"/>
      <c r="G512" s="12"/>
      <c r="H512" s="11"/>
      <c r="I512" s="12"/>
      <c r="J512" s="11"/>
      <c r="K512" s="12"/>
      <c r="L512" s="11"/>
      <c r="M512" s="12"/>
    </row>
    <row r="513" spans="1:13" x14ac:dyDescent="0.25">
      <c r="A513" s="1">
        <v>510</v>
      </c>
      <c r="B513" s="7" t="str">
        <f t="shared" ref="B513:B519" si="38">IF(C513&lt;&gt;"",TEXT(C513,"ДДД"),"")</f>
        <v>Вт</v>
      </c>
      <c r="C513" s="8">
        <v>45755</v>
      </c>
      <c r="D513" s="9">
        <f>2500+1800</f>
        <v>4300</v>
      </c>
      <c r="E513" s="10" t="s">
        <v>12</v>
      </c>
      <c r="F513" s="11">
        <v>5800</v>
      </c>
      <c r="G513" s="12" t="s">
        <v>12</v>
      </c>
      <c r="H513" s="11">
        <v>15200</v>
      </c>
      <c r="I513" s="12" t="s">
        <v>12</v>
      </c>
      <c r="J513" s="11">
        <f>11100+10000</f>
        <v>21100</v>
      </c>
      <c r="K513" s="12" t="s">
        <v>12</v>
      </c>
      <c r="L513" s="11"/>
      <c r="M513" s="12"/>
    </row>
    <row r="514" spans="1:13" x14ac:dyDescent="0.25">
      <c r="A514" s="1">
        <v>511</v>
      </c>
      <c r="B514" s="7" t="str">
        <f t="shared" si="38"/>
        <v>Ср</v>
      </c>
      <c r="C514" s="8">
        <v>45756</v>
      </c>
      <c r="D514" s="9"/>
      <c r="E514" s="10"/>
      <c r="F514" s="11"/>
      <c r="G514" s="12"/>
      <c r="H514" s="11"/>
      <c r="I514" s="12"/>
      <c r="J514" s="11"/>
      <c r="K514" s="12"/>
      <c r="L514" s="11"/>
      <c r="M514" s="12"/>
    </row>
    <row r="515" spans="1:13" x14ac:dyDescent="0.25">
      <c r="A515" s="1">
        <v>512</v>
      </c>
      <c r="B515" s="7" t="str">
        <f t="shared" si="38"/>
        <v>Чт</v>
      </c>
      <c r="C515" s="8">
        <v>45757</v>
      </c>
      <c r="D515" s="9">
        <v>2000</v>
      </c>
      <c r="E515" s="10" t="s">
        <v>12</v>
      </c>
      <c r="F515" s="11">
        <v>1800</v>
      </c>
      <c r="G515" s="12" t="s">
        <v>12</v>
      </c>
      <c r="H515" s="11">
        <v>5700</v>
      </c>
      <c r="I515" s="12" t="s">
        <v>12</v>
      </c>
      <c r="J515" s="11">
        <v>13300</v>
      </c>
      <c r="K515" s="12" t="s">
        <v>12</v>
      </c>
      <c r="L515" s="11"/>
      <c r="M515" s="12"/>
    </row>
    <row r="516" spans="1:13" x14ac:dyDescent="0.25">
      <c r="A516" s="1">
        <v>513</v>
      </c>
      <c r="B516" s="7" t="str">
        <f t="shared" ref="B516" si="39">IF(C516&lt;&gt;"",TEXT(C516,"ДДД"),"")</f>
        <v>Чт</v>
      </c>
      <c r="C516" s="8">
        <v>45757</v>
      </c>
      <c r="D516" s="9">
        <v>3700</v>
      </c>
      <c r="E516" s="10" t="s">
        <v>11</v>
      </c>
      <c r="F516" s="11">
        <v>1500</v>
      </c>
      <c r="G516" s="12" t="s">
        <v>11</v>
      </c>
      <c r="H516" s="11">
        <v>2900</v>
      </c>
      <c r="I516" s="12" t="s">
        <v>11</v>
      </c>
      <c r="J516" s="11">
        <v>4100</v>
      </c>
      <c r="K516" s="12" t="s">
        <v>11</v>
      </c>
      <c r="L516" s="11"/>
      <c r="M516" s="12"/>
    </row>
    <row r="517" spans="1:13" x14ac:dyDescent="0.25">
      <c r="A517" s="1">
        <v>514</v>
      </c>
      <c r="B517" s="7" t="str">
        <f t="shared" si="38"/>
        <v>Пт</v>
      </c>
      <c r="C517" s="8">
        <v>45758</v>
      </c>
      <c r="D517" s="9"/>
      <c r="E517" s="10"/>
      <c r="F517" s="11"/>
      <c r="G517" s="12"/>
      <c r="H517" s="11"/>
      <c r="I517" s="12"/>
      <c r="J517" s="11"/>
      <c r="K517" s="12"/>
      <c r="L517" s="11"/>
      <c r="M517" s="12"/>
    </row>
    <row r="518" spans="1:13" x14ac:dyDescent="0.25">
      <c r="A518" s="1">
        <v>515</v>
      </c>
      <c r="B518" s="7" t="str">
        <f t="shared" si="38"/>
        <v>Сб</v>
      </c>
      <c r="C518" s="8">
        <v>45759</v>
      </c>
      <c r="D518" s="9"/>
      <c r="E518" s="10"/>
      <c r="F518" s="11"/>
      <c r="G518" s="12"/>
      <c r="H518" s="11"/>
      <c r="I518" s="12"/>
      <c r="J518" s="11">
        <v>10000</v>
      </c>
      <c r="K518" s="12" t="s">
        <v>12</v>
      </c>
      <c r="L518" s="11"/>
      <c r="M518" s="12"/>
    </row>
    <row r="519" spans="1:13" x14ac:dyDescent="0.25">
      <c r="A519" s="1">
        <v>516</v>
      </c>
      <c r="B519" s="7" t="str">
        <f t="shared" si="38"/>
        <v>Вс</v>
      </c>
      <c r="C519" s="8">
        <v>45760</v>
      </c>
      <c r="D519" s="9"/>
      <c r="E519" s="10"/>
      <c r="F519" s="11"/>
      <c r="G519" s="12"/>
      <c r="H519" s="11"/>
      <c r="I519" s="12"/>
      <c r="J519" s="11"/>
      <c r="K519" s="12"/>
      <c r="L519" s="11">
        <v>2300</v>
      </c>
      <c r="M519" s="12" t="s">
        <v>12</v>
      </c>
    </row>
    <row r="520" spans="1:13" x14ac:dyDescent="0.25">
      <c r="A520" s="1">
        <v>517</v>
      </c>
      <c r="B520" s="7" t="str">
        <f t="shared" ref="B520:B523" si="40">IF(C520&lt;&gt;"",TEXT(C520,"ДДД"),"")</f>
        <v>Пн</v>
      </c>
      <c r="C520" s="8">
        <v>45761</v>
      </c>
      <c r="D520" s="9"/>
      <c r="E520" s="10"/>
      <c r="F520" s="11"/>
      <c r="G520" s="12"/>
      <c r="H520" s="11"/>
      <c r="I520" s="12"/>
      <c r="J520" s="11"/>
      <c r="K520" s="12"/>
      <c r="L520" s="11"/>
      <c r="M520" s="12"/>
    </row>
    <row r="521" spans="1:13" x14ac:dyDescent="0.25">
      <c r="A521" s="1">
        <v>518</v>
      </c>
      <c r="B521" s="7" t="str">
        <f t="shared" si="40"/>
        <v>Вт</v>
      </c>
      <c r="C521" s="8">
        <v>45762</v>
      </c>
      <c r="D521" s="9">
        <f>6300+1000</f>
        <v>7300</v>
      </c>
      <c r="E521" s="10" t="s">
        <v>12</v>
      </c>
      <c r="F521" s="11">
        <v>5600</v>
      </c>
      <c r="G521" s="12" t="s">
        <v>12</v>
      </c>
      <c r="H521" s="11">
        <f>3400+9100</f>
        <v>12500</v>
      </c>
      <c r="I521" s="12" t="s">
        <v>12</v>
      </c>
      <c r="J521" s="11">
        <v>17000</v>
      </c>
      <c r="K521" s="12" t="s">
        <v>12</v>
      </c>
      <c r="L521" s="11"/>
      <c r="M521" s="12"/>
    </row>
    <row r="522" spans="1:13" x14ac:dyDescent="0.25">
      <c r="A522" s="1">
        <v>519</v>
      </c>
      <c r="B522" s="7" t="str">
        <f t="shared" si="40"/>
        <v>Ср</v>
      </c>
      <c r="C522" s="8">
        <v>45763</v>
      </c>
      <c r="D522" s="9"/>
      <c r="E522" s="10"/>
      <c r="F522" s="11"/>
      <c r="G522" s="12"/>
      <c r="H522" s="11"/>
      <c r="I522" s="12"/>
      <c r="J522" s="11"/>
      <c r="K522" s="12"/>
      <c r="L522" s="11"/>
      <c r="M522" s="12"/>
    </row>
    <row r="523" spans="1:13" x14ac:dyDescent="0.25">
      <c r="A523" s="1">
        <v>520</v>
      </c>
      <c r="B523" s="7" t="str">
        <f t="shared" si="40"/>
        <v>Чт</v>
      </c>
      <c r="C523" s="8">
        <v>45764</v>
      </c>
      <c r="D523" s="9">
        <v>1500</v>
      </c>
      <c r="E523" s="10" t="s">
        <v>12</v>
      </c>
      <c r="F523" s="11">
        <v>2000</v>
      </c>
      <c r="G523" s="12" t="s">
        <v>12</v>
      </c>
      <c r="H523" s="11">
        <v>6300</v>
      </c>
      <c r="I523" s="12" t="s">
        <v>12</v>
      </c>
      <c r="J523" s="11">
        <v>7200</v>
      </c>
      <c r="K523" s="12" t="s">
        <v>12</v>
      </c>
      <c r="L523" s="11"/>
      <c r="M523" s="12"/>
    </row>
    <row r="524" spans="1:13" x14ac:dyDescent="0.25">
      <c r="A524" s="1">
        <v>521</v>
      </c>
      <c r="B524" s="7" t="str">
        <f t="shared" ref="B524" si="41">IF(C524&lt;&gt;"",TEXT(C524,"ДДД"),"")</f>
        <v>Чт</v>
      </c>
      <c r="C524" s="8">
        <v>45764</v>
      </c>
      <c r="D524" s="9">
        <v>14300</v>
      </c>
      <c r="E524" s="10" t="s">
        <v>11</v>
      </c>
      <c r="F524" s="11">
        <v>8400</v>
      </c>
      <c r="G524" s="12" t="s">
        <v>11</v>
      </c>
      <c r="H524" s="11">
        <v>4100</v>
      </c>
      <c r="I524" s="12" t="s">
        <v>11</v>
      </c>
      <c r="J524" s="11">
        <v>7500</v>
      </c>
      <c r="K524" s="12" t="s">
        <v>11</v>
      </c>
      <c r="L524" s="11"/>
      <c r="M524" s="12"/>
    </row>
    <row r="525" spans="1:13" x14ac:dyDescent="0.25">
      <c r="A525" s="1">
        <v>522</v>
      </c>
      <c r="B525" s="7" t="str">
        <f t="shared" ref="B525:B530" si="42">IF(C525&lt;&gt;"",TEXT(C525,"ДДД"),"")</f>
        <v>Пт</v>
      </c>
      <c r="C525" s="8">
        <v>45765</v>
      </c>
      <c r="D525" s="9"/>
      <c r="E525" s="10"/>
      <c r="F525" s="11"/>
      <c r="G525" s="12"/>
      <c r="H525" s="11"/>
      <c r="I525" s="12"/>
      <c r="J525" s="11"/>
      <c r="K525" s="12"/>
      <c r="L525" s="11"/>
      <c r="M525" s="12"/>
    </row>
    <row r="526" spans="1:13" x14ac:dyDescent="0.25">
      <c r="A526" s="1">
        <v>523</v>
      </c>
      <c r="B526" s="7" t="str">
        <f t="shared" si="42"/>
        <v>Сб</v>
      </c>
      <c r="C526" s="8">
        <v>45766</v>
      </c>
      <c r="D526" s="9"/>
      <c r="E526" s="10"/>
      <c r="F526" s="11"/>
      <c r="G526" s="12"/>
      <c r="H526" s="11"/>
      <c r="I526" s="12"/>
      <c r="J526" s="11"/>
      <c r="K526" s="12"/>
      <c r="L526" s="11"/>
      <c r="M526" s="12"/>
    </row>
    <row r="527" spans="1:13" x14ac:dyDescent="0.25">
      <c r="A527" s="1">
        <v>524</v>
      </c>
      <c r="B527" s="7" t="str">
        <f t="shared" si="42"/>
        <v>Вс</v>
      </c>
      <c r="C527" s="8">
        <v>45767</v>
      </c>
      <c r="D527" s="9"/>
      <c r="E527" s="10"/>
      <c r="F527" s="11"/>
      <c r="G527" s="12"/>
      <c r="H527" s="11"/>
      <c r="I527" s="12"/>
      <c r="J527" s="11"/>
      <c r="K527" s="12"/>
      <c r="L527" s="11">
        <v>1500</v>
      </c>
      <c r="M527" s="12" t="s">
        <v>12</v>
      </c>
    </row>
    <row r="528" spans="1:13" x14ac:dyDescent="0.25">
      <c r="A528" s="1">
        <v>525</v>
      </c>
      <c r="B528" s="7" t="str">
        <f t="shared" si="42"/>
        <v>Пн</v>
      </c>
      <c r="C528" s="8">
        <v>45768</v>
      </c>
      <c r="D528" s="9"/>
      <c r="E528" s="10"/>
      <c r="F528" s="11"/>
      <c r="G528" s="12"/>
      <c r="H528" s="11"/>
      <c r="I528" s="12"/>
      <c r="J528" s="11"/>
      <c r="K528" s="12"/>
      <c r="L528" s="11"/>
      <c r="M528" s="12"/>
    </row>
    <row r="529" spans="1:13" x14ac:dyDescent="0.25">
      <c r="A529" s="1">
        <v>526</v>
      </c>
      <c r="B529" s="7" t="str">
        <f t="shared" si="42"/>
        <v>Вт</v>
      </c>
      <c r="C529" s="8">
        <v>45769</v>
      </c>
      <c r="D529" s="9">
        <v>7600</v>
      </c>
      <c r="E529" s="10" t="s">
        <v>12</v>
      </c>
      <c r="F529" s="11">
        <v>5800</v>
      </c>
      <c r="G529" s="12" t="s">
        <v>12</v>
      </c>
      <c r="H529" s="11">
        <f>15500+7500</f>
        <v>23000</v>
      </c>
      <c r="I529" s="12" t="s">
        <v>12</v>
      </c>
      <c r="J529" s="11">
        <f>4500+9500</f>
        <v>14000</v>
      </c>
      <c r="K529" s="12" t="s">
        <v>12</v>
      </c>
      <c r="L529" s="11">
        <v>5300</v>
      </c>
      <c r="M529" s="12" t="s">
        <v>11</v>
      </c>
    </row>
    <row r="530" spans="1:13" x14ac:dyDescent="0.25">
      <c r="A530" s="1">
        <v>527</v>
      </c>
      <c r="B530" s="7" t="str">
        <f t="shared" si="42"/>
        <v>Ср</v>
      </c>
      <c r="C530" s="8">
        <v>45770</v>
      </c>
      <c r="D530" s="9"/>
      <c r="E530" s="10"/>
      <c r="F530" s="11"/>
      <c r="G530" s="12"/>
      <c r="H530" s="11">
        <v>7800</v>
      </c>
      <c r="I530" s="12" t="s">
        <v>12</v>
      </c>
      <c r="J530" s="11">
        <v>9200</v>
      </c>
      <c r="K530" s="12" t="s">
        <v>12</v>
      </c>
      <c r="L530" s="11"/>
      <c r="M530" s="12"/>
    </row>
    <row r="531" spans="1:13" x14ac:dyDescent="0.25">
      <c r="A531" s="1">
        <v>528</v>
      </c>
      <c r="B531" s="7" t="str">
        <f t="shared" ref="B531:B539" si="43">IF(C531&lt;&gt;"",TEXT(C531,"ДДД"),"")</f>
        <v>Чт</v>
      </c>
      <c r="C531" s="8">
        <v>45771</v>
      </c>
      <c r="D531" s="9">
        <v>3900</v>
      </c>
      <c r="E531" s="10" t="s">
        <v>12</v>
      </c>
      <c r="F531" s="11">
        <v>2000</v>
      </c>
      <c r="G531" s="12" t="s">
        <v>12</v>
      </c>
      <c r="H531" s="11">
        <v>15000</v>
      </c>
      <c r="I531" s="12" t="s">
        <v>12</v>
      </c>
      <c r="J531" s="11">
        <v>17200</v>
      </c>
      <c r="K531" s="12" t="s">
        <v>12</v>
      </c>
      <c r="L531" s="11"/>
      <c r="M531" s="12"/>
    </row>
    <row r="532" spans="1:13" x14ac:dyDescent="0.25">
      <c r="A532" s="1">
        <v>529</v>
      </c>
      <c r="B532" s="7" t="str">
        <f t="shared" ref="B532" si="44">IF(C532&lt;&gt;"",TEXT(C532,"ДДД"),"")</f>
        <v>Чт</v>
      </c>
      <c r="C532" s="8">
        <v>45771</v>
      </c>
      <c r="D532" s="9">
        <f>9700+800</f>
        <v>10500</v>
      </c>
      <c r="E532" s="10" t="s">
        <v>11</v>
      </c>
      <c r="F532" s="11">
        <v>4300</v>
      </c>
      <c r="G532" s="12" t="s">
        <v>11</v>
      </c>
      <c r="H532" s="11">
        <v>3000</v>
      </c>
      <c r="I532" s="12" t="s">
        <v>11</v>
      </c>
      <c r="J532" s="11">
        <v>6900</v>
      </c>
      <c r="K532" s="12" t="s">
        <v>11</v>
      </c>
      <c r="L532" s="11"/>
      <c r="M532" s="12"/>
    </row>
    <row r="533" spans="1:13" x14ac:dyDescent="0.25">
      <c r="A533" s="1">
        <v>530</v>
      </c>
      <c r="B533" s="7" t="str">
        <f t="shared" si="43"/>
        <v>Пт</v>
      </c>
      <c r="C533" s="8">
        <v>45772</v>
      </c>
      <c r="D533" s="9"/>
      <c r="E533" s="10"/>
      <c r="F533" s="11"/>
      <c r="G533" s="12"/>
      <c r="H533" s="11">
        <v>5000</v>
      </c>
      <c r="I533" s="12" t="s">
        <v>12</v>
      </c>
      <c r="J533" s="11"/>
      <c r="K533" s="12"/>
      <c r="L533" s="11"/>
      <c r="M533" s="12"/>
    </row>
    <row r="534" spans="1:13" x14ac:dyDescent="0.25">
      <c r="A534" s="1">
        <v>531</v>
      </c>
      <c r="B534" s="7" t="str">
        <f t="shared" si="43"/>
        <v>Сб</v>
      </c>
      <c r="C534" s="8">
        <v>45773</v>
      </c>
      <c r="D534" s="9"/>
      <c r="E534" s="10"/>
      <c r="F534" s="11"/>
      <c r="G534" s="12"/>
      <c r="H534" s="11"/>
      <c r="I534" s="12"/>
      <c r="J534" s="11">
        <v>4000</v>
      </c>
      <c r="K534" s="12" t="s">
        <v>12</v>
      </c>
      <c r="L534" s="11"/>
      <c r="M534" s="12"/>
    </row>
    <row r="535" spans="1:13" x14ac:dyDescent="0.25">
      <c r="A535" s="1">
        <v>532</v>
      </c>
      <c r="B535" s="7" t="str">
        <f t="shared" si="43"/>
        <v>Вс</v>
      </c>
      <c r="C535" s="8">
        <v>45774</v>
      </c>
      <c r="D535" s="9"/>
      <c r="E535" s="10"/>
      <c r="F535" s="11"/>
      <c r="G535" s="12"/>
      <c r="H535" s="11"/>
      <c r="I535" s="12"/>
      <c r="J535" s="11"/>
      <c r="K535" s="12"/>
      <c r="L535" s="11">
        <v>1600</v>
      </c>
      <c r="M535" s="12" t="s">
        <v>12</v>
      </c>
    </row>
    <row r="536" spans="1:13" x14ac:dyDescent="0.25">
      <c r="A536" s="1">
        <v>533</v>
      </c>
      <c r="B536" s="7" t="str">
        <f t="shared" si="43"/>
        <v>Пн</v>
      </c>
      <c r="C536" s="8">
        <v>45775</v>
      </c>
      <c r="D536" s="9"/>
      <c r="E536" s="10"/>
      <c r="F536" s="11"/>
      <c r="G536" s="12"/>
      <c r="H536" s="11"/>
      <c r="I536" s="12"/>
      <c r="J536" s="11"/>
      <c r="K536" s="12"/>
      <c r="L536" s="11"/>
      <c r="M536" s="12"/>
    </row>
    <row r="537" spans="1:13" x14ac:dyDescent="0.25">
      <c r="A537" s="1">
        <v>534</v>
      </c>
      <c r="B537" s="7" t="str">
        <f t="shared" si="43"/>
        <v>Вт</v>
      </c>
      <c r="C537" s="8">
        <v>45776</v>
      </c>
      <c r="D537" s="9">
        <v>3400</v>
      </c>
      <c r="E537" s="12" t="s">
        <v>12</v>
      </c>
      <c r="F537" s="11">
        <v>4200</v>
      </c>
      <c r="G537" s="12" t="s">
        <v>12</v>
      </c>
      <c r="H537" s="11">
        <f>7100+1000</f>
        <v>8100</v>
      </c>
      <c r="I537" s="12" t="s">
        <v>12</v>
      </c>
      <c r="J537" s="11">
        <v>10100</v>
      </c>
      <c r="K537" s="12" t="s">
        <v>12</v>
      </c>
      <c r="L537" s="11"/>
      <c r="M537" s="12"/>
    </row>
    <row r="538" spans="1:13" x14ac:dyDescent="0.25">
      <c r="A538" s="1">
        <v>535</v>
      </c>
      <c r="B538" s="7" t="str">
        <f t="shared" si="43"/>
        <v>Ср</v>
      </c>
      <c r="C538" s="8">
        <v>45777</v>
      </c>
      <c r="D538" s="9"/>
      <c r="E538" s="10"/>
      <c r="F538" s="11"/>
      <c r="G538" s="12"/>
      <c r="H538" s="11"/>
      <c r="I538" s="12"/>
      <c r="J538" s="11"/>
      <c r="K538" s="12"/>
      <c r="L538" s="11"/>
      <c r="M538" s="12"/>
    </row>
    <row r="539" spans="1:13" x14ac:dyDescent="0.25">
      <c r="A539" s="1">
        <v>536</v>
      </c>
      <c r="B539" s="7" t="str">
        <f t="shared" si="43"/>
        <v>Чт</v>
      </c>
      <c r="C539" s="8">
        <v>45778</v>
      </c>
      <c r="D539" s="9">
        <v>1300</v>
      </c>
      <c r="E539" s="10" t="s">
        <v>12</v>
      </c>
      <c r="F539" s="11">
        <v>700</v>
      </c>
      <c r="G539" s="12" t="s">
        <v>12</v>
      </c>
      <c r="H539" s="11">
        <v>2500</v>
      </c>
      <c r="I539" s="12" t="s">
        <v>12</v>
      </c>
      <c r="J539" s="11">
        <v>3800</v>
      </c>
      <c r="K539" s="12" t="s">
        <v>12</v>
      </c>
      <c r="L539" s="11"/>
      <c r="M539" s="12"/>
    </row>
    <row r="540" spans="1:13" x14ac:dyDescent="0.25">
      <c r="A540" s="1">
        <v>537</v>
      </c>
      <c r="B540" s="7" t="str">
        <f t="shared" ref="B540" si="45">IF(C540&lt;&gt;"",TEXT(C540,"ДДД"),"")</f>
        <v>Чт</v>
      </c>
      <c r="C540" s="8">
        <v>45778</v>
      </c>
      <c r="D540" s="9">
        <v>4800</v>
      </c>
      <c r="E540" s="10" t="s">
        <v>11</v>
      </c>
      <c r="F540" s="11">
        <v>1600</v>
      </c>
      <c r="G540" s="12" t="s">
        <v>11</v>
      </c>
      <c r="H540" s="11">
        <f>2800+1000</f>
        <v>3800</v>
      </c>
      <c r="I540" s="12" t="s">
        <v>11</v>
      </c>
      <c r="J540" s="11">
        <v>1800</v>
      </c>
      <c r="K540" s="12" t="s">
        <v>11</v>
      </c>
      <c r="L540" s="11"/>
      <c r="M540" s="12"/>
    </row>
    <row r="541" spans="1:13" x14ac:dyDescent="0.25">
      <c r="A541" s="1">
        <v>538</v>
      </c>
      <c r="B541" s="7" t="str">
        <f t="shared" ref="B541:B545" si="46">IF(C541&lt;&gt;"",TEXT(C541,"ДДД"),"")</f>
        <v>Пт</v>
      </c>
      <c r="C541" s="8">
        <v>45779</v>
      </c>
      <c r="D541" s="9"/>
      <c r="E541" s="10"/>
      <c r="F541" s="11"/>
      <c r="G541" s="12"/>
      <c r="H541" s="11"/>
      <c r="I541" s="12"/>
      <c r="J541" s="11"/>
      <c r="K541" s="12"/>
      <c r="L541" s="11"/>
      <c r="M541" s="12"/>
    </row>
    <row r="542" spans="1:13" x14ac:dyDescent="0.25">
      <c r="A542" s="1">
        <v>539</v>
      </c>
      <c r="B542" s="7" t="str">
        <f t="shared" si="46"/>
        <v>Сб</v>
      </c>
      <c r="C542" s="8">
        <v>45780</v>
      </c>
      <c r="D542" s="9"/>
      <c r="E542" s="10"/>
      <c r="F542" s="11"/>
      <c r="G542" s="12"/>
      <c r="H542" s="11"/>
      <c r="I542" s="12"/>
      <c r="J542" s="11">
        <v>4000</v>
      </c>
      <c r="K542" s="12" t="s">
        <v>12</v>
      </c>
      <c r="L542" s="11"/>
      <c r="M542" s="12"/>
    </row>
    <row r="543" spans="1:13" x14ac:dyDescent="0.25">
      <c r="A543" s="1">
        <v>540</v>
      </c>
      <c r="B543" s="7" t="str">
        <f t="shared" si="46"/>
        <v>Вс</v>
      </c>
      <c r="C543" s="8">
        <v>45781</v>
      </c>
      <c r="D543" s="9"/>
      <c r="E543" s="10"/>
      <c r="F543" s="11"/>
      <c r="G543" s="12"/>
      <c r="H543" s="11"/>
      <c r="I543" s="12"/>
      <c r="J543" s="11"/>
      <c r="K543" s="12"/>
      <c r="L543" s="11">
        <v>3100</v>
      </c>
      <c r="M543" s="12" t="s">
        <v>12</v>
      </c>
    </row>
    <row r="544" spans="1:13" x14ac:dyDescent="0.25">
      <c r="A544" s="1">
        <v>541</v>
      </c>
      <c r="B544" s="7" t="str">
        <f t="shared" si="46"/>
        <v>Пн</v>
      </c>
      <c r="C544" s="8">
        <v>45782</v>
      </c>
      <c r="D544" s="9"/>
      <c r="E544" s="10"/>
      <c r="F544" s="11"/>
      <c r="G544" s="12"/>
      <c r="H544" s="11"/>
      <c r="I544" s="12"/>
      <c r="J544" s="11"/>
      <c r="K544" s="12"/>
      <c r="L544" s="11"/>
      <c r="M544" s="12"/>
    </row>
    <row r="545" spans="1:13" x14ac:dyDescent="0.25">
      <c r="A545" s="1">
        <v>542</v>
      </c>
      <c r="B545" s="7" t="str">
        <f t="shared" si="46"/>
        <v>Вт</v>
      </c>
      <c r="C545" s="8">
        <v>45783</v>
      </c>
      <c r="D545" s="9">
        <v>3300</v>
      </c>
      <c r="E545" s="10" t="s">
        <v>12</v>
      </c>
      <c r="F545" s="11">
        <v>3400</v>
      </c>
      <c r="G545" s="12" t="s">
        <v>12</v>
      </c>
      <c r="H545" s="11">
        <v>12000</v>
      </c>
      <c r="I545" s="12" t="s">
        <v>12</v>
      </c>
      <c r="J545" s="11">
        <v>9200</v>
      </c>
      <c r="K545" s="12" t="s">
        <v>12</v>
      </c>
      <c r="L545" s="11"/>
      <c r="M545" s="12"/>
    </row>
    <row r="546" spans="1:13" x14ac:dyDescent="0.25">
      <c r="A546" s="1">
        <v>543</v>
      </c>
      <c r="B546" s="7" t="str">
        <f t="shared" ref="B546:B549" si="47">IF(C546&lt;&gt;"",TEXT(C546,"ДДД"),"")</f>
        <v>Ср</v>
      </c>
      <c r="C546" s="8">
        <v>45784</v>
      </c>
      <c r="D546" s="9"/>
      <c r="E546" s="10"/>
      <c r="F546" s="11"/>
      <c r="G546" s="12"/>
      <c r="H546" s="11"/>
      <c r="I546" s="12"/>
      <c r="J546" s="11"/>
      <c r="K546" s="12"/>
      <c r="L546" s="11"/>
      <c r="M546" s="12"/>
    </row>
    <row r="547" spans="1:13" x14ac:dyDescent="0.25">
      <c r="A547" s="1">
        <v>544</v>
      </c>
      <c r="B547" s="7" t="str">
        <f t="shared" si="47"/>
        <v>Чт</v>
      </c>
      <c r="C547" s="8">
        <v>45785</v>
      </c>
      <c r="D547" s="9"/>
      <c r="E547" s="10"/>
      <c r="F547" s="11">
        <v>2000</v>
      </c>
      <c r="G547" s="12" t="s">
        <v>12</v>
      </c>
      <c r="H547" s="11">
        <v>10500</v>
      </c>
      <c r="I547" s="12" t="s">
        <v>12</v>
      </c>
      <c r="J547" s="11">
        <v>4700</v>
      </c>
      <c r="K547" s="12" t="s">
        <v>12</v>
      </c>
      <c r="L547" s="11"/>
      <c r="M547" s="12"/>
    </row>
    <row r="548" spans="1:13" x14ac:dyDescent="0.25">
      <c r="A548" s="1">
        <v>545</v>
      </c>
      <c r="B548" s="7" t="str">
        <f t="shared" ref="B548" si="48">IF(C548&lt;&gt;"",TEXT(C548,"ДДД"),"")</f>
        <v>Чт</v>
      </c>
      <c r="C548" s="8">
        <v>45785</v>
      </c>
      <c r="D548" s="9">
        <v>7800</v>
      </c>
      <c r="E548" s="10" t="s">
        <v>11</v>
      </c>
      <c r="F548" s="11">
        <v>5100</v>
      </c>
      <c r="G548" s="12" t="s">
        <v>11</v>
      </c>
      <c r="H548" s="11">
        <v>3900</v>
      </c>
      <c r="I548" s="12" t="s">
        <v>11</v>
      </c>
      <c r="J548" s="11">
        <v>7100</v>
      </c>
      <c r="K548" s="12" t="s">
        <v>11</v>
      </c>
      <c r="L548" s="11"/>
      <c r="M548" s="12"/>
    </row>
    <row r="549" spans="1:13" x14ac:dyDescent="0.25">
      <c r="A549" s="1">
        <v>546</v>
      </c>
      <c r="B549" s="7" t="str">
        <f t="shared" si="47"/>
        <v>Пт</v>
      </c>
      <c r="C549" s="8">
        <v>45786</v>
      </c>
      <c r="D549" s="9">
        <v>2600</v>
      </c>
      <c r="E549" s="10" t="s">
        <v>12</v>
      </c>
      <c r="F549" s="11"/>
      <c r="G549" s="12"/>
      <c r="H549" s="11"/>
      <c r="I549" s="12"/>
      <c r="J549" s="11">
        <v>5300</v>
      </c>
      <c r="K549" s="12" t="s">
        <v>12</v>
      </c>
      <c r="L549" s="11"/>
      <c r="M549" s="12"/>
    </row>
    <row r="550" spans="1:13" x14ac:dyDescent="0.25">
      <c r="A550" s="1">
        <v>547</v>
      </c>
      <c r="B550" s="7" t="str">
        <f t="shared" ref="B550:B551" si="49">IF(C550&lt;&gt;"",TEXT(C550,"ДДД"),"")</f>
        <v>Сб</v>
      </c>
      <c r="C550" s="8">
        <v>45787</v>
      </c>
      <c r="D550" s="9"/>
      <c r="E550" s="10"/>
      <c r="F550" s="11"/>
      <c r="G550" s="12"/>
      <c r="H550" s="11"/>
      <c r="I550" s="12"/>
      <c r="J550" s="11">
        <v>5000</v>
      </c>
      <c r="K550" s="12" t="s">
        <v>12</v>
      </c>
      <c r="L550" s="11"/>
      <c r="M550" s="12"/>
    </row>
    <row r="551" spans="1:13" x14ac:dyDescent="0.25">
      <c r="A551" s="1">
        <v>548</v>
      </c>
      <c r="B551" s="7" t="str">
        <f t="shared" si="49"/>
        <v>Вс</v>
      </c>
      <c r="C551" s="8">
        <v>45788</v>
      </c>
      <c r="D551" s="9"/>
      <c r="E551" s="10"/>
      <c r="F551" s="11"/>
      <c r="G551" s="12"/>
      <c r="H551" s="11"/>
      <c r="I551" s="12"/>
      <c r="J551" s="11"/>
      <c r="K551" s="12"/>
      <c r="L551" s="11">
        <v>2500</v>
      </c>
      <c r="M551" s="12" t="s">
        <v>12</v>
      </c>
    </row>
    <row r="552" spans="1:13" x14ac:dyDescent="0.25">
      <c r="A552" s="1">
        <v>549</v>
      </c>
      <c r="B552" s="7" t="str">
        <f t="shared" ref="B552:B553" si="50">IF(C552&lt;&gt;"",TEXT(C552,"ДДД"),"")</f>
        <v>Пн</v>
      </c>
      <c r="C552" s="8">
        <v>45789</v>
      </c>
      <c r="D552" s="9"/>
      <c r="E552" s="10"/>
      <c r="F552" s="11"/>
      <c r="G552" s="12"/>
      <c r="H552" s="11"/>
      <c r="I552" s="12"/>
      <c r="J552" s="11"/>
      <c r="K552" s="12"/>
      <c r="L552" s="11"/>
      <c r="M552" s="12"/>
    </row>
    <row r="553" spans="1:13" x14ac:dyDescent="0.25">
      <c r="A553" s="1">
        <v>550</v>
      </c>
      <c r="B553" s="7" t="str">
        <f t="shared" si="50"/>
        <v>Вт</v>
      </c>
      <c r="C553" s="8">
        <v>45790</v>
      </c>
      <c r="D553" s="9">
        <v>6100</v>
      </c>
      <c r="E553" s="10" t="s">
        <v>12</v>
      </c>
      <c r="F553" s="11">
        <v>4300</v>
      </c>
      <c r="G553" s="12" t="s">
        <v>12</v>
      </c>
      <c r="H553" s="11">
        <f>11000+4200+12500</f>
        <v>27700</v>
      </c>
      <c r="I553" s="12" t="s">
        <v>12</v>
      </c>
      <c r="J553" s="11">
        <f>17000+4500</f>
        <v>21500</v>
      </c>
      <c r="K553" s="12"/>
      <c r="L553" s="11"/>
      <c r="M553" s="12"/>
    </row>
    <row r="554" spans="1:13" x14ac:dyDescent="0.25">
      <c r="A554" s="1">
        <v>551</v>
      </c>
      <c r="B554" s="7" t="str">
        <f t="shared" ref="B554:B557" si="51">IF(C554&lt;&gt;"",TEXT(C554,"ДДД"),"")</f>
        <v>Ср</v>
      </c>
      <c r="C554" s="8">
        <v>45791</v>
      </c>
      <c r="D554" s="9"/>
      <c r="E554" s="10"/>
      <c r="F554" s="11"/>
      <c r="G554" s="12"/>
      <c r="H554" s="11"/>
      <c r="I554" s="12"/>
      <c r="J554" s="11"/>
      <c r="K554" s="12"/>
      <c r="L554" s="11"/>
      <c r="M554" s="12"/>
    </row>
    <row r="555" spans="1:13" x14ac:dyDescent="0.25">
      <c r="A555" s="1">
        <v>552</v>
      </c>
      <c r="B555" s="7" t="str">
        <f t="shared" si="51"/>
        <v>Чт</v>
      </c>
      <c r="C555" s="8">
        <v>45792</v>
      </c>
      <c r="D555" s="9">
        <v>2000</v>
      </c>
      <c r="E555" s="10" t="s">
        <v>12</v>
      </c>
      <c r="F555" s="11">
        <v>1900</v>
      </c>
      <c r="G555" s="12" t="s">
        <v>12</v>
      </c>
      <c r="H555" s="11">
        <v>9500</v>
      </c>
      <c r="I555" s="12" t="s">
        <v>12</v>
      </c>
      <c r="J555" s="11">
        <v>13600</v>
      </c>
      <c r="K555" s="12" t="s">
        <v>12</v>
      </c>
      <c r="L555" s="11"/>
      <c r="M555" s="12"/>
    </row>
    <row r="556" spans="1:13" x14ac:dyDescent="0.25">
      <c r="A556" s="1">
        <v>553</v>
      </c>
      <c r="B556" s="7" t="str">
        <f t="shared" ref="B556" si="52">IF(C556&lt;&gt;"",TEXT(C556,"ДДД"),"")</f>
        <v>Чт</v>
      </c>
      <c r="C556" s="8">
        <v>45792</v>
      </c>
      <c r="D556" s="9">
        <v>6400</v>
      </c>
      <c r="E556" s="10" t="s">
        <v>11</v>
      </c>
      <c r="F556" s="11">
        <v>7100</v>
      </c>
      <c r="G556" s="12" t="s">
        <v>11</v>
      </c>
      <c r="H556" s="11">
        <v>3500</v>
      </c>
      <c r="I556" s="12" t="s">
        <v>11</v>
      </c>
      <c r="J556" s="11">
        <v>7700</v>
      </c>
      <c r="K556" s="12" t="s">
        <v>11</v>
      </c>
      <c r="L556" s="11"/>
      <c r="M556" s="12"/>
    </row>
    <row r="557" spans="1:13" x14ac:dyDescent="0.25">
      <c r="A557" s="1">
        <v>554</v>
      </c>
      <c r="B557" s="7" t="str">
        <f t="shared" si="51"/>
        <v>Пт</v>
      </c>
      <c r="C557" s="8">
        <v>45793</v>
      </c>
      <c r="D557" s="9"/>
      <c r="E557" s="10"/>
      <c r="F557" s="11"/>
      <c r="G557" s="12"/>
      <c r="H557" s="11">
        <v>5000</v>
      </c>
      <c r="I557" s="12" t="s">
        <v>12</v>
      </c>
      <c r="J557" s="11"/>
      <c r="K557" s="12"/>
      <c r="L557" s="11"/>
      <c r="M557" s="12"/>
    </row>
    <row r="558" spans="1:13" x14ac:dyDescent="0.25">
      <c r="A558" s="1">
        <v>555</v>
      </c>
      <c r="B558" s="7" t="str">
        <f t="shared" ref="B558:B560" si="53">IF(C558&lt;&gt;"",TEXT(C558,"ДДД"),"")</f>
        <v>Сб</v>
      </c>
      <c r="C558" s="8">
        <v>45794</v>
      </c>
      <c r="D558" s="9"/>
      <c r="E558" s="10"/>
      <c r="F558" s="11"/>
      <c r="G558" s="12"/>
      <c r="H558" s="11"/>
      <c r="I558" s="12"/>
      <c r="J558" s="11">
        <v>5600</v>
      </c>
      <c r="K558" s="12" t="s">
        <v>12</v>
      </c>
      <c r="L558" s="11"/>
      <c r="M558" s="12"/>
    </row>
    <row r="559" spans="1:13" x14ac:dyDescent="0.25">
      <c r="A559" s="1">
        <v>556</v>
      </c>
      <c r="B559" s="7" t="str">
        <f t="shared" si="53"/>
        <v>Вс</v>
      </c>
      <c r="C559" s="8">
        <v>45795</v>
      </c>
      <c r="D559" s="9"/>
      <c r="E559" s="10"/>
      <c r="F559" s="11"/>
      <c r="G559" s="12"/>
      <c r="H559" s="11"/>
      <c r="I559" s="12"/>
      <c r="J559" s="11"/>
      <c r="K559" s="12"/>
      <c r="L559" s="11">
        <v>3600</v>
      </c>
      <c r="M559" s="12" t="s">
        <v>12</v>
      </c>
    </row>
    <row r="560" spans="1:13" x14ac:dyDescent="0.25">
      <c r="A560" s="1">
        <v>557</v>
      </c>
      <c r="B560" s="7" t="str">
        <f t="shared" si="53"/>
        <v>Пн</v>
      </c>
      <c r="C560" s="8">
        <v>45796</v>
      </c>
      <c r="D560" s="9">
        <v>5500</v>
      </c>
      <c r="E560" s="10" t="s">
        <v>11</v>
      </c>
      <c r="F560" s="11"/>
      <c r="G560" s="12"/>
      <c r="H560" s="11"/>
      <c r="I560" s="12"/>
      <c r="J560" s="11"/>
      <c r="K560" s="12"/>
      <c r="L560" s="11"/>
      <c r="M560" s="12"/>
    </row>
    <row r="561" spans="1:13" x14ac:dyDescent="0.25">
      <c r="A561" s="1">
        <v>558</v>
      </c>
      <c r="B561" s="7" t="str">
        <f t="shared" ref="B561:B562" si="54">IF(C561&lt;&gt;"",TEXT(C561,"ДДД"),"")</f>
        <v>Вт</v>
      </c>
      <c r="C561" s="8">
        <v>45797</v>
      </c>
      <c r="D561" s="9">
        <v>3300</v>
      </c>
      <c r="E561" s="10" t="s">
        <v>12</v>
      </c>
      <c r="F561" s="11">
        <v>3900</v>
      </c>
      <c r="G561" s="12" t="s">
        <v>12</v>
      </c>
      <c r="H561" s="11">
        <f>4200+1500</f>
        <v>5700</v>
      </c>
      <c r="I561" s="12" t="s">
        <v>12</v>
      </c>
      <c r="J561" s="11">
        <v>6000</v>
      </c>
      <c r="K561" s="12" t="s">
        <v>12</v>
      </c>
      <c r="L561" s="11"/>
      <c r="M561" s="12"/>
    </row>
    <row r="562" spans="1:13" x14ac:dyDescent="0.25">
      <c r="A562" s="1">
        <v>559</v>
      </c>
      <c r="B562" s="7" t="str">
        <f t="shared" si="54"/>
        <v>Ср</v>
      </c>
      <c r="C562" s="8">
        <v>45798</v>
      </c>
      <c r="D562" s="9"/>
      <c r="E562" s="10"/>
      <c r="F562" s="11"/>
      <c r="G562" s="12"/>
      <c r="H562" s="11">
        <v>13400</v>
      </c>
      <c r="I562" s="12" t="s">
        <v>12</v>
      </c>
      <c r="J562" s="11"/>
      <c r="K562" s="12"/>
      <c r="L562" s="11">
        <v>1800</v>
      </c>
      <c r="M562" s="12" t="s">
        <v>11</v>
      </c>
    </row>
    <row r="563" spans="1:13" x14ac:dyDescent="0.25">
      <c r="A563" s="1">
        <v>560</v>
      </c>
      <c r="B563" s="7" t="str">
        <f t="shared" ref="B563:B567" si="55">IF(C563&lt;&gt;"",TEXT(C563,"ДДД"),"")</f>
        <v>Чт</v>
      </c>
      <c r="C563" s="8">
        <v>45799</v>
      </c>
      <c r="D563" s="9">
        <v>1800</v>
      </c>
      <c r="E563" s="10" t="s">
        <v>12</v>
      </c>
      <c r="F563" s="11">
        <v>2900</v>
      </c>
      <c r="G563" s="12" t="s">
        <v>12</v>
      </c>
      <c r="H563" s="11">
        <v>12300</v>
      </c>
      <c r="I563" s="12" t="s">
        <v>12</v>
      </c>
      <c r="J563" s="11">
        <v>5100</v>
      </c>
      <c r="K563" s="12" t="s">
        <v>12</v>
      </c>
      <c r="L563" s="11"/>
      <c r="M563" s="12"/>
    </row>
    <row r="564" spans="1:13" x14ac:dyDescent="0.25">
      <c r="A564" s="1">
        <v>561</v>
      </c>
      <c r="B564" s="7" t="str">
        <f t="shared" ref="B564" si="56">IF(C564&lt;&gt;"",TEXT(C564,"ДДД"),"")</f>
        <v>Чт</v>
      </c>
      <c r="C564" s="8">
        <v>45799</v>
      </c>
      <c r="D564" s="11">
        <v>4600</v>
      </c>
      <c r="E564" s="12" t="s">
        <v>11</v>
      </c>
      <c r="F564" s="11">
        <v>2100</v>
      </c>
      <c r="G564" s="12" t="s">
        <v>11</v>
      </c>
      <c r="H564" s="11">
        <v>5100</v>
      </c>
      <c r="I564" s="12" t="s">
        <v>11</v>
      </c>
      <c r="J564" s="11">
        <v>4600</v>
      </c>
      <c r="K564" s="12" t="s">
        <v>11</v>
      </c>
      <c r="L564" s="11"/>
      <c r="M564" s="12"/>
    </row>
    <row r="565" spans="1:13" x14ac:dyDescent="0.25">
      <c r="A565" s="1">
        <v>562</v>
      </c>
      <c r="B565" s="7" t="str">
        <f t="shared" si="55"/>
        <v>Пт</v>
      </c>
      <c r="C565" s="8">
        <v>45800</v>
      </c>
      <c r="D565" s="9"/>
      <c r="E565" s="10"/>
      <c r="F565" s="11"/>
      <c r="G565" s="12"/>
      <c r="H565" s="11"/>
      <c r="I565" s="12"/>
      <c r="J565" s="11"/>
      <c r="K565" s="12"/>
      <c r="L565" s="11"/>
      <c r="M565" s="12"/>
    </row>
    <row r="566" spans="1:13" x14ac:dyDescent="0.25">
      <c r="A566" s="1">
        <v>563</v>
      </c>
      <c r="B566" s="7" t="str">
        <f t="shared" si="55"/>
        <v>Сб</v>
      </c>
      <c r="C566" s="8">
        <v>45801</v>
      </c>
      <c r="D566" s="9"/>
      <c r="E566" s="10"/>
      <c r="F566" s="11"/>
      <c r="G566" s="12"/>
      <c r="H566" s="11"/>
      <c r="I566" s="12"/>
      <c r="J566" s="11">
        <v>4000</v>
      </c>
      <c r="K566" s="12" t="s">
        <v>12</v>
      </c>
      <c r="L566" s="11"/>
      <c r="M566" s="12"/>
    </row>
    <row r="567" spans="1:13" x14ac:dyDescent="0.25">
      <c r="A567" s="1">
        <v>564</v>
      </c>
      <c r="B567" s="7" t="str">
        <f t="shared" si="55"/>
        <v>Вс</v>
      </c>
      <c r="C567" s="8">
        <v>45802</v>
      </c>
      <c r="D567" s="9"/>
      <c r="E567" s="10"/>
      <c r="F567" s="11"/>
      <c r="G567" s="12"/>
      <c r="H567" s="11"/>
      <c r="I567" s="12"/>
      <c r="J567" s="11"/>
      <c r="K567" s="12"/>
      <c r="L567" s="11">
        <v>2000</v>
      </c>
      <c r="M567" s="12" t="s">
        <v>12</v>
      </c>
    </row>
    <row r="568" spans="1:13" x14ac:dyDescent="0.25">
      <c r="A568" s="1">
        <v>565</v>
      </c>
      <c r="B568" s="7" t="str">
        <f t="shared" ref="B568:B573" si="57">IF(C568&lt;&gt;"",TEXT(C568,"ДДД"),"")</f>
        <v>Пн</v>
      </c>
      <c r="C568" s="8">
        <v>45803</v>
      </c>
      <c r="D568" s="9"/>
      <c r="E568" s="10"/>
      <c r="F568" s="11"/>
      <c r="G568" s="12"/>
      <c r="H568" s="11"/>
      <c r="I568" s="12"/>
      <c r="J568" s="11"/>
      <c r="K568" s="12"/>
      <c r="L568" s="11"/>
      <c r="M568" s="12"/>
    </row>
    <row r="569" spans="1:13" x14ac:dyDescent="0.25">
      <c r="A569" s="1">
        <v>566</v>
      </c>
      <c r="B569" s="7" t="str">
        <f t="shared" si="57"/>
        <v>Вт</v>
      </c>
      <c r="C569" s="8">
        <v>45804</v>
      </c>
      <c r="D569" s="9">
        <f>2400+3500</f>
        <v>5900</v>
      </c>
      <c r="E569" s="10" t="s">
        <v>12</v>
      </c>
      <c r="F569" s="11">
        <v>7900</v>
      </c>
      <c r="G569" s="12" t="s">
        <v>12</v>
      </c>
      <c r="H569" s="11">
        <f>10600+14900</f>
        <v>25500</v>
      </c>
      <c r="I569" s="12" t="s">
        <v>12</v>
      </c>
      <c r="J569" s="11">
        <f>17200+9500</f>
        <v>26700</v>
      </c>
      <c r="K569" s="12" t="s">
        <v>12</v>
      </c>
      <c r="L569" s="11"/>
      <c r="M569" s="12"/>
    </row>
    <row r="570" spans="1:13" x14ac:dyDescent="0.25">
      <c r="A570" s="1">
        <v>567</v>
      </c>
      <c r="B570" s="7" t="str">
        <f t="shared" si="57"/>
        <v>Ср</v>
      </c>
      <c r="C570" s="8">
        <v>45805</v>
      </c>
      <c r="D570" s="9"/>
      <c r="E570" s="10"/>
      <c r="F570" s="11"/>
      <c r="G570" s="12"/>
      <c r="H570" s="11"/>
      <c r="I570" s="12"/>
      <c r="J570" s="11"/>
      <c r="K570" s="12"/>
      <c r="L570" s="11"/>
      <c r="M570" s="12"/>
    </row>
    <row r="571" spans="1:13" x14ac:dyDescent="0.25">
      <c r="A571" s="1">
        <v>568</v>
      </c>
      <c r="B571" s="7" t="str">
        <f t="shared" si="57"/>
        <v>Чт</v>
      </c>
      <c r="C571" s="8">
        <v>45806</v>
      </c>
      <c r="D571" s="9">
        <v>3400</v>
      </c>
      <c r="E571" s="10" t="s">
        <v>12</v>
      </c>
      <c r="F571" s="11">
        <v>1200</v>
      </c>
      <c r="G571" s="12" t="s">
        <v>12</v>
      </c>
      <c r="H571" s="11">
        <f>7200+3200</f>
        <v>10400</v>
      </c>
      <c r="I571" s="12" t="s">
        <v>12</v>
      </c>
      <c r="J571" s="11">
        <v>9100</v>
      </c>
      <c r="K571" s="12" t="s">
        <v>12</v>
      </c>
      <c r="L571" s="11"/>
      <c r="M571" s="12"/>
    </row>
    <row r="572" spans="1:13" x14ac:dyDescent="0.25">
      <c r="A572" s="1">
        <v>569</v>
      </c>
      <c r="B572" s="7" t="str">
        <f t="shared" ref="B572" si="58">IF(C572&lt;&gt;"",TEXT(C572,"ДДД"),"")</f>
        <v>Чт</v>
      </c>
      <c r="C572" s="8">
        <v>45806</v>
      </c>
      <c r="D572" s="9">
        <f>3300+2600</f>
        <v>5900</v>
      </c>
      <c r="E572" s="10" t="s">
        <v>11</v>
      </c>
      <c r="F572" s="11">
        <v>7600</v>
      </c>
      <c r="G572" s="12" t="s">
        <v>11</v>
      </c>
      <c r="H572" s="11">
        <v>9300</v>
      </c>
      <c r="I572" s="12" t="s">
        <v>11</v>
      </c>
      <c r="J572" s="11">
        <v>11900</v>
      </c>
      <c r="K572" s="12" t="s">
        <v>11</v>
      </c>
      <c r="L572" s="11"/>
      <c r="M572" s="12"/>
    </row>
    <row r="573" spans="1:13" x14ac:dyDescent="0.25">
      <c r="A573" s="1">
        <v>570</v>
      </c>
      <c r="B573" s="7" t="str">
        <f t="shared" si="57"/>
        <v>Пт</v>
      </c>
      <c r="C573" s="8">
        <v>45807</v>
      </c>
      <c r="D573" s="9"/>
      <c r="E573" s="10"/>
      <c r="F573" s="11"/>
      <c r="G573" s="12"/>
      <c r="H573" s="11"/>
      <c r="I573" s="12"/>
      <c r="J573" s="11">
        <v>5600</v>
      </c>
      <c r="K573" s="12" t="s">
        <v>12</v>
      </c>
      <c r="L573" s="11"/>
      <c r="M573" s="12"/>
    </row>
    <row r="574" spans="1:13" x14ac:dyDescent="0.25">
      <c r="A574" s="1">
        <v>571</v>
      </c>
      <c r="B574" s="7" t="str">
        <f t="shared" ref="B574:B576" si="59">IF(C574&lt;&gt;"",TEXT(C574,"ДДД"),"")</f>
        <v>Сб</v>
      </c>
      <c r="C574" s="8">
        <v>45808</v>
      </c>
      <c r="D574" s="9"/>
      <c r="E574" s="10"/>
      <c r="F574" s="11"/>
      <c r="G574" s="12"/>
      <c r="H574" s="11"/>
      <c r="I574" s="12"/>
      <c r="J574" s="11"/>
      <c r="K574" s="12"/>
      <c r="L574" s="11"/>
      <c r="M574" s="12"/>
    </row>
    <row r="575" spans="1:13" x14ac:dyDescent="0.25">
      <c r="A575" s="1">
        <v>572</v>
      </c>
      <c r="B575" s="7" t="str">
        <f t="shared" si="59"/>
        <v>Вс</v>
      </c>
      <c r="C575" s="8">
        <v>45809</v>
      </c>
      <c r="D575" s="9"/>
      <c r="E575" s="10"/>
      <c r="F575" s="11"/>
      <c r="G575" s="12"/>
      <c r="H575" s="11"/>
      <c r="I575" s="12"/>
      <c r="J575" s="11"/>
      <c r="K575" s="12"/>
      <c r="L575" s="11">
        <v>2800</v>
      </c>
      <c r="M575" s="12" t="s">
        <v>12</v>
      </c>
    </row>
    <row r="576" spans="1:13" x14ac:dyDescent="0.25">
      <c r="A576" s="1">
        <v>573</v>
      </c>
      <c r="B576" s="7" t="str">
        <f t="shared" si="59"/>
        <v>Пн</v>
      </c>
      <c r="C576" s="8">
        <v>45810</v>
      </c>
      <c r="D576" s="9"/>
      <c r="E576" s="10"/>
      <c r="F576" s="11"/>
      <c r="G576" s="12"/>
      <c r="H576" s="11"/>
      <c r="I576" s="12"/>
      <c r="J576" s="11"/>
      <c r="K576" s="12"/>
      <c r="L576" s="11"/>
      <c r="M576" s="12"/>
    </row>
    <row r="577" spans="1:13" x14ac:dyDescent="0.25">
      <c r="A577" s="1">
        <v>574</v>
      </c>
      <c r="B577" s="7" t="str">
        <f t="shared" ref="B577:B579" si="60">IF(C577&lt;&gt;"",TEXT(C577,"ДДД"),"")</f>
        <v>Вт</v>
      </c>
      <c r="C577" s="8">
        <v>45811</v>
      </c>
      <c r="D577" s="9">
        <v>5900</v>
      </c>
      <c r="E577" s="10" t="s">
        <v>12</v>
      </c>
      <c r="F577" s="11">
        <v>2200</v>
      </c>
      <c r="G577" s="12" t="s">
        <v>12</v>
      </c>
      <c r="H577" s="11">
        <f>9500+8900</f>
        <v>18400</v>
      </c>
      <c r="I577" s="12" t="s">
        <v>12</v>
      </c>
      <c r="J577" s="11">
        <f>12200+7400</f>
        <v>19600</v>
      </c>
      <c r="K577" s="12" t="s">
        <v>12</v>
      </c>
      <c r="L577" s="11"/>
      <c r="M577" s="12"/>
    </row>
    <row r="578" spans="1:13" x14ac:dyDescent="0.25">
      <c r="A578" s="1">
        <v>575</v>
      </c>
      <c r="B578" s="7" t="str">
        <f t="shared" si="60"/>
        <v>Ср</v>
      </c>
      <c r="C578" s="8">
        <v>45812</v>
      </c>
      <c r="D578" s="9"/>
      <c r="E578" s="10"/>
      <c r="F578" s="11"/>
      <c r="G578" s="12"/>
      <c r="H578" s="11"/>
      <c r="I578" s="12"/>
      <c r="J578" s="11"/>
      <c r="K578" s="12"/>
      <c r="L578" s="11"/>
      <c r="M578" s="12"/>
    </row>
    <row r="579" spans="1:13" x14ac:dyDescent="0.25">
      <c r="A579" s="1">
        <v>576</v>
      </c>
      <c r="B579" s="7" t="str">
        <f t="shared" si="60"/>
        <v>Чт</v>
      </c>
      <c r="C579" s="8">
        <v>45813</v>
      </c>
      <c r="D579" s="9">
        <v>4300</v>
      </c>
      <c r="E579" s="10" t="s">
        <v>12</v>
      </c>
      <c r="F579" s="11">
        <v>1900</v>
      </c>
      <c r="G579" s="12" t="s">
        <v>12</v>
      </c>
      <c r="H579" s="11">
        <v>6100</v>
      </c>
      <c r="I579" s="12" t="s">
        <v>12</v>
      </c>
      <c r="J579" s="11">
        <v>4600</v>
      </c>
      <c r="K579" s="12" t="s">
        <v>12</v>
      </c>
      <c r="L579" s="11"/>
      <c r="M579" s="12"/>
    </row>
    <row r="580" spans="1:13" x14ac:dyDescent="0.25">
      <c r="A580" s="1">
        <v>577</v>
      </c>
      <c r="B580" s="7" t="str">
        <f t="shared" ref="B580" si="61">IF(C580&lt;&gt;"",TEXT(C580,"ДДД"),"")</f>
        <v>Чт</v>
      </c>
      <c r="C580" s="8">
        <v>45813</v>
      </c>
      <c r="D580" s="9">
        <v>13700</v>
      </c>
      <c r="E580" s="10" t="s">
        <v>11</v>
      </c>
      <c r="F580" s="11">
        <v>3800</v>
      </c>
      <c r="G580" s="12" t="s">
        <v>11</v>
      </c>
      <c r="H580" s="11">
        <v>3100</v>
      </c>
      <c r="I580" s="12" t="s">
        <v>11</v>
      </c>
      <c r="J580" s="11">
        <v>4800</v>
      </c>
      <c r="K580" s="12" t="s">
        <v>11</v>
      </c>
      <c r="L580" s="11"/>
      <c r="M580" s="12"/>
    </row>
    <row r="581" spans="1:13" x14ac:dyDescent="0.25">
      <c r="A581" s="1">
        <v>578</v>
      </c>
      <c r="B581" s="7" t="str">
        <f t="shared" ref="B581:B584" si="62">IF(C581&lt;&gt;"",TEXT(C581,"ДДД"),"")</f>
        <v>Пт</v>
      </c>
      <c r="C581" s="8">
        <v>45814</v>
      </c>
      <c r="D581" s="9"/>
      <c r="E581" s="10"/>
      <c r="F581" s="11"/>
      <c r="G581" s="12"/>
      <c r="H581" s="11"/>
      <c r="I581" s="12"/>
      <c r="J581" s="11"/>
      <c r="K581" s="12"/>
      <c r="L581" s="11"/>
      <c r="M581" s="12"/>
    </row>
    <row r="582" spans="1:13" x14ac:dyDescent="0.25">
      <c r="A582" s="1">
        <v>579</v>
      </c>
      <c r="B582" s="7" t="str">
        <f t="shared" si="62"/>
        <v>Сб</v>
      </c>
      <c r="C582" s="8">
        <v>45815</v>
      </c>
      <c r="D582" s="9"/>
      <c r="E582" s="10"/>
      <c r="F582" s="11"/>
      <c r="G582" s="12"/>
      <c r="H582" s="11"/>
      <c r="I582" s="12"/>
      <c r="J582" s="11"/>
      <c r="K582" s="12"/>
      <c r="L582" s="11"/>
      <c r="M582" s="12"/>
    </row>
    <row r="583" spans="1:13" x14ac:dyDescent="0.25">
      <c r="A583" s="1">
        <v>580</v>
      </c>
      <c r="B583" s="7" t="str">
        <f t="shared" si="62"/>
        <v>Вс</v>
      </c>
      <c r="C583" s="8">
        <v>45816</v>
      </c>
      <c r="D583" s="9"/>
      <c r="E583" s="10"/>
      <c r="F583" s="11"/>
      <c r="G583" s="12"/>
      <c r="H583" s="11"/>
      <c r="I583" s="12"/>
      <c r="J583" s="11"/>
      <c r="K583" s="12"/>
      <c r="L583" s="11">
        <v>2800</v>
      </c>
      <c r="M583" s="12" t="s">
        <v>12</v>
      </c>
    </row>
    <row r="584" spans="1:13" x14ac:dyDescent="0.25">
      <c r="A584" s="1">
        <v>581</v>
      </c>
      <c r="B584" s="7" t="str">
        <f t="shared" si="62"/>
        <v>Пн</v>
      </c>
      <c r="C584" s="8">
        <v>45817</v>
      </c>
      <c r="D584" s="9"/>
      <c r="E584" s="10"/>
      <c r="F584" s="11"/>
      <c r="G584" s="12"/>
      <c r="H584" s="11"/>
      <c r="I584" s="12"/>
      <c r="J584" s="11"/>
      <c r="K584" s="12"/>
      <c r="L584" s="11"/>
      <c r="M584" s="12"/>
    </row>
    <row r="585" spans="1:13" x14ac:dyDescent="0.25">
      <c r="A585" s="1">
        <v>582</v>
      </c>
      <c r="B585" s="7" t="str">
        <f t="shared" ref="B585:B593" si="63">IF(C585&lt;&gt;"",TEXT(C585,"ДДД"),"")</f>
        <v>Вт</v>
      </c>
      <c r="C585" s="8">
        <v>45818</v>
      </c>
      <c r="D585" s="9">
        <v>700</v>
      </c>
      <c r="E585" s="10" t="s">
        <v>12</v>
      </c>
      <c r="F585" s="11">
        <v>2000</v>
      </c>
      <c r="G585" s="12" t="s">
        <v>12</v>
      </c>
      <c r="H585" s="11">
        <f>13300+7000</f>
        <v>20300</v>
      </c>
      <c r="I585" s="12" t="s">
        <v>12</v>
      </c>
      <c r="J585" s="11">
        <f>17600+2900</f>
        <v>20500</v>
      </c>
      <c r="K585" s="12" t="s">
        <v>12</v>
      </c>
      <c r="L585" s="11"/>
      <c r="M585" s="12"/>
    </row>
    <row r="586" spans="1:13" x14ac:dyDescent="0.25">
      <c r="A586" s="1">
        <v>583</v>
      </c>
      <c r="B586" s="7" t="str">
        <f t="shared" si="63"/>
        <v>Ср</v>
      </c>
      <c r="C586" s="8">
        <v>45819</v>
      </c>
      <c r="D586" s="9"/>
      <c r="E586" s="10"/>
      <c r="F586" s="11"/>
      <c r="G586" s="12"/>
      <c r="H586" s="11"/>
      <c r="I586" s="12"/>
      <c r="J586" s="11"/>
      <c r="K586" s="12"/>
      <c r="L586" s="11"/>
      <c r="M586" s="12"/>
    </row>
    <row r="587" spans="1:13" x14ac:dyDescent="0.25">
      <c r="A587" s="1">
        <v>584</v>
      </c>
      <c r="B587" s="7" t="str">
        <f t="shared" si="63"/>
        <v>Чт</v>
      </c>
      <c r="C587" s="8">
        <v>45820</v>
      </c>
      <c r="D587" s="9">
        <v>1500</v>
      </c>
      <c r="E587" s="10" t="s">
        <v>12</v>
      </c>
      <c r="F587" s="11">
        <v>3500</v>
      </c>
      <c r="G587" s="12" t="s">
        <v>12</v>
      </c>
      <c r="H587" s="11">
        <f>2200+6900</f>
        <v>9100</v>
      </c>
      <c r="I587" s="12" t="s">
        <v>12</v>
      </c>
      <c r="J587" s="11">
        <v>15600</v>
      </c>
      <c r="K587" s="12" t="s">
        <v>12</v>
      </c>
      <c r="L587" s="11"/>
      <c r="M587" s="12"/>
    </row>
    <row r="588" spans="1:13" x14ac:dyDescent="0.25">
      <c r="A588" s="1">
        <v>585</v>
      </c>
      <c r="B588" s="7" t="str">
        <f t="shared" ref="B588" si="64">IF(C588&lt;&gt;"",TEXT(C588,"ДДД"),"")</f>
        <v>Чт</v>
      </c>
      <c r="C588" s="8">
        <v>45820</v>
      </c>
      <c r="D588" s="9">
        <v>1100</v>
      </c>
      <c r="E588" s="10" t="s">
        <v>11</v>
      </c>
      <c r="F588" s="11">
        <v>3700</v>
      </c>
      <c r="G588" s="12" t="s">
        <v>11</v>
      </c>
      <c r="H588" s="11">
        <v>4800</v>
      </c>
      <c r="I588" s="12" t="s">
        <v>11</v>
      </c>
      <c r="J588" s="11">
        <v>6300</v>
      </c>
      <c r="K588" s="12" t="s">
        <v>11</v>
      </c>
      <c r="L588" s="11"/>
      <c r="M588" s="12"/>
    </row>
    <row r="589" spans="1:13" x14ac:dyDescent="0.25">
      <c r="A589" s="1">
        <v>586</v>
      </c>
      <c r="B589" s="7" t="str">
        <f t="shared" si="63"/>
        <v>Пт</v>
      </c>
      <c r="C589" s="8">
        <v>45821</v>
      </c>
      <c r="D589" s="9"/>
      <c r="E589" s="10"/>
      <c r="F589" s="11"/>
      <c r="G589" s="12"/>
      <c r="H589" s="11"/>
      <c r="I589" s="12"/>
      <c r="J589" s="11"/>
      <c r="K589" s="12"/>
      <c r="L589" s="11"/>
      <c r="M589" s="12"/>
    </row>
    <row r="590" spans="1:13" x14ac:dyDescent="0.25">
      <c r="A590" s="1">
        <v>587</v>
      </c>
      <c r="B590" s="7" t="str">
        <f t="shared" si="63"/>
        <v>Сб</v>
      </c>
      <c r="C590" s="8">
        <v>45822</v>
      </c>
      <c r="D590" s="9"/>
      <c r="E590" s="10"/>
      <c r="F590" s="11"/>
      <c r="G590" s="12"/>
      <c r="H590" s="11"/>
      <c r="I590" s="12"/>
      <c r="J590" s="11">
        <v>4100</v>
      </c>
      <c r="K590" s="12" t="s">
        <v>12</v>
      </c>
      <c r="L590" s="11"/>
      <c r="M590" s="12"/>
    </row>
    <row r="591" spans="1:13" x14ac:dyDescent="0.25">
      <c r="A591" s="1">
        <v>588</v>
      </c>
      <c r="B591" s="7" t="str">
        <f t="shared" si="63"/>
        <v>Вс</v>
      </c>
      <c r="C591" s="8">
        <v>45823</v>
      </c>
      <c r="D591" s="9"/>
      <c r="E591" s="10"/>
      <c r="F591" s="11"/>
      <c r="G591" s="12"/>
      <c r="H591" s="11"/>
      <c r="I591" s="12"/>
      <c r="J591" s="11"/>
      <c r="K591" s="12"/>
      <c r="L591" s="11">
        <v>4600</v>
      </c>
      <c r="M591" s="12" t="s">
        <v>12</v>
      </c>
    </row>
    <row r="592" spans="1:13" x14ac:dyDescent="0.25">
      <c r="A592" s="1">
        <v>589</v>
      </c>
      <c r="B592" s="7" t="str">
        <f t="shared" si="63"/>
        <v>Пн</v>
      </c>
      <c r="C592" s="8">
        <v>45824</v>
      </c>
      <c r="D592" s="9"/>
      <c r="E592" s="10"/>
      <c r="F592" s="11"/>
      <c r="G592" s="12"/>
      <c r="H592" s="11"/>
      <c r="I592" s="12"/>
      <c r="J592" s="11"/>
      <c r="K592" s="12"/>
      <c r="L592" s="11"/>
      <c r="M592" s="12"/>
    </row>
    <row r="593" spans="1:13" x14ac:dyDescent="0.25">
      <c r="A593" s="1">
        <v>590</v>
      </c>
      <c r="B593" s="7" t="str">
        <f t="shared" si="63"/>
        <v>Вт</v>
      </c>
      <c r="C593" s="8">
        <v>45825</v>
      </c>
      <c r="D593" s="9">
        <f>5300+1800</f>
        <v>7100</v>
      </c>
      <c r="E593" s="10" t="s">
        <v>12</v>
      </c>
      <c r="F593" s="11">
        <v>9200</v>
      </c>
      <c r="G593" s="12" t="s">
        <v>12</v>
      </c>
      <c r="H593" s="11">
        <f>10900+8100</f>
        <v>19000</v>
      </c>
      <c r="I593" s="12" t="s">
        <v>12</v>
      </c>
      <c r="J593" s="11">
        <v>15300</v>
      </c>
      <c r="K593" s="12" t="s">
        <v>12</v>
      </c>
      <c r="L593" s="11"/>
      <c r="M593" s="12"/>
    </row>
    <row r="594" spans="1:13" x14ac:dyDescent="0.25">
      <c r="A594" s="1">
        <v>591</v>
      </c>
      <c r="B594" s="7" t="str">
        <f t="shared" ref="B594:B601" si="65">IF(C594&lt;&gt;"",TEXT(C594,"ДДД"),"")</f>
        <v>Ср</v>
      </c>
      <c r="C594" s="8">
        <v>45826</v>
      </c>
      <c r="D594" s="9"/>
      <c r="E594" s="10"/>
      <c r="F594" s="11"/>
      <c r="G594" s="12"/>
      <c r="H594" s="11"/>
      <c r="I594" s="12"/>
      <c r="J594" s="11"/>
      <c r="K594" s="12"/>
      <c r="L594" s="11"/>
      <c r="M594" s="12"/>
    </row>
    <row r="595" spans="1:13" x14ac:dyDescent="0.25">
      <c r="A595" s="1">
        <v>592</v>
      </c>
      <c r="B595" s="7" t="str">
        <f t="shared" si="65"/>
        <v>Чт</v>
      </c>
      <c r="C595" s="8">
        <v>45827</v>
      </c>
      <c r="D595" s="9">
        <v>5300</v>
      </c>
      <c r="E595" s="10" t="s">
        <v>12</v>
      </c>
      <c r="F595" s="11">
        <v>3400</v>
      </c>
      <c r="G595" s="12" t="s">
        <v>12</v>
      </c>
      <c r="H595" s="11">
        <v>17600</v>
      </c>
      <c r="I595" s="12" t="s">
        <v>12</v>
      </c>
      <c r="J595" s="11">
        <v>17000</v>
      </c>
      <c r="K595" s="12" t="s">
        <v>12</v>
      </c>
      <c r="L595" s="11"/>
      <c r="M595" s="12"/>
    </row>
    <row r="596" spans="1:13" x14ac:dyDescent="0.25">
      <c r="A596" s="1">
        <v>593</v>
      </c>
      <c r="B596" s="7" t="str">
        <f t="shared" ref="B596" si="66">IF(C596&lt;&gt;"",TEXT(C596,"ДДД"),"")</f>
        <v>Чт</v>
      </c>
      <c r="C596" s="8">
        <v>45827</v>
      </c>
      <c r="D596" s="9">
        <v>11000</v>
      </c>
      <c r="E596" s="10" t="s">
        <v>11</v>
      </c>
      <c r="F596" s="11">
        <v>8200</v>
      </c>
      <c r="G596" s="12" t="s">
        <v>11</v>
      </c>
      <c r="H596" s="11">
        <v>3200</v>
      </c>
      <c r="I596" s="12" t="s">
        <v>11</v>
      </c>
      <c r="J596" s="11">
        <v>5100</v>
      </c>
      <c r="K596" s="12" t="s">
        <v>11</v>
      </c>
      <c r="L596" s="11"/>
      <c r="M596" s="12"/>
    </row>
    <row r="597" spans="1:13" x14ac:dyDescent="0.25">
      <c r="A597" s="1">
        <v>594</v>
      </c>
      <c r="B597" s="7" t="str">
        <f t="shared" si="65"/>
        <v>Пт</v>
      </c>
      <c r="C597" s="8">
        <v>45828</v>
      </c>
      <c r="D597" s="9"/>
      <c r="E597" s="10"/>
      <c r="F597" s="11"/>
      <c r="G597" s="12"/>
      <c r="H597" s="11"/>
      <c r="I597" s="12"/>
      <c r="J597" s="11"/>
      <c r="K597" s="12"/>
      <c r="L597" s="11"/>
      <c r="M597" s="12"/>
    </row>
    <row r="598" spans="1:13" x14ac:dyDescent="0.25">
      <c r="A598" s="1">
        <v>595</v>
      </c>
      <c r="B598" s="7" t="str">
        <f t="shared" si="65"/>
        <v>Сб</v>
      </c>
      <c r="C598" s="8">
        <v>45829</v>
      </c>
      <c r="D598" s="9"/>
      <c r="E598" s="10"/>
      <c r="F598" s="11"/>
      <c r="G598" s="12"/>
      <c r="H598" s="11"/>
      <c r="I598" s="12"/>
      <c r="J598" s="11">
        <v>4000</v>
      </c>
      <c r="K598" s="12" t="s">
        <v>12</v>
      </c>
      <c r="L598" s="11"/>
      <c r="M598" s="12"/>
    </row>
    <row r="599" spans="1:13" x14ac:dyDescent="0.25">
      <c r="A599" s="1">
        <v>596</v>
      </c>
      <c r="B599" s="7" t="str">
        <f t="shared" si="65"/>
        <v>Вс</v>
      </c>
      <c r="C599" s="8">
        <v>45830</v>
      </c>
      <c r="D599" s="9"/>
      <c r="E599" s="10"/>
      <c r="F599" s="11"/>
      <c r="G599" s="12"/>
      <c r="H599" s="11"/>
      <c r="I599" s="12"/>
      <c r="J599" s="11"/>
      <c r="K599" s="12"/>
      <c r="L599" s="11">
        <v>3500</v>
      </c>
      <c r="M599" s="12" t="s">
        <v>12</v>
      </c>
    </row>
    <row r="600" spans="1:13" x14ac:dyDescent="0.25">
      <c r="A600" s="1">
        <v>597</v>
      </c>
      <c r="B600" s="7" t="str">
        <f t="shared" ref="B600" si="67">IF(C600&lt;&gt;"",TEXT(C600,"ДДД"),"")</f>
        <v>Вс</v>
      </c>
      <c r="C600" s="8">
        <v>45830</v>
      </c>
      <c r="D600" s="9"/>
      <c r="E600" s="10"/>
      <c r="F600" s="11"/>
      <c r="G600" s="12"/>
      <c r="H600" s="11"/>
      <c r="I600" s="12"/>
      <c r="J600" s="11"/>
      <c r="K600" s="12"/>
      <c r="L600" s="11">
        <v>5800</v>
      </c>
      <c r="M600" s="12" t="s">
        <v>11</v>
      </c>
    </row>
    <row r="601" spans="1:13" x14ac:dyDescent="0.25">
      <c r="A601" s="1">
        <v>598</v>
      </c>
      <c r="B601" s="7" t="str">
        <f t="shared" si="65"/>
        <v>Пн</v>
      </c>
      <c r="C601" s="8">
        <v>45831</v>
      </c>
      <c r="D601" s="9"/>
      <c r="E601" s="10"/>
      <c r="F601" s="11"/>
      <c r="G601" s="12"/>
      <c r="H601" s="11"/>
      <c r="I601" s="12"/>
      <c r="J601" s="11"/>
      <c r="K601" s="12"/>
      <c r="L601" s="11"/>
      <c r="M601" s="12"/>
    </row>
    <row r="602" spans="1:13" x14ac:dyDescent="0.25">
      <c r="A602" s="1">
        <v>599</v>
      </c>
      <c r="B602" s="7" t="str">
        <f t="shared" ref="B602:B616" si="68">IF(C602&lt;&gt;"",TEXT(C602,"ДДД"),"")</f>
        <v>Вт</v>
      </c>
      <c r="C602" s="8">
        <v>45832</v>
      </c>
      <c r="D602" s="9">
        <v>5100</v>
      </c>
      <c r="E602" s="10" t="s">
        <v>12</v>
      </c>
      <c r="F602" s="11">
        <v>2500</v>
      </c>
      <c r="G602" s="12" t="s">
        <v>12</v>
      </c>
      <c r="H602" s="11">
        <f>14500+6400</f>
        <v>20900</v>
      </c>
      <c r="I602" s="12" t="s">
        <v>12</v>
      </c>
      <c r="J602" s="11">
        <v>17500</v>
      </c>
      <c r="K602" s="12" t="s">
        <v>12</v>
      </c>
      <c r="L602" s="11"/>
      <c r="M602" s="12"/>
    </row>
    <row r="603" spans="1:13" x14ac:dyDescent="0.25">
      <c r="A603" s="1">
        <v>600</v>
      </c>
      <c r="B603" s="7" t="str">
        <f t="shared" si="68"/>
        <v>Ср</v>
      </c>
      <c r="C603" s="8">
        <v>45833</v>
      </c>
      <c r="D603" s="9"/>
      <c r="E603" s="10"/>
      <c r="F603" s="11"/>
      <c r="G603" s="12"/>
      <c r="H603" s="11"/>
      <c r="I603" s="12"/>
      <c r="J603" s="11"/>
      <c r="K603" s="12"/>
      <c r="L603" s="11"/>
      <c r="M603" s="12"/>
    </row>
    <row r="604" spans="1:13" x14ac:dyDescent="0.25">
      <c r="A604" s="1">
        <v>601</v>
      </c>
      <c r="B604" s="7" t="str">
        <f t="shared" si="68"/>
        <v>Чт</v>
      </c>
      <c r="C604" s="8">
        <v>45834</v>
      </c>
      <c r="D604" s="9">
        <v>2800</v>
      </c>
      <c r="E604" s="10" t="s">
        <v>12</v>
      </c>
      <c r="F604" s="11">
        <v>3100</v>
      </c>
      <c r="G604" s="12" t="s">
        <v>12</v>
      </c>
      <c r="H604" s="11">
        <f>2700+3000</f>
        <v>5700</v>
      </c>
      <c r="I604" s="12" t="s">
        <v>12</v>
      </c>
      <c r="J604" s="11">
        <v>12300</v>
      </c>
      <c r="K604" s="12" t="s">
        <v>12</v>
      </c>
      <c r="L604" s="11"/>
      <c r="M604" s="12"/>
    </row>
    <row r="605" spans="1:13" x14ac:dyDescent="0.25">
      <c r="A605" s="1">
        <v>602</v>
      </c>
      <c r="B605" s="7" t="str">
        <f t="shared" ref="B605" si="69">IF(C605&lt;&gt;"",TEXT(C605,"ДДД"),"")</f>
        <v>Чт</v>
      </c>
      <c r="C605" s="8">
        <v>45834</v>
      </c>
      <c r="D605" s="9">
        <v>8600</v>
      </c>
      <c r="E605" s="10" t="s">
        <v>11</v>
      </c>
      <c r="F605" s="11">
        <f>800+2900</f>
        <v>3700</v>
      </c>
      <c r="G605" s="12" t="s">
        <v>11</v>
      </c>
      <c r="H605" s="11">
        <v>5200</v>
      </c>
      <c r="I605" s="12" t="s">
        <v>11</v>
      </c>
      <c r="J605" s="11">
        <v>8600</v>
      </c>
      <c r="K605" s="12" t="s">
        <v>11</v>
      </c>
      <c r="L605" s="11"/>
      <c r="M605" s="12"/>
    </row>
    <row r="606" spans="1:13" x14ac:dyDescent="0.25">
      <c r="A606" s="1">
        <v>603</v>
      </c>
      <c r="B606" s="7" t="str">
        <f t="shared" si="68"/>
        <v>Пт</v>
      </c>
      <c r="C606" s="8">
        <v>45835</v>
      </c>
      <c r="D606" s="9"/>
      <c r="E606" s="10"/>
      <c r="F606" s="11"/>
      <c r="G606" s="12"/>
      <c r="H606" s="11">
        <v>3400</v>
      </c>
      <c r="I606" s="12" t="s">
        <v>12</v>
      </c>
      <c r="J606" s="11">
        <v>7200</v>
      </c>
      <c r="K606" s="12" t="s">
        <v>12</v>
      </c>
      <c r="L606" s="11"/>
      <c r="M606" s="12"/>
    </row>
    <row r="607" spans="1:13" x14ac:dyDescent="0.25">
      <c r="A607" s="1">
        <v>604</v>
      </c>
      <c r="B607" s="7" t="str">
        <f t="shared" si="68"/>
        <v>Сб</v>
      </c>
      <c r="C607" s="8">
        <v>45836</v>
      </c>
      <c r="D607" s="9"/>
      <c r="E607" s="10"/>
      <c r="F607" s="11"/>
      <c r="G607" s="12"/>
      <c r="H607" s="11"/>
      <c r="I607" s="12"/>
      <c r="J607" s="11"/>
      <c r="K607" s="12"/>
      <c r="L607" s="11"/>
      <c r="M607" s="12"/>
    </row>
    <row r="608" spans="1:13" x14ac:dyDescent="0.25">
      <c r="A608" s="1">
        <v>605</v>
      </c>
      <c r="B608" s="7" t="str">
        <f t="shared" si="68"/>
        <v>Вс</v>
      </c>
      <c r="C608" s="8">
        <v>45837</v>
      </c>
      <c r="D608" s="9"/>
      <c r="E608" s="10"/>
      <c r="F608" s="11"/>
      <c r="G608" s="12"/>
      <c r="H608" s="11"/>
      <c r="I608" s="12"/>
      <c r="J608" s="11">
        <v>7000</v>
      </c>
      <c r="K608" s="12" t="s">
        <v>12</v>
      </c>
      <c r="L608" s="11">
        <v>5200</v>
      </c>
      <c r="M608" s="12" t="s">
        <v>12</v>
      </c>
    </row>
    <row r="609" spans="1:13" x14ac:dyDescent="0.25">
      <c r="A609" s="1">
        <v>606</v>
      </c>
      <c r="B609" s="7" t="str">
        <f t="shared" si="68"/>
        <v>Пн</v>
      </c>
      <c r="C609" s="8">
        <v>45838</v>
      </c>
      <c r="D609" s="9"/>
      <c r="E609" s="10"/>
      <c r="F609" s="11"/>
      <c r="G609" s="12"/>
      <c r="H609" s="11"/>
      <c r="I609" s="12"/>
      <c r="J609" s="11"/>
      <c r="K609" s="12"/>
      <c r="L609" s="11"/>
      <c r="M609" s="12"/>
    </row>
    <row r="610" spans="1:13" x14ac:dyDescent="0.25">
      <c r="A610" s="1">
        <v>607</v>
      </c>
      <c r="B610" s="7" t="str">
        <f t="shared" si="68"/>
        <v>Вт</v>
      </c>
      <c r="C610" s="8">
        <v>45839</v>
      </c>
      <c r="D610" s="9">
        <f>4800+900</f>
        <v>5700</v>
      </c>
      <c r="E610" s="10" t="s">
        <v>12</v>
      </c>
      <c r="F610" s="11">
        <f>3200+2600</f>
        <v>5800</v>
      </c>
      <c r="G610" s="12" t="s">
        <v>12</v>
      </c>
      <c r="H610" s="11">
        <v>11200</v>
      </c>
      <c r="I610" s="12" t="s">
        <v>12</v>
      </c>
      <c r="J610" s="11">
        <v>12400</v>
      </c>
      <c r="K610" s="12" t="s">
        <v>12</v>
      </c>
      <c r="L610" s="11"/>
      <c r="M610" s="12"/>
    </row>
    <row r="611" spans="1:13" x14ac:dyDescent="0.25">
      <c r="A611" s="1">
        <v>608</v>
      </c>
      <c r="B611" s="7" t="str">
        <f t="shared" si="68"/>
        <v>Ср</v>
      </c>
      <c r="C611" s="8">
        <v>45840</v>
      </c>
      <c r="D611" s="9"/>
      <c r="E611" s="10"/>
      <c r="F611" s="11"/>
      <c r="G611" s="12"/>
      <c r="H611" s="11">
        <v>11100</v>
      </c>
      <c r="I611" s="12" t="s">
        <v>12</v>
      </c>
      <c r="J611" s="11"/>
      <c r="K611" s="12"/>
      <c r="L611" s="11"/>
      <c r="M611" s="12"/>
    </row>
    <row r="612" spans="1:13" x14ac:dyDescent="0.25">
      <c r="A612" s="1">
        <v>609</v>
      </c>
      <c r="B612" s="7" t="str">
        <f t="shared" si="68"/>
        <v>Чт</v>
      </c>
      <c r="C612" s="8">
        <v>45841</v>
      </c>
      <c r="D612" s="9">
        <v>2300</v>
      </c>
      <c r="E612" s="10" t="s">
        <v>12</v>
      </c>
      <c r="F612" s="11">
        <v>3300</v>
      </c>
      <c r="G612" s="12" t="s">
        <v>12</v>
      </c>
      <c r="H612" s="11">
        <v>2500</v>
      </c>
      <c r="I612" s="12" t="s">
        <v>12</v>
      </c>
      <c r="J612" s="11">
        <v>14500</v>
      </c>
      <c r="K612" s="12" t="s">
        <v>12</v>
      </c>
      <c r="L612" s="11"/>
      <c r="M612" s="12"/>
    </row>
    <row r="613" spans="1:13" x14ac:dyDescent="0.25">
      <c r="A613" s="1">
        <v>610</v>
      </c>
      <c r="B613" s="7" t="str">
        <f t="shared" ref="B613" si="70">IF(C613&lt;&gt;"",TEXT(C613,"ДДД"),"")</f>
        <v>Чт</v>
      </c>
      <c r="C613" s="8">
        <v>45841</v>
      </c>
      <c r="D613" s="9">
        <v>6500</v>
      </c>
      <c r="E613" s="10" t="s">
        <v>11</v>
      </c>
      <c r="F613" s="11">
        <v>6600</v>
      </c>
      <c r="G613" s="12" t="s">
        <v>11</v>
      </c>
      <c r="H613" s="11">
        <v>5100</v>
      </c>
      <c r="I613" s="12" t="s">
        <v>11</v>
      </c>
      <c r="J613" s="11">
        <v>6600</v>
      </c>
      <c r="K613" s="12" t="s">
        <v>11</v>
      </c>
      <c r="L613" s="11"/>
      <c r="M613" s="12"/>
    </row>
    <row r="614" spans="1:13" x14ac:dyDescent="0.25">
      <c r="A614" s="1">
        <v>611</v>
      </c>
      <c r="B614" s="7" t="str">
        <f t="shared" si="68"/>
        <v>Пт</v>
      </c>
      <c r="C614" s="8">
        <v>45842</v>
      </c>
      <c r="D614" s="9"/>
      <c r="E614" s="10"/>
      <c r="F614" s="11"/>
      <c r="G614" s="12"/>
      <c r="H614" s="11"/>
      <c r="I614" s="12"/>
      <c r="J614" s="11"/>
      <c r="K614" s="12"/>
      <c r="L614" s="11"/>
      <c r="M614" s="12"/>
    </row>
    <row r="615" spans="1:13" x14ac:dyDescent="0.25">
      <c r="A615" s="1">
        <v>612</v>
      </c>
      <c r="B615" s="7" t="str">
        <f t="shared" si="68"/>
        <v>Сб</v>
      </c>
      <c r="C615" s="8">
        <v>45843</v>
      </c>
      <c r="D615" s="9"/>
      <c r="E615" s="10"/>
      <c r="F615" s="11"/>
      <c r="G615" s="12"/>
      <c r="H615" s="11"/>
      <c r="I615" s="12"/>
      <c r="J615" s="11"/>
      <c r="K615" s="12"/>
      <c r="L615" s="11"/>
      <c r="M615" s="12"/>
    </row>
    <row r="616" spans="1:13" x14ac:dyDescent="0.25">
      <c r="A616" s="1">
        <v>613</v>
      </c>
      <c r="B616" s="7" t="str">
        <f t="shared" si="68"/>
        <v>Вс</v>
      </c>
      <c r="C616" s="8">
        <v>45844</v>
      </c>
      <c r="D616" s="9"/>
      <c r="E616" s="10"/>
      <c r="F616" s="11"/>
      <c r="G616" s="12"/>
      <c r="H616" s="11"/>
      <c r="I616" s="12"/>
      <c r="J616" s="11"/>
      <c r="K616" s="12"/>
      <c r="L616" s="11">
        <v>3900</v>
      </c>
      <c r="M616" s="12" t="s">
        <v>12</v>
      </c>
    </row>
    <row r="617" spans="1:13" x14ac:dyDescent="0.25">
      <c r="A617" s="1">
        <v>614</v>
      </c>
      <c r="B617" s="7" t="str">
        <f t="shared" ref="B617:B618" si="71">IF(C617&lt;&gt;"",TEXT(C617,"ДДД"),"")</f>
        <v>Пн</v>
      </c>
      <c r="C617" s="8">
        <v>45845</v>
      </c>
      <c r="D617" s="9"/>
      <c r="E617" s="10"/>
      <c r="F617" s="11"/>
      <c r="G617" s="12"/>
      <c r="H617" s="11"/>
      <c r="I617" s="12"/>
      <c r="J617" s="11"/>
      <c r="K617" s="12"/>
      <c r="L617" s="11"/>
      <c r="M617" s="12"/>
    </row>
    <row r="618" spans="1:13" x14ac:dyDescent="0.25">
      <c r="A618" s="1">
        <v>615</v>
      </c>
      <c r="B618" s="7" t="str">
        <f t="shared" si="71"/>
        <v>Вт</v>
      </c>
      <c r="C618" s="8">
        <v>45846</v>
      </c>
      <c r="D618" s="9">
        <v>2300</v>
      </c>
      <c r="E618" s="10" t="s">
        <v>12</v>
      </c>
      <c r="F618" s="11">
        <v>1300</v>
      </c>
      <c r="G618" s="12" t="s">
        <v>12</v>
      </c>
      <c r="H618" s="11">
        <f>3800+5600+15000</f>
        <v>24400</v>
      </c>
      <c r="I618" s="12" t="s">
        <v>12</v>
      </c>
      <c r="J618" s="11">
        <v>11500</v>
      </c>
      <c r="K618" s="12" t="s">
        <v>12</v>
      </c>
      <c r="L618" s="11"/>
      <c r="M618" s="12"/>
    </row>
    <row r="619" spans="1:13" x14ac:dyDescent="0.25">
      <c r="A619" s="1">
        <v>616</v>
      </c>
      <c r="B619" s="7" t="str">
        <f t="shared" ref="B619:B632" si="72">IF(C619&lt;&gt;"",TEXT(C619,"ДДД"),"")</f>
        <v>Ср</v>
      </c>
      <c r="C619" s="8">
        <v>45847</v>
      </c>
      <c r="D619" s="9"/>
      <c r="E619" s="10"/>
      <c r="F619" s="11"/>
      <c r="G619" s="12"/>
      <c r="H619" s="11"/>
      <c r="I619" s="12"/>
      <c r="J619" s="11"/>
      <c r="K619" s="12"/>
      <c r="L619" s="11"/>
      <c r="M619" s="12"/>
    </row>
    <row r="620" spans="1:13" x14ac:dyDescent="0.25">
      <c r="A620" s="1">
        <v>617</v>
      </c>
      <c r="B620" s="7" t="str">
        <f t="shared" si="72"/>
        <v>Чт</v>
      </c>
      <c r="C620" s="8">
        <v>45848</v>
      </c>
      <c r="D620" s="9">
        <v>2400</v>
      </c>
      <c r="E620" s="10" t="s">
        <v>12</v>
      </c>
      <c r="F620" s="11">
        <v>1300</v>
      </c>
      <c r="G620" s="12" t="s">
        <v>12</v>
      </c>
      <c r="H620" s="11">
        <v>8000</v>
      </c>
      <c r="I620" s="12" t="s">
        <v>12</v>
      </c>
      <c r="J620" s="11">
        <v>6700</v>
      </c>
      <c r="K620" s="12" t="s">
        <v>12</v>
      </c>
      <c r="L620" s="11"/>
      <c r="M620" s="12"/>
    </row>
    <row r="621" spans="1:13" x14ac:dyDescent="0.25">
      <c r="A621" s="1">
        <v>618</v>
      </c>
      <c r="B621" s="7" t="str">
        <f t="shared" ref="B621" si="73">IF(C621&lt;&gt;"",TEXT(C621,"ДДД"),"")</f>
        <v>Чт</v>
      </c>
      <c r="C621" s="8">
        <v>45848</v>
      </c>
      <c r="D621" s="9">
        <v>5400</v>
      </c>
      <c r="E621" s="10" t="s">
        <v>11</v>
      </c>
      <c r="F621" s="11">
        <v>6100</v>
      </c>
      <c r="G621" s="12" t="s">
        <v>11</v>
      </c>
      <c r="H621" s="11">
        <v>6100</v>
      </c>
      <c r="I621" s="12" t="s">
        <v>11</v>
      </c>
      <c r="J621" s="11">
        <v>4600</v>
      </c>
      <c r="K621" s="12" t="s">
        <v>11</v>
      </c>
      <c r="L621" s="11"/>
      <c r="M621" s="12"/>
    </row>
    <row r="622" spans="1:13" x14ac:dyDescent="0.25">
      <c r="A622" s="1">
        <v>619</v>
      </c>
      <c r="B622" s="7" t="str">
        <f t="shared" si="72"/>
        <v>Пт</v>
      </c>
      <c r="C622" s="8">
        <v>45849</v>
      </c>
      <c r="D622" s="9"/>
      <c r="E622" s="10"/>
      <c r="F622" s="11"/>
      <c r="G622" s="12"/>
      <c r="H622" s="11"/>
      <c r="I622" s="12"/>
      <c r="J622" s="11"/>
      <c r="K622" s="12"/>
      <c r="L622" s="11"/>
      <c r="M622" s="12"/>
    </row>
    <row r="623" spans="1:13" x14ac:dyDescent="0.25">
      <c r="A623" s="1">
        <v>620</v>
      </c>
      <c r="B623" s="7" t="str">
        <f t="shared" si="72"/>
        <v>Сб</v>
      </c>
      <c r="C623" s="8">
        <v>45850</v>
      </c>
      <c r="D623" s="9"/>
      <c r="E623" s="10"/>
      <c r="F623" s="11"/>
      <c r="G623" s="12"/>
      <c r="H623" s="11"/>
      <c r="I623" s="12"/>
      <c r="J623" s="11">
        <v>8000</v>
      </c>
      <c r="K623" s="12" t="s">
        <v>12</v>
      </c>
      <c r="L623" s="11"/>
      <c r="M623" s="12"/>
    </row>
    <row r="624" spans="1:13" x14ac:dyDescent="0.25">
      <c r="A624" s="1">
        <v>621</v>
      </c>
      <c r="B624" s="7" t="str">
        <f t="shared" si="72"/>
        <v>Вс</v>
      </c>
      <c r="C624" s="8">
        <v>45851</v>
      </c>
      <c r="D624" s="9"/>
      <c r="E624" s="10"/>
      <c r="F624" s="11"/>
      <c r="G624" s="12"/>
      <c r="H624" s="11"/>
      <c r="I624" s="12"/>
      <c r="J624" s="11"/>
      <c r="K624" s="12"/>
      <c r="L624" s="11">
        <v>4700</v>
      </c>
      <c r="M624" s="12" t="s">
        <v>12</v>
      </c>
    </row>
    <row r="625" spans="1:13" x14ac:dyDescent="0.25">
      <c r="A625" s="1">
        <v>622</v>
      </c>
      <c r="B625" s="7" t="str">
        <f t="shared" ref="B625" si="74">IF(C625&lt;&gt;"",TEXT(C625,"ДДД"),"")</f>
        <v>Вс</v>
      </c>
      <c r="C625" s="8">
        <v>45851</v>
      </c>
      <c r="D625" s="9"/>
      <c r="E625" s="10"/>
      <c r="F625" s="11"/>
      <c r="G625" s="12"/>
      <c r="H625" s="11"/>
      <c r="I625" s="12"/>
      <c r="J625" s="11"/>
      <c r="K625" s="12"/>
      <c r="L625" s="11">
        <v>5300</v>
      </c>
      <c r="M625" s="12" t="s">
        <v>11</v>
      </c>
    </row>
    <row r="626" spans="1:13" x14ac:dyDescent="0.25">
      <c r="A626" s="1">
        <v>623</v>
      </c>
      <c r="B626" s="7" t="str">
        <f t="shared" si="72"/>
        <v>Пн</v>
      </c>
      <c r="C626" s="8">
        <v>45852</v>
      </c>
      <c r="D626" s="9"/>
      <c r="E626" s="10"/>
      <c r="F626" s="11"/>
      <c r="G626" s="12"/>
      <c r="H626" s="11"/>
      <c r="I626" s="12"/>
      <c r="J626" s="11"/>
      <c r="K626" s="12"/>
      <c r="L626" s="11"/>
      <c r="M626" s="12"/>
    </row>
    <row r="627" spans="1:13" x14ac:dyDescent="0.25">
      <c r="A627" s="1">
        <v>624</v>
      </c>
      <c r="B627" s="7" t="str">
        <f t="shared" si="72"/>
        <v>Вт</v>
      </c>
      <c r="C627" s="8">
        <v>45853</v>
      </c>
      <c r="D627" s="9">
        <v>4700</v>
      </c>
      <c r="E627" s="10" t="s">
        <v>12</v>
      </c>
      <c r="F627" s="11">
        <v>5600</v>
      </c>
      <c r="G627" s="12" t="s">
        <v>12</v>
      </c>
      <c r="H627" s="11">
        <f>17200+1700</f>
        <v>18900</v>
      </c>
      <c r="I627" s="12" t="s">
        <v>12</v>
      </c>
      <c r="J627" s="11">
        <v>10100</v>
      </c>
      <c r="K627" s="12" t="s">
        <v>12</v>
      </c>
      <c r="L627" s="11"/>
      <c r="M627" s="12"/>
    </row>
    <row r="628" spans="1:13" x14ac:dyDescent="0.25">
      <c r="A628" s="1">
        <v>625</v>
      </c>
      <c r="B628" s="7" t="str">
        <f t="shared" si="72"/>
        <v>Ср</v>
      </c>
      <c r="C628" s="8">
        <v>45854</v>
      </c>
      <c r="D628" s="9"/>
      <c r="E628" s="10"/>
      <c r="F628" s="11"/>
      <c r="G628" s="12"/>
      <c r="H628" s="11"/>
      <c r="I628" s="12"/>
      <c r="J628" s="11"/>
      <c r="K628" s="12"/>
      <c r="L628" s="11"/>
      <c r="M628" s="12"/>
    </row>
    <row r="629" spans="1:13" x14ac:dyDescent="0.25">
      <c r="A629" s="1">
        <v>626</v>
      </c>
      <c r="B629" s="7" t="str">
        <f t="shared" si="72"/>
        <v>Чт</v>
      </c>
      <c r="C629" s="8">
        <v>45855</v>
      </c>
      <c r="D629" s="9">
        <v>2300</v>
      </c>
      <c r="E629" s="10" t="s">
        <v>12</v>
      </c>
      <c r="F629" s="11">
        <v>1800</v>
      </c>
      <c r="G629" s="12" t="s">
        <v>12</v>
      </c>
      <c r="H629" s="11">
        <v>12400</v>
      </c>
      <c r="I629" s="12" t="s">
        <v>12</v>
      </c>
      <c r="J629" s="11">
        <v>7600</v>
      </c>
      <c r="K629" s="12" t="s">
        <v>12</v>
      </c>
      <c r="L629" s="11"/>
      <c r="M629" s="12"/>
    </row>
    <row r="630" spans="1:13" x14ac:dyDescent="0.25">
      <c r="A630" s="1">
        <v>627</v>
      </c>
      <c r="B630" s="7" t="str">
        <f t="shared" ref="B630" si="75">IF(C630&lt;&gt;"",TEXT(C630,"ДДД"),"")</f>
        <v>Чт</v>
      </c>
      <c r="C630" s="8">
        <v>45855</v>
      </c>
      <c r="D630" s="9">
        <v>9400</v>
      </c>
      <c r="E630" s="10" t="s">
        <v>11</v>
      </c>
      <c r="F630" s="11">
        <v>2200</v>
      </c>
      <c r="G630" s="12" t="s">
        <v>11</v>
      </c>
      <c r="H630" s="11">
        <v>2700</v>
      </c>
      <c r="I630" s="12" t="s">
        <v>11</v>
      </c>
      <c r="J630" s="11">
        <v>7000</v>
      </c>
      <c r="K630" s="12" t="s">
        <v>11</v>
      </c>
      <c r="L630" s="11"/>
      <c r="M630" s="12"/>
    </row>
    <row r="631" spans="1:13" x14ac:dyDescent="0.25">
      <c r="A631" s="1">
        <v>628</v>
      </c>
      <c r="B631" s="7" t="str">
        <f t="shared" si="72"/>
        <v>Пт</v>
      </c>
      <c r="C631" s="8">
        <v>45856</v>
      </c>
      <c r="D631" s="9"/>
      <c r="E631" s="10"/>
      <c r="F631" s="11"/>
      <c r="G631" s="12"/>
      <c r="H631" s="11"/>
      <c r="I631" s="12"/>
      <c r="J631" s="11"/>
      <c r="K631" s="12"/>
      <c r="L631" s="11"/>
      <c r="M631" s="12"/>
    </row>
    <row r="632" spans="1:13" x14ac:dyDescent="0.25">
      <c r="A632" s="1">
        <v>629</v>
      </c>
      <c r="B632" s="7" t="str">
        <f t="shared" si="72"/>
        <v>Сб</v>
      </c>
      <c r="C632" s="8">
        <v>45857</v>
      </c>
      <c r="D632" s="9"/>
      <c r="E632" s="10"/>
      <c r="F632" s="11"/>
      <c r="G632" s="12"/>
      <c r="H632" s="11"/>
      <c r="I632" s="12"/>
      <c r="J632" s="11">
        <v>5000</v>
      </c>
      <c r="K632" s="12" t="s">
        <v>12</v>
      </c>
      <c r="L632" s="11"/>
      <c r="M632" s="12"/>
    </row>
    <row r="633" spans="1:13" x14ac:dyDescent="0.25">
      <c r="A633" s="1">
        <v>630</v>
      </c>
      <c r="B633" s="7" t="str">
        <f t="shared" ref="B633" si="76">IF(C633&lt;&gt;"",TEXT(C633,"ДДД"),"")</f>
        <v>Вс</v>
      </c>
      <c r="C633" s="8">
        <v>45858</v>
      </c>
      <c r="D633" s="9"/>
      <c r="E633" s="10"/>
      <c r="F633" s="11"/>
      <c r="G633" s="12"/>
      <c r="H633" s="11"/>
      <c r="I633" s="12"/>
      <c r="J633" s="11"/>
      <c r="K633" s="12"/>
      <c r="L633" s="11">
        <v>5700</v>
      </c>
      <c r="M633" s="12" t="s">
        <v>12</v>
      </c>
    </row>
    <row r="634" spans="1:13" x14ac:dyDescent="0.25">
      <c r="A634" s="1">
        <v>631</v>
      </c>
      <c r="B634" s="7" t="str">
        <f t="shared" ref="B634:B635" si="77">IF(C634&lt;&gt;"",TEXT(C634,"ДДД"),"")</f>
        <v>Пн</v>
      </c>
      <c r="C634" s="8">
        <v>45859</v>
      </c>
      <c r="D634" s="9"/>
      <c r="E634" s="10"/>
      <c r="F634" s="11"/>
      <c r="G634" s="12"/>
      <c r="H634" s="11"/>
      <c r="I634" s="12"/>
      <c r="J634" s="11"/>
      <c r="K634" s="12"/>
      <c r="L634" s="11"/>
      <c r="M634" s="12"/>
    </row>
    <row r="635" spans="1:13" x14ac:dyDescent="0.25">
      <c r="A635" s="1">
        <v>632</v>
      </c>
      <c r="B635" s="7" t="str">
        <f t="shared" si="77"/>
        <v>Вт</v>
      </c>
      <c r="C635" s="8">
        <v>45860</v>
      </c>
      <c r="D635" s="9">
        <v>1600</v>
      </c>
      <c r="E635" s="10" t="s">
        <v>12</v>
      </c>
      <c r="F635" s="11">
        <v>3200</v>
      </c>
      <c r="G635" s="12" t="s">
        <v>12</v>
      </c>
      <c r="H635" s="11">
        <v>9500</v>
      </c>
      <c r="I635" s="12" t="s">
        <v>12</v>
      </c>
      <c r="J635" s="11">
        <v>11000</v>
      </c>
      <c r="K635" s="12" t="s">
        <v>12</v>
      </c>
      <c r="L635" s="11"/>
      <c r="M635" s="12"/>
    </row>
    <row r="636" spans="1:13" x14ac:dyDescent="0.25">
      <c r="A636" s="1">
        <v>633</v>
      </c>
      <c r="B636" s="7" t="str">
        <f t="shared" ref="B636:B642" si="78">IF(C636&lt;&gt;"",TEXT(C636,"ДДД"),"")</f>
        <v>Ср</v>
      </c>
      <c r="C636" s="8">
        <v>45861</v>
      </c>
      <c r="D636" s="9"/>
      <c r="E636" s="10"/>
      <c r="F636" s="11"/>
      <c r="G636" s="12"/>
      <c r="H636" s="11"/>
      <c r="I636" s="12"/>
      <c r="J636" s="11"/>
      <c r="K636" s="12"/>
      <c r="L636" s="11"/>
      <c r="M636" s="12"/>
    </row>
    <row r="637" spans="1:13" x14ac:dyDescent="0.25">
      <c r="A637" s="1">
        <v>634</v>
      </c>
      <c r="B637" s="7" t="str">
        <f t="shared" si="78"/>
        <v>Чт</v>
      </c>
      <c r="C637" s="8">
        <v>45862</v>
      </c>
      <c r="D637" s="9">
        <v>1800</v>
      </c>
      <c r="E637" s="10" t="s">
        <v>12</v>
      </c>
      <c r="F637" s="11">
        <v>1900</v>
      </c>
      <c r="G637" s="12" t="s">
        <v>12</v>
      </c>
      <c r="H637" s="11">
        <f>5400+6200</f>
        <v>11600</v>
      </c>
      <c r="I637" s="12" t="s">
        <v>12</v>
      </c>
      <c r="J637" s="11">
        <v>12400</v>
      </c>
      <c r="K637" s="12" t="s">
        <v>12</v>
      </c>
      <c r="L637" s="11"/>
      <c r="M637" s="12"/>
    </row>
    <row r="638" spans="1:13" x14ac:dyDescent="0.25">
      <c r="A638" s="1">
        <v>635</v>
      </c>
      <c r="B638" s="7" t="str">
        <f t="shared" ref="B638" si="79">IF(C638&lt;&gt;"",TEXT(C638,"ДДД"),"")</f>
        <v>Чт</v>
      </c>
      <c r="C638" s="8">
        <v>45862</v>
      </c>
      <c r="D638" s="9">
        <v>11200</v>
      </c>
      <c r="E638" s="10" t="s">
        <v>11</v>
      </c>
      <c r="F638" s="11">
        <f>3900+1400</f>
        <v>5300</v>
      </c>
      <c r="G638" s="12" t="s">
        <v>11</v>
      </c>
      <c r="H638" s="11">
        <v>4200</v>
      </c>
      <c r="I638" s="12" t="s">
        <v>11</v>
      </c>
      <c r="J638" s="11">
        <v>6800</v>
      </c>
      <c r="K638" s="12" t="s">
        <v>11</v>
      </c>
      <c r="L638" s="11"/>
      <c r="M638" s="12"/>
    </row>
    <row r="639" spans="1:13" x14ac:dyDescent="0.25">
      <c r="A639" s="1">
        <v>636</v>
      </c>
      <c r="B639" s="7" t="str">
        <f t="shared" si="78"/>
        <v>Пт</v>
      </c>
      <c r="C639" s="8">
        <v>45863</v>
      </c>
      <c r="D639" s="9"/>
      <c r="E639" s="10"/>
      <c r="F639" s="11"/>
      <c r="G639" s="12"/>
      <c r="H639" s="11"/>
      <c r="I639" s="12"/>
      <c r="J639" s="11"/>
      <c r="K639" s="12"/>
      <c r="L639" s="11"/>
      <c r="M639" s="12"/>
    </row>
    <row r="640" spans="1:13" x14ac:dyDescent="0.25">
      <c r="A640" s="1">
        <v>637</v>
      </c>
      <c r="B640" s="7" t="str">
        <f t="shared" si="78"/>
        <v>Сб</v>
      </c>
      <c r="C640" s="8">
        <v>45864</v>
      </c>
      <c r="D640" s="9"/>
      <c r="E640" s="10"/>
      <c r="F640" s="11"/>
      <c r="G640" s="12"/>
      <c r="H640" s="11"/>
      <c r="I640" s="12"/>
      <c r="J640" s="11"/>
      <c r="K640" s="12"/>
      <c r="L640" s="11"/>
      <c r="M640" s="12"/>
    </row>
    <row r="641" spans="1:13" x14ac:dyDescent="0.25">
      <c r="A641" s="1">
        <v>638</v>
      </c>
      <c r="B641" s="7" t="str">
        <f t="shared" si="78"/>
        <v>Вс</v>
      </c>
      <c r="C641" s="8">
        <v>45865</v>
      </c>
      <c r="D641" s="9"/>
      <c r="E641" s="10"/>
      <c r="F641" s="11"/>
      <c r="G641" s="12"/>
      <c r="H641" s="11"/>
      <c r="I641" s="12"/>
      <c r="J641" s="11"/>
      <c r="K641" s="12"/>
      <c r="L641" s="11">
        <v>5600</v>
      </c>
      <c r="M641" s="12" t="s">
        <v>12</v>
      </c>
    </row>
    <row r="642" spans="1:13" x14ac:dyDescent="0.25">
      <c r="A642" s="1">
        <v>639</v>
      </c>
      <c r="B642" s="7" t="str">
        <f t="shared" si="78"/>
        <v>Пн</v>
      </c>
      <c r="C642" s="8">
        <v>45866</v>
      </c>
      <c r="D642" s="9"/>
      <c r="E642" s="10"/>
      <c r="F642" s="11"/>
      <c r="G642" s="12"/>
      <c r="H642" s="11"/>
      <c r="I642" s="12"/>
      <c r="J642" s="11"/>
      <c r="K642" s="12"/>
      <c r="L642" s="11"/>
      <c r="M642" s="12"/>
    </row>
    <row r="643" spans="1:13" x14ac:dyDescent="0.25">
      <c r="A643" s="1">
        <v>640</v>
      </c>
      <c r="B643" s="7" t="str">
        <f t="shared" ref="B643:B647" si="80">IF(C643&lt;&gt;"",TEXT(C643,"ДДД"),"")</f>
        <v>Вт</v>
      </c>
      <c r="C643" s="8">
        <v>45867</v>
      </c>
      <c r="D643" s="9">
        <v>4700</v>
      </c>
      <c r="E643" s="10" t="s">
        <v>12</v>
      </c>
      <c r="F643" s="11">
        <v>4000</v>
      </c>
      <c r="G643" s="12" t="s">
        <v>12</v>
      </c>
      <c r="H643" s="11">
        <v>15800</v>
      </c>
      <c r="I643" s="12" t="s">
        <v>12</v>
      </c>
      <c r="J643" s="11">
        <f>10300+9100</f>
        <v>19400</v>
      </c>
      <c r="K643" s="12" t="s">
        <v>12</v>
      </c>
      <c r="L643" s="11">
        <v>3800</v>
      </c>
      <c r="M643" s="12" t="s">
        <v>11</v>
      </c>
    </row>
    <row r="644" spans="1:13" x14ac:dyDescent="0.25">
      <c r="A644" s="1">
        <v>641</v>
      </c>
      <c r="B644" s="7" t="str">
        <f t="shared" si="80"/>
        <v>Ср</v>
      </c>
      <c r="C644" s="8">
        <v>45868</v>
      </c>
      <c r="D644" s="9"/>
      <c r="E644" s="10"/>
      <c r="F644" s="11"/>
      <c r="G644" s="12"/>
      <c r="H644" s="11">
        <v>17600</v>
      </c>
      <c r="I644" s="12" t="s">
        <v>12</v>
      </c>
      <c r="J644" s="11"/>
      <c r="K644" s="12"/>
      <c r="L644" s="11"/>
      <c r="M644" s="12"/>
    </row>
    <row r="645" spans="1:13" x14ac:dyDescent="0.25">
      <c r="A645" s="1">
        <v>642</v>
      </c>
      <c r="B645" s="7" t="str">
        <f t="shared" si="80"/>
        <v>Чт</v>
      </c>
      <c r="C645" s="8">
        <v>45869</v>
      </c>
      <c r="D645" s="9">
        <v>2700</v>
      </c>
      <c r="E645" s="10" t="s">
        <v>12</v>
      </c>
      <c r="F645" s="11">
        <v>1900</v>
      </c>
      <c r="G645" s="12" t="s">
        <v>12</v>
      </c>
      <c r="H645" s="11">
        <v>17600</v>
      </c>
      <c r="I645" s="12" t="s">
        <v>12</v>
      </c>
      <c r="J645" s="11">
        <v>16000</v>
      </c>
      <c r="K645" s="12" t="s">
        <v>12</v>
      </c>
      <c r="L645" s="11"/>
      <c r="M645" s="12"/>
    </row>
    <row r="646" spans="1:13" x14ac:dyDescent="0.25">
      <c r="A646" s="1">
        <v>643</v>
      </c>
      <c r="B646" s="7" t="str">
        <f t="shared" ref="B646" si="81">IF(C646&lt;&gt;"",TEXT(C646,"ДДД"),"")</f>
        <v>Чт</v>
      </c>
      <c r="C646" s="8">
        <v>45869</v>
      </c>
      <c r="D646" s="9">
        <v>5900</v>
      </c>
      <c r="E646" s="10" t="s">
        <v>11</v>
      </c>
      <c r="F646" s="11">
        <v>9700</v>
      </c>
      <c r="G646" s="12" t="s">
        <v>11</v>
      </c>
      <c r="H646" s="11">
        <f>1700+1900</f>
        <v>3600</v>
      </c>
      <c r="I646" s="12" t="s">
        <v>11</v>
      </c>
      <c r="J646" s="11">
        <v>7400</v>
      </c>
      <c r="K646" s="12" t="s">
        <v>11</v>
      </c>
      <c r="L646" s="11"/>
      <c r="M646" s="12"/>
    </row>
    <row r="647" spans="1:13" x14ac:dyDescent="0.25">
      <c r="A647" s="1">
        <v>644</v>
      </c>
      <c r="B647" s="7" t="str">
        <f t="shared" si="80"/>
        <v>Пт</v>
      </c>
      <c r="C647" s="8">
        <v>45870</v>
      </c>
      <c r="D647" s="9"/>
      <c r="E647" s="10"/>
      <c r="F647" s="11"/>
      <c r="G647" s="12"/>
      <c r="H647" s="11"/>
      <c r="I647" s="12"/>
      <c r="J647" s="11"/>
      <c r="K647" s="12"/>
      <c r="L647" s="11"/>
      <c r="M647" s="12"/>
    </row>
    <row r="648" spans="1:13" x14ac:dyDescent="0.25">
      <c r="A648" s="1">
        <v>645</v>
      </c>
      <c r="B648" s="7" t="str">
        <f t="shared" ref="B648:B651" si="82">IF(C648&lt;&gt;"",TEXT(C648,"ДДД"),"")</f>
        <v>Сб</v>
      </c>
      <c r="C648" s="8">
        <v>45871</v>
      </c>
      <c r="D648" s="9"/>
      <c r="E648" s="10"/>
      <c r="F648" s="11"/>
      <c r="G648" s="12"/>
      <c r="H648" s="11"/>
      <c r="I648" s="12"/>
      <c r="J648" s="11">
        <v>4000</v>
      </c>
      <c r="K648" s="12" t="s">
        <v>12</v>
      </c>
      <c r="L648" s="11"/>
      <c r="M648" s="12"/>
    </row>
    <row r="649" spans="1:13" x14ac:dyDescent="0.25">
      <c r="A649" s="1">
        <v>646</v>
      </c>
      <c r="B649" s="7" t="str">
        <f t="shared" si="82"/>
        <v>Вс</v>
      </c>
      <c r="C649" s="8">
        <v>45872</v>
      </c>
      <c r="D649" s="9"/>
      <c r="E649" s="10"/>
      <c r="F649" s="11"/>
      <c r="G649" s="12"/>
      <c r="H649" s="11"/>
      <c r="I649" s="12"/>
      <c r="J649" s="11"/>
      <c r="K649" s="12"/>
      <c r="L649" s="11">
        <v>4300</v>
      </c>
      <c r="M649" s="12" t="s">
        <v>12</v>
      </c>
    </row>
    <row r="650" spans="1:13" x14ac:dyDescent="0.25">
      <c r="A650" s="1">
        <v>647</v>
      </c>
      <c r="B650" s="7" t="str">
        <f t="shared" si="82"/>
        <v>Пн</v>
      </c>
      <c r="C650" s="8">
        <v>45873</v>
      </c>
      <c r="D650" s="9"/>
      <c r="E650" s="10"/>
      <c r="F650" s="11"/>
      <c r="G650" s="12"/>
      <c r="H650" s="11"/>
      <c r="I650" s="12"/>
      <c r="J650" s="11"/>
      <c r="K650" s="12"/>
      <c r="L650" s="11"/>
      <c r="M650" s="12"/>
    </row>
    <row r="651" spans="1:13" x14ac:dyDescent="0.25">
      <c r="A651" s="1">
        <v>648</v>
      </c>
      <c r="B651" s="7" t="str">
        <f t="shared" si="82"/>
        <v>Вт</v>
      </c>
      <c r="C651" s="8">
        <v>45874</v>
      </c>
      <c r="D651" s="9">
        <v>3900</v>
      </c>
      <c r="E651" s="10" t="s">
        <v>12</v>
      </c>
      <c r="F651" s="11">
        <v>6200</v>
      </c>
      <c r="G651" s="12" t="s">
        <v>12</v>
      </c>
      <c r="H651" s="11">
        <f>2900+10800</f>
        <v>13700</v>
      </c>
      <c r="I651" s="12" t="s">
        <v>12</v>
      </c>
      <c r="J651" s="11">
        <v>14200</v>
      </c>
      <c r="K651" s="12" t="s">
        <v>12</v>
      </c>
      <c r="L651" s="11"/>
      <c r="M651" s="12"/>
    </row>
    <row r="652" spans="1:13" x14ac:dyDescent="0.25">
      <c r="A652" s="1">
        <v>649</v>
      </c>
      <c r="B652" s="7" t="str">
        <f t="shared" ref="B652:B657" si="83">IF(C652&lt;&gt;"",TEXT(C652,"ДДД"),"")</f>
        <v>Ср</v>
      </c>
      <c r="C652" s="8">
        <v>45875</v>
      </c>
      <c r="D652" s="9"/>
      <c r="E652" s="10"/>
      <c r="F652" s="11"/>
      <c r="G652" s="12"/>
      <c r="H652" s="11"/>
      <c r="I652" s="12"/>
      <c r="J652" s="11"/>
      <c r="K652" s="12"/>
      <c r="L652" s="11"/>
      <c r="M652" s="12"/>
    </row>
    <row r="653" spans="1:13" x14ac:dyDescent="0.25">
      <c r="A653" s="1">
        <v>650</v>
      </c>
      <c r="B653" s="7" t="str">
        <f t="shared" si="83"/>
        <v>Чт</v>
      </c>
      <c r="C653" s="8">
        <v>45876</v>
      </c>
      <c r="D653" s="9">
        <v>3600</v>
      </c>
      <c r="E653" s="10" t="s">
        <v>12</v>
      </c>
      <c r="F653" s="11">
        <v>3200</v>
      </c>
      <c r="G653" s="12" t="s">
        <v>12</v>
      </c>
      <c r="H653" s="11">
        <f>6700+12500</f>
        <v>19200</v>
      </c>
      <c r="I653" s="12" t="s">
        <v>12</v>
      </c>
      <c r="J653" s="11">
        <v>10600</v>
      </c>
      <c r="K653" s="12" t="s">
        <v>12</v>
      </c>
      <c r="L653" s="11"/>
      <c r="M653" s="12"/>
    </row>
    <row r="654" spans="1:13" x14ac:dyDescent="0.25">
      <c r="A654" s="1">
        <v>651</v>
      </c>
      <c r="B654" s="7" t="str">
        <f t="shared" ref="B654" si="84">IF(C654&lt;&gt;"",TEXT(C654,"ДДД"),"")</f>
        <v>Чт</v>
      </c>
      <c r="C654" s="8">
        <v>45876</v>
      </c>
      <c r="D654" s="9">
        <v>10400</v>
      </c>
      <c r="E654" s="10" t="s">
        <v>11</v>
      </c>
      <c r="F654" s="11">
        <f>1400+1000</f>
        <v>2400</v>
      </c>
      <c r="G654" s="12" t="s">
        <v>11</v>
      </c>
      <c r="H654" s="11">
        <v>3700</v>
      </c>
      <c r="I654" s="12" t="s">
        <v>11</v>
      </c>
      <c r="J654" s="11">
        <f>3100+4600</f>
        <v>7700</v>
      </c>
      <c r="K654" s="12" t="s">
        <v>11</v>
      </c>
      <c r="L654" s="11"/>
      <c r="M654" s="12"/>
    </row>
    <row r="655" spans="1:13" x14ac:dyDescent="0.25">
      <c r="A655" s="1">
        <v>652</v>
      </c>
      <c r="B655" s="7" t="str">
        <f t="shared" si="83"/>
        <v>Пт</v>
      </c>
      <c r="C655" s="8">
        <v>45877</v>
      </c>
      <c r="D655" s="9"/>
      <c r="E655" s="10"/>
      <c r="F655" s="11"/>
      <c r="G655" s="12"/>
      <c r="H655" s="11"/>
      <c r="I655" s="12"/>
      <c r="J655" s="11"/>
      <c r="K655" s="12"/>
      <c r="L655" s="11"/>
      <c r="M655" s="12"/>
    </row>
    <row r="656" spans="1:13" x14ac:dyDescent="0.25">
      <c r="A656" s="1">
        <v>653</v>
      </c>
      <c r="B656" s="7" t="str">
        <f t="shared" si="83"/>
        <v>Сб</v>
      </c>
      <c r="C656" s="8">
        <v>45878</v>
      </c>
      <c r="D656" s="9"/>
      <c r="E656" s="10"/>
      <c r="F656" s="11"/>
      <c r="G656" s="12"/>
      <c r="H656" s="11"/>
      <c r="I656" s="12"/>
      <c r="J656" s="11"/>
      <c r="K656" s="12"/>
      <c r="L656" s="11"/>
      <c r="M656" s="12"/>
    </row>
    <row r="657" spans="1:13" x14ac:dyDescent="0.25">
      <c r="A657" s="1">
        <v>654</v>
      </c>
      <c r="B657" s="7" t="str">
        <f t="shared" si="83"/>
        <v>Вс</v>
      </c>
      <c r="C657" s="8">
        <v>45879</v>
      </c>
      <c r="D657" s="9"/>
      <c r="E657" s="10"/>
      <c r="F657" s="11"/>
      <c r="G657" s="12"/>
      <c r="H657" s="11"/>
      <c r="I657" s="12"/>
      <c r="J657" s="11"/>
      <c r="K657" s="12"/>
      <c r="L657" s="11">
        <v>5700</v>
      </c>
      <c r="M657" s="12" t="s">
        <v>12</v>
      </c>
    </row>
    <row r="658" spans="1:13" x14ac:dyDescent="0.25">
      <c r="A658" s="1">
        <v>655</v>
      </c>
      <c r="B658" s="7" t="str">
        <f t="shared" ref="B658:B661" si="85">IF(C658&lt;&gt;"",TEXT(C658,"ДДД"),"")</f>
        <v>Пн</v>
      </c>
      <c r="C658" s="8">
        <v>45880</v>
      </c>
      <c r="D658" s="9"/>
      <c r="E658" s="10"/>
      <c r="F658" s="11"/>
      <c r="G658" s="12"/>
      <c r="H658" s="11"/>
      <c r="I658" s="12"/>
      <c r="J658" s="11"/>
      <c r="K658" s="12"/>
      <c r="L658" s="11"/>
      <c r="M658" s="12"/>
    </row>
    <row r="659" spans="1:13" x14ac:dyDescent="0.25">
      <c r="A659" s="1">
        <v>656</v>
      </c>
      <c r="B659" s="7" t="str">
        <f t="shared" si="85"/>
        <v>Вт</v>
      </c>
      <c r="C659" s="8">
        <v>45881</v>
      </c>
      <c r="D659" s="9">
        <v>6200</v>
      </c>
      <c r="E659" s="10" t="s">
        <v>12</v>
      </c>
      <c r="F659" s="11">
        <v>3500</v>
      </c>
      <c r="G659" s="12" t="s">
        <v>12</v>
      </c>
      <c r="H659" s="11">
        <v>10700</v>
      </c>
      <c r="I659" s="12" t="s">
        <v>12</v>
      </c>
      <c r="J659" s="11">
        <v>15300</v>
      </c>
      <c r="K659" s="12" t="s">
        <v>12</v>
      </c>
      <c r="L659" s="11"/>
      <c r="M659" s="12"/>
    </row>
    <row r="660" spans="1:13" x14ac:dyDescent="0.25">
      <c r="A660" s="1">
        <v>657</v>
      </c>
      <c r="B660" s="7" t="str">
        <f t="shared" si="85"/>
        <v>Ср</v>
      </c>
      <c r="C660" s="8">
        <v>45882</v>
      </c>
      <c r="D660" s="9"/>
      <c r="E660" s="10"/>
      <c r="F660" s="11"/>
      <c r="G660" s="12"/>
      <c r="H660" s="11"/>
      <c r="I660" s="12"/>
      <c r="J660" s="11"/>
      <c r="K660" s="12"/>
      <c r="L660" s="11"/>
      <c r="M660" s="12"/>
    </row>
    <row r="661" spans="1:13" x14ac:dyDescent="0.25">
      <c r="A661" s="1">
        <v>658</v>
      </c>
      <c r="B661" s="7" t="str">
        <f t="shared" si="85"/>
        <v>Чт</v>
      </c>
      <c r="C661" s="8">
        <v>45883</v>
      </c>
      <c r="D661" s="9">
        <v>1800</v>
      </c>
      <c r="E661" s="10" t="s">
        <v>12</v>
      </c>
      <c r="F661" s="11">
        <v>2100</v>
      </c>
      <c r="G661" s="10" t="s">
        <v>12</v>
      </c>
      <c r="H661" s="11">
        <v>8500</v>
      </c>
      <c r="I661" s="10" t="s">
        <v>12</v>
      </c>
      <c r="J661" s="11">
        <v>11000</v>
      </c>
      <c r="K661" s="10" t="s">
        <v>12</v>
      </c>
      <c r="L661" s="11"/>
      <c r="M661" s="12"/>
    </row>
    <row r="662" spans="1:13" x14ac:dyDescent="0.25">
      <c r="A662" s="1">
        <v>659</v>
      </c>
      <c r="B662" s="7" t="str">
        <f t="shared" ref="B662" si="86">IF(C662&lt;&gt;"",TEXT(C662,"ДДД"),"")</f>
        <v>Чт</v>
      </c>
      <c r="C662" s="8">
        <v>45883</v>
      </c>
      <c r="D662" s="9">
        <f>7000+1000</f>
        <v>8000</v>
      </c>
      <c r="E662" s="12" t="s">
        <v>11</v>
      </c>
      <c r="F662" s="11">
        <v>6800</v>
      </c>
      <c r="G662" s="12" t="s">
        <v>11</v>
      </c>
      <c r="H662" s="11">
        <f>3600</f>
        <v>3600</v>
      </c>
      <c r="I662" s="12" t="s">
        <v>11</v>
      </c>
      <c r="J662" s="11">
        <f>2900+4000</f>
        <v>6900</v>
      </c>
      <c r="K662" s="12" t="s">
        <v>11</v>
      </c>
      <c r="L662" s="11"/>
      <c r="M662" s="12"/>
    </row>
    <row r="663" spans="1:13" x14ac:dyDescent="0.25">
      <c r="A663" s="1">
        <v>660</v>
      </c>
      <c r="B663" s="7" t="str">
        <f t="shared" ref="B663:B671" si="87">IF(C663&lt;&gt;"",TEXT(C663,"ДДД"),"")</f>
        <v>Пт</v>
      </c>
      <c r="C663" s="8">
        <v>45884</v>
      </c>
      <c r="D663" s="9"/>
      <c r="E663" s="10"/>
      <c r="F663" s="11"/>
      <c r="G663" s="12"/>
      <c r="H663" s="11"/>
      <c r="I663" s="12"/>
      <c r="J663" s="11"/>
      <c r="K663" s="12"/>
      <c r="L663" s="11"/>
      <c r="M663" s="12"/>
    </row>
    <row r="664" spans="1:13" x14ac:dyDescent="0.25">
      <c r="A664" s="1">
        <v>661</v>
      </c>
      <c r="B664" s="7" t="str">
        <f t="shared" si="87"/>
        <v>Сб</v>
      </c>
      <c r="C664" s="8">
        <v>45885</v>
      </c>
      <c r="D664" s="9"/>
      <c r="E664" s="10"/>
      <c r="F664" s="11"/>
      <c r="G664" s="12"/>
      <c r="H664" s="11"/>
      <c r="I664" s="12"/>
      <c r="J664" s="11"/>
      <c r="K664" s="12"/>
      <c r="L664" s="11"/>
      <c r="M664" s="12"/>
    </row>
    <row r="665" spans="1:13" x14ac:dyDescent="0.25">
      <c r="A665" s="1">
        <v>662</v>
      </c>
      <c r="B665" s="7" t="str">
        <f t="shared" si="87"/>
        <v>Вс</v>
      </c>
      <c r="C665" s="8">
        <v>45886</v>
      </c>
      <c r="D665" s="9"/>
      <c r="E665" s="10"/>
      <c r="F665" s="11"/>
      <c r="G665" s="12"/>
      <c r="H665" s="11"/>
      <c r="I665" s="12"/>
      <c r="J665" s="11"/>
      <c r="K665" s="12"/>
      <c r="L665" s="11">
        <v>3700</v>
      </c>
      <c r="M665" s="12" t="s">
        <v>12</v>
      </c>
    </row>
    <row r="666" spans="1:13" x14ac:dyDescent="0.25">
      <c r="A666" s="1">
        <v>663</v>
      </c>
      <c r="B666" s="7" t="str">
        <f t="shared" si="87"/>
        <v>Пн</v>
      </c>
      <c r="C666" s="8">
        <v>45887</v>
      </c>
      <c r="D666" s="9"/>
      <c r="E666" s="10"/>
      <c r="F666" s="11"/>
      <c r="G666" s="12"/>
      <c r="H666" s="11"/>
      <c r="I666" s="12"/>
      <c r="J666" s="11"/>
      <c r="K666" s="12"/>
      <c r="L666" s="11"/>
      <c r="M666" s="12"/>
    </row>
    <row r="667" spans="1:13" x14ac:dyDescent="0.25">
      <c r="A667" s="1">
        <v>664</v>
      </c>
      <c r="B667" s="7" t="str">
        <f t="shared" si="87"/>
        <v>Вт</v>
      </c>
      <c r="C667" s="8">
        <v>45888</v>
      </c>
      <c r="D667" s="9">
        <v>3000</v>
      </c>
      <c r="E667" s="12" t="s">
        <v>12</v>
      </c>
      <c r="F667" s="11">
        <v>3400</v>
      </c>
      <c r="G667" s="12" t="s">
        <v>12</v>
      </c>
      <c r="H667" s="11">
        <v>17700</v>
      </c>
      <c r="I667" s="12" t="s">
        <v>12</v>
      </c>
      <c r="J667" s="11">
        <v>15400</v>
      </c>
      <c r="K667" s="12" t="s">
        <v>12</v>
      </c>
      <c r="L667" s="11"/>
      <c r="M667" s="12"/>
    </row>
    <row r="668" spans="1:13" x14ac:dyDescent="0.25">
      <c r="A668" s="1">
        <v>665</v>
      </c>
      <c r="B668" s="7" t="str">
        <f t="shared" si="87"/>
        <v>Ср</v>
      </c>
      <c r="C668" s="8">
        <v>45889</v>
      </c>
      <c r="D668" s="9"/>
      <c r="E668" s="10"/>
      <c r="F668" s="11"/>
      <c r="G668" s="12"/>
      <c r="H668" s="11"/>
      <c r="I668" s="12"/>
      <c r="J668" s="11"/>
      <c r="K668" s="12"/>
      <c r="L668" s="11"/>
      <c r="M668" s="12"/>
    </row>
    <row r="669" spans="1:13" x14ac:dyDescent="0.25">
      <c r="A669" s="1">
        <v>666</v>
      </c>
      <c r="B669" s="7" t="str">
        <f t="shared" si="87"/>
        <v>Чт</v>
      </c>
      <c r="C669" s="8">
        <v>45890</v>
      </c>
      <c r="D669" s="9">
        <v>2500</v>
      </c>
      <c r="E669" s="12" t="s">
        <v>12</v>
      </c>
      <c r="F669" s="11">
        <v>1900</v>
      </c>
      <c r="G669" s="12" t="s">
        <v>12</v>
      </c>
      <c r="H669" s="11">
        <f>6500+14600</f>
        <v>21100</v>
      </c>
      <c r="I669" s="12" t="s">
        <v>12</v>
      </c>
      <c r="J669" s="11">
        <f>2900+17500</f>
        <v>20400</v>
      </c>
      <c r="K669" s="12" t="s">
        <v>12</v>
      </c>
      <c r="L669" s="11"/>
      <c r="M669" s="12"/>
    </row>
    <row r="670" spans="1:13" x14ac:dyDescent="0.25">
      <c r="A670" s="1">
        <v>667</v>
      </c>
      <c r="B670" s="7" t="str">
        <f t="shared" ref="B670" si="88">IF(C670&lt;&gt;"",TEXT(C670,"ДДД"),"")</f>
        <v>Чт</v>
      </c>
      <c r="C670" s="8">
        <v>45890</v>
      </c>
      <c r="D670" s="9">
        <v>11600</v>
      </c>
      <c r="E670" s="12" t="s">
        <v>11</v>
      </c>
      <c r="F670" s="11">
        <v>8200</v>
      </c>
      <c r="G670" s="12" t="s">
        <v>11</v>
      </c>
      <c r="H670" s="11">
        <f>1600+2900</f>
        <v>4500</v>
      </c>
      <c r="I670" s="12" t="s">
        <v>11</v>
      </c>
      <c r="J670" s="11">
        <v>9400</v>
      </c>
      <c r="K670" s="12" t="s">
        <v>11</v>
      </c>
      <c r="L670" s="11"/>
      <c r="M670" s="12"/>
    </row>
    <row r="671" spans="1:13" x14ac:dyDescent="0.25">
      <c r="A671" s="1">
        <v>668</v>
      </c>
      <c r="B671" s="7" t="str">
        <f t="shared" si="87"/>
        <v>Пт</v>
      </c>
      <c r="C671" s="8">
        <v>45891</v>
      </c>
      <c r="D671" s="9"/>
      <c r="E671" s="10"/>
      <c r="F671" s="11"/>
      <c r="G671" s="12"/>
      <c r="H671" s="11"/>
      <c r="I671" s="12"/>
      <c r="J671" s="11"/>
      <c r="K671" s="12"/>
      <c r="L671" s="11"/>
      <c r="M671" s="12"/>
    </row>
    <row r="672" spans="1:13" x14ac:dyDescent="0.25">
      <c r="A672" s="1">
        <v>669</v>
      </c>
      <c r="B672" s="7" t="str">
        <f t="shared" ref="B672:B673" si="89">IF(C672&lt;&gt;"",TEXT(C672,"ДДД"),"")</f>
        <v>Сб</v>
      </c>
      <c r="C672" s="8">
        <v>45892</v>
      </c>
      <c r="D672" s="9"/>
      <c r="E672" s="10"/>
      <c r="F672" s="11"/>
      <c r="G672" s="12"/>
      <c r="H672" s="11"/>
      <c r="I672" s="12"/>
      <c r="J672" s="11"/>
      <c r="K672" s="12"/>
      <c r="L672" s="11"/>
      <c r="M672" s="12"/>
    </row>
    <row r="673" spans="1:13" x14ac:dyDescent="0.25">
      <c r="A673" s="1">
        <v>670</v>
      </c>
      <c r="B673" s="7" t="str">
        <f t="shared" si="89"/>
        <v>Вс</v>
      </c>
      <c r="C673" s="8">
        <v>45893</v>
      </c>
      <c r="D673" s="9"/>
      <c r="E673" s="10"/>
      <c r="F673" s="11"/>
      <c r="G673" s="12"/>
      <c r="H673" s="11"/>
      <c r="I673" s="12"/>
      <c r="J673" s="11"/>
      <c r="K673" s="12"/>
      <c r="L673" s="11">
        <v>4000</v>
      </c>
      <c r="M673" s="12" t="s">
        <v>12</v>
      </c>
    </row>
    <row r="674" spans="1:13" x14ac:dyDescent="0.25">
      <c r="A674" s="1">
        <v>671</v>
      </c>
      <c r="B674" s="7" t="str">
        <f t="shared" ref="B674:B677" si="90">IF(C674&lt;&gt;"",TEXT(C674,"ДДД"),"")</f>
        <v>Пн</v>
      </c>
      <c r="C674" s="8">
        <v>45894</v>
      </c>
      <c r="D674" s="9"/>
      <c r="E674" s="10"/>
      <c r="F674" s="11"/>
      <c r="G674" s="12"/>
      <c r="H674" s="11"/>
      <c r="I674" s="12"/>
      <c r="J674" s="11"/>
      <c r="K674" s="12"/>
      <c r="L674" s="11"/>
      <c r="M674" s="12"/>
    </row>
    <row r="675" spans="1:13" x14ac:dyDescent="0.25">
      <c r="A675" s="1">
        <v>672</v>
      </c>
      <c r="B675" s="7" t="str">
        <f t="shared" si="90"/>
        <v>Вт</v>
      </c>
      <c r="C675" s="8">
        <v>45895</v>
      </c>
      <c r="D675" s="9">
        <v>3900</v>
      </c>
      <c r="E675" s="12" t="s">
        <v>12</v>
      </c>
      <c r="F675" s="11">
        <v>5300</v>
      </c>
      <c r="G675" s="12" t="s">
        <v>12</v>
      </c>
      <c r="H675" s="11">
        <v>17100</v>
      </c>
      <c r="I675" s="12" t="s">
        <v>12</v>
      </c>
      <c r="J675" s="11">
        <v>12000</v>
      </c>
      <c r="K675" s="12" t="s">
        <v>12</v>
      </c>
      <c r="L675" s="11"/>
      <c r="M675" s="12"/>
    </row>
    <row r="676" spans="1:13" x14ac:dyDescent="0.25">
      <c r="A676" s="1">
        <v>673</v>
      </c>
      <c r="B676" s="7" t="str">
        <f t="shared" si="90"/>
        <v>Ср</v>
      </c>
      <c r="C676" s="8">
        <v>45896</v>
      </c>
      <c r="D676" s="9"/>
      <c r="E676" s="10"/>
      <c r="F676" s="11"/>
      <c r="G676" s="12"/>
      <c r="H676" s="11"/>
      <c r="I676" s="12"/>
      <c r="J676" s="11"/>
      <c r="K676" s="12"/>
      <c r="L676" s="11"/>
      <c r="M676" s="12"/>
    </row>
    <row r="677" spans="1:13" x14ac:dyDescent="0.25">
      <c r="A677" s="1">
        <v>674</v>
      </c>
      <c r="B677" s="7" t="str">
        <f t="shared" si="90"/>
        <v>Чт</v>
      </c>
      <c r="C677" s="8">
        <v>45897</v>
      </c>
      <c r="D677" s="9">
        <v>5600</v>
      </c>
      <c r="E677" s="12" t="s">
        <v>12</v>
      </c>
      <c r="F677" s="11">
        <v>3200</v>
      </c>
      <c r="G677" s="12" t="s">
        <v>12</v>
      </c>
      <c r="H677" s="11">
        <v>7000</v>
      </c>
      <c r="I677" s="12" t="s">
        <v>12</v>
      </c>
      <c r="J677" s="11">
        <v>10600</v>
      </c>
      <c r="K677" s="12" t="s">
        <v>12</v>
      </c>
      <c r="L677" s="11"/>
      <c r="M677" s="12"/>
    </row>
    <row r="678" spans="1:13" x14ac:dyDescent="0.25">
      <c r="A678" s="1">
        <v>675</v>
      </c>
      <c r="B678" s="7" t="str">
        <f t="shared" ref="B678" si="91">IF(C678&lt;&gt;"",TEXT(C678,"ДДД"),"")</f>
        <v>Чт</v>
      </c>
      <c r="C678" s="8">
        <v>45897</v>
      </c>
      <c r="D678" s="9">
        <v>9300</v>
      </c>
      <c r="E678" s="12" t="s">
        <v>11</v>
      </c>
      <c r="F678" s="11">
        <v>6100</v>
      </c>
      <c r="G678" s="12" t="s">
        <v>11</v>
      </c>
      <c r="H678" s="11">
        <v>4800</v>
      </c>
      <c r="I678" s="12" t="s">
        <v>11</v>
      </c>
      <c r="J678" s="11">
        <v>6800</v>
      </c>
      <c r="K678" s="12" t="s">
        <v>11</v>
      </c>
      <c r="L678" s="11"/>
      <c r="M678" s="12"/>
    </row>
    <row r="679" spans="1:13" x14ac:dyDescent="0.25">
      <c r="A679" s="1">
        <v>676</v>
      </c>
      <c r="B679" s="7" t="str">
        <f t="shared" ref="B679:B683" si="92">IF(C679&lt;&gt;"",TEXT(C679,"ДДД"),"")</f>
        <v>Пт</v>
      </c>
      <c r="C679" s="8">
        <v>45898</v>
      </c>
      <c r="D679" s="9"/>
      <c r="E679" s="10"/>
      <c r="F679" s="11"/>
      <c r="G679" s="12"/>
      <c r="H679" s="11"/>
      <c r="I679" s="12"/>
      <c r="J679" s="11"/>
      <c r="K679" s="12"/>
      <c r="L679" s="11"/>
      <c r="M679" s="12"/>
    </row>
    <row r="680" spans="1:13" x14ac:dyDescent="0.25">
      <c r="A680" s="1">
        <v>677</v>
      </c>
      <c r="B680" s="7" t="str">
        <f t="shared" si="92"/>
        <v>Сб</v>
      </c>
      <c r="C680" s="8">
        <v>45899</v>
      </c>
      <c r="D680" s="9"/>
      <c r="E680" s="10"/>
      <c r="F680" s="11"/>
      <c r="G680" s="12"/>
      <c r="H680" s="11"/>
      <c r="I680" s="12"/>
      <c r="J680" s="11"/>
      <c r="K680" s="12"/>
      <c r="L680" s="11"/>
      <c r="M680" s="12"/>
    </row>
    <row r="681" spans="1:13" x14ac:dyDescent="0.25">
      <c r="A681" s="1">
        <v>678</v>
      </c>
      <c r="B681" s="7" t="str">
        <f t="shared" si="92"/>
        <v>Вс</v>
      </c>
      <c r="C681" s="8">
        <v>45900</v>
      </c>
      <c r="D681" s="9"/>
      <c r="E681" s="10"/>
      <c r="F681" s="11"/>
      <c r="G681" s="12"/>
      <c r="H681" s="11"/>
      <c r="I681" s="12"/>
      <c r="J681" s="11"/>
      <c r="K681" s="12"/>
      <c r="L681" s="11"/>
      <c r="M681" s="12"/>
    </row>
    <row r="682" spans="1:13" x14ac:dyDescent="0.25">
      <c r="A682" s="1">
        <v>679</v>
      </c>
      <c r="B682" s="7" t="str">
        <f t="shared" si="92"/>
        <v>Пн</v>
      </c>
      <c r="C682" s="8">
        <v>45901</v>
      </c>
      <c r="D682" s="9"/>
      <c r="E682" s="10"/>
      <c r="F682" s="11"/>
      <c r="G682" s="12"/>
      <c r="H682" s="11"/>
      <c r="I682" s="12"/>
      <c r="J682" s="11"/>
      <c r="K682" s="12"/>
      <c r="L682" s="11"/>
      <c r="M682" s="12"/>
    </row>
    <row r="683" spans="1:13" x14ac:dyDescent="0.25">
      <c r="A683" s="1">
        <v>680</v>
      </c>
      <c r="B683" s="7" t="str">
        <f t="shared" si="92"/>
        <v>Вт</v>
      </c>
      <c r="C683" s="8">
        <v>45902</v>
      </c>
      <c r="D683" s="9">
        <v>4600</v>
      </c>
      <c r="E683" s="12" t="s">
        <v>12</v>
      </c>
      <c r="F683" s="11">
        <f>2700+1600</f>
        <v>4300</v>
      </c>
      <c r="G683" s="12" t="s">
        <v>12</v>
      </c>
      <c r="H683" s="11">
        <f>15400+11000</f>
        <v>26400</v>
      </c>
      <c r="I683" s="12" t="s">
        <v>12</v>
      </c>
      <c r="J683" s="11">
        <f>6000+15400</f>
        <v>21400</v>
      </c>
      <c r="K683" s="12" t="s">
        <v>12</v>
      </c>
      <c r="L683" s="11"/>
      <c r="M683" s="12"/>
    </row>
    <row r="684" spans="1:13" x14ac:dyDescent="0.25">
      <c r="A684" s="1">
        <v>681</v>
      </c>
      <c r="B684" s="7" t="str">
        <f t="shared" ref="B684:B696" si="93">IF(C684&lt;&gt;"",TEXT(C684,"ДДД"),"")</f>
        <v>Ср</v>
      </c>
      <c r="C684" s="8">
        <v>45903</v>
      </c>
      <c r="D684" s="9"/>
      <c r="E684" s="10"/>
      <c r="F684" s="11">
        <v>700</v>
      </c>
      <c r="G684" s="12" t="s">
        <v>12</v>
      </c>
      <c r="H684" s="11">
        <v>11900</v>
      </c>
      <c r="I684" s="12" t="s">
        <v>12</v>
      </c>
      <c r="J684" s="11"/>
      <c r="K684" s="12"/>
    </row>
    <row r="685" spans="1:13" x14ac:dyDescent="0.25">
      <c r="A685" s="1">
        <v>682</v>
      </c>
      <c r="B685" s="7" t="str">
        <f t="shared" si="93"/>
        <v>Чт</v>
      </c>
      <c r="C685" s="8">
        <v>45904</v>
      </c>
      <c r="D685" s="9">
        <v>1000</v>
      </c>
      <c r="E685" s="12" t="s">
        <v>12</v>
      </c>
      <c r="F685" s="11"/>
      <c r="G685" s="12"/>
      <c r="H685" s="11"/>
      <c r="I685" s="12"/>
      <c r="J685" s="11">
        <v>10400</v>
      </c>
      <c r="K685" s="12" t="s">
        <v>12</v>
      </c>
    </row>
    <row r="686" spans="1:13" x14ac:dyDescent="0.25">
      <c r="A686" s="1">
        <v>683</v>
      </c>
      <c r="B686" s="7" t="str">
        <f t="shared" ref="B686" si="94">IF(C686&lt;&gt;"",TEXT(C686,"ДДД"),"")</f>
        <v>Чт</v>
      </c>
      <c r="C686" s="8">
        <v>45904</v>
      </c>
      <c r="D686" s="9">
        <v>5400</v>
      </c>
      <c r="E686" s="12" t="s">
        <v>11</v>
      </c>
      <c r="F686" s="11">
        <v>4000</v>
      </c>
      <c r="G686" s="12" t="s">
        <v>11</v>
      </c>
      <c r="H686" s="11">
        <v>4200</v>
      </c>
      <c r="I686" s="12" t="s">
        <v>11</v>
      </c>
      <c r="J686" s="11">
        <f>2700+2800</f>
        <v>5500</v>
      </c>
      <c r="K686" s="12" t="s">
        <v>11</v>
      </c>
    </row>
    <row r="687" spans="1:13" x14ac:dyDescent="0.25">
      <c r="A687" s="1">
        <v>684</v>
      </c>
      <c r="B687" s="7" t="str">
        <f t="shared" si="93"/>
        <v>Пт</v>
      </c>
      <c r="C687" s="8">
        <v>45905</v>
      </c>
      <c r="D687" s="9"/>
      <c r="E687" s="10"/>
      <c r="F687" s="11"/>
      <c r="G687" s="12"/>
      <c r="H687" s="11"/>
      <c r="I687" s="12"/>
      <c r="J687" s="11"/>
      <c r="K687" s="12"/>
    </row>
    <row r="688" spans="1:13" x14ac:dyDescent="0.25">
      <c r="A688" s="1">
        <v>685</v>
      </c>
      <c r="B688" s="7" t="str">
        <f t="shared" si="93"/>
        <v>Сб</v>
      </c>
      <c r="C688" s="8">
        <v>45906</v>
      </c>
      <c r="D688" s="9"/>
      <c r="E688" s="10"/>
      <c r="F688" s="11"/>
      <c r="G688" s="12"/>
      <c r="H688" s="11"/>
      <c r="I688" s="12"/>
      <c r="J688" s="11"/>
      <c r="K688" s="12"/>
    </row>
    <row r="689" spans="1:11" x14ac:dyDescent="0.25">
      <c r="A689" s="1">
        <v>686</v>
      </c>
      <c r="B689" s="7" t="str">
        <f t="shared" si="93"/>
        <v>Вс</v>
      </c>
      <c r="C689" s="8">
        <v>45907</v>
      </c>
      <c r="D689" s="9"/>
      <c r="E689" s="10"/>
      <c r="F689" s="11"/>
      <c r="G689" s="12"/>
      <c r="H689" s="11"/>
      <c r="I689" s="12"/>
      <c r="J689" s="11"/>
      <c r="K689" s="12"/>
    </row>
    <row r="690" spans="1:11" x14ac:dyDescent="0.25">
      <c r="A690" s="1">
        <v>687</v>
      </c>
      <c r="B690" s="7" t="str">
        <f t="shared" si="93"/>
        <v>Пн</v>
      </c>
      <c r="C690" s="8">
        <v>45908</v>
      </c>
      <c r="D690" s="9"/>
      <c r="E690" s="10"/>
      <c r="F690" s="11"/>
      <c r="G690" s="12"/>
      <c r="H690" s="11"/>
      <c r="I690" s="12"/>
      <c r="J690" s="11"/>
      <c r="K690" s="12"/>
    </row>
    <row r="691" spans="1:11" x14ac:dyDescent="0.25">
      <c r="A691" s="1">
        <v>688</v>
      </c>
      <c r="B691" s="7" t="str">
        <f t="shared" si="93"/>
        <v>Вт</v>
      </c>
      <c r="C691" s="8">
        <v>45909</v>
      </c>
      <c r="D691" s="9">
        <v>2100</v>
      </c>
      <c r="E691" s="12" t="s">
        <v>12</v>
      </c>
      <c r="F691" s="11">
        <v>5000</v>
      </c>
      <c r="G691" s="12" t="s">
        <v>12</v>
      </c>
      <c r="H691" s="11">
        <f>15900+2200</f>
        <v>18100</v>
      </c>
      <c r="I691" s="12" t="s">
        <v>12</v>
      </c>
      <c r="J691" s="11">
        <f>17700+7400</f>
        <v>25100</v>
      </c>
      <c r="K691" s="12" t="s">
        <v>12</v>
      </c>
    </row>
    <row r="692" spans="1:11" x14ac:dyDescent="0.25">
      <c r="A692" s="1">
        <v>689</v>
      </c>
      <c r="B692" s="7" t="str">
        <f t="shared" si="93"/>
        <v>Ср</v>
      </c>
      <c r="C692" s="8">
        <v>45910</v>
      </c>
      <c r="D692" s="9"/>
      <c r="E692" s="10"/>
      <c r="F692" s="11"/>
      <c r="G692" s="12"/>
      <c r="H692" s="11"/>
      <c r="I692" s="12"/>
      <c r="J692" s="11"/>
      <c r="K692" s="12"/>
    </row>
    <row r="693" spans="1:11" x14ac:dyDescent="0.25">
      <c r="A693" s="1">
        <v>690</v>
      </c>
      <c r="B693" s="7" t="str">
        <f t="shared" si="93"/>
        <v>Чт</v>
      </c>
      <c r="C693" s="8">
        <v>45911</v>
      </c>
      <c r="D693" s="9">
        <v>3500</v>
      </c>
      <c r="E693" s="12" t="s">
        <v>12</v>
      </c>
      <c r="F693" s="11">
        <v>5900</v>
      </c>
      <c r="G693" s="12" t="s">
        <v>12</v>
      </c>
      <c r="H693" s="11">
        <f>6200+7600</f>
        <v>13800</v>
      </c>
      <c r="I693" s="12" t="s">
        <v>12</v>
      </c>
      <c r="J693" s="11">
        <v>5500</v>
      </c>
      <c r="K693" s="12" t="s">
        <v>12</v>
      </c>
    </row>
    <row r="694" spans="1:11" x14ac:dyDescent="0.25">
      <c r="A694" s="1">
        <v>691</v>
      </c>
      <c r="B694" s="7" t="str">
        <f t="shared" ref="B694" si="95">IF(C694&lt;&gt;"",TEXT(C694,"ДДД"),"")</f>
        <v>Чт</v>
      </c>
      <c r="C694" s="8">
        <v>45911</v>
      </c>
      <c r="D694" s="9">
        <f>11800+3200</f>
        <v>15000</v>
      </c>
      <c r="E694" s="12" t="s">
        <v>11</v>
      </c>
      <c r="F694" s="11">
        <v>4900</v>
      </c>
      <c r="G694" s="12" t="s">
        <v>11</v>
      </c>
      <c r="H694" s="11">
        <v>5300</v>
      </c>
      <c r="I694" s="12" t="s">
        <v>11</v>
      </c>
      <c r="J694" s="11">
        <v>8600</v>
      </c>
      <c r="K694" s="12" t="s">
        <v>11</v>
      </c>
    </row>
    <row r="695" spans="1:11" x14ac:dyDescent="0.25">
      <c r="A695" s="1">
        <v>692</v>
      </c>
      <c r="B695" s="7" t="str">
        <f t="shared" si="93"/>
        <v>Пт</v>
      </c>
      <c r="C695" s="8">
        <v>45912</v>
      </c>
      <c r="D695" s="9"/>
      <c r="E695" s="10"/>
      <c r="F695" s="11"/>
      <c r="G695" s="12"/>
      <c r="H695" s="11"/>
      <c r="I695" s="12"/>
      <c r="J695" s="11"/>
      <c r="K695" s="12"/>
    </row>
    <row r="696" spans="1:11" x14ac:dyDescent="0.25">
      <c r="A696" s="1">
        <v>693</v>
      </c>
      <c r="B696" s="7" t="str">
        <f t="shared" si="93"/>
        <v>Сб</v>
      </c>
      <c r="C696" s="8">
        <v>45913</v>
      </c>
      <c r="D696" s="9"/>
      <c r="E696" s="10"/>
      <c r="F696" s="11"/>
      <c r="G696" s="12"/>
      <c r="H696" s="11"/>
      <c r="I696" s="12"/>
      <c r="J696" s="11"/>
      <c r="K696" s="12"/>
    </row>
    <row r="697" spans="1:11" x14ac:dyDescent="0.25">
      <c r="A697" s="1">
        <v>694</v>
      </c>
      <c r="B697" s="7" t="str">
        <f t="shared" ref="B697:B703" si="96">IF(C697&lt;&gt;"",TEXT(C697,"ДДД"),"")</f>
        <v>Вс</v>
      </c>
      <c r="C697" s="8">
        <v>45914</v>
      </c>
      <c r="D697" s="9"/>
      <c r="E697" s="10"/>
      <c r="F697" s="11"/>
      <c r="G697" s="12"/>
      <c r="H697" s="11"/>
      <c r="I697" s="12"/>
      <c r="J697" s="11"/>
      <c r="K697" s="12"/>
    </row>
    <row r="698" spans="1:11" x14ac:dyDescent="0.25">
      <c r="A698" s="1">
        <v>695</v>
      </c>
      <c r="B698" s="7" t="str">
        <f t="shared" si="96"/>
        <v>Пн</v>
      </c>
      <c r="C698" s="8">
        <v>45915</v>
      </c>
      <c r="D698" s="9"/>
      <c r="E698" s="10"/>
      <c r="F698" s="11"/>
      <c r="G698" s="12"/>
      <c r="H698" s="11"/>
      <c r="I698" s="12"/>
      <c r="J698" s="11"/>
      <c r="K698" s="12"/>
    </row>
    <row r="699" spans="1:11" x14ac:dyDescent="0.25">
      <c r="A699" s="1">
        <v>696</v>
      </c>
      <c r="B699" s="7" t="str">
        <f t="shared" si="96"/>
        <v>Вт</v>
      </c>
      <c r="C699" s="8">
        <v>45916</v>
      </c>
      <c r="D699" s="9">
        <v>7000</v>
      </c>
      <c r="E699" s="10" t="s">
        <v>12</v>
      </c>
      <c r="F699" s="11">
        <v>2300</v>
      </c>
      <c r="G699" s="10" t="s">
        <v>12</v>
      </c>
      <c r="H699" s="11">
        <f>15700+10000</f>
        <v>25700</v>
      </c>
      <c r="I699" s="10" t="s">
        <v>12</v>
      </c>
      <c r="J699" s="11">
        <f>5800+10800</f>
        <v>16600</v>
      </c>
      <c r="K699" s="10" t="s">
        <v>12</v>
      </c>
    </row>
    <row r="700" spans="1:11" x14ac:dyDescent="0.25">
      <c r="A700" s="1">
        <v>697</v>
      </c>
      <c r="B700" s="7" t="str">
        <f t="shared" si="96"/>
        <v>Ср</v>
      </c>
      <c r="C700" s="8">
        <v>45917</v>
      </c>
      <c r="D700" s="9"/>
      <c r="E700" s="10"/>
      <c r="F700" s="11"/>
      <c r="G700" s="12"/>
      <c r="H700" s="11"/>
      <c r="I700" s="12"/>
      <c r="J700" s="11"/>
      <c r="K700" s="12"/>
    </row>
    <row r="701" spans="1:11" x14ac:dyDescent="0.25">
      <c r="A701" s="1">
        <v>698</v>
      </c>
      <c r="B701" s="7" t="str">
        <f t="shared" si="96"/>
        <v>Чт</v>
      </c>
      <c r="C701" s="8">
        <v>45918</v>
      </c>
      <c r="D701" s="9">
        <v>3000</v>
      </c>
      <c r="E701" s="10" t="s">
        <v>12</v>
      </c>
      <c r="F701" s="11">
        <v>2300</v>
      </c>
      <c r="G701" s="10" t="s">
        <v>12</v>
      </c>
      <c r="H701" s="11">
        <v>9100</v>
      </c>
      <c r="I701" s="10" t="s">
        <v>12</v>
      </c>
      <c r="J701" s="11">
        <v>10200</v>
      </c>
      <c r="K701" s="10" t="s">
        <v>12</v>
      </c>
    </row>
    <row r="702" spans="1:11" x14ac:dyDescent="0.25">
      <c r="A702" s="1">
        <v>699</v>
      </c>
      <c r="B702" s="7" t="str">
        <f t="shared" ref="B702" si="97">IF(C702&lt;&gt;"",TEXT(C702,"ДДД"),"")</f>
        <v>Чт</v>
      </c>
      <c r="C702" s="8">
        <v>45918</v>
      </c>
      <c r="D702" s="9">
        <v>5900</v>
      </c>
      <c r="E702" s="12" t="s">
        <v>11</v>
      </c>
      <c r="F702" s="11">
        <v>7100</v>
      </c>
      <c r="G702" s="12" t="s">
        <v>11</v>
      </c>
      <c r="H702" s="11">
        <v>3600</v>
      </c>
      <c r="I702" s="12" t="s">
        <v>11</v>
      </c>
      <c r="J702" s="11">
        <v>8500</v>
      </c>
      <c r="K702" s="12" t="s">
        <v>11</v>
      </c>
    </row>
    <row r="703" spans="1:11" x14ac:dyDescent="0.25">
      <c r="A703" s="1">
        <v>700</v>
      </c>
      <c r="B703" s="7" t="str">
        <f t="shared" si="96"/>
        <v>Пт</v>
      </c>
      <c r="C703" s="8">
        <v>45919</v>
      </c>
      <c r="D703" s="9"/>
      <c r="E703" s="10"/>
      <c r="F703" s="11"/>
      <c r="G703" s="12"/>
      <c r="H703" s="11"/>
      <c r="I703" s="12"/>
      <c r="J703" s="11"/>
      <c r="K703" s="12"/>
    </row>
    <row r="704" spans="1:11" x14ac:dyDescent="0.25">
      <c r="A704" s="1">
        <v>701</v>
      </c>
      <c r="B704" s="7" t="str">
        <f t="shared" ref="B704:B708" si="98">IF(C704&lt;&gt;"",TEXT(C704,"ДДД"),"")</f>
        <v>Сб</v>
      </c>
      <c r="C704" s="8">
        <v>45920</v>
      </c>
      <c r="D704" s="9"/>
      <c r="E704" s="10"/>
      <c r="F704" s="11"/>
      <c r="G704" s="12"/>
      <c r="H704" s="11"/>
      <c r="I704" s="12"/>
      <c r="J704" s="11"/>
      <c r="K704" s="12"/>
    </row>
    <row r="705" spans="1:11" x14ac:dyDescent="0.25">
      <c r="A705" s="1">
        <v>702</v>
      </c>
      <c r="B705" s="7" t="str">
        <f t="shared" si="98"/>
        <v>Вс</v>
      </c>
      <c r="C705" s="8">
        <v>45921</v>
      </c>
      <c r="D705" s="9"/>
      <c r="E705" s="10"/>
      <c r="F705" s="11"/>
      <c r="G705" s="12"/>
      <c r="H705" s="11"/>
      <c r="I705" s="12"/>
      <c r="J705" s="11"/>
      <c r="K705" s="12"/>
    </row>
    <row r="706" spans="1:11" x14ac:dyDescent="0.25">
      <c r="A706" s="1">
        <v>703</v>
      </c>
      <c r="B706" s="7" t="str">
        <f t="shared" si="98"/>
        <v>Пн</v>
      </c>
      <c r="C706" s="8">
        <v>45922</v>
      </c>
      <c r="D706" s="9"/>
      <c r="E706" s="10"/>
      <c r="F706" s="11"/>
      <c r="G706" s="12"/>
      <c r="H706" s="11"/>
      <c r="I706" s="12"/>
      <c r="J706" s="11"/>
      <c r="K706" s="12"/>
    </row>
    <row r="707" spans="1:11" x14ac:dyDescent="0.25">
      <c r="A707" s="1">
        <v>704</v>
      </c>
      <c r="B707" s="7" t="str">
        <f t="shared" si="98"/>
        <v>Вт</v>
      </c>
      <c r="C707" s="8">
        <v>45923</v>
      </c>
      <c r="D707" s="9">
        <v>3200</v>
      </c>
      <c r="E707" s="10" t="s">
        <v>12</v>
      </c>
      <c r="F707" s="11">
        <v>4200</v>
      </c>
      <c r="G707" s="10" t="s">
        <v>12</v>
      </c>
      <c r="H707" s="11">
        <v>18500</v>
      </c>
      <c r="I707" s="10" t="s">
        <v>12</v>
      </c>
      <c r="J707" s="11">
        <v>14600</v>
      </c>
      <c r="K707" s="10" t="s">
        <v>12</v>
      </c>
    </row>
    <row r="708" spans="1:11" x14ac:dyDescent="0.25">
      <c r="A708" s="1">
        <v>705</v>
      </c>
      <c r="B708" s="7" t="str">
        <f t="shared" si="98"/>
        <v>Ср</v>
      </c>
      <c r="C708" s="8">
        <v>45924</v>
      </c>
      <c r="D708" s="9"/>
      <c r="E708" s="10"/>
      <c r="F708" s="11"/>
      <c r="G708" s="12"/>
      <c r="H708" s="11"/>
      <c r="I708" s="12"/>
      <c r="J708" s="11"/>
      <c r="K708" s="12"/>
    </row>
    <row r="709" spans="1:11" x14ac:dyDescent="0.25">
      <c r="A709" s="1">
        <v>706</v>
      </c>
      <c r="B709" s="7" t="str">
        <f t="shared" ref="B709:B713" si="99">IF(C709&lt;&gt;"",TEXT(C709,"ДДД"),"")</f>
        <v>Чт</v>
      </c>
      <c r="C709" s="8">
        <v>45925</v>
      </c>
      <c r="D709" s="9">
        <v>4800</v>
      </c>
      <c r="E709" s="10" t="s">
        <v>12</v>
      </c>
      <c r="F709" s="11">
        <v>3700</v>
      </c>
      <c r="G709" s="10" t="s">
        <v>12</v>
      </c>
      <c r="H709" s="11">
        <f>4900+10800</f>
        <v>15700</v>
      </c>
      <c r="I709" s="10" t="s">
        <v>12</v>
      </c>
      <c r="J709" s="11">
        <f>9400+2600</f>
        <v>12000</v>
      </c>
      <c r="K709" s="10" t="s">
        <v>12</v>
      </c>
    </row>
    <row r="710" spans="1:11" x14ac:dyDescent="0.25">
      <c r="A710" s="1">
        <v>707</v>
      </c>
      <c r="B710" s="7" t="str">
        <f t="shared" ref="B710" si="100">IF(C710&lt;&gt;"",TEXT(C710,"ДДД"),"")</f>
        <v>Чт</v>
      </c>
      <c r="C710" s="8">
        <v>45925</v>
      </c>
      <c r="D710" s="9">
        <f>4900+4400</f>
        <v>9300</v>
      </c>
      <c r="E710" s="12" t="s">
        <v>11</v>
      </c>
      <c r="F710" s="11">
        <v>6700</v>
      </c>
      <c r="G710" s="12" t="s">
        <v>11</v>
      </c>
      <c r="H710" s="11">
        <v>5800</v>
      </c>
      <c r="I710" s="12" t="s">
        <v>11</v>
      </c>
      <c r="J710" s="11">
        <v>5800</v>
      </c>
      <c r="K710" s="12" t="s">
        <v>11</v>
      </c>
    </row>
    <row r="711" spans="1:11" x14ac:dyDescent="0.25">
      <c r="A711" s="1">
        <v>708</v>
      </c>
      <c r="B711" s="7" t="str">
        <f t="shared" si="99"/>
        <v>Пт</v>
      </c>
      <c r="C711" s="8">
        <v>45926</v>
      </c>
      <c r="D711" s="9"/>
      <c r="E711" s="10"/>
      <c r="F711" s="11"/>
      <c r="G711" s="12"/>
      <c r="H711" s="11"/>
      <c r="I711" s="12"/>
      <c r="J711" s="11"/>
      <c r="K711" s="12"/>
    </row>
    <row r="712" spans="1:11" x14ac:dyDescent="0.25">
      <c r="A712" s="1">
        <v>709</v>
      </c>
      <c r="B712" s="7" t="str">
        <f t="shared" si="99"/>
        <v>Сб</v>
      </c>
      <c r="C712" s="8">
        <v>45927</v>
      </c>
      <c r="D712" s="9"/>
      <c r="E712" s="10"/>
      <c r="F712" s="11"/>
      <c r="G712" s="12"/>
      <c r="H712" s="11"/>
      <c r="I712" s="12"/>
      <c r="J712" s="11"/>
      <c r="K712" s="12"/>
    </row>
    <row r="713" spans="1:11" x14ac:dyDescent="0.25">
      <c r="A713" s="1">
        <v>710</v>
      </c>
      <c r="B713" s="7" t="str">
        <f t="shared" si="99"/>
        <v>Вс</v>
      </c>
      <c r="C713" s="8">
        <v>45928</v>
      </c>
      <c r="D713" s="9"/>
      <c r="E713" s="10"/>
      <c r="F713" s="11"/>
      <c r="G713" s="12"/>
      <c r="H713" s="11"/>
      <c r="I713" s="12"/>
      <c r="J713" s="11"/>
      <c r="K713" s="12"/>
    </row>
    <row r="714" spans="1:11" x14ac:dyDescent="0.25">
      <c r="A714" s="1">
        <v>710</v>
      </c>
      <c r="B714" s="7" t="str">
        <f>IF(C714&lt;&gt;"",TEXT(C714,"ДДД"),"")</f>
        <v>Пн</v>
      </c>
      <c r="C714" s="8">
        <v>45929</v>
      </c>
      <c r="D714" s="9"/>
      <c r="E714" s="10"/>
      <c r="F714" s="11"/>
      <c r="G714" s="12"/>
      <c r="H714" s="11"/>
      <c r="I714" s="12"/>
      <c r="J714" s="11"/>
      <c r="K714" s="12"/>
    </row>
    <row r="715" spans="1:11" x14ac:dyDescent="0.25">
      <c r="A715" s="1">
        <v>711</v>
      </c>
      <c r="B715" s="7" t="str">
        <f t="shared" ref="B715:B725" si="101">IF(C715&lt;&gt;"",TEXT(C715,"ДДД"),"")</f>
        <v>Вт</v>
      </c>
      <c r="C715" s="8">
        <v>45930</v>
      </c>
      <c r="D715" s="9">
        <v>5400</v>
      </c>
      <c r="E715" s="10" t="s">
        <v>12</v>
      </c>
      <c r="F715" s="11">
        <v>5700</v>
      </c>
      <c r="G715" s="10" t="s">
        <v>12</v>
      </c>
      <c r="H715" s="11">
        <v>17200</v>
      </c>
      <c r="I715" s="10" t="s">
        <v>12</v>
      </c>
      <c r="J715" s="11">
        <v>11800</v>
      </c>
      <c r="K715" s="10" t="s">
        <v>12</v>
      </c>
    </row>
    <row r="716" spans="1:11" x14ac:dyDescent="0.25">
      <c r="A716" s="1">
        <v>712</v>
      </c>
      <c r="B716" s="7" t="str">
        <f t="shared" si="101"/>
        <v>Ср</v>
      </c>
      <c r="C716" s="8">
        <v>45931</v>
      </c>
      <c r="D716" s="9"/>
      <c r="E716" s="10"/>
      <c r="F716" s="11"/>
      <c r="G716" s="12"/>
      <c r="H716" s="11"/>
      <c r="I716" s="12"/>
      <c r="J716" s="11">
        <v>13700</v>
      </c>
      <c r="K716" s="10" t="s">
        <v>12</v>
      </c>
    </row>
    <row r="717" spans="1:11" x14ac:dyDescent="0.25">
      <c r="A717" s="1">
        <v>713</v>
      </c>
      <c r="B717" s="7" t="str">
        <f t="shared" si="101"/>
        <v>Чт</v>
      </c>
      <c r="C717" s="8">
        <v>45932</v>
      </c>
      <c r="D717" s="9">
        <v>2700</v>
      </c>
      <c r="E717" s="10" t="s">
        <v>12</v>
      </c>
      <c r="F717" s="11">
        <v>3800</v>
      </c>
      <c r="G717" s="10" t="s">
        <v>12</v>
      </c>
      <c r="H717" s="11">
        <f>12800+2900</f>
        <v>15700</v>
      </c>
      <c r="I717" s="10" t="s">
        <v>12</v>
      </c>
      <c r="J717" s="11">
        <v>900</v>
      </c>
      <c r="K717" s="10" t="s">
        <v>12</v>
      </c>
    </row>
    <row r="718" spans="1:11" x14ac:dyDescent="0.25">
      <c r="A718" s="1">
        <v>714</v>
      </c>
      <c r="B718" s="7" t="str">
        <f t="shared" ref="B718" si="102">IF(C718&lt;&gt;"",TEXT(C718,"ДДД"),"")</f>
        <v>Чт</v>
      </c>
      <c r="C718" s="8">
        <v>45932</v>
      </c>
      <c r="D718" s="9">
        <v>9000</v>
      </c>
      <c r="E718" s="10" t="s">
        <v>11</v>
      </c>
      <c r="F718" s="11">
        <f>5100+1300</f>
        <v>6400</v>
      </c>
      <c r="G718" s="10" t="s">
        <v>11</v>
      </c>
      <c r="H718" s="11">
        <v>4900</v>
      </c>
      <c r="I718" s="10" t="s">
        <v>11</v>
      </c>
      <c r="J718" s="11">
        <f>3300+4900</f>
        <v>8200</v>
      </c>
      <c r="K718" s="10" t="s">
        <v>11</v>
      </c>
    </row>
    <row r="719" spans="1:11" x14ac:dyDescent="0.25">
      <c r="A719" s="1">
        <v>715</v>
      </c>
      <c r="B719" s="7" t="str">
        <f t="shared" si="101"/>
        <v>Пт</v>
      </c>
      <c r="C719" s="8">
        <v>45933</v>
      </c>
      <c r="D719" s="9"/>
      <c r="E719" s="10"/>
      <c r="F719" s="11"/>
      <c r="G719" s="12"/>
      <c r="H719" s="11"/>
      <c r="I719" s="12"/>
      <c r="J719" s="11"/>
      <c r="K719" s="12"/>
    </row>
    <row r="720" spans="1:11" x14ac:dyDescent="0.25">
      <c r="A720" s="1">
        <v>716</v>
      </c>
      <c r="B720" s="7" t="str">
        <f t="shared" si="101"/>
        <v>Сб</v>
      </c>
      <c r="C720" s="8">
        <v>45934</v>
      </c>
      <c r="D720" s="9"/>
      <c r="E720" s="10"/>
      <c r="F720" s="11"/>
      <c r="G720" s="12"/>
      <c r="H720" s="11"/>
      <c r="I720" s="12"/>
      <c r="J720" s="11">
        <v>5500</v>
      </c>
      <c r="K720" s="12" t="s">
        <v>12</v>
      </c>
    </row>
    <row r="721" spans="1:11" x14ac:dyDescent="0.25">
      <c r="A721" s="1">
        <v>717</v>
      </c>
      <c r="B721" s="7" t="str">
        <f t="shared" si="101"/>
        <v>Вс</v>
      </c>
      <c r="C721" s="8">
        <v>45935</v>
      </c>
      <c r="D721" s="9"/>
      <c r="E721" s="10"/>
      <c r="F721" s="11"/>
      <c r="G721" s="12"/>
      <c r="H721" s="11"/>
      <c r="I721" s="12"/>
      <c r="J721" s="11"/>
      <c r="K721" s="12"/>
    </row>
    <row r="722" spans="1:11" x14ac:dyDescent="0.25">
      <c r="A722" s="1">
        <v>718</v>
      </c>
      <c r="B722" s="7" t="str">
        <f t="shared" si="101"/>
        <v>Пн</v>
      </c>
      <c r="C722" s="8">
        <v>45936</v>
      </c>
      <c r="D722" s="9"/>
      <c r="E722" s="10"/>
      <c r="F722" s="11"/>
      <c r="G722" s="12"/>
      <c r="H722" s="11"/>
      <c r="I722" s="12"/>
      <c r="J722" s="11"/>
      <c r="K722" s="12"/>
    </row>
    <row r="723" spans="1:11" x14ac:dyDescent="0.25">
      <c r="A723" s="1">
        <v>719</v>
      </c>
      <c r="B723" s="7" t="str">
        <f t="shared" si="101"/>
        <v>Вт</v>
      </c>
      <c r="C723" s="8">
        <v>45937</v>
      </c>
      <c r="D723" s="9">
        <v>2500</v>
      </c>
      <c r="E723" s="10" t="s">
        <v>12</v>
      </c>
      <c r="F723" s="11">
        <v>3000</v>
      </c>
      <c r="G723" s="10" t="s">
        <v>12</v>
      </c>
      <c r="H723" s="11">
        <f>13900+11700</f>
        <v>25600</v>
      </c>
      <c r="I723" s="10" t="s">
        <v>12</v>
      </c>
      <c r="J723" s="11">
        <v>13000</v>
      </c>
      <c r="K723" s="10" t="s">
        <v>12</v>
      </c>
    </row>
    <row r="724" spans="1:11" x14ac:dyDescent="0.25">
      <c r="A724" s="1">
        <v>720</v>
      </c>
      <c r="B724" s="7" t="str">
        <f t="shared" si="101"/>
        <v>Ср</v>
      </c>
      <c r="C724" s="8">
        <v>45938</v>
      </c>
      <c r="D724" s="9"/>
      <c r="E724" s="10"/>
      <c r="F724" s="11"/>
      <c r="G724" s="12"/>
      <c r="H724" s="11">
        <v>13100</v>
      </c>
      <c r="I724" s="10" t="s">
        <v>12</v>
      </c>
      <c r="J724" s="11"/>
      <c r="K724" s="12"/>
    </row>
    <row r="725" spans="1:11" x14ac:dyDescent="0.25">
      <c r="A725" s="1">
        <v>721</v>
      </c>
      <c r="B725" s="7" t="str">
        <f t="shared" si="101"/>
        <v>Чт</v>
      </c>
      <c r="C725" s="8">
        <v>45939</v>
      </c>
      <c r="D725" s="9">
        <v>2900</v>
      </c>
      <c r="E725" s="10" t="s">
        <v>12</v>
      </c>
      <c r="F725" s="11">
        <v>1900</v>
      </c>
      <c r="G725" s="10" t="s">
        <v>12</v>
      </c>
      <c r="H725" s="11">
        <v>7400</v>
      </c>
      <c r="I725" s="10" t="s">
        <v>12</v>
      </c>
      <c r="J725" s="11">
        <v>13300</v>
      </c>
      <c r="K725" s="10" t="s">
        <v>12</v>
      </c>
    </row>
    <row r="726" spans="1:11" x14ac:dyDescent="0.25">
      <c r="A726" s="1">
        <v>722</v>
      </c>
      <c r="B726" s="7" t="str">
        <f t="shared" ref="B726" si="103">IF(C726&lt;&gt;"",TEXT(C726,"ДДД"),"")</f>
        <v>Чт</v>
      </c>
      <c r="C726" s="8">
        <v>45939</v>
      </c>
      <c r="D726" s="9">
        <v>7600</v>
      </c>
      <c r="E726" s="10" t="s">
        <v>11</v>
      </c>
      <c r="F726" s="11">
        <v>3500</v>
      </c>
      <c r="G726" s="10" t="s">
        <v>11</v>
      </c>
      <c r="H726" s="11">
        <v>4500</v>
      </c>
      <c r="I726" s="10" t="s">
        <v>11</v>
      </c>
      <c r="J726" s="11">
        <v>9700</v>
      </c>
      <c r="K726" s="10" t="s">
        <v>11</v>
      </c>
    </row>
    <row r="727" spans="1:11" x14ac:dyDescent="0.25">
      <c r="A727" s="1">
        <v>723</v>
      </c>
      <c r="B727" s="7" t="str">
        <f t="shared" ref="B727:B729" si="104">IF(C727&lt;&gt;"",TEXT(C727,"ДДД"),"")</f>
        <v>Пт</v>
      </c>
      <c r="C727" s="8">
        <v>45940</v>
      </c>
      <c r="D727" s="9"/>
      <c r="E727" s="10"/>
      <c r="F727" s="11"/>
      <c r="G727" s="12"/>
      <c r="H727" s="11"/>
      <c r="I727" s="12"/>
      <c r="J727" s="11"/>
      <c r="K727" s="12"/>
    </row>
    <row r="728" spans="1:11" x14ac:dyDescent="0.25">
      <c r="A728" s="1">
        <v>724</v>
      </c>
      <c r="B728" s="7" t="str">
        <f t="shared" si="104"/>
        <v>Сб</v>
      </c>
      <c r="C728" s="8">
        <v>45941</v>
      </c>
      <c r="D728" s="9"/>
      <c r="E728" s="10"/>
      <c r="F728" s="11"/>
      <c r="G728" s="12"/>
      <c r="H728" s="11"/>
      <c r="I728" s="12"/>
      <c r="J728" s="11"/>
      <c r="K728" s="12"/>
    </row>
    <row r="729" spans="1:11" x14ac:dyDescent="0.25">
      <c r="A729" s="1">
        <v>725</v>
      </c>
      <c r="B729" s="7" t="str">
        <f t="shared" si="104"/>
        <v>Вс</v>
      </c>
      <c r="C729" s="8">
        <v>45942</v>
      </c>
      <c r="D729" s="9"/>
      <c r="E729" s="10"/>
      <c r="F729" s="11"/>
      <c r="G729" s="12"/>
      <c r="H729" s="11"/>
      <c r="I729" s="12"/>
      <c r="J729" s="11"/>
      <c r="K729" s="12"/>
    </row>
    <row r="730" spans="1:11" x14ac:dyDescent="0.25">
      <c r="A730" s="1">
        <v>726</v>
      </c>
      <c r="B730" s="7" t="str">
        <f t="shared" ref="B730:B735" si="105">IF(C730&lt;&gt;"",TEXT(C730,"ДДД"),"")</f>
        <v>Пн</v>
      </c>
      <c r="C730" s="8">
        <v>45943</v>
      </c>
      <c r="D730" s="9"/>
      <c r="E730" s="10"/>
      <c r="F730" s="11"/>
      <c r="G730" s="12"/>
      <c r="H730" s="11"/>
      <c r="I730" s="12"/>
      <c r="J730" s="11"/>
      <c r="K730" s="12"/>
    </row>
    <row r="731" spans="1:11" x14ac:dyDescent="0.25">
      <c r="A731" s="1">
        <v>727</v>
      </c>
      <c r="B731" s="7" t="str">
        <f t="shared" si="105"/>
        <v>Вт</v>
      </c>
      <c r="C731" s="8">
        <v>45944</v>
      </c>
      <c r="D731" s="9">
        <v>4700</v>
      </c>
      <c r="E731" s="10" t="s">
        <v>12</v>
      </c>
      <c r="F731" s="11">
        <v>3900</v>
      </c>
      <c r="G731" s="10" t="s">
        <v>12</v>
      </c>
      <c r="H731" s="11">
        <v>16200</v>
      </c>
      <c r="I731" s="10" t="s">
        <v>12</v>
      </c>
      <c r="J731" s="11">
        <v>9300</v>
      </c>
      <c r="K731" s="10" t="s">
        <v>12</v>
      </c>
    </row>
    <row r="732" spans="1:11" x14ac:dyDescent="0.25">
      <c r="A732" s="1">
        <v>728</v>
      </c>
      <c r="B732" s="7" t="str">
        <f t="shared" si="105"/>
        <v>Ср</v>
      </c>
      <c r="C732" s="8">
        <v>45945</v>
      </c>
      <c r="D732" s="9"/>
      <c r="E732" s="10"/>
      <c r="F732" s="11"/>
      <c r="G732" s="12"/>
      <c r="H732" s="11">
        <v>12000</v>
      </c>
      <c r="I732" s="10" t="s">
        <v>12</v>
      </c>
      <c r="J732" s="11"/>
      <c r="K732" s="12"/>
    </row>
    <row r="733" spans="1:11" x14ac:dyDescent="0.25">
      <c r="A733" s="1">
        <v>729</v>
      </c>
      <c r="B733" s="7" t="str">
        <f t="shared" si="105"/>
        <v>Чт</v>
      </c>
      <c r="C733" s="8">
        <v>45946</v>
      </c>
      <c r="D733" s="9">
        <v>1500</v>
      </c>
      <c r="E733" s="10" t="s">
        <v>12</v>
      </c>
      <c r="F733" s="11">
        <v>3900</v>
      </c>
      <c r="G733" s="10" t="s">
        <v>12</v>
      </c>
      <c r="H733" s="11">
        <v>7200</v>
      </c>
      <c r="I733" s="10" t="s">
        <v>12</v>
      </c>
      <c r="J733" s="11">
        <v>15600</v>
      </c>
      <c r="K733" s="10" t="s">
        <v>12</v>
      </c>
    </row>
    <row r="734" spans="1:11" x14ac:dyDescent="0.25">
      <c r="A734" s="1">
        <v>730</v>
      </c>
      <c r="B734" s="7" t="str">
        <f t="shared" ref="B734" si="106">IF(C734&lt;&gt;"",TEXT(C734,"ДДД"),"")</f>
        <v>Чт</v>
      </c>
      <c r="C734" s="8">
        <v>45946</v>
      </c>
      <c r="D734" s="9">
        <v>5900</v>
      </c>
      <c r="E734" s="10" t="s">
        <v>11</v>
      </c>
      <c r="F734" s="11">
        <v>6400</v>
      </c>
      <c r="G734" s="10" t="s">
        <v>11</v>
      </c>
      <c r="H734" s="11">
        <v>2300</v>
      </c>
      <c r="I734" s="10" t="s">
        <v>11</v>
      </c>
      <c r="J734" s="11">
        <v>5700</v>
      </c>
      <c r="K734" s="10" t="s">
        <v>11</v>
      </c>
    </row>
    <row r="735" spans="1:11" x14ac:dyDescent="0.25">
      <c r="A735" s="1">
        <v>731</v>
      </c>
      <c r="B735" s="7" t="str">
        <f t="shared" si="105"/>
        <v>Пт</v>
      </c>
      <c r="C735" s="8">
        <v>45947</v>
      </c>
      <c r="D735" s="9"/>
      <c r="E735" s="10"/>
      <c r="F735" s="11"/>
      <c r="G735" s="12"/>
      <c r="H735" s="11"/>
      <c r="I735" s="12"/>
      <c r="J735" s="11"/>
      <c r="K735" s="12"/>
    </row>
    <row r="736" spans="1:11" x14ac:dyDescent="0.25">
      <c r="A736" s="1">
        <v>732</v>
      </c>
      <c r="B736" s="7" t="str">
        <f t="shared" ref="B736:B739" si="107">IF(C736&lt;&gt;"",TEXT(C736,"ДДД"),"")</f>
        <v>Сб</v>
      </c>
      <c r="C736" s="8">
        <v>45948</v>
      </c>
      <c r="D736" s="9"/>
      <c r="E736" s="10"/>
      <c r="F736" s="11"/>
      <c r="G736" s="12"/>
      <c r="H736" s="11">
        <v>4800</v>
      </c>
      <c r="I736" s="10" t="s">
        <v>12</v>
      </c>
      <c r="J736" s="11">
        <v>5400</v>
      </c>
      <c r="K736" s="10" t="s">
        <v>12</v>
      </c>
    </row>
    <row r="737" spans="1:11" x14ac:dyDescent="0.25">
      <c r="A737" s="1">
        <v>733</v>
      </c>
      <c r="B737" s="7" t="str">
        <f t="shared" si="107"/>
        <v>Вс</v>
      </c>
      <c r="C737" s="8">
        <v>45949</v>
      </c>
      <c r="D737" s="9"/>
      <c r="E737" s="10"/>
      <c r="F737" s="11"/>
      <c r="G737" s="12"/>
      <c r="H737" s="11"/>
      <c r="I737" s="12"/>
      <c r="J737" s="11"/>
      <c r="K737" s="12"/>
    </row>
    <row r="738" spans="1:11" x14ac:dyDescent="0.25">
      <c r="A738" s="1">
        <v>734</v>
      </c>
      <c r="B738" s="7" t="str">
        <f t="shared" si="107"/>
        <v>Пн</v>
      </c>
      <c r="C738" s="8">
        <v>45950</v>
      </c>
      <c r="D738" s="9"/>
      <c r="E738" s="10"/>
      <c r="F738" s="11"/>
      <c r="G738" s="12"/>
      <c r="H738" s="11"/>
      <c r="I738" s="12"/>
      <c r="J738" s="11"/>
      <c r="K738" s="12"/>
    </row>
    <row r="739" spans="1:11" x14ac:dyDescent="0.25">
      <c r="A739" s="1">
        <v>735</v>
      </c>
      <c r="B739" s="7" t="str">
        <f t="shared" si="107"/>
        <v>Вт</v>
      </c>
      <c r="C739" s="8">
        <v>45951</v>
      </c>
      <c r="D739" s="9">
        <v>5900</v>
      </c>
      <c r="E739" s="10" t="s">
        <v>12</v>
      </c>
      <c r="F739" s="11">
        <v>5300</v>
      </c>
      <c r="G739" s="10" t="s">
        <v>12</v>
      </c>
      <c r="H739" s="11">
        <v>8200</v>
      </c>
      <c r="I739" s="10" t="s">
        <v>12</v>
      </c>
      <c r="J739" s="11">
        <v>10600</v>
      </c>
      <c r="K739" s="10" t="s">
        <v>12</v>
      </c>
    </row>
    <row r="740" spans="1:11" x14ac:dyDescent="0.25">
      <c r="A740" s="1">
        <v>736</v>
      </c>
      <c r="B740" s="7" t="str">
        <f t="shared" ref="B740:B744" si="108">IF(C740&lt;&gt;"",TEXT(C740,"ДДД"),"")</f>
        <v>Ср</v>
      </c>
      <c r="C740" s="8">
        <v>45952</v>
      </c>
      <c r="D740" s="9"/>
      <c r="E740" s="10"/>
      <c r="F740" s="11"/>
      <c r="G740" s="12"/>
      <c r="H740" s="11"/>
      <c r="I740" s="10"/>
      <c r="J740" s="11">
        <v>12000</v>
      </c>
      <c r="K740" s="10" t="s">
        <v>12</v>
      </c>
    </row>
    <row r="741" spans="1:11" x14ac:dyDescent="0.25">
      <c r="A741" s="1">
        <v>737</v>
      </c>
      <c r="B741" s="7" t="str">
        <f t="shared" si="108"/>
        <v>Чт</v>
      </c>
      <c r="C741" s="8">
        <v>45953</v>
      </c>
      <c r="D741" s="9">
        <v>2100</v>
      </c>
      <c r="E741" s="10" t="s">
        <v>12</v>
      </c>
      <c r="F741" s="11">
        <v>2900</v>
      </c>
      <c r="G741" s="10" t="s">
        <v>12</v>
      </c>
      <c r="H741" s="11">
        <v>9500</v>
      </c>
      <c r="I741" s="10" t="s">
        <v>12</v>
      </c>
      <c r="J741" s="11">
        <v>3500</v>
      </c>
      <c r="K741" s="10" t="s">
        <v>12</v>
      </c>
    </row>
    <row r="742" spans="1:11" x14ac:dyDescent="0.25">
      <c r="A742" s="1">
        <v>738</v>
      </c>
      <c r="B742" s="7" t="str">
        <f t="shared" ref="B742" si="109">IF(C742&lt;&gt;"",TEXT(C742,"ДДД"),"")</f>
        <v>Чт</v>
      </c>
      <c r="C742" s="8">
        <v>45953</v>
      </c>
      <c r="D742" s="9">
        <v>9500</v>
      </c>
      <c r="E742" s="10" t="s">
        <v>11</v>
      </c>
      <c r="F742" s="11">
        <v>5300</v>
      </c>
      <c r="G742" s="10" t="s">
        <v>11</v>
      </c>
      <c r="H742" s="11">
        <v>4200</v>
      </c>
      <c r="I742" s="10" t="s">
        <v>11</v>
      </c>
      <c r="J742" s="11">
        <v>6200</v>
      </c>
      <c r="K742" s="10" t="s">
        <v>11</v>
      </c>
    </row>
    <row r="743" spans="1:11" x14ac:dyDescent="0.25">
      <c r="A743" s="1">
        <v>739</v>
      </c>
      <c r="B743" s="7" t="str">
        <f t="shared" si="108"/>
        <v>Пт</v>
      </c>
      <c r="C743" s="8">
        <v>45954</v>
      </c>
      <c r="D743" s="9"/>
      <c r="E743" s="10"/>
      <c r="F743" s="11"/>
      <c r="G743" s="12"/>
      <c r="H743" s="11"/>
      <c r="I743" s="12"/>
      <c r="J743" s="11"/>
      <c r="K743" s="12"/>
    </row>
    <row r="744" spans="1:11" x14ac:dyDescent="0.25">
      <c r="A744" s="1">
        <v>740</v>
      </c>
      <c r="B744" s="7" t="str">
        <f t="shared" si="108"/>
        <v>Сб</v>
      </c>
      <c r="C744" s="8">
        <v>45955</v>
      </c>
      <c r="D744" s="9"/>
      <c r="E744" s="10"/>
      <c r="F744" s="11"/>
      <c r="G744" s="12"/>
      <c r="H744" s="11">
        <v>2800</v>
      </c>
      <c r="I744" s="10" t="s">
        <v>12</v>
      </c>
      <c r="J744" s="11">
        <v>7200</v>
      </c>
      <c r="K744" s="10" t="s">
        <v>12</v>
      </c>
    </row>
    <row r="745" spans="1:11" x14ac:dyDescent="0.25">
      <c r="A745" s="1">
        <v>741</v>
      </c>
      <c r="B745" s="7" t="str">
        <f t="shared" ref="B745:B747" si="110">IF(C745&lt;&gt;"",TEXT(C745,"ДДД"),"")</f>
        <v>Вс</v>
      </c>
      <c r="C745" s="8">
        <v>45956</v>
      </c>
      <c r="D745" s="9"/>
      <c r="E745" s="10"/>
      <c r="F745" s="11"/>
      <c r="G745" s="12"/>
      <c r="H745" s="11"/>
      <c r="I745" s="12"/>
      <c r="J745" s="11"/>
      <c r="K745" s="12"/>
    </row>
    <row r="746" spans="1:11" x14ac:dyDescent="0.25">
      <c r="A746" s="1">
        <v>742</v>
      </c>
      <c r="B746" s="7" t="str">
        <f t="shared" si="110"/>
        <v>Пн</v>
      </c>
      <c r="C746" s="8">
        <v>45957</v>
      </c>
      <c r="D746" s="9"/>
      <c r="E746" s="10"/>
      <c r="F746" s="11"/>
      <c r="G746" s="12"/>
      <c r="H746" s="11"/>
      <c r="I746" s="12"/>
      <c r="J746" s="11"/>
      <c r="K746" s="12"/>
    </row>
    <row r="747" spans="1:11" x14ac:dyDescent="0.25">
      <c r="A747" s="1">
        <v>743</v>
      </c>
      <c r="B747" s="7" t="str">
        <f t="shared" si="110"/>
        <v>Вт</v>
      </c>
      <c r="C747" s="8">
        <v>45958</v>
      </c>
      <c r="D747" s="9">
        <v>4600</v>
      </c>
      <c r="E747" s="10" t="s">
        <v>12</v>
      </c>
      <c r="F747" s="11">
        <f>4200+1000</f>
        <v>5200</v>
      </c>
      <c r="G747" s="10" t="s">
        <v>12</v>
      </c>
      <c r="H747" s="11">
        <v>15000</v>
      </c>
      <c r="I747" s="10" t="s">
        <v>12</v>
      </c>
      <c r="J747" s="11">
        <v>12900</v>
      </c>
      <c r="K747" s="10" t="s">
        <v>12</v>
      </c>
    </row>
    <row r="748" spans="1:11" x14ac:dyDescent="0.25">
      <c r="A748" s="1">
        <v>744</v>
      </c>
      <c r="B748" s="7" t="str">
        <f t="shared" ref="B748:B753" si="111">IF(C748&lt;&gt;"",TEXT(C748,"ДДД"),"")</f>
        <v>Ср</v>
      </c>
      <c r="C748" s="8">
        <v>45959</v>
      </c>
      <c r="D748" s="9">
        <v>2700</v>
      </c>
      <c r="E748" s="10" t="s">
        <v>12</v>
      </c>
      <c r="F748" s="11"/>
      <c r="G748" s="12"/>
      <c r="H748" s="11">
        <v>10000</v>
      </c>
      <c r="I748" s="10" t="s">
        <v>12</v>
      </c>
      <c r="J748" s="11"/>
      <c r="K748" s="12"/>
    </row>
    <row r="749" spans="1:11" x14ac:dyDescent="0.25">
      <c r="A749" s="1">
        <v>745</v>
      </c>
      <c r="B749" s="7" t="str">
        <f t="shared" si="111"/>
        <v>Чт</v>
      </c>
      <c r="C749" s="8">
        <v>45960</v>
      </c>
      <c r="D749" s="9"/>
      <c r="E749" s="10"/>
      <c r="F749" s="11">
        <v>3500</v>
      </c>
      <c r="G749" s="10" t="s">
        <v>12</v>
      </c>
      <c r="H749" s="11"/>
      <c r="I749" s="12"/>
      <c r="J749" s="11">
        <v>7100</v>
      </c>
      <c r="K749" s="10" t="s">
        <v>12</v>
      </c>
    </row>
    <row r="750" spans="1:11" x14ac:dyDescent="0.25">
      <c r="A750" s="1">
        <v>746</v>
      </c>
      <c r="B750" s="7" t="str">
        <f t="shared" ref="B750" si="112">IF(C750&lt;&gt;"",TEXT(C750,"ДДД"),"")</f>
        <v>Чт</v>
      </c>
      <c r="C750" s="8">
        <v>45960</v>
      </c>
      <c r="D750" s="9">
        <v>12800</v>
      </c>
      <c r="E750" s="10" t="s">
        <v>11</v>
      </c>
      <c r="F750" s="11">
        <v>5900</v>
      </c>
      <c r="G750" s="10" t="s">
        <v>11</v>
      </c>
      <c r="H750" s="11">
        <v>5300</v>
      </c>
      <c r="I750" s="10" t="s">
        <v>11</v>
      </c>
      <c r="J750" s="11">
        <v>9900</v>
      </c>
      <c r="K750" s="10" t="s">
        <v>11</v>
      </c>
    </row>
    <row r="751" spans="1:11" x14ac:dyDescent="0.25">
      <c r="A751" s="1">
        <v>747</v>
      </c>
      <c r="B751" s="7" t="str">
        <f t="shared" si="111"/>
        <v>Пт</v>
      </c>
      <c r="C751" s="8">
        <v>45961</v>
      </c>
      <c r="D751" s="9"/>
      <c r="E751" s="10"/>
      <c r="F751" s="11"/>
      <c r="G751" s="12"/>
      <c r="H751" s="11"/>
      <c r="I751" s="12"/>
      <c r="J751" s="11"/>
      <c r="K751" s="12"/>
    </row>
    <row r="752" spans="1:11" x14ac:dyDescent="0.25">
      <c r="A752" s="1">
        <v>748</v>
      </c>
      <c r="B752" s="7" t="str">
        <f t="shared" si="111"/>
        <v>Сб</v>
      </c>
      <c r="C752" s="8">
        <v>45962</v>
      </c>
      <c r="D752" s="9"/>
      <c r="E752" s="10"/>
      <c r="F752" s="11"/>
      <c r="G752" s="12"/>
      <c r="H752" s="11"/>
      <c r="I752" s="12"/>
      <c r="J752" s="11"/>
      <c r="K752" s="12"/>
    </row>
    <row r="753" spans="1:11" x14ac:dyDescent="0.25">
      <c r="A753" s="1">
        <v>749</v>
      </c>
      <c r="B753" s="7" t="str">
        <f t="shared" si="111"/>
        <v>Вс</v>
      </c>
      <c r="C753" s="8">
        <v>45963</v>
      </c>
      <c r="D753" s="9"/>
      <c r="E753" s="10"/>
      <c r="F753" s="11"/>
      <c r="G753" s="12"/>
      <c r="H753" s="11"/>
      <c r="I753" s="12"/>
      <c r="J753" s="11"/>
      <c r="K753" s="12"/>
    </row>
    <row r="754" spans="1:11" x14ac:dyDescent="0.25">
      <c r="A754" s="1">
        <v>750</v>
      </c>
      <c r="B754" s="7" t="str">
        <f t="shared" ref="B754:B760" si="113">IF(C754&lt;&gt;"",TEXT(C754,"ДДД"),"")</f>
        <v>Пн</v>
      </c>
      <c r="C754" s="8">
        <v>45964</v>
      </c>
      <c r="D754" s="9"/>
      <c r="E754" s="10"/>
      <c r="F754" s="11"/>
      <c r="G754" s="12"/>
      <c r="H754" s="11"/>
      <c r="I754" s="12"/>
      <c r="J754" s="11"/>
      <c r="K754" s="12"/>
    </row>
    <row r="755" spans="1:11" x14ac:dyDescent="0.25">
      <c r="A755" s="1">
        <v>751</v>
      </c>
      <c r="B755" s="7" t="str">
        <f t="shared" si="113"/>
        <v>Вт</v>
      </c>
      <c r="C755" s="8">
        <v>45965</v>
      </c>
      <c r="D755" s="9">
        <v>4000</v>
      </c>
      <c r="E755" s="10" t="s">
        <v>12</v>
      </c>
      <c r="F755" s="11">
        <v>4500</v>
      </c>
      <c r="G755" s="10" t="s">
        <v>12</v>
      </c>
      <c r="H755" s="11">
        <v>15300</v>
      </c>
      <c r="I755" s="10" t="s">
        <v>12</v>
      </c>
      <c r="J755" s="11">
        <v>13500</v>
      </c>
      <c r="K755" s="10" t="s">
        <v>12</v>
      </c>
    </row>
    <row r="756" spans="1:11" x14ac:dyDescent="0.25">
      <c r="A756" s="1">
        <v>752</v>
      </c>
      <c r="B756" s="7" t="str">
        <f t="shared" si="113"/>
        <v>Ср</v>
      </c>
      <c r="C756" s="8">
        <v>45966</v>
      </c>
      <c r="D756" s="9"/>
      <c r="E756" s="10"/>
      <c r="F756" s="11"/>
      <c r="G756" s="12"/>
      <c r="H756" s="11">
        <v>5200</v>
      </c>
      <c r="I756" s="10" t="s">
        <v>12</v>
      </c>
      <c r="J756" s="11">
        <v>7300</v>
      </c>
      <c r="K756" s="10" t="s">
        <v>12</v>
      </c>
    </row>
    <row r="757" spans="1:11" x14ac:dyDescent="0.25">
      <c r="A757" s="1">
        <v>753</v>
      </c>
      <c r="B757" s="7" t="str">
        <f t="shared" si="113"/>
        <v>Чт</v>
      </c>
      <c r="C757" s="8">
        <v>45967</v>
      </c>
      <c r="D757" s="9">
        <v>4000</v>
      </c>
      <c r="E757" s="10" t="s">
        <v>12</v>
      </c>
      <c r="F757" s="11">
        <v>2100</v>
      </c>
      <c r="G757" s="10" t="s">
        <v>12</v>
      </c>
      <c r="H757" s="11"/>
      <c r="I757" s="12"/>
      <c r="J757" s="11"/>
      <c r="K757" s="12"/>
    </row>
    <row r="758" spans="1:11" x14ac:dyDescent="0.25">
      <c r="A758" s="1">
        <v>754</v>
      </c>
      <c r="B758" s="7" t="str">
        <f t="shared" ref="B758" si="114">IF(C758&lt;&gt;"",TEXT(C758,"ДДД"),"")</f>
        <v>Чт</v>
      </c>
      <c r="C758" s="8">
        <v>45967</v>
      </c>
      <c r="D758" s="9">
        <v>2800</v>
      </c>
      <c r="E758" s="10" t="s">
        <v>11</v>
      </c>
      <c r="F758" s="11">
        <v>5900</v>
      </c>
      <c r="G758" s="10" t="s">
        <v>11</v>
      </c>
      <c r="H758" s="11">
        <v>3600</v>
      </c>
      <c r="I758" s="10" t="s">
        <v>11</v>
      </c>
      <c r="J758" s="11">
        <v>3900</v>
      </c>
      <c r="K758" s="10" t="s">
        <v>11</v>
      </c>
    </row>
    <row r="759" spans="1:11" x14ac:dyDescent="0.25">
      <c r="A759" s="1">
        <v>755</v>
      </c>
      <c r="B759" s="7" t="str">
        <f t="shared" si="113"/>
        <v>Пт</v>
      </c>
      <c r="C759" s="8">
        <v>45968</v>
      </c>
      <c r="D759" s="9"/>
      <c r="E759" s="10"/>
      <c r="F759" s="11"/>
      <c r="G759" s="12"/>
      <c r="H759" s="11"/>
      <c r="I759" s="12"/>
      <c r="J759" s="11"/>
      <c r="K759" s="12"/>
    </row>
    <row r="760" spans="1:11" x14ac:dyDescent="0.25">
      <c r="A760" s="1">
        <v>756</v>
      </c>
      <c r="B760" s="7" t="str">
        <f t="shared" si="113"/>
        <v>Сб</v>
      </c>
      <c r="C760" s="8">
        <v>45969</v>
      </c>
      <c r="D760" s="9"/>
      <c r="E760" s="10"/>
      <c r="F760" s="11"/>
      <c r="G760" s="12"/>
      <c r="H760" s="11"/>
      <c r="I760" s="12"/>
      <c r="J760" s="11"/>
      <c r="K760" s="12"/>
    </row>
    <row r="761" spans="1:11" x14ac:dyDescent="0.25">
      <c r="A761" s="1">
        <v>757</v>
      </c>
      <c r="B761" s="7" t="str">
        <f t="shared" ref="B761:B768" si="115">IF(C761&lt;&gt;"",TEXT(C761,"ДДД"),"")</f>
        <v>Вс</v>
      </c>
      <c r="C761" s="8">
        <v>45970</v>
      </c>
      <c r="D761" s="9"/>
      <c r="E761" s="10"/>
      <c r="F761" s="11"/>
      <c r="G761" s="12"/>
      <c r="H761" s="11"/>
      <c r="I761" s="12"/>
      <c r="J761" s="11"/>
      <c r="K761" s="12"/>
    </row>
    <row r="762" spans="1:11" x14ac:dyDescent="0.25">
      <c r="A762" s="1">
        <v>758</v>
      </c>
      <c r="B762" s="7" t="str">
        <f t="shared" si="115"/>
        <v>Пн</v>
      </c>
      <c r="C762" s="8">
        <v>45971</v>
      </c>
      <c r="D762" s="9"/>
      <c r="E762" s="10"/>
      <c r="F762" s="11"/>
      <c r="G762" s="12"/>
      <c r="H762" s="11"/>
      <c r="I762" s="12"/>
      <c r="J762" s="11"/>
      <c r="K762" s="12"/>
    </row>
    <row r="763" spans="1:11" x14ac:dyDescent="0.25">
      <c r="A763" s="1">
        <v>759</v>
      </c>
      <c r="B763" s="7" t="str">
        <f t="shared" si="115"/>
        <v>Вт</v>
      </c>
      <c r="C763" s="8">
        <v>45972</v>
      </c>
      <c r="D763" s="9">
        <v>3200</v>
      </c>
      <c r="E763" s="10" t="s">
        <v>12</v>
      </c>
      <c r="F763" s="11">
        <v>4100</v>
      </c>
      <c r="G763" s="10" t="s">
        <v>12</v>
      </c>
      <c r="H763" s="11">
        <v>17300</v>
      </c>
      <c r="I763" s="10" t="s">
        <v>12</v>
      </c>
      <c r="J763" s="11">
        <v>11700</v>
      </c>
      <c r="K763" s="10" t="s">
        <v>12</v>
      </c>
    </row>
    <row r="764" spans="1:11" x14ac:dyDescent="0.25">
      <c r="A764" s="1">
        <v>760</v>
      </c>
      <c r="B764" s="7" t="str">
        <f t="shared" si="115"/>
        <v>Ср</v>
      </c>
      <c r="C764" s="8">
        <v>45973</v>
      </c>
      <c r="D764" s="9"/>
      <c r="E764" s="10"/>
      <c r="F764" s="11"/>
      <c r="G764" s="12"/>
      <c r="H764" s="11"/>
      <c r="I764" s="12"/>
      <c r="J764" s="11">
        <v>14300</v>
      </c>
      <c r="K764" s="10" t="s">
        <v>12</v>
      </c>
    </row>
    <row r="765" spans="1:11" x14ac:dyDescent="0.25">
      <c r="A765" s="1">
        <v>761</v>
      </c>
      <c r="B765" s="7" t="str">
        <f t="shared" si="115"/>
        <v>Чт</v>
      </c>
      <c r="C765" s="8">
        <v>45974</v>
      </c>
      <c r="D765" s="9">
        <v>1200</v>
      </c>
      <c r="E765" s="10" t="s">
        <v>12</v>
      </c>
      <c r="F765" s="11">
        <v>2600</v>
      </c>
      <c r="G765" s="10" t="s">
        <v>12</v>
      </c>
      <c r="H765" s="11">
        <f>2200+8500</f>
        <v>10700</v>
      </c>
      <c r="I765" s="10" t="s">
        <v>12</v>
      </c>
      <c r="J765" s="11"/>
      <c r="K765" s="12"/>
    </row>
    <row r="766" spans="1:11" x14ac:dyDescent="0.25">
      <c r="A766" s="1">
        <v>762</v>
      </c>
      <c r="B766" s="7" t="str">
        <f t="shared" ref="B766" si="116">IF(C766&lt;&gt;"",TEXT(C766,"ДДД"),"")</f>
        <v>Чт</v>
      </c>
      <c r="C766" s="8">
        <v>45974</v>
      </c>
      <c r="D766" s="9">
        <v>4200</v>
      </c>
      <c r="E766" s="10" t="s">
        <v>11</v>
      </c>
      <c r="F766" s="11">
        <v>3500</v>
      </c>
      <c r="G766" s="10" t="s">
        <v>11</v>
      </c>
      <c r="H766" s="11">
        <v>2300</v>
      </c>
      <c r="I766" s="10" t="s">
        <v>11</v>
      </c>
      <c r="J766" s="11">
        <v>5500</v>
      </c>
      <c r="K766" s="10" t="s">
        <v>11</v>
      </c>
    </row>
    <row r="767" spans="1:11" x14ac:dyDescent="0.25">
      <c r="A767" s="1">
        <v>763</v>
      </c>
      <c r="B767" s="7" t="str">
        <f t="shared" si="115"/>
        <v>Пт</v>
      </c>
      <c r="C767" s="8">
        <v>45975</v>
      </c>
      <c r="D767" s="9"/>
      <c r="E767" s="10"/>
      <c r="F767" s="11"/>
      <c r="G767" s="12"/>
      <c r="H767" s="11"/>
      <c r="I767" s="12"/>
      <c r="J767" s="11"/>
      <c r="K767" s="12"/>
    </row>
    <row r="768" spans="1:11" x14ac:dyDescent="0.25">
      <c r="A768" s="1">
        <v>764</v>
      </c>
      <c r="B768" s="7" t="str">
        <f t="shared" si="115"/>
        <v>Сб</v>
      </c>
      <c r="C768" s="8">
        <v>45976</v>
      </c>
      <c r="D768" s="9"/>
      <c r="E768" s="10"/>
      <c r="F768" s="11"/>
      <c r="G768" s="12"/>
      <c r="H768" s="11"/>
      <c r="I768" s="12"/>
      <c r="J768" s="11"/>
      <c r="K768" s="12"/>
    </row>
    <row r="769" spans="1:11" x14ac:dyDescent="0.25">
      <c r="A769" s="1">
        <v>765</v>
      </c>
      <c r="B769" s="7" t="str">
        <f t="shared" ref="B769:B772" si="117">IF(C769&lt;&gt;"",TEXT(C769,"ДДД"),"")</f>
        <v>Вс</v>
      </c>
      <c r="C769" s="8">
        <v>45977</v>
      </c>
      <c r="D769" s="9"/>
      <c r="E769" s="10"/>
      <c r="F769" s="11"/>
      <c r="G769" s="12"/>
      <c r="H769" s="11"/>
      <c r="I769" s="12"/>
      <c r="J769" s="11"/>
      <c r="K769" s="12"/>
    </row>
    <row r="770" spans="1:11" x14ac:dyDescent="0.25">
      <c r="A770" s="1">
        <v>766</v>
      </c>
      <c r="B770" s="7" t="str">
        <f t="shared" si="117"/>
        <v>Пн</v>
      </c>
      <c r="C770" s="8">
        <v>45978</v>
      </c>
      <c r="D770" s="9"/>
      <c r="E770" s="10"/>
      <c r="F770" s="11"/>
      <c r="G770" s="12"/>
      <c r="H770" s="11"/>
      <c r="I770" s="12"/>
      <c r="J770" s="11"/>
      <c r="K770" s="12"/>
    </row>
    <row r="771" spans="1:11" x14ac:dyDescent="0.25">
      <c r="A771" s="1">
        <v>767</v>
      </c>
      <c r="B771" s="7" t="str">
        <f t="shared" si="117"/>
        <v>Вт</v>
      </c>
      <c r="C771" s="8">
        <v>45979</v>
      </c>
      <c r="D771" s="9">
        <v>4500</v>
      </c>
      <c r="E771" s="10" t="s">
        <v>12</v>
      </c>
      <c r="F771" s="11">
        <v>6600</v>
      </c>
      <c r="G771" s="10" t="s">
        <v>12</v>
      </c>
      <c r="H771" s="11">
        <v>15000</v>
      </c>
      <c r="I771" s="10" t="s">
        <v>12</v>
      </c>
      <c r="J771" s="11">
        <v>15700</v>
      </c>
      <c r="K771" s="10" t="s">
        <v>12</v>
      </c>
    </row>
    <row r="772" spans="1:11" x14ac:dyDescent="0.25">
      <c r="A772" s="1">
        <v>768</v>
      </c>
      <c r="B772" s="7" t="str">
        <f t="shared" si="117"/>
        <v>Ср</v>
      </c>
      <c r="C772" s="8">
        <v>45980</v>
      </c>
      <c r="D772" s="9"/>
      <c r="E772" s="10"/>
      <c r="F772" s="11"/>
      <c r="G772" s="12"/>
      <c r="H772" s="11">
        <v>13700</v>
      </c>
      <c r="I772" s="10" t="s">
        <v>12</v>
      </c>
      <c r="J772" s="11"/>
      <c r="K772" s="12"/>
    </row>
    <row r="773" spans="1:11" x14ac:dyDescent="0.25">
      <c r="A773" s="1">
        <v>769</v>
      </c>
      <c r="B773" s="7" t="str">
        <f t="shared" ref="B773:B781" si="118">IF(C773&lt;&gt;"",TEXT(C773,"ДДД"),"")</f>
        <v>Чт</v>
      </c>
      <c r="C773" s="8">
        <v>45981</v>
      </c>
      <c r="D773" s="9">
        <v>4300</v>
      </c>
      <c r="E773" s="10" t="s">
        <v>12</v>
      </c>
      <c r="F773" s="11">
        <v>6800</v>
      </c>
      <c r="G773" s="10" t="s">
        <v>12</v>
      </c>
      <c r="H773" s="11">
        <v>3000</v>
      </c>
      <c r="I773" s="10" t="s">
        <v>12</v>
      </c>
      <c r="J773" s="11">
        <f>6800+12900</f>
        <v>19700</v>
      </c>
      <c r="K773" s="10" t="s">
        <v>12</v>
      </c>
    </row>
    <row r="774" spans="1:11" x14ac:dyDescent="0.25">
      <c r="A774" s="1">
        <v>770</v>
      </c>
      <c r="B774" s="7" t="str">
        <f t="shared" ref="B774" si="119">IF(C774&lt;&gt;"",TEXT(C774,"ДДД"),"")</f>
        <v>Чт</v>
      </c>
      <c r="C774" s="8">
        <v>45981</v>
      </c>
      <c r="D774" s="9">
        <v>11500</v>
      </c>
      <c r="E774" s="10" t="s">
        <v>11</v>
      </c>
      <c r="F774" s="11">
        <v>6700</v>
      </c>
      <c r="G774" s="10" t="s">
        <v>11</v>
      </c>
      <c r="H774" s="11">
        <v>4400</v>
      </c>
      <c r="I774" s="10" t="s">
        <v>11</v>
      </c>
      <c r="J774" s="11">
        <v>9700</v>
      </c>
      <c r="K774" s="10" t="s">
        <v>11</v>
      </c>
    </row>
    <row r="775" spans="1:11" x14ac:dyDescent="0.25">
      <c r="A775" s="1">
        <v>771</v>
      </c>
      <c r="B775" s="7" t="str">
        <f t="shared" si="118"/>
        <v>Пт</v>
      </c>
      <c r="C775" s="8">
        <v>45982</v>
      </c>
      <c r="D775" s="9"/>
      <c r="E775" s="10"/>
      <c r="F775" s="11"/>
      <c r="G775" s="12"/>
      <c r="H775" s="11"/>
      <c r="I775" s="12"/>
      <c r="J775" s="11"/>
      <c r="K775" s="12"/>
    </row>
    <row r="776" spans="1:11" x14ac:dyDescent="0.25">
      <c r="A776" s="1">
        <v>772</v>
      </c>
      <c r="B776" s="7" t="str">
        <f t="shared" si="118"/>
        <v>Сб</v>
      </c>
      <c r="C776" s="8">
        <v>45983</v>
      </c>
      <c r="D776" s="9"/>
      <c r="E776" s="10"/>
      <c r="F776" s="11"/>
      <c r="G776" s="12"/>
      <c r="H776" s="11">
        <v>4400</v>
      </c>
      <c r="I776" s="10" t="s">
        <v>12</v>
      </c>
      <c r="J776" s="11">
        <v>4300</v>
      </c>
      <c r="K776" s="10" t="s">
        <v>12</v>
      </c>
    </row>
    <row r="777" spans="1:11" x14ac:dyDescent="0.25">
      <c r="A777" s="1">
        <v>773</v>
      </c>
      <c r="B777" s="7" t="str">
        <f t="shared" si="118"/>
        <v>Вс</v>
      </c>
      <c r="C777" s="8">
        <v>45984</v>
      </c>
      <c r="D777" s="9"/>
      <c r="E777" s="10"/>
      <c r="F777" s="11"/>
      <c r="G777" s="12"/>
      <c r="H777" s="11"/>
      <c r="I777" s="12"/>
      <c r="J777" s="11"/>
      <c r="K777" s="12"/>
    </row>
    <row r="778" spans="1:11" x14ac:dyDescent="0.25">
      <c r="A778" s="1">
        <v>774</v>
      </c>
      <c r="B778" s="7" t="str">
        <f t="shared" si="118"/>
        <v>Пн</v>
      </c>
      <c r="C778" s="8">
        <v>45985</v>
      </c>
      <c r="D778" s="9"/>
      <c r="E778" s="10"/>
      <c r="F778" s="11"/>
      <c r="G778" s="12"/>
      <c r="H778" s="11"/>
      <c r="I778" s="12"/>
      <c r="J778" s="11"/>
      <c r="K778" s="12"/>
    </row>
    <row r="779" spans="1:11" x14ac:dyDescent="0.25">
      <c r="A779" s="1">
        <v>775</v>
      </c>
      <c r="B779" s="7" t="str">
        <f t="shared" si="118"/>
        <v>Вт</v>
      </c>
      <c r="C779" s="8">
        <v>45986</v>
      </c>
      <c r="D779" s="9">
        <v>5300</v>
      </c>
      <c r="E779" s="10" t="s">
        <v>12</v>
      </c>
      <c r="F779" s="11">
        <v>7100</v>
      </c>
      <c r="G779" s="10" t="s">
        <v>12</v>
      </c>
      <c r="H779" s="11">
        <v>17400</v>
      </c>
      <c r="I779" s="10" t="s">
        <v>12</v>
      </c>
      <c r="J779" s="11">
        <v>10700</v>
      </c>
      <c r="K779" s="10" t="s">
        <v>12</v>
      </c>
    </row>
    <row r="780" spans="1:11" x14ac:dyDescent="0.25">
      <c r="A780" s="1">
        <v>776</v>
      </c>
      <c r="B780" s="7" t="str">
        <f t="shared" si="118"/>
        <v>Ср</v>
      </c>
      <c r="C780" s="8">
        <v>45987</v>
      </c>
      <c r="D780" s="9"/>
      <c r="E780" s="10"/>
      <c r="F780" s="11"/>
      <c r="G780" s="12"/>
      <c r="H780" s="11">
        <v>3300</v>
      </c>
      <c r="I780" s="10" t="s">
        <v>12</v>
      </c>
      <c r="J780" s="11">
        <v>9900</v>
      </c>
      <c r="K780" s="10" t="s">
        <v>12</v>
      </c>
    </row>
    <row r="781" spans="1:11" x14ac:dyDescent="0.25">
      <c r="A781" s="1">
        <v>777</v>
      </c>
      <c r="B781" s="7" t="str">
        <f t="shared" si="118"/>
        <v>Чт</v>
      </c>
      <c r="C781" s="8">
        <v>45988</v>
      </c>
      <c r="D781" s="9">
        <v>1600</v>
      </c>
      <c r="E781" s="10" t="s">
        <v>12</v>
      </c>
      <c r="F781" s="11">
        <v>2000</v>
      </c>
      <c r="G781" s="10" t="s">
        <v>12</v>
      </c>
      <c r="H781" s="11">
        <v>5000</v>
      </c>
      <c r="I781" s="10" t="s">
        <v>12</v>
      </c>
      <c r="J781" s="11"/>
      <c r="K781" s="12"/>
    </row>
    <row r="782" spans="1:11" x14ac:dyDescent="0.25">
      <c r="A782" s="1">
        <v>778</v>
      </c>
      <c r="B782" s="7" t="str">
        <f t="shared" ref="B782" si="120">IF(C782&lt;&gt;"",TEXT(C782,"ДДД"),"")</f>
        <v>Чт</v>
      </c>
      <c r="C782" s="8">
        <v>45988</v>
      </c>
      <c r="D782" s="9">
        <v>2300</v>
      </c>
      <c r="E782" s="10" t="s">
        <v>11</v>
      </c>
      <c r="F782" s="11">
        <v>5400</v>
      </c>
      <c r="G782" s="10" t="s">
        <v>11</v>
      </c>
      <c r="H782" s="11">
        <v>3600</v>
      </c>
      <c r="I782" s="10" t="s">
        <v>11</v>
      </c>
      <c r="J782" s="11">
        <v>6800</v>
      </c>
      <c r="K782" s="10" t="s">
        <v>11</v>
      </c>
    </row>
    <row r="783" spans="1:11" x14ac:dyDescent="0.25">
      <c r="A783" s="1">
        <v>779</v>
      </c>
      <c r="B783" s="7" t="str">
        <f t="shared" ref="B783:B786" si="121">IF(C783&lt;&gt;"",TEXT(C783,"ДДД"),"")</f>
        <v>Пт</v>
      </c>
      <c r="C783" s="8">
        <v>45989</v>
      </c>
      <c r="D783" s="9"/>
      <c r="E783" s="10"/>
      <c r="F783" s="11"/>
      <c r="G783" s="12"/>
      <c r="H783" s="11"/>
      <c r="I783" s="12"/>
      <c r="J783" s="11"/>
      <c r="K783" s="12"/>
    </row>
    <row r="784" spans="1:11" x14ac:dyDescent="0.25">
      <c r="A784" s="1">
        <v>780</v>
      </c>
      <c r="B784" s="7" t="str">
        <f t="shared" si="121"/>
        <v>Сб</v>
      </c>
      <c r="C784" s="8">
        <v>45990</v>
      </c>
      <c r="D784" s="9"/>
      <c r="E784" s="10"/>
      <c r="F784" s="11"/>
      <c r="G784" s="12"/>
      <c r="H784" s="11">
        <v>3500</v>
      </c>
      <c r="I784" s="10" t="s">
        <v>12</v>
      </c>
      <c r="J784" s="11">
        <v>4200</v>
      </c>
      <c r="K784" s="10" t="s">
        <v>12</v>
      </c>
    </row>
    <row r="785" spans="1:11" x14ac:dyDescent="0.25">
      <c r="A785" s="1">
        <v>781</v>
      </c>
      <c r="B785" s="7" t="str">
        <f t="shared" si="121"/>
        <v>Вс</v>
      </c>
      <c r="C785" s="8">
        <v>45991</v>
      </c>
      <c r="D785" s="9"/>
      <c r="E785" s="10"/>
      <c r="F785" s="11"/>
      <c r="G785" s="12"/>
      <c r="H785" s="11"/>
      <c r="I785" s="12"/>
      <c r="J785" s="11"/>
      <c r="K785" s="12"/>
    </row>
    <row r="786" spans="1:11" x14ac:dyDescent="0.25">
      <c r="A786" s="1">
        <v>782</v>
      </c>
      <c r="B786" s="7" t="str">
        <f t="shared" si="121"/>
        <v>Пн</v>
      </c>
      <c r="C786" s="8">
        <v>45992</v>
      </c>
      <c r="D786" s="9"/>
      <c r="E786" s="10"/>
      <c r="F786" s="11"/>
      <c r="G786" s="12"/>
      <c r="H786" s="11"/>
      <c r="I786" s="12"/>
      <c r="J786" s="11"/>
      <c r="K786" s="12"/>
    </row>
    <row r="787" spans="1:11" x14ac:dyDescent="0.25">
      <c r="A787" s="1">
        <v>783</v>
      </c>
      <c r="B787" s="7" t="str">
        <f t="shared" ref="B787:B793" si="122">IF(C787&lt;&gt;"",TEXT(C787,"ДДД"),"")</f>
        <v>Вт</v>
      </c>
      <c r="C787" s="8">
        <v>45993</v>
      </c>
      <c r="D787" s="9">
        <v>2700</v>
      </c>
      <c r="E787" s="10" t="s">
        <v>12</v>
      </c>
      <c r="F787" s="11">
        <v>3500</v>
      </c>
      <c r="G787" s="10" t="s">
        <v>12</v>
      </c>
      <c r="H787" s="11">
        <v>13900</v>
      </c>
      <c r="I787" s="10" t="s">
        <v>12</v>
      </c>
      <c r="J787" s="11">
        <v>12600</v>
      </c>
      <c r="K787" s="10" t="s">
        <v>12</v>
      </c>
    </row>
    <row r="788" spans="1:11" x14ac:dyDescent="0.25">
      <c r="A788" s="1">
        <v>784</v>
      </c>
      <c r="B788" s="7" t="str">
        <f t="shared" si="122"/>
        <v>Ср</v>
      </c>
      <c r="C788" s="8">
        <v>45994</v>
      </c>
      <c r="D788" s="9"/>
      <c r="E788" s="10"/>
      <c r="F788" s="11"/>
      <c r="G788" s="12"/>
      <c r="H788" s="11">
        <v>11500</v>
      </c>
      <c r="I788" s="10" t="s">
        <v>12</v>
      </c>
      <c r="J788" s="11"/>
      <c r="K788" s="12"/>
    </row>
    <row r="789" spans="1:11" x14ac:dyDescent="0.25">
      <c r="A789" s="1">
        <v>785</v>
      </c>
      <c r="B789" s="7" t="str">
        <f t="shared" si="122"/>
        <v>Чт</v>
      </c>
      <c r="C789" s="8">
        <v>45995</v>
      </c>
      <c r="D789" s="9">
        <f>1000+2900</f>
        <v>3900</v>
      </c>
      <c r="E789" s="10" t="s">
        <v>12</v>
      </c>
      <c r="F789" s="11">
        <f>500+4600</f>
        <v>5100</v>
      </c>
      <c r="G789" s="10" t="s">
        <v>12</v>
      </c>
      <c r="H789" s="11">
        <v>9500</v>
      </c>
      <c r="I789" s="10" t="s">
        <v>12</v>
      </c>
      <c r="J789" s="11">
        <f>3500+16000</f>
        <v>19500</v>
      </c>
      <c r="K789" s="10" t="s">
        <v>12</v>
      </c>
    </row>
    <row r="790" spans="1:11" x14ac:dyDescent="0.25">
      <c r="A790" s="1">
        <v>786</v>
      </c>
      <c r="B790" s="7" t="str">
        <f t="shared" ref="B790" si="123">IF(C790&lt;&gt;"",TEXT(C790,"ДДД"),"")</f>
        <v>Чт</v>
      </c>
      <c r="C790" s="8">
        <v>45995</v>
      </c>
      <c r="D790" s="9">
        <v>6100</v>
      </c>
      <c r="E790" s="10" t="s">
        <v>11</v>
      </c>
      <c r="F790" s="11">
        <v>4900</v>
      </c>
      <c r="G790" s="10" t="s">
        <v>11</v>
      </c>
      <c r="H790" s="11">
        <v>4300</v>
      </c>
      <c r="I790" s="10" t="s">
        <v>11</v>
      </c>
      <c r="J790" s="11">
        <v>5900</v>
      </c>
      <c r="K790" s="10" t="s">
        <v>11</v>
      </c>
    </row>
    <row r="791" spans="1:11" x14ac:dyDescent="0.25">
      <c r="A791" s="1">
        <v>787</v>
      </c>
      <c r="B791" s="7" t="str">
        <f t="shared" si="122"/>
        <v>Пт</v>
      </c>
      <c r="C791" s="8">
        <v>45996</v>
      </c>
      <c r="D791" s="9"/>
      <c r="E791" s="10"/>
      <c r="F791" s="11"/>
      <c r="G791" s="12"/>
      <c r="H791" s="11"/>
      <c r="I791" s="12"/>
      <c r="J791" s="11"/>
      <c r="K791" s="12"/>
    </row>
    <row r="792" spans="1:11" x14ac:dyDescent="0.25">
      <c r="A792" s="1">
        <v>788</v>
      </c>
      <c r="B792" s="7" t="str">
        <f t="shared" si="122"/>
        <v>Сб</v>
      </c>
      <c r="C792" s="8">
        <v>45997</v>
      </c>
      <c r="D792" s="9"/>
      <c r="E792" s="10"/>
      <c r="F792" s="11"/>
      <c r="G792" s="12"/>
      <c r="H792" s="11">
        <v>6100</v>
      </c>
      <c r="I792" s="10" t="s">
        <v>12</v>
      </c>
      <c r="J792" s="11">
        <v>6000</v>
      </c>
      <c r="K792" s="10" t="s">
        <v>12</v>
      </c>
    </row>
    <row r="793" spans="1:11" x14ac:dyDescent="0.25">
      <c r="A793" s="1">
        <v>789</v>
      </c>
      <c r="B793" s="7" t="str">
        <f t="shared" si="122"/>
        <v>Вс</v>
      </c>
      <c r="C793" s="8">
        <v>45998</v>
      </c>
      <c r="D793" s="9"/>
      <c r="E793" s="10"/>
      <c r="F793" s="11"/>
      <c r="G793" s="12"/>
      <c r="H793" s="11"/>
      <c r="I793" s="12"/>
      <c r="J793" s="11"/>
      <c r="K793" s="12"/>
    </row>
    <row r="794" spans="1:11" x14ac:dyDescent="0.25">
      <c r="A794" s="1">
        <v>790</v>
      </c>
      <c r="B794" s="7" t="str">
        <f t="shared" ref="B794" si="124">IF(C794&lt;&gt;"",TEXT(C794,"ДДД"),"")</f>
        <v>Пн</v>
      </c>
      <c r="C794" s="8">
        <v>45999</v>
      </c>
      <c r="D794" s="9"/>
      <c r="E794" s="10"/>
      <c r="F794" s="11"/>
      <c r="G794" s="12"/>
      <c r="H794" s="11"/>
      <c r="I794" s="12"/>
      <c r="J794" s="11"/>
      <c r="K794" s="12"/>
    </row>
    <row r="795" spans="1:11" x14ac:dyDescent="0.25">
      <c r="A795" s="1">
        <v>791</v>
      </c>
      <c r="B795" s="7" t="str">
        <f t="shared" ref="B795:B802" si="125">IF(C795&lt;&gt;"",TEXT(C795,"ДДД"),"")</f>
        <v>Вт</v>
      </c>
      <c r="C795" s="8">
        <v>46000</v>
      </c>
      <c r="D795" s="9">
        <v>5600</v>
      </c>
      <c r="E795" s="10" t="s">
        <v>12</v>
      </c>
      <c r="F795" s="11">
        <v>6000</v>
      </c>
      <c r="G795" s="10" t="s">
        <v>12</v>
      </c>
      <c r="H795" s="11">
        <v>7100</v>
      </c>
      <c r="I795" s="10" t="s">
        <v>12</v>
      </c>
      <c r="J795" s="11">
        <v>8700</v>
      </c>
      <c r="K795" s="10" t="s">
        <v>12</v>
      </c>
    </row>
    <row r="796" spans="1:11" x14ac:dyDescent="0.25">
      <c r="A796" s="1">
        <v>792</v>
      </c>
      <c r="B796" s="7" t="str">
        <f t="shared" si="125"/>
        <v>Ср</v>
      </c>
      <c r="C796" s="8">
        <v>46001</v>
      </c>
      <c r="D796" s="9"/>
      <c r="E796" s="10"/>
      <c r="F796" s="11"/>
      <c r="G796" s="12"/>
      <c r="H796" s="11">
        <v>10700</v>
      </c>
      <c r="I796" s="10" t="s">
        <v>12</v>
      </c>
      <c r="J796" s="11"/>
      <c r="K796" s="12"/>
    </row>
    <row r="797" spans="1:11" x14ac:dyDescent="0.25">
      <c r="A797" s="1">
        <v>793</v>
      </c>
      <c r="B797" s="7" t="str">
        <f t="shared" si="125"/>
        <v>Чт</v>
      </c>
      <c r="C797" s="8">
        <v>46002</v>
      </c>
      <c r="D797" s="9">
        <v>3500</v>
      </c>
      <c r="E797" s="10" t="s">
        <v>12</v>
      </c>
      <c r="F797" s="11">
        <v>3700</v>
      </c>
      <c r="G797" s="10" t="s">
        <v>12</v>
      </c>
      <c r="H797" s="11"/>
      <c r="I797" s="12"/>
      <c r="J797" s="11">
        <f>6000+3900</f>
        <v>9900</v>
      </c>
      <c r="K797" s="10" t="s">
        <v>12</v>
      </c>
    </row>
    <row r="798" spans="1:11" x14ac:dyDescent="0.25">
      <c r="A798" s="1">
        <v>794</v>
      </c>
      <c r="B798" s="7" t="str">
        <f t="shared" ref="B798" si="126">IF(C798&lt;&gt;"",TEXT(C798,"ДДД"),"")</f>
        <v>Чт</v>
      </c>
      <c r="C798" s="8">
        <v>46002</v>
      </c>
      <c r="D798" s="9">
        <v>12200</v>
      </c>
      <c r="E798" s="10" t="s">
        <v>11</v>
      </c>
      <c r="F798" s="11">
        <v>8600</v>
      </c>
      <c r="G798" s="10" t="s">
        <v>11</v>
      </c>
      <c r="H798" s="11">
        <v>5800</v>
      </c>
      <c r="I798" s="10" t="s">
        <v>11</v>
      </c>
      <c r="J798" s="11">
        <f>5000+1900</f>
        <v>6900</v>
      </c>
      <c r="K798" s="10" t="s">
        <v>11</v>
      </c>
    </row>
    <row r="799" spans="1:11" x14ac:dyDescent="0.25">
      <c r="A799" s="1">
        <v>795</v>
      </c>
      <c r="B799" s="7" t="str">
        <f t="shared" si="125"/>
        <v>Пт</v>
      </c>
      <c r="C799" s="8">
        <v>46003</v>
      </c>
      <c r="D799" s="9"/>
      <c r="E799" s="10"/>
      <c r="F799" s="11"/>
      <c r="G799" s="12"/>
      <c r="H799" s="11"/>
      <c r="I799" s="12"/>
      <c r="J799" s="11"/>
      <c r="K799" s="12"/>
    </row>
    <row r="800" spans="1:11" x14ac:dyDescent="0.25">
      <c r="A800" s="1">
        <v>796</v>
      </c>
      <c r="B800" s="7" t="str">
        <f t="shared" si="125"/>
        <v>Сб</v>
      </c>
      <c r="C800" s="8">
        <v>46004</v>
      </c>
      <c r="D800" s="9"/>
      <c r="E800" s="10"/>
      <c r="F800" s="11"/>
      <c r="G800" s="12"/>
      <c r="H800" s="11"/>
      <c r="I800" s="12"/>
      <c r="J800" s="11"/>
      <c r="K800" s="12"/>
    </row>
    <row r="801" spans="1:11" x14ac:dyDescent="0.25">
      <c r="A801" s="1">
        <v>797</v>
      </c>
      <c r="B801" s="7" t="str">
        <f t="shared" si="125"/>
        <v>Вс</v>
      </c>
      <c r="C801" s="8">
        <v>46005</v>
      </c>
      <c r="D801" s="9"/>
      <c r="E801" s="10"/>
      <c r="F801" s="11"/>
      <c r="G801" s="12"/>
      <c r="H801" s="11"/>
      <c r="I801" s="12"/>
      <c r="J801" s="11"/>
      <c r="K801" s="12"/>
    </row>
    <row r="802" spans="1:11" x14ac:dyDescent="0.25">
      <c r="A802" s="1">
        <v>798</v>
      </c>
      <c r="B802" s="7" t="str">
        <f t="shared" si="125"/>
        <v>Пн</v>
      </c>
      <c r="C802" s="8">
        <v>46006</v>
      </c>
      <c r="D802" s="9"/>
      <c r="E802" s="10"/>
      <c r="F802" s="11"/>
      <c r="G802" s="12"/>
      <c r="H802" s="11"/>
      <c r="I802" s="12"/>
      <c r="J802" s="11"/>
      <c r="K802" s="12"/>
    </row>
    <row r="803" spans="1:11" x14ac:dyDescent="0.25">
      <c r="A803" s="1">
        <v>799</v>
      </c>
      <c r="B803" s="7" t="str">
        <f t="shared" ref="B803:B808" si="127">IF(C803&lt;&gt;"",TEXT(C803,"ДДД"),"")</f>
        <v>Вт</v>
      </c>
      <c r="C803" s="8">
        <v>46007</v>
      </c>
      <c r="D803" s="9">
        <v>3200</v>
      </c>
      <c r="E803" s="10" t="s">
        <v>12</v>
      </c>
      <c r="F803" s="11">
        <v>3400</v>
      </c>
      <c r="G803" s="10" t="s">
        <v>12</v>
      </c>
      <c r="H803" s="11">
        <f>17100+4400</f>
        <v>21500</v>
      </c>
      <c r="I803" s="10" t="s">
        <v>12</v>
      </c>
      <c r="J803" s="11">
        <f>9400+4200</f>
        <v>13600</v>
      </c>
      <c r="K803" s="10" t="s">
        <v>12</v>
      </c>
    </row>
    <row r="804" spans="1:11" x14ac:dyDescent="0.25">
      <c r="A804" s="1">
        <v>800</v>
      </c>
      <c r="B804" s="7" t="str">
        <f t="shared" si="127"/>
        <v>Ср</v>
      </c>
      <c r="C804" s="8">
        <v>46008</v>
      </c>
      <c r="D804" s="9"/>
      <c r="E804" s="10"/>
      <c r="F804" s="11"/>
      <c r="G804" s="12"/>
      <c r="H804" s="11"/>
      <c r="I804" s="12"/>
      <c r="J804" s="11">
        <v>9200</v>
      </c>
      <c r="K804" s="10" t="s">
        <v>12</v>
      </c>
    </row>
    <row r="805" spans="1:11" x14ac:dyDescent="0.25">
      <c r="A805" s="1">
        <v>801</v>
      </c>
      <c r="B805" s="7" t="str">
        <f t="shared" si="127"/>
        <v>Чт</v>
      </c>
      <c r="C805" s="8">
        <v>46009</v>
      </c>
      <c r="D805" s="9">
        <v>3100</v>
      </c>
      <c r="E805" s="10" t="s">
        <v>12</v>
      </c>
      <c r="F805" s="11">
        <v>2400</v>
      </c>
      <c r="G805" s="10" t="s">
        <v>12</v>
      </c>
      <c r="H805" s="11">
        <v>12200</v>
      </c>
      <c r="I805" s="10" t="s">
        <v>12</v>
      </c>
      <c r="J805" s="11">
        <v>1200</v>
      </c>
      <c r="K805" s="10" t="s">
        <v>12</v>
      </c>
    </row>
    <row r="806" spans="1:11" x14ac:dyDescent="0.25">
      <c r="A806" s="1">
        <v>802</v>
      </c>
      <c r="B806" s="7" t="str">
        <f t="shared" ref="B806" si="128">IF(C806&lt;&gt;"",TEXT(C806,"ДДД"),"")</f>
        <v>Чт</v>
      </c>
      <c r="C806" s="8">
        <v>46009</v>
      </c>
      <c r="D806" s="9">
        <v>7900</v>
      </c>
      <c r="E806" s="10" t="s">
        <v>11</v>
      </c>
      <c r="F806" s="11">
        <v>3200</v>
      </c>
      <c r="G806" s="10" t="s">
        <v>11</v>
      </c>
      <c r="H806" s="11">
        <v>4600</v>
      </c>
      <c r="I806" s="10" t="s">
        <v>11</v>
      </c>
      <c r="J806" s="11">
        <v>11000</v>
      </c>
      <c r="K806" s="10" t="s">
        <v>11</v>
      </c>
    </row>
    <row r="807" spans="1:11" x14ac:dyDescent="0.25">
      <c r="A807" s="1">
        <v>803</v>
      </c>
      <c r="B807" s="7" t="str">
        <f t="shared" si="127"/>
        <v>Пт</v>
      </c>
      <c r="C807" s="8">
        <v>46010</v>
      </c>
      <c r="D807" s="9"/>
      <c r="E807" s="10"/>
      <c r="F807" s="11"/>
      <c r="G807" s="12"/>
      <c r="H807" s="11"/>
      <c r="I807" s="12"/>
      <c r="J807" s="11"/>
      <c r="K807" s="12"/>
    </row>
    <row r="808" spans="1:11" x14ac:dyDescent="0.25">
      <c r="A808" s="1">
        <v>804</v>
      </c>
      <c r="B808" s="7" t="str">
        <f t="shared" si="127"/>
        <v>Сб</v>
      </c>
      <c r="C808" s="8">
        <v>46011</v>
      </c>
      <c r="D808" s="9"/>
      <c r="E808" s="10"/>
      <c r="F808" s="11"/>
      <c r="G808" s="12"/>
      <c r="H808" s="11">
        <v>3400</v>
      </c>
      <c r="I808" s="10" t="s">
        <v>12</v>
      </c>
      <c r="J808" s="11">
        <v>6700</v>
      </c>
      <c r="K808" s="10" t="s">
        <v>12</v>
      </c>
    </row>
    <row r="809" spans="1:11" x14ac:dyDescent="0.25">
      <c r="A809" s="1">
        <v>805</v>
      </c>
      <c r="B809" s="7" t="str">
        <f t="shared" ref="B809:B812" si="129">IF(C809&lt;&gt;"",TEXT(C809,"ДДД"),"")</f>
        <v>Вс</v>
      </c>
      <c r="C809" s="8">
        <v>46012</v>
      </c>
      <c r="D809" s="9"/>
      <c r="E809" s="10"/>
      <c r="F809" s="11"/>
      <c r="G809" s="12"/>
      <c r="H809" s="11"/>
      <c r="I809" s="12"/>
      <c r="J809" s="11"/>
      <c r="K809" s="12"/>
    </row>
    <row r="810" spans="1:11" x14ac:dyDescent="0.25">
      <c r="A810" s="1">
        <v>806</v>
      </c>
      <c r="B810" s="7" t="str">
        <f t="shared" si="129"/>
        <v>Пн</v>
      </c>
      <c r="C810" s="8">
        <v>46013</v>
      </c>
      <c r="D810" s="9"/>
      <c r="E810" s="10"/>
      <c r="F810" s="11"/>
      <c r="G810" s="12"/>
      <c r="H810" s="11"/>
      <c r="I810" s="12"/>
      <c r="J810" s="11"/>
      <c r="K810" s="12"/>
    </row>
    <row r="811" spans="1:11" x14ac:dyDescent="0.25">
      <c r="A811" s="1">
        <v>807</v>
      </c>
      <c r="B811" s="7" t="str">
        <f t="shared" si="129"/>
        <v>Вт</v>
      </c>
      <c r="C811" s="8">
        <v>46014</v>
      </c>
      <c r="D811" s="9">
        <v>7800</v>
      </c>
      <c r="E811" s="10" t="s">
        <v>12</v>
      </c>
      <c r="F811" s="11">
        <v>9800</v>
      </c>
      <c r="G811" s="10" t="s">
        <v>12</v>
      </c>
      <c r="H811" s="11">
        <v>17700</v>
      </c>
      <c r="I811" s="10" t="s">
        <v>12</v>
      </c>
      <c r="J811" s="11">
        <v>17500</v>
      </c>
      <c r="K811" s="10" t="s">
        <v>12</v>
      </c>
    </row>
    <row r="812" spans="1:11" x14ac:dyDescent="0.25">
      <c r="A812" s="1">
        <v>808</v>
      </c>
      <c r="B812" s="7" t="str">
        <f t="shared" si="129"/>
        <v>Ср</v>
      </c>
      <c r="C812" s="8">
        <v>46015</v>
      </c>
      <c r="D812" s="9"/>
      <c r="E812" s="10"/>
      <c r="F812" s="11"/>
      <c r="G812" s="12"/>
      <c r="H812" s="11">
        <v>9000</v>
      </c>
      <c r="I812" s="10" t="s">
        <v>12</v>
      </c>
      <c r="J812" s="11"/>
      <c r="K812" s="12"/>
    </row>
    <row r="813" spans="1:11" x14ac:dyDescent="0.25">
      <c r="A813" s="1">
        <v>809</v>
      </c>
      <c r="B813" s="7" t="str">
        <f t="shared" ref="B813:B816" si="130">IF(C813&lt;&gt;"",TEXT(C813,"ДДД"),"")</f>
        <v>Чт</v>
      </c>
      <c r="C813" s="8">
        <v>46016</v>
      </c>
      <c r="D813" s="9">
        <v>4900</v>
      </c>
      <c r="E813" s="10" t="s">
        <v>12</v>
      </c>
      <c r="F813" s="11">
        <f>3500+2100</f>
        <v>5600</v>
      </c>
      <c r="G813" s="10" t="s">
        <v>12</v>
      </c>
      <c r="H813" s="11">
        <v>5000</v>
      </c>
      <c r="I813" s="10" t="s">
        <v>12</v>
      </c>
      <c r="J813" s="11">
        <v>15400</v>
      </c>
      <c r="K813" s="10" t="s">
        <v>12</v>
      </c>
    </row>
    <row r="814" spans="1:11" x14ac:dyDescent="0.25">
      <c r="A814" s="1">
        <v>810</v>
      </c>
      <c r="B814" s="7" t="str">
        <f t="shared" ref="B814" si="131">IF(C814&lt;&gt;"",TEXT(C814,"ДДД"),"")</f>
        <v>Чт</v>
      </c>
      <c r="C814" s="8">
        <v>46016</v>
      </c>
      <c r="D814" s="9">
        <f>11100+2200</f>
        <v>13300</v>
      </c>
      <c r="E814" s="10" t="s">
        <v>11</v>
      </c>
      <c r="F814" s="11">
        <v>9500</v>
      </c>
      <c r="G814" s="10" t="s">
        <v>11</v>
      </c>
      <c r="H814" s="11">
        <v>7000</v>
      </c>
      <c r="I814" s="10" t="s">
        <v>11</v>
      </c>
      <c r="J814" s="11">
        <v>9000</v>
      </c>
      <c r="K814" s="10" t="s">
        <v>11</v>
      </c>
    </row>
    <row r="815" spans="1:11" x14ac:dyDescent="0.25">
      <c r="A815" s="1">
        <v>811</v>
      </c>
      <c r="B815" s="7" t="str">
        <f t="shared" si="130"/>
        <v>Пт</v>
      </c>
      <c r="C815" s="8">
        <v>46017</v>
      </c>
      <c r="D815" s="9"/>
      <c r="E815" s="10"/>
      <c r="F815" s="11"/>
      <c r="G815" s="12"/>
      <c r="H815" s="11"/>
      <c r="I815" s="12"/>
      <c r="J815" s="11"/>
      <c r="K815" s="12"/>
    </row>
    <row r="816" spans="1:11" x14ac:dyDescent="0.25">
      <c r="A816" s="1">
        <v>812</v>
      </c>
      <c r="B816" s="7" t="str">
        <f t="shared" si="130"/>
        <v>Сб</v>
      </c>
      <c r="C816" s="8">
        <v>46018</v>
      </c>
      <c r="D816" s="9"/>
      <c r="E816" s="10"/>
      <c r="F816" s="11"/>
      <c r="G816" s="12"/>
      <c r="H816" s="11"/>
      <c r="I816" s="12"/>
      <c r="J816" s="11"/>
      <c r="K816" s="12"/>
    </row>
    <row r="817" spans="1:11" x14ac:dyDescent="0.25">
      <c r="A817" s="1">
        <v>813</v>
      </c>
      <c r="B817" s="7" t="str">
        <f t="shared" ref="B817:B827" si="132">IF(C817&lt;&gt;"",TEXT(C817,"ДДД"),"")</f>
        <v>Вс</v>
      </c>
      <c r="C817" s="8">
        <v>46019</v>
      </c>
      <c r="D817" s="9"/>
      <c r="E817" s="10"/>
      <c r="F817" s="11"/>
      <c r="G817" s="12"/>
      <c r="H817" s="11"/>
      <c r="I817" s="12"/>
      <c r="J817" s="11"/>
      <c r="K817" s="12"/>
    </row>
    <row r="818" spans="1:11" x14ac:dyDescent="0.25">
      <c r="A818" s="1">
        <v>814</v>
      </c>
      <c r="B818" s="7" t="str">
        <f t="shared" si="132"/>
        <v>Пн</v>
      </c>
      <c r="C818" s="8">
        <v>46020</v>
      </c>
      <c r="D818" s="9"/>
      <c r="E818" s="10"/>
      <c r="F818" s="11"/>
      <c r="G818" s="12"/>
      <c r="H818" s="11"/>
      <c r="I818" s="12"/>
      <c r="J818" s="11"/>
      <c r="K818" s="12"/>
    </row>
    <row r="819" spans="1:11" x14ac:dyDescent="0.25">
      <c r="A819" s="1">
        <v>815</v>
      </c>
      <c r="B819" s="7" t="str">
        <f t="shared" si="132"/>
        <v>Вт</v>
      </c>
      <c r="C819" s="8">
        <v>46021</v>
      </c>
      <c r="D819" s="9"/>
      <c r="E819" s="10"/>
      <c r="F819" s="11"/>
      <c r="G819" s="12"/>
      <c r="H819" s="11"/>
      <c r="I819" s="12"/>
      <c r="J819" s="11"/>
      <c r="K819" s="12"/>
    </row>
    <row r="820" spans="1:11" x14ac:dyDescent="0.25">
      <c r="A820" s="1">
        <v>816</v>
      </c>
      <c r="B820" s="29" t="str">
        <f t="shared" si="132"/>
        <v>Ср</v>
      </c>
      <c r="C820" s="30">
        <v>46022</v>
      </c>
      <c r="D820" s="31"/>
      <c r="E820" s="32"/>
      <c r="F820" s="33"/>
      <c r="G820" s="34"/>
      <c r="H820" s="33"/>
      <c r="I820" s="34"/>
      <c r="J820" s="33"/>
      <c r="K820" s="34"/>
    </row>
    <row r="821" spans="1:11" x14ac:dyDescent="0.25">
      <c r="A821" s="1">
        <v>817</v>
      </c>
      <c r="B821" s="29" t="str">
        <f t="shared" si="132"/>
        <v>Чт</v>
      </c>
      <c r="C821" s="30">
        <v>46023</v>
      </c>
      <c r="D821" s="31"/>
      <c r="E821" s="32"/>
      <c r="F821" s="33"/>
      <c r="G821" s="34"/>
      <c r="H821" s="33"/>
      <c r="I821" s="34"/>
      <c r="J821" s="33"/>
      <c r="K821" s="34"/>
    </row>
    <row r="822" spans="1:11" x14ac:dyDescent="0.25">
      <c r="A822" s="1">
        <v>818</v>
      </c>
      <c r="B822" s="29" t="str">
        <f t="shared" si="132"/>
        <v>Пт</v>
      </c>
      <c r="C822" s="30">
        <v>46024</v>
      </c>
      <c r="D822" s="31"/>
      <c r="E822" s="32"/>
      <c r="F822" s="33"/>
      <c r="G822" s="34"/>
      <c r="H822" s="33"/>
      <c r="I822" s="34"/>
      <c r="J822" s="33"/>
      <c r="K822" s="34"/>
    </row>
    <row r="823" spans="1:11" x14ac:dyDescent="0.25">
      <c r="A823" s="1">
        <v>819</v>
      </c>
      <c r="B823" s="29" t="str">
        <f t="shared" si="132"/>
        <v>Сб</v>
      </c>
      <c r="C823" s="30">
        <v>46025</v>
      </c>
      <c r="D823" s="31"/>
      <c r="E823" s="32"/>
      <c r="F823" s="33"/>
      <c r="G823" s="34"/>
      <c r="H823" s="33"/>
      <c r="I823" s="34"/>
      <c r="J823" s="33"/>
      <c r="K823" s="34"/>
    </row>
    <row r="824" spans="1:11" x14ac:dyDescent="0.25">
      <c r="A824" s="1">
        <v>820</v>
      </c>
      <c r="B824" s="29" t="str">
        <f t="shared" si="132"/>
        <v>Вс</v>
      </c>
      <c r="C824" s="30">
        <v>46026</v>
      </c>
      <c r="D824" s="31"/>
      <c r="E824" s="32"/>
      <c r="F824" s="33"/>
      <c r="G824" s="34"/>
      <c r="H824" s="33"/>
      <c r="I824" s="34"/>
      <c r="J824" s="33"/>
      <c r="K824" s="34"/>
    </row>
    <row r="825" spans="1:11" x14ac:dyDescent="0.25">
      <c r="A825" s="1">
        <v>821</v>
      </c>
      <c r="B825" s="7" t="str">
        <f t="shared" si="132"/>
        <v>Пн</v>
      </c>
      <c r="C825" s="8">
        <v>46027</v>
      </c>
      <c r="D825" s="9"/>
      <c r="E825" s="10"/>
      <c r="F825" s="11"/>
      <c r="G825" s="12"/>
      <c r="H825" s="11"/>
      <c r="I825" s="12"/>
      <c r="J825" s="11"/>
      <c r="K825" s="12"/>
    </row>
    <row r="826" spans="1:11" x14ac:dyDescent="0.25">
      <c r="A826" s="1">
        <v>822</v>
      </c>
      <c r="B826" s="7" t="str">
        <f t="shared" si="132"/>
        <v>Вт</v>
      </c>
      <c r="C826" s="8">
        <v>46028</v>
      </c>
      <c r="D826" s="9">
        <v>7200</v>
      </c>
      <c r="E826" s="10" t="s">
        <v>12</v>
      </c>
      <c r="F826" s="11">
        <v>6300</v>
      </c>
      <c r="G826" s="10" t="s">
        <v>12</v>
      </c>
      <c r="H826" s="11">
        <f>10000+8500</f>
        <v>18500</v>
      </c>
      <c r="I826" s="10" t="s">
        <v>12</v>
      </c>
      <c r="J826" s="11">
        <f>10900+8700</f>
        <v>19600</v>
      </c>
      <c r="K826" s="10" t="s">
        <v>12</v>
      </c>
    </row>
    <row r="827" spans="1:11" x14ac:dyDescent="0.25">
      <c r="A827" s="1">
        <v>823</v>
      </c>
      <c r="B827" s="7" t="str">
        <f t="shared" si="132"/>
        <v>Ср</v>
      </c>
      <c r="C827" s="8">
        <v>46029</v>
      </c>
      <c r="D827" s="9"/>
      <c r="E827" s="10"/>
      <c r="F827" s="11"/>
      <c r="G827" s="12"/>
      <c r="H827" s="11">
        <v>4000</v>
      </c>
      <c r="I827" s="10" t="s">
        <v>12</v>
      </c>
      <c r="J827" s="11">
        <v>4000</v>
      </c>
      <c r="K827" s="10" t="s">
        <v>12</v>
      </c>
    </row>
    <row r="828" spans="1:11" x14ac:dyDescent="0.25">
      <c r="A828" s="1">
        <v>824</v>
      </c>
      <c r="B828" s="7" t="str">
        <f t="shared" ref="B828:B833" si="133">IF(C828&lt;&gt;"",TEXT(C828,"ДДД"),"")</f>
        <v>Чт</v>
      </c>
      <c r="C828" s="8">
        <v>46030</v>
      </c>
      <c r="D828" s="9">
        <v>7000</v>
      </c>
      <c r="E828" s="10" t="s">
        <v>12</v>
      </c>
      <c r="F828" s="11">
        <v>6200</v>
      </c>
      <c r="G828" s="12" t="s">
        <v>12</v>
      </c>
      <c r="H828" s="11">
        <f>10100+8500+2400</f>
        <v>21000</v>
      </c>
      <c r="I828" s="10" t="s">
        <v>12</v>
      </c>
      <c r="J828" s="11">
        <f>10900+8800</f>
        <v>19700</v>
      </c>
      <c r="K828" s="10" t="s">
        <v>12</v>
      </c>
    </row>
    <row r="829" spans="1:11" x14ac:dyDescent="0.25">
      <c r="A829" s="1">
        <v>825</v>
      </c>
      <c r="B829" s="7" t="str">
        <f t="shared" ref="B829" si="134">IF(C829&lt;&gt;"",TEXT(C829,"ДДД"),"")</f>
        <v>Чт</v>
      </c>
      <c r="C829" s="8">
        <v>46030</v>
      </c>
      <c r="D829" s="9">
        <v>5500</v>
      </c>
      <c r="E829" s="10" t="s">
        <v>11</v>
      </c>
      <c r="F829" s="11">
        <v>3500</v>
      </c>
      <c r="G829" s="10" t="s">
        <v>11</v>
      </c>
      <c r="H829" s="11">
        <v>2800</v>
      </c>
      <c r="I829" s="10" t="s">
        <v>11</v>
      </c>
      <c r="J829" s="11">
        <v>3500</v>
      </c>
      <c r="K829" s="10" t="s">
        <v>11</v>
      </c>
    </row>
    <row r="830" spans="1:11" x14ac:dyDescent="0.25">
      <c r="A830" s="1">
        <v>826</v>
      </c>
      <c r="B830" s="7" t="str">
        <f t="shared" si="133"/>
        <v>Пт</v>
      </c>
      <c r="C830" s="8">
        <v>46031</v>
      </c>
      <c r="D830" s="9"/>
      <c r="E830" s="10"/>
      <c r="F830" s="11"/>
      <c r="G830" s="12"/>
      <c r="H830" s="11"/>
      <c r="I830" s="12"/>
      <c r="J830" s="11"/>
      <c r="K830" s="12"/>
    </row>
    <row r="831" spans="1:11" x14ac:dyDescent="0.25">
      <c r="A831" s="1">
        <v>827</v>
      </c>
      <c r="B831" s="7" t="str">
        <f t="shared" si="133"/>
        <v>Сб</v>
      </c>
      <c r="C831" s="8">
        <v>46032</v>
      </c>
      <c r="D831" s="9"/>
      <c r="E831" s="10"/>
      <c r="F831" s="11"/>
      <c r="G831" s="12"/>
      <c r="H831" s="11"/>
      <c r="I831" s="12"/>
      <c r="J831" s="11"/>
      <c r="K831" s="12"/>
    </row>
    <row r="832" spans="1:11" x14ac:dyDescent="0.25">
      <c r="A832" s="1">
        <v>828</v>
      </c>
      <c r="B832" s="7" t="str">
        <f t="shared" si="133"/>
        <v>Вс</v>
      </c>
      <c r="C832" s="8">
        <v>46033</v>
      </c>
      <c r="D832" s="9"/>
      <c r="E832" s="10"/>
      <c r="F832" s="11"/>
      <c r="G832" s="12"/>
      <c r="H832" s="11"/>
      <c r="I832" s="12"/>
      <c r="J832" s="11"/>
      <c r="K832" s="12"/>
    </row>
    <row r="833" spans="1:11" x14ac:dyDescent="0.25">
      <c r="A833" s="1">
        <v>829</v>
      </c>
      <c r="B833" s="7" t="str">
        <f t="shared" si="133"/>
        <v>Пн</v>
      </c>
      <c r="C833" s="8">
        <v>46034</v>
      </c>
      <c r="D833" s="9"/>
      <c r="E833" s="10"/>
      <c r="F833" s="11"/>
      <c r="G833" s="12"/>
      <c r="H833" s="11"/>
      <c r="I833" s="12"/>
      <c r="J833" s="11"/>
      <c r="K833" s="12"/>
    </row>
    <row r="834" spans="1:11" x14ac:dyDescent="0.25">
      <c r="A834" s="1">
        <v>830</v>
      </c>
      <c r="B834" s="7" t="str">
        <f t="shared" ref="B834:B838" si="135">IF(C834&lt;&gt;"",TEXT(C834,"ДДД"),"")</f>
        <v>Вт</v>
      </c>
      <c r="C834" s="8">
        <v>46035</v>
      </c>
      <c r="D834" s="9">
        <v>1100</v>
      </c>
      <c r="E834" s="10" t="s">
        <v>12</v>
      </c>
      <c r="F834" s="11">
        <f>2000+4800</f>
        <v>6800</v>
      </c>
      <c r="G834" s="10" t="s">
        <v>12</v>
      </c>
      <c r="H834" s="11">
        <f>12400+6500</f>
        <v>18900</v>
      </c>
      <c r="I834" s="10" t="s">
        <v>12</v>
      </c>
      <c r="J834" s="11">
        <f>7300+14000</f>
        <v>21300</v>
      </c>
      <c r="K834" s="10" t="s">
        <v>12</v>
      </c>
    </row>
    <row r="835" spans="1:11" x14ac:dyDescent="0.25">
      <c r="A835" s="1">
        <v>831</v>
      </c>
      <c r="B835" s="7" t="str">
        <f t="shared" si="135"/>
        <v>Ср</v>
      </c>
      <c r="C835" s="8">
        <v>46036</v>
      </c>
      <c r="D835" s="9"/>
      <c r="E835" s="10"/>
      <c r="F835" s="11"/>
      <c r="G835" s="12"/>
      <c r="H835" s="11"/>
      <c r="I835" s="12"/>
      <c r="J835" s="11"/>
      <c r="K835" s="12"/>
    </row>
    <row r="836" spans="1:11" x14ac:dyDescent="0.25">
      <c r="A836" s="1">
        <v>832</v>
      </c>
      <c r="B836" s="7" t="str">
        <f t="shared" si="135"/>
        <v>Чт</v>
      </c>
      <c r="C836" s="8">
        <v>46037</v>
      </c>
      <c r="D836" s="9"/>
      <c r="E836" s="10"/>
      <c r="F836" s="11"/>
      <c r="G836" s="12"/>
      <c r="H836" s="11"/>
      <c r="I836" s="12"/>
      <c r="J836" s="11"/>
      <c r="K836" s="12"/>
    </row>
    <row r="837" spans="1:11" x14ac:dyDescent="0.25">
      <c r="A837" s="1">
        <v>833</v>
      </c>
      <c r="B837" s="7" t="str">
        <f t="shared" si="135"/>
        <v>Пт</v>
      </c>
      <c r="C837" s="8">
        <v>46038</v>
      </c>
      <c r="D837" s="9"/>
      <c r="E837" s="10"/>
      <c r="F837" s="11"/>
      <c r="G837" s="12"/>
      <c r="H837" s="11"/>
      <c r="I837" s="12"/>
      <c r="J837" s="11"/>
      <c r="K837" s="12"/>
    </row>
    <row r="838" spans="1:11" x14ac:dyDescent="0.25">
      <c r="A838" s="1">
        <v>834</v>
      </c>
      <c r="B838" s="7" t="str">
        <f t="shared" si="135"/>
        <v>Сб</v>
      </c>
      <c r="C838" s="8">
        <v>46039</v>
      </c>
      <c r="D838" s="9"/>
      <c r="E838" s="10"/>
      <c r="F838" s="11"/>
      <c r="G838" s="12"/>
      <c r="H838" s="11"/>
      <c r="I838" s="12"/>
      <c r="J838" s="11"/>
      <c r="K838" s="12"/>
    </row>
  </sheetData>
  <mergeCells count="2">
    <mergeCell ref="A1:M1"/>
    <mergeCell ref="A2:M2"/>
  </mergeCells>
  <conditionalFormatting sqref="B4:E838">
    <cfRule type="expression" dxfId="484" priority="709">
      <formula>$C4=TODAY()</formula>
    </cfRule>
  </conditionalFormatting>
  <conditionalFormatting sqref="B4:M683 B684:K838">
    <cfRule type="expression" dxfId="483" priority="710">
      <formula>$B4=TEXT(TODAY(),"ДДД")</formula>
    </cfRule>
  </conditionalFormatting>
  <conditionalFormatting sqref="E678">
    <cfRule type="expression" dxfId="482" priority="700">
      <formula>$C678=TODAY()</formula>
    </cfRule>
  </conditionalFormatting>
  <conditionalFormatting sqref="E693:E694">
    <cfRule type="expression" dxfId="481" priority="687">
      <formula>$C693=TODAY()</formula>
    </cfRule>
  </conditionalFormatting>
  <conditionalFormatting sqref="E702">
    <cfRule type="expression" dxfId="480" priority="674">
      <formula>$C702=TODAY()</formula>
    </cfRule>
  </conditionalFormatting>
  <conditionalFormatting sqref="E707">
    <cfRule type="expression" dxfId="479" priority="670">
      <formula>$C707=TODAY()</formula>
    </cfRule>
  </conditionalFormatting>
  <conditionalFormatting sqref="E709:E710">
    <cfRule type="expression" dxfId="478" priority="662">
      <formula>$C709=TODAY()</formula>
    </cfRule>
  </conditionalFormatting>
  <conditionalFormatting sqref="E715">
    <cfRule type="expression" dxfId="477" priority="658">
      <formula>$C715=TODAY()</formula>
    </cfRule>
  </conditionalFormatting>
  <conditionalFormatting sqref="E717:E718">
    <cfRule type="expression" dxfId="476" priority="646">
      <formula>$C717=TODAY()</formula>
    </cfRule>
  </conditionalFormatting>
  <conditionalFormatting sqref="E723">
    <cfRule type="expression" dxfId="475" priority="635">
      <formula>$C723=TODAY()</formula>
    </cfRule>
  </conditionalFormatting>
  <conditionalFormatting sqref="E725:E726">
    <cfRule type="expression" dxfId="474" priority="612">
      <formula>$C725=TODAY()</formula>
    </cfRule>
  </conditionalFormatting>
  <conditionalFormatting sqref="E731">
    <cfRule type="expression" dxfId="473" priority="600">
      <formula>$C731=TODAY()</formula>
    </cfRule>
  </conditionalFormatting>
  <conditionalFormatting sqref="E733:E734">
    <cfRule type="expression" dxfId="472" priority="567">
      <formula>$C733=TODAY()</formula>
    </cfRule>
  </conditionalFormatting>
  <conditionalFormatting sqref="E739">
    <cfRule type="expression" dxfId="471" priority="535">
      <formula>$C739=TODAY()</formula>
    </cfRule>
  </conditionalFormatting>
  <conditionalFormatting sqref="E741:E742">
    <cfRule type="expression" dxfId="470" priority="490">
      <formula>$C741=TODAY()</formula>
    </cfRule>
  </conditionalFormatting>
  <conditionalFormatting sqref="E747:E748">
    <cfRule type="expression" dxfId="469" priority="427">
      <formula>$C747=TODAY()</formula>
    </cfRule>
  </conditionalFormatting>
  <conditionalFormatting sqref="E750">
    <cfRule type="expression" dxfId="468" priority="411">
      <formula>$C750=TODAY()</formula>
    </cfRule>
  </conditionalFormatting>
  <conditionalFormatting sqref="E755">
    <cfRule type="expression" dxfId="467" priority="385">
      <formula>$C755=TODAY()</formula>
    </cfRule>
  </conditionalFormatting>
  <conditionalFormatting sqref="E757:E758">
    <cfRule type="expression" dxfId="466" priority="337">
      <formula>$C757=TODAY()</formula>
    </cfRule>
  </conditionalFormatting>
  <conditionalFormatting sqref="E763">
    <cfRule type="expression" dxfId="465" priority="310">
      <formula>$C763=TODAY()</formula>
    </cfRule>
  </conditionalFormatting>
  <conditionalFormatting sqref="E765:E766">
    <cfRule type="expression" dxfId="464" priority="257">
      <formula>$C765=TODAY()</formula>
    </cfRule>
  </conditionalFormatting>
  <conditionalFormatting sqref="E771">
    <cfRule type="expression" dxfId="463" priority="212">
      <formula>$C771=TODAY()</formula>
    </cfRule>
  </conditionalFormatting>
  <conditionalFormatting sqref="G34">
    <cfRule type="expression" dxfId="462" priority="723">
      <formula>$C34=TODAY()</formula>
    </cfRule>
  </conditionalFormatting>
  <conditionalFormatting sqref="G661">
    <cfRule type="expression" dxfId="461" priority="707">
      <formula>$C661=TODAY()</formula>
    </cfRule>
  </conditionalFormatting>
  <conditionalFormatting sqref="G670">
    <cfRule type="expression" dxfId="460" priority="704">
      <formula>$C670=TODAY()</formula>
    </cfRule>
  </conditionalFormatting>
  <conditionalFormatting sqref="G678">
    <cfRule type="expression" dxfId="459" priority="701">
      <formula>$C678=TODAY()</formula>
    </cfRule>
  </conditionalFormatting>
  <conditionalFormatting sqref="G686">
    <cfRule type="expression" dxfId="458" priority="697">
      <formula>$C686=TODAY()</formula>
    </cfRule>
  </conditionalFormatting>
  <conditionalFormatting sqref="G691">
    <cfRule type="expression" dxfId="457" priority="694">
      <formula>$C691=TODAY()</formula>
    </cfRule>
  </conditionalFormatting>
  <conditionalFormatting sqref="G693:G694">
    <cfRule type="expression" dxfId="456" priority="686">
      <formula>$C693=TODAY()</formula>
    </cfRule>
  </conditionalFormatting>
  <conditionalFormatting sqref="G699">
    <cfRule type="expression" dxfId="455" priority="683">
      <formula>$C699=TODAY()</formula>
    </cfRule>
  </conditionalFormatting>
  <conditionalFormatting sqref="G701:G702">
    <cfRule type="expression" dxfId="454" priority="675">
      <formula>$C701=TODAY()</formula>
    </cfRule>
  </conditionalFormatting>
  <conditionalFormatting sqref="G707">
    <cfRule type="expression" dxfId="453" priority="671">
      <formula>$C707=TODAY()</formula>
    </cfRule>
  </conditionalFormatting>
  <conditionalFormatting sqref="G709:G710">
    <cfRule type="expression" dxfId="452" priority="661">
      <formula>$C709=TODAY()</formula>
    </cfRule>
  </conditionalFormatting>
  <conditionalFormatting sqref="G715">
    <cfRule type="expression" dxfId="451" priority="656">
      <formula>$C715=TODAY()</formula>
    </cfRule>
  </conditionalFormatting>
  <conditionalFormatting sqref="G717:G718">
    <cfRule type="expression" dxfId="450" priority="643">
      <formula>$C717=TODAY()</formula>
    </cfRule>
  </conditionalFormatting>
  <conditionalFormatting sqref="G723">
    <cfRule type="expression" dxfId="449" priority="632">
      <formula>$C723=TODAY()</formula>
    </cfRule>
  </conditionalFormatting>
  <conditionalFormatting sqref="G725:G726">
    <cfRule type="expression" dxfId="448" priority="609">
      <formula>$C725=TODAY()</formula>
    </cfRule>
  </conditionalFormatting>
  <conditionalFormatting sqref="G731">
    <cfRule type="expression" dxfId="447" priority="596">
      <formula>$C731=TODAY()</formula>
    </cfRule>
  </conditionalFormatting>
  <conditionalFormatting sqref="G733:G734">
    <cfRule type="expression" dxfId="446" priority="561">
      <formula>$C733=TODAY()</formula>
    </cfRule>
  </conditionalFormatting>
  <conditionalFormatting sqref="G739">
    <cfRule type="expression" dxfId="445" priority="530">
      <formula>$C739=TODAY()</formula>
    </cfRule>
  </conditionalFormatting>
  <conditionalFormatting sqref="G741:G742">
    <cfRule type="expression" dxfId="444" priority="484">
      <formula>$C741=TODAY()</formula>
    </cfRule>
  </conditionalFormatting>
  <conditionalFormatting sqref="G747">
    <cfRule type="expression" dxfId="443" priority="447">
      <formula>$C747=TODAY()</formula>
    </cfRule>
  </conditionalFormatting>
  <conditionalFormatting sqref="G749:G750">
    <cfRule type="expression" dxfId="442" priority="404">
      <formula>$C749=TODAY()</formula>
    </cfRule>
  </conditionalFormatting>
  <conditionalFormatting sqref="G755">
    <cfRule type="expression" dxfId="441" priority="379">
      <formula>$C755=TODAY()</formula>
    </cfRule>
  </conditionalFormatting>
  <conditionalFormatting sqref="G757:G758">
    <cfRule type="expression" dxfId="440" priority="330">
      <formula>$C757=TODAY()</formula>
    </cfRule>
  </conditionalFormatting>
  <conditionalFormatting sqref="G763">
    <cfRule type="expression" dxfId="439" priority="303">
      <formula>$C763=TODAY()</formula>
    </cfRule>
  </conditionalFormatting>
  <conditionalFormatting sqref="G765:G766">
    <cfRule type="expression" dxfId="438" priority="244">
      <formula>$C765=TODAY()</formula>
    </cfRule>
  </conditionalFormatting>
  <conditionalFormatting sqref="G771">
    <cfRule type="expression" dxfId="437" priority="205">
      <formula>$C771=TODAY()</formula>
    </cfRule>
  </conditionalFormatting>
  <conditionalFormatting sqref="H128:I129">
    <cfRule type="expression" dxfId="436" priority="726">
      <formula>$C128=TODAY()</formula>
    </cfRule>
  </conditionalFormatting>
  <conditionalFormatting sqref="I34">
    <cfRule type="expression" dxfId="435" priority="724">
      <formula>$C34=TODAY()</formula>
    </cfRule>
  </conditionalFormatting>
  <conditionalFormatting sqref="I661">
    <cfRule type="expression" dxfId="434" priority="706">
      <formula>$C661=TODAY()</formula>
    </cfRule>
  </conditionalFormatting>
  <conditionalFormatting sqref="I670">
    <cfRule type="expression" dxfId="433" priority="703">
      <formula>$C670=TODAY()</formula>
    </cfRule>
  </conditionalFormatting>
  <conditionalFormatting sqref="I678">
    <cfRule type="expression" dxfId="432" priority="699">
      <formula>$C678=TODAY()</formula>
    </cfRule>
  </conditionalFormatting>
  <conditionalFormatting sqref="I686">
    <cfRule type="expression" dxfId="431" priority="696">
      <formula>$C686=TODAY()</formula>
    </cfRule>
  </conditionalFormatting>
  <conditionalFormatting sqref="I691">
    <cfRule type="expression" dxfId="430" priority="693">
      <formula>$C691=TODAY()</formula>
    </cfRule>
  </conditionalFormatting>
  <conditionalFormatting sqref="I693:I694">
    <cfRule type="expression" dxfId="429" priority="685">
      <formula>$C693=TODAY()</formula>
    </cfRule>
  </conditionalFormatting>
  <conditionalFormatting sqref="I699">
    <cfRule type="expression" dxfId="428" priority="682">
      <formula>$C699=TODAY()</formula>
    </cfRule>
  </conditionalFormatting>
  <conditionalFormatting sqref="I701:I702">
    <cfRule type="expression" dxfId="427" priority="676">
      <formula>$C701=TODAY()</formula>
    </cfRule>
  </conditionalFormatting>
  <conditionalFormatting sqref="I707">
    <cfRule type="expression" dxfId="426" priority="673">
      <formula>$C707=TODAY()</formula>
    </cfRule>
  </conditionalFormatting>
  <conditionalFormatting sqref="I709:I710">
    <cfRule type="expression" dxfId="425" priority="660">
      <formula>$C709=TODAY()</formula>
    </cfRule>
  </conditionalFormatting>
  <conditionalFormatting sqref="I715">
    <cfRule type="expression" dxfId="424" priority="654">
      <formula>$C715=TODAY()</formula>
    </cfRule>
  </conditionalFormatting>
  <conditionalFormatting sqref="I717:I718">
    <cfRule type="expression" dxfId="423" priority="640">
      <formula>$C717=TODAY()</formula>
    </cfRule>
  </conditionalFormatting>
  <conditionalFormatting sqref="I723:I726">
    <cfRule type="expression" dxfId="422" priority="606">
      <formula>$C723=TODAY()</formula>
    </cfRule>
  </conditionalFormatting>
  <conditionalFormatting sqref="I731:I734">
    <cfRule type="expression" dxfId="421" priority="555">
      <formula>$C731=TODAY()</formula>
    </cfRule>
  </conditionalFormatting>
  <conditionalFormatting sqref="I736">
    <cfRule type="expression" dxfId="420" priority="544">
      <formula>$C736=TODAY()</formula>
    </cfRule>
  </conditionalFormatting>
  <conditionalFormatting sqref="I739:I742">
    <cfRule type="expression" dxfId="419" priority="478">
      <formula>$C739=TODAY()</formula>
    </cfRule>
  </conditionalFormatting>
  <conditionalFormatting sqref="I744">
    <cfRule type="expression" dxfId="418" priority="462">
      <formula>$C744=TODAY()</formula>
    </cfRule>
  </conditionalFormatting>
  <conditionalFormatting sqref="I747:I748">
    <cfRule type="expression" dxfId="417" priority="432">
      <formula>$C747=TODAY()</formula>
    </cfRule>
  </conditionalFormatting>
  <conditionalFormatting sqref="I750">
    <cfRule type="expression" dxfId="416" priority="397">
      <formula>$C750=TODAY()</formula>
    </cfRule>
  </conditionalFormatting>
  <conditionalFormatting sqref="I755:I756">
    <cfRule type="expression" dxfId="415" priority="361">
      <formula>$C755=TODAY()</formula>
    </cfRule>
  </conditionalFormatting>
  <conditionalFormatting sqref="I758">
    <cfRule type="expression" dxfId="414" priority="323">
      <formula>$C758=TODAY()</formula>
    </cfRule>
  </conditionalFormatting>
  <conditionalFormatting sqref="I763">
    <cfRule type="expression" dxfId="413" priority="296">
      <formula>$C763=TODAY()</formula>
    </cfRule>
  </conditionalFormatting>
  <conditionalFormatting sqref="I765:I766">
    <cfRule type="expression" dxfId="412" priority="231">
      <formula>$C765=TODAY()</formula>
    </cfRule>
  </conditionalFormatting>
  <conditionalFormatting sqref="I771:I772">
    <cfRule type="expression" dxfId="411" priority="198">
      <formula>$C771=TODAY()</formula>
    </cfRule>
  </conditionalFormatting>
  <conditionalFormatting sqref="K34">
    <cfRule type="expression" dxfId="410" priority="725">
      <formula>$C34=TODAY()</formula>
    </cfRule>
  </conditionalFormatting>
  <conditionalFormatting sqref="K661">
    <cfRule type="expression" dxfId="409" priority="705">
      <formula>$C661=TODAY()</formula>
    </cfRule>
  </conditionalFormatting>
  <conditionalFormatting sqref="K670">
    <cfRule type="expression" dxfId="408" priority="702">
      <formula>$C670=TODAY()</formula>
    </cfRule>
  </conditionalFormatting>
  <conditionalFormatting sqref="K678">
    <cfRule type="expression" dxfId="407" priority="698">
      <formula>$C678=TODAY()</formula>
    </cfRule>
  </conditionalFormatting>
  <conditionalFormatting sqref="K686">
    <cfRule type="expression" dxfId="406" priority="695">
      <formula>$C686=TODAY()</formula>
    </cfRule>
  </conditionalFormatting>
  <conditionalFormatting sqref="K691">
    <cfRule type="expression" dxfId="405" priority="692">
      <formula>$C691=TODAY()</formula>
    </cfRule>
  </conditionalFormatting>
  <conditionalFormatting sqref="K693:K694">
    <cfRule type="expression" dxfId="404" priority="684">
      <formula>$C693=TODAY()</formula>
    </cfRule>
  </conditionalFormatting>
  <conditionalFormatting sqref="K699">
    <cfRule type="expression" dxfId="403" priority="681">
      <formula>$C699=TODAY()</formula>
    </cfRule>
  </conditionalFormatting>
  <conditionalFormatting sqref="K701:K702">
    <cfRule type="expression" dxfId="402" priority="677">
      <formula>$C701=TODAY()</formula>
    </cfRule>
  </conditionalFormatting>
  <conditionalFormatting sqref="K707">
    <cfRule type="expression" dxfId="401" priority="672">
      <formula>$C707=TODAY()</formula>
    </cfRule>
  </conditionalFormatting>
  <conditionalFormatting sqref="K709:K710">
    <cfRule type="expression" dxfId="400" priority="659">
      <formula>$C709=TODAY()</formula>
    </cfRule>
  </conditionalFormatting>
  <conditionalFormatting sqref="K715:K718">
    <cfRule type="expression" dxfId="399" priority="637">
      <formula>$C715=TODAY()</formula>
    </cfRule>
  </conditionalFormatting>
  <conditionalFormatting sqref="K723">
    <cfRule type="expression" dxfId="398" priority="626">
      <formula>$C723=TODAY()</formula>
    </cfRule>
  </conditionalFormatting>
  <conditionalFormatting sqref="K725:K726">
    <cfRule type="expression" dxfId="397" priority="603">
      <formula>$C725=TODAY()</formula>
    </cfRule>
  </conditionalFormatting>
  <conditionalFormatting sqref="K731">
    <cfRule type="expression" dxfId="396" priority="588">
      <formula>$C731=TODAY()</formula>
    </cfRule>
  </conditionalFormatting>
  <conditionalFormatting sqref="K733:K734">
    <cfRule type="expression" dxfId="395" priority="549">
      <formula>$C733=TODAY()</formula>
    </cfRule>
  </conditionalFormatting>
  <conditionalFormatting sqref="K736">
    <cfRule type="expression" dxfId="394" priority="539">
      <formula>$C736=TODAY()</formula>
    </cfRule>
  </conditionalFormatting>
  <conditionalFormatting sqref="K739:K742">
    <cfRule type="expression" dxfId="393" priority="467">
      <formula>$C739=TODAY()</formula>
    </cfRule>
  </conditionalFormatting>
  <conditionalFormatting sqref="K744">
    <cfRule type="expression" dxfId="392" priority="457">
      <formula>$C744=TODAY()</formula>
    </cfRule>
  </conditionalFormatting>
  <conditionalFormatting sqref="K747">
    <cfRule type="expression" dxfId="391" priority="437">
      <formula>$C747=TODAY()</formula>
    </cfRule>
  </conditionalFormatting>
  <conditionalFormatting sqref="K749:K750">
    <cfRule type="expression" dxfId="390" priority="390">
      <formula>$C749=TODAY()</formula>
    </cfRule>
  </conditionalFormatting>
  <conditionalFormatting sqref="K755:K756">
    <cfRule type="expression" dxfId="389" priority="355">
      <formula>$C755=TODAY()</formula>
    </cfRule>
  </conditionalFormatting>
  <conditionalFormatting sqref="K758">
    <cfRule type="expression" dxfId="388" priority="316">
      <formula>$C758=TODAY()</formula>
    </cfRule>
  </conditionalFormatting>
  <conditionalFormatting sqref="K763:K764">
    <cfRule type="expression" dxfId="387" priority="289">
      <formula>$C763=TODAY()</formula>
    </cfRule>
  </conditionalFormatting>
  <conditionalFormatting sqref="K766">
    <cfRule type="expression" dxfId="386" priority="218">
      <formula>$C766=TODAY()</formula>
    </cfRule>
  </conditionalFormatting>
  <conditionalFormatting sqref="K771">
    <cfRule type="expression" dxfId="385" priority="191">
      <formula>$C771=TODAY()</formula>
    </cfRule>
  </conditionalFormatting>
  <conditionalFormatting sqref="E773">
    <cfRule type="expression" dxfId="384" priority="190">
      <formula>$C773=TODAY()</formula>
    </cfRule>
  </conditionalFormatting>
  <conditionalFormatting sqref="G773">
    <cfRule type="expression" dxfId="383" priority="189">
      <formula>$C773=TODAY()</formula>
    </cfRule>
  </conditionalFormatting>
  <conditionalFormatting sqref="G773">
    <cfRule type="expression" dxfId="382" priority="188">
      <formula>$C773=TODAY()</formula>
    </cfRule>
  </conditionalFormatting>
  <conditionalFormatting sqref="I773">
    <cfRule type="expression" dxfId="381" priority="187">
      <formula>$C773=TODAY()</formula>
    </cfRule>
  </conditionalFormatting>
  <conditionalFormatting sqref="I773">
    <cfRule type="expression" dxfId="380" priority="186">
      <formula>$C773=TODAY()</formula>
    </cfRule>
  </conditionalFormatting>
  <conditionalFormatting sqref="K773">
    <cfRule type="expression" dxfId="379" priority="185">
      <formula>$C773=TODAY()</formula>
    </cfRule>
  </conditionalFormatting>
  <conditionalFormatting sqref="K773">
    <cfRule type="expression" dxfId="378" priority="184">
      <formula>$C773=TODAY()</formula>
    </cfRule>
  </conditionalFormatting>
  <conditionalFormatting sqref="E774">
    <cfRule type="expression" dxfId="377" priority="183">
      <formula>$C774=TODAY()</formula>
    </cfRule>
  </conditionalFormatting>
  <conditionalFormatting sqref="G774">
    <cfRule type="expression" dxfId="376" priority="182">
      <formula>$C774=TODAY()</formula>
    </cfRule>
  </conditionalFormatting>
  <conditionalFormatting sqref="I774">
    <cfRule type="expression" dxfId="375" priority="181">
      <formula>$C774=TODAY()</formula>
    </cfRule>
  </conditionalFormatting>
  <conditionalFormatting sqref="K774">
    <cfRule type="expression" dxfId="374" priority="180">
      <formula>$C774=TODAY()</formula>
    </cfRule>
  </conditionalFormatting>
  <conditionalFormatting sqref="I776">
    <cfRule type="expression" dxfId="373" priority="179">
      <formula>$C776=TODAY()</formula>
    </cfRule>
  </conditionalFormatting>
  <conditionalFormatting sqref="I776">
    <cfRule type="expression" dxfId="372" priority="178">
      <formula>$C776=TODAY()</formula>
    </cfRule>
  </conditionalFormatting>
  <conditionalFormatting sqref="K776">
    <cfRule type="expression" dxfId="371" priority="177">
      <formula>$C776=TODAY()</formula>
    </cfRule>
  </conditionalFormatting>
  <conditionalFormatting sqref="K776">
    <cfRule type="expression" dxfId="370" priority="176">
      <formula>$C776=TODAY()</formula>
    </cfRule>
  </conditionalFormatting>
  <conditionalFormatting sqref="E779">
    <cfRule type="expression" dxfId="369" priority="175">
      <formula>$C779=TODAY()</formula>
    </cfRule>
  </conditionalFormatting>
  <conditionalFormatting sqref="G779">
    <cfRule type="expression" dxfId="368" priority="174">
      <formula>$C779=TODAY()</formula>
    </cfRule>
  </conditionalFormatting>
  <conditionalFormatting sqref="G779">
    <cfRule type="expression" dxfId="367" priority="173">
      <formula>$C779=TODAY()</formula>
    </cfRule>
  </conditionalFormatting>
  <conditionalFormatting sqref="I779">
    <cfRule type="expression" dxfId="366" priority="172">
      <formula>$C779=TODAY()</formula>
    </cfRule>
  </conditionalFormatting>
  <conditionalFormatting sqref="I779">
    <cfRule type="expression" dxfId="365" priority="171">
      <formula>$C779=TODAY()</formula>
    </cfRule>
  </conditionalFormatting>
  <conditionalFormatting sqref="K779">
    <cfRule type="expression" dxfId="364" priority="170">
      <formula>$C779=TODAY()</formula>
    </cfRule>
  </conditionalFormatting>
  <conditionalFormatting sqref="K779">
    <cfRule type="expression" dxfId="363" priority="169">
      <formula>$C779=TODAY()</formula>
    </cfRule>
  </conditionalFormatting>
  <conditionalFormatting sqref="I780">
    <cfRule type="expression" dxfId="362" priority="168">
      <formula>$C780=TODAY()</formula>
    </cfRule>
  </conditionalFormatting>
  <conditionalFormatting sqref="I780">
    <cfRule type="expression" dxfId="361" priority="167">
      <formula>$C780=TODAY()</formula>
    </cfRule>
  </conditionalFormatting>
  <conditionalFormatting sqref="K780">
    <cfRule type="expression" dxfId="360" priority="166">
      <formula>$C780=TODAY()</formula>
    </cfRule>
  </conditionalFormatting>
  <conditionalFormatting sqref="K780">
    <cfRule type="expression" dxfId="359" priority="165">
      <formula>$C780=TODAY()</formula>
    </cfRule>
  </conditionalFormatting>
  <conditionalFormatting sqref="I781:I782">
    <cfRule type="expression" dxfId="358" priority="164">
      <formula>$C781=TODAY()</formula>
    </cfRule>
  </conditionalFormatting>
  <conditionalFormatting sqref="I781:I782">
    <cfRule type="expression" dxfId="357" priority="163">
      <formula>$C781=TODAY()</formula>
    </cfRule>
  </conditionalFormatting>
  <conditionalFormatting sqref="G781:G782">
    <cfRule type="expression" dxfId="356" priority="162">
      <formula>$C781=TODAY()</formula>
    </cfRule>
  </conditionalFormatting>
  <conditionalFormatting sqref="G781:G782">
    <cfRule type="expression" dxfId="355" priority="161">
      <formula>$C781=TODAY()</formula>
    </cfRule>
  </conditionalFormatting>
  <conditionalFormatting sqref="E781:E782">
    <cfRule type="expression" dxfId="354" priority="160">
      <formula>$C781=TODAY()</formula>
    </cfRule>
  </conditionalFormatting>
  <conditionalFormatting sqref="E781:E782">
    <cfRule type="expression" dxfId="353" priority="159">
      <formula>$C781=TODAY()</formula>
    </cfRule>
  </conditionalFormatting>
  <conditionalFormatting sqref="E782">
    <cfRule type="expression" dxfId="352" priority="158">
      <formula>$C782=TODAY()</formula>
    </cfRule>
  </conditionalFormatting>
  <conditionalFormatting sqref="G782">
    <cfRule type="expression" dxfId="351" priority="157">
      <formula>$C782=TODAY()</formula>
    </cfRule>
  </conditionalFormatting>
  <conditionalFormatting sqref="G782">
    <cfRule type="expression" dxfId="350" priority="156">
      <formula>$C782=TODAY()</formula>
    </cfRule>
  </conditionalFormatting>
  <conditionalFormatting sqref="I782">
    <cfRule type="expression" dxfId="349" priority="155">
      <formula>$C782=TODAY()</formula>
    </cfRule>
  </conditionalFormatting>
  <conditionalFormatting sqref="I782">
    <cfRule type="expression" dxfId="348" priority="154">
      <formula>$C782=TODAY()</formula>
    </cfRule>
  </conditionalFormatting>
  <conditionalFormatting sqref="K782">
    <cfRule type="expression" dxfId="347" priority="153">
      <formula>$C782=TODAY()</formula>
    </cfRule>
  </conditionalFormatting>
  <conditionalFormatting sqref="K782">
    <cfRule type="expression" dxfId="346" priority="152">
      <formula>$C782=TODAY()</formula>
    </cfRule>
  </conditionalFormatting>
  <conditionalFormatting sqref="I784">
    <cfRule type="expression" dxfId="345" priority="151">
      <formula>$C784=TODAY()</formula>
    </cfRule>
  </conditionalFormatting>
  <conditionalFormatting sqref="I784">
    <cfRule type="expression" dxfId="344" priority="150">
      <formula>$C784=TODAY()</formula>
    </cfRule>
  </conditionalFormatting>
  <conditionalFormatting sqref="K784">
    <cfRule type="expression" dxfId="343" priority="149">
      <formula>$C784=TODAY()</formula>
    </cfRule>
  </conditionalFormatting>
  <conditionalFormatting sqref="K784">
    <cfRule type="expression" dxfId="342" priority="148">
      <formula>$C784=TODAY()</formula>
    </cfRule>
  </conditionalFormatting>
  <conditionalFormatting sqref="E787">
    <cfRule type="expression" dxfId="341" priority="147">
      <formula>$C787=TODAY()</formula>
    </cfRule>
  </conditionalFormatting>
  <conditionalFormatting sqref="E787">
    <cfRule type="expression" dxfId="340" priority="146">
      <formula>$C787=TODAY()</formula>
    </cfRule>
  </conditionalFormatting>
  <conditionalFormatting sqref="G787">
    <cfRule type="expression" dxfId="339" priority="145">
      <formula>$C787=TODAY()</formula>
    </cfRule>
  </conditionalFormatting>
  <conditionalFormatting sqref="G787">
    <cfRule type="expression" dxfId="338" priority="144">
      <formula>$C787=TODAY()</formula>
    </cfRule>
  </conditionalFormatting>
  <conditionalFormatting sqref="G787">
    <cfRule type="expression" dxfId="337" priority="143">
      <formula>$C787=TODAY()</formula>
    </cfRule>
  </conditionalFormatting>
  <conditionalFormatting sqref="I787:I788">
    <cfRule type="expression" dxfId="336" priority="142">
      <formula>$C787=TODAY()</formula>
    </cfRule>
  </conditionalFormatting>
  <conditionalFormatting sqref="I787:I788">
    <cfRule type="expression" dxfId="335" priority="141">
      <formula>$C787=TODAY()</formula>
    </cfRule>
  </conditionalFormatting>
  <conditionalFormatting sqref="I787:I788">
    <cfRule type="expression" dxfId="334" priority="140">
      <formula>$C787=TODAY()</formula>
    </cfRule>
  </conditionalFormatting>
  <conditionalFormatting sqref="K787">
    <cfRule type="expression" dxfId="333" priority="139">
      <formula>$C787=TODAY()</formula>
    </cfRule>
  </conditionalFormatting>
  <conditionalFormatting sqref="K787">
    <cfRule type="expression" dxfId="332" priority="138">
      <formula>$C787=TODAY()</formula>
    </cfRule>
  </conditionalFormatting>
  <conditionalFormatting sqref="K787">
    <cfRule type="expression" dxfId="331" priority="137">
      <formula>$C787=TODAY()</formula>
    </cfRule>
  </conditionalFormatting>
  <conditionalFormatting sqref="K789:K790 I789:I790 G789:G790">
    <cfRule type="expression" dxfId="330" priority="134">
      <formula>$C789=TODAY()</formula>
    </cfRule>
  </conditionalFormatting>
  <conditionalFormatting sqref="K789:K790 I789:I790 G789:G790 E789:E790">
    <cfRule type="expression" dxfId="329" priority="136">
      <formula>$C789=TODAY()</formula>
    </cfRule>
  </conditionalFormatting>
  <conditionalFormatting sqref="K789:K790 I789:I790 G789:G790 E789:E790">
    <cfRule type="expression" dxfId="328" priority="135">
      <formula>$C789=TODAY()</formula>
    </cfRule>
  </conditionalFormatting>
  <conditionalFormatting sqref="K790 I790 G790 E790">
    <cfRule type="expression" dxfId="327" priority="133">
      <formula>$C790=TODAY()</formula>
    </cfRule>
  </conditionalFormatting>
  <conditionalFormatting sqref="K790 I790 G790 E790">
    <cfRule type="expression" dxfId="326" priority="132">
      <formula>$C790=TODAY()</formula>
    </cfRule>
  </conditionalFormatting>
  <conditionalFormatting sqref="K790 I790 G790 E790">
    <cfRule type="expression" dxfId="325" priority="131">
      <formula>$C790=TODAY()</formula>
    </cfRule>
  </conditionalFormatting>
  <conditionalFormatting sqref="K790 I790 G790">
    <cfRule type="expression" dxfId="324" priority="130">
      <formula>$C790=TODAY()</formula>
    </cfRule>
  </conditionalFormatting>
  <conditionalFormatting sqref="I792">
    <cfRule type="expression" dxfId="323" priority="127">
      <formula>$C792=TODAY()</formula>
    </cfRule>
  </conditionalFormatting>
  <conditionalFormatting sqref="I792">
    <cfRule type="expression" dxfId="322" priority="129">
      <formula>$C792=TODAY()</formula>
    </cfRule>
  </conditionalFormatting>
  <conditionalFormatting sqref="I792">
    <cfRule type="expression" dxfId="321" priority="128">
      <formula>$C792=TODAY()</formula>
    </cfRule>
  </conditionalFormatting>
  <conditionalFormatting sqref="K792">
    <cfRule type="expression" dxfId="320" priority="124">
      <formula>$C792=TODAY()</formula>
    </cfRule>
  </conditionalFormatting>
  <conditionalFormatting sqref="K792">
    <cfRule type="expression" dxfId="319" priority="126">
      <formula>$C792=TODAY()</formula>
    </cfRule>
  </conditionalFormatting>
  <conditionalFormatting sqref="K792">
    <cfRule type="expression" dxfId="318" priority="125">
      <formula>$C792=TODAY()</formula>
    </cfRule>
  </conditionalFormatting>
  <conditionalFormatting sqref="E795">
    <cfRule type="expression" dxfId="317" priority="123">
      <formula>$C795=TODAY()</formula>
    </cfRule>
  </conditionalFormatting>
  <conditionalFormatting sqref="E795">
    <cfRule type="expression" dxfId="316" priority="122">
      <formula>$C795=TODAY()</formula>
    </cfRule>
  </conditionalFormatting>
  <conditionalFormatting sqref="G795">
    <cfRule type="expression" dxfId="315" priority="121">
      <formula>$C795=TODAY()</formula>
    </cfRule>
  </conditionalFormatting>
  <conditionalFormatting sqref="G795">
    <cfRule type="expression" dxfId="314" priority="120">
      <formula>$C795=TODAY()</formula>
    </cfRule>
  </conditionalFormatting>
  <conditionalFormatting sqref="G795">
    <cfRule type="expression" dxfId="313" priority="119">
      <formula>$C795=TODAY()</formula>
    </cfRule>
  </conditionalFormatting>
  <conditionalFormatting sqref="I795:I796">
    <cfRule type="expression" dxfId="312" priority="118">
      <formula>$C795=TODAY()</formula>
    </cfRule>
  </conditionalFormatting>
  <conditionalFormatting sqref="I795:I796">
    <cfRule type="expression" dxfId="311" priority="117">
      <formula>$C795=TODAY()</formula>
    </cfRule>
  </conditionalFormatting>
  <conditionalFormatting sqref="I795:I796">
    <cfRule type="expression" dxfId="310" priority="116">
      <formula>$C795=TODAY()</formula>
    </cfRule>
  </conditionalFormatting>
  <conditionalFormatting sqref="K795">
    <cfRule type="expression" dxfId="309" priority="115">
      <formula>$C795=TODAY()</formula>
    </cfRule>
  </conditionalFormatting>
  <conditionalFormatting sqref="K795">
    <cfRule type="expression" dxfId="308" priority="114">
      <formula>$C795=TODAY()</formula>
    </cfRule>
  </conditionalFormatting>
  <conditionalFormatting sqref="K795">
    <cfRule type="expression" dxfId="307" priority="113">
      <formula>$C795=TODAY()</formula>
    </cfRule>
  </conditionalFormatting>
  <conditionalFormatting sqref="E797:E798 G797:G798 K797:K798">
    <cfRule type="expression" dxfId="306" priority="112">
      <formula>$C797=TODAY()</formula>
    </cfRule>
  </conditionalFormatting>
  <conditionalFormatting sqref="E797:E798 G797:G798 K797:K798">
    <cfRule type="expression" dxfId="305" priority="111">
      <formula>$C797=TODAY()</formula>
    </cfRule>
  </conditionalFormatting>
  <conditionalFormatting sqref="E797:E798 G797:G798 K797:K798">
    <cfRule type="expression" dxfId="304" priority="110">
      <formula>$C797=TODAY()</formula>
    </cfRule>
  </conditionalFormatting>
  <conditionalFormatting sqref="K798 I798 G798 E798">
    <cfRule type="expression" dxfId="303" priority="109">
      <formula>$C798=TODAY()</formula>
    </cfRule>
  </conditionalFormatting>
  <conditionalFormatting sqref="K798 I798 G798 E798">
    <cfRule type="expression" dxfId="302" priority="108">
      <formula>$C798=TODAY()</formula>
    </cfRule>
  </conditionalFormatting>
  <conditionalFormatting sqref="K798 I798 G798 E798">
    <cfRule type="expression" dxfId="301" priority="107">
      <formula>$C798=TODAY()</formula>
    </cfRule>
  </conditionalFormatting>
  <conditionalFormatting sqref="K798 I798 G798 E798">
    <cfRule type="expression" dxfId="300" priority="106">
      <formula>$C798=TODAY()</formula>
    </cfRule>
  </conditionalFormatting>
  <conditionalFormatting sqref="K798 I798 G798 E798">
    <cfRule type="expression" dxfId="299" priority="105">
      <formula>$C798=TODAY()</formula>
    </cfRule>
  </conditionalFormatting>
  <conditionalFormatting sqref="K798 I798 G798">
    <cfRule type="expression" dxfId="298" priority="104">
      <formula>$C798=TODAY()</formula>
    </cfRule>
  </conditionalFormatting>
  <conditionalFormatting sqref="I803 G803 E803 K803:K805">
    <cfRule type="expression" dxfId="297" priority="103">
      <formula>$C803=TODAY()</formula>
    </cfRule>
  </conditionalFormatting>
  <conditionalFormatting sqref="I803 G803 E803 K803:K805">
    <cfRule type="expression" dxfId="296" priority="102">
      <formula>$C803=TODAY()</formula>
    </cfRule>
  </conditionalFormatting>
  <conditionalFormatting sqref="I803 G803 E803 K803:K805">
    <cfRule type="expression" dxfId="295" priority="101">
      <formula>$C803=TODAY()</formula>
    </cfRule>
  </conditionalFormatting>
  <conditionalFormatting sqref="I803 G803 K803:K805">
    <cfRule type="expression" dxfId="294" priority="100">
      <formula>$C803=TODAY()</formula>
    </cfRule>
  </conditionalFormatting>
  <conditionalFormatting sqref="E805:E806">
    <cfRule type="expression" dxfId="293" priority="99">
      <formula>$C805=TODAY()</formula>
    </cfRule>
  </conditionalFormatting>
  <conditionalFormatting sqref="E805:E806">
    <cfRule type="expression" dxfId="292" priority="98">
      <formula>$C805=TODAY()</formula>
    </cfRule>
  </conditionalFormatting>
  <conditionalFormatting sqref="E805:E806">
    <cfRule type="expression" dxfId="291" priority="97">
      <formula>$C805=TODAY()</formula>
    </cfRule>
  </conditionalFormatting>
  <conditionalFormatting sqref="E806">
    <cfRule type="expression" dxfId="290" priority="96">
      <formula>$C806=TODAY()</formula>
    </cfRule>
  </conditionalFormatting>
  <conditionalFormatting sqref="E806">
    <cfRule type="expression" dxfId="289" priority="95">
      <formula>$C806=TODAY()</formula>
    </cfRule>
  </conditionalFormatting>
  <conditionalFormatting sqref="E806">
    <cfRule type="expression" dxfId="288" priority="94">
      <formula>$C806=TODAY()</formula>
    </cfRule>
  </conditionalFormatting>
  <conditionalFormatting sqref="E806">
    <cfRule type="expression" dxfId="287" priority="93">
      <formula>$C806=TODAY()</formula>
    </cfRule>
  </conditionalFormatting>
  <conditionalFormatting sqref="E806">
    <cfRule type="expression" dxfId="286" priority="92">
      <formula>$C806=TODAY()</formula>
    </cfRule>
  </conditionalFormatting>
  <conditionalFormatting sqref="G805:G806">
    <cfRule type="expression" dxfId="285" priority="91">
      <formula>$C805=TODAY()</formula>
    </cfRule>
  </conditionalFormatting>
  <conditionalFormatting sqref="G805:G806">
    <cfRule type="expression" dxfId="284" priority="90">
      <formula>$C805=TODAY()</formula>
    </cfRule>
  </conditionalFormatting>
  <conditionalFormatting sqref="G805:G806">
    <cfRule type="expression" dxfId="283" priority="89">
      <formula>$C805=TODAY()</formula>
    </cfRule>
  </conditionalFormatting>
  <conditionalFormatting sqref="G805:G806">
    <cfRule type="expression" dxfId="282" priority="88">
      <formula>$C805=TODAY()</formula>
    </cfRule>
  </conditionalFormatting>
  <conditionalFormatting sqref="G806">
    <cfRule type="expression" dxfId="281" priority="87">
      <formula>$C806=TODAY()</formula>
    </cfRule>
  </conditionalFormatting>
  <conditionalFormatting sqref="G806">
    <cfRule type="expression" dxfId="280" priority="86">
      <formula>$C806=TODAY()</formula>
    </cfRule>
  </conditionalFormatting>
  <conditionalFormatting sqref="G806">
    <cfRule type="expression" dxfId="279" priority="85">
      <formula>$C806=TODAY()</formula>
    </cfRule>
  </conditionalFormatting>
  <conditionalFormatting sqref="G806">
    <cfRule type="expression" dxfId="278" priority="84">
      <formula>$C806=TODAY()</formula>
    </cfRule>
  </conditionalFormatting>
  <conditionalFormatting sqref="G806">
    <cfRule type="expression" dxfId="277" priority="83">
      <formula>$C806=TODAY()</formula>
    </cfRule>
  </conditionalFormatting>
  <conditionalFormatting sqref="I805:I806">
    <cfRule type="expression" dxfId="276" priority="82">
      <formula>$C805=TODAY()</formula>
    </cfRule>
  </conditionalFormatting>
  <conditionalFormatting sqref="I805:I806">
    <cfRule type="expression" dxfId="275" priority="81">
      <formula>$C805=TODAY()</formula>
    </cfRule>
  </conditionalFormatting>
  <conditionalFormatting sqref="I805:I806">
    <cfRule type="expression" dxfId="274" priority="80">
      <formula>$C805=TODAY()</formula>
    </cfRule>
  </conditionalFormatting>
  <conditionalFormatting sqref="I805:I806">
    <cfRule type="expression" dxfId="273" priority="79">
      <formula>$C805=TODAY()</formula>
    </cfRule>
  </conditionalFormatting>
  <conditionalFormatting sqref="I806">
    <cfRule type="expression" dxfId="272" priority="78">
      <formula>$C806=TODAY()</formula>
    </cfRule>
  </conditionalFormatting>
  <conditionalFormatting sqref="I806">
    <cfRule type="expression" dxfId="271" priority="77">
      <formula>$C806=TODAY()</formula>
    </cfRule>
  </conditionalFormatting>
  <conditionalFormatting sqref="I806">
    <cfRule type="expression" dxfId="270" priority="76">
      <formula>$C806=TODAY()</formula>
    </cfRule>
  </conditionalFormatting>
  <conditionalFormatting sqref="I806">
    <cfRule type="expression" dxfId="269" priority="75">
      <formula>$C806=TODAY()</formula>
    </cfRule>
  </conditionalFormatting>
  <conditionalFormatting sqref="I806">
    <cfRule type="expression" dxfId="268" priority="74">
      <formula>$C806=TODAY()</formula>
    </cfRule>
  </conditionalFormatting>
  <conditionalFormatting sqref="K806">
    <cfRule type="expression" dxfId="267" priority="73">
      <formula>$C806=TODAY()</formula>
    </cfRule>
  </conditionalFormatting>
  <conditionalFormatting sqref="K806">
    <cfRule type="expression" dxfId="266" priority="72">
      <formula>$C806=TODAY()</formula>
    </cfRule>
  </conditionalFormatting>
  <conditionalFormatting sqref="K806">
    <cfRule type="expression" dxfId="265" priority="71">
      <formula>$C806=TODAY()</formula>
    </cfRule>
  </conditionalFormatting>
  <conditionalFormatting sqref="K806">
    <cfRule type="expression" dxfId="264" priority="70">
      <formula>$C806=TODAY()</formula>
    </cfRule>
  </conditionalFormatting>
  <conditionalFormatting sqref="K806">
    <cfRule type="expression" dxfId="263" priority="69">
      <formula>$C806=TODAY()</formula>
    </cfRule>
  </conditionalFormatting>
  <conditionalFormatting sqref="K806">
    <cfRule type="expression" dxfId="262" priority="68">
      <formula>$C806=TODAY()</formula>
    </cfRule>
  </conditionalFormatting>
  <conditionalFormatting sqref="K806">
    <cfRule type="expression" dxfId="261" priority="67">
      <formula>$C806=TODAY()</formula>
    </cfRule>
  </conditionalFormatting>
  <conditionalFormatting sqref="K806">
    <cfRule type="expression" dxfId="260" priority="66">
      <formula>$C806=TODAY()</formula>
    </cfRule>
  </conditionalFormatting>
  <conditionalFormatting sqref="K806">
    <cfRule type="expression" dxfId="259" priority="65">
      <formula>$C806=TODAY()</formula>
    </cfRule>
  </conditionalFormatting>
  <conditionalFormatting sqref="I808">
    <cfRule type="expression" dxfId="258" priority="64">
      <formula>$C808=TODAY()</formula>
    </cfRule>
  </conditionalFormatting>
  <conditionalFormatting sqref="I808">
    <cfRule type="expression" dxfId="257" priority="63">
      <formula>$C808=TODAY()</formula>
    </cfRule>
  </conditionalFormatting>
  <conditionalFormatting sqref="I808">
    <cfRule type="expression" dxfId="256" priority="62">
      <formula>$C808=TODAY()</formula>
    </cfRule>
  </conditionalFormatting>
  <conditionalFormatting sqref="I808">
    <cfRule type="expression" dxfId="255" priority="61">
      <formula>$C808=TODAY()</formula>
    </cfRule>
  </conditionalFormatting>
  <conditionalFormatting sqref="K808">
    <cfRule type="expression" dxfId="254" priority="60">
      <formula>$C808=TODAY()</formula>
    </cfRule>
  </conditionalFormatting>
  <conditionalFormatting sqref="K808">
    <cfRule type="expression" dxfId="253" priority="59">
      <formula>$C808=TODAY()</formula>
    </cfRule>
  </conditionalFormatting>
  <conditionalFormatting sqref="K808">
    <cfRule type="expression" dxfId="252" priority="58">
      <formula>$C808=TODAY()</formula>
    </cfRule>
  </conditionalFormatting>
  <conditionalFormatting sqref="K808">
    <cfRule type="expression" dxfId="251" priority="57">
      <formula>$C808=TODAY()</formula>
    </cfRule>
  </conditionalFormatting>
  <conditionalFormatting sqref="E811">
    <cfRule type="expression" dxfId="250" priority="56">
      <formula>$C811=TODAY()</formula>
    </cfRule>
  </conditionalFormatting>
  <conditionalFormatting sqref="E811">
    <cfRule type="expression" dxfId="249" priority="55">
      <formula>$C811=TODAY()</formula>
    </cfRule>
  </conditionalFormatting>
  <conditionalFormatting sqref="E811">
    <cfRule type="expression" dxfId="248" priority="54">
      <formula>$C811=TODAY()</formula>
    </cfRule>
  </conditionalFormatting>
  <conditionalFormatting sqref="G811">
    <cfRule type="expression" dxfId="247" priority="53">
      <formula>$C811=TODAY()</formula>
    </cfRule>
  </conditionalFormatting>
  <conditionalFormatting sqref="G811">
    <cfRule type="expression" dxfId="246" priority="52">
      <formula>$C811=TODAY()</formula>
    </cfRule>
  </conditionalFormatting>
  <conditionalFormatting sqref="G811">
    <cfRule type="expression" dxfId="245" priority="51">
      <formula>$C811=TODAY()</formula>
    </cfRule>
  </conditionalFormatting>
  <conditionalFormatting sqref="G811">
    <cfRule type="expression" dxfId="244" priority="50">
      <formula>$C811=TODAY()</formula>
    </cfRule>
  </conditionalFormatting>
  <conditionalFormatting sqref="I811:I812">
    <cfRule type="expression" dxfId="243" priority="49">
      <formula>$C811=TODAY()</formula>
    </cfRule>
  </conditionalFormatting>
  <conditionalFormatting sqref="I811:I812">
    <cfRule type="expression" dxfId="242" priority="48">
      <formula>$C811=TODAY()</formula>
    </cfRule>
  </conditionalFormatting>
  <conditionalFormatting sqref="I811:I812">
    <cfRule type="expression" dxfId="241" priority="47">
      <formula>$C811=TODAY()</formula>
    </cfRule>
  </conditionalFormatting>
  <conditionalFormatting sqref="I811:I812">
    <cfRule type="expression" dxfId="240" priority="46">
      <formula>$C811=TODAY()</formula>
    </cfRule>
  </conditionalFormatting>
  <conditionalFormatting sqref="K811">
    <cfRule type="expression" dxfId="239" priority="45">
      <formula>$C811=TODAY()</formula>
    </cfRule>
  </conditionalFormatting>
  <conditionalFormatting sqref="K811">
    <cfRule type="expression" dxfId="238" priority="44">
      <formula>$C811=TODAY()</formula>
    </cfRule>
  </conditionalFormatting>
  <conditionalFormatting sqref="K811">
    <cfRule type="expression" dxfId="237" priority="43">
      <formula>$C811=TODAY()</formula>
    </cfRule>
  </conditionalFormatting>
  <conditionalFormatting sqref="K811">
    <cfRule type="expression" dxfId="236" priority="42">
      <formula>$C811=TODAY()</formula>
    </cfRule>
  </conditionalFormatting>
  <conditionalFormatting sqref="E813:E814">
    <cfRule type="expression" dxfId="235" priority="41">
      <formula>$C813=TODAY()</formula>
    </cfRule>
  </conditionalFormatting>
  <conditionalFormatting sqref="E813:E814">
    <cfRule type="expression" dxfId="234" priority="40">
      <formula>$C813=TODAY()</formula>
    </cfRule>
  </conditionalFormatting>
  <conditionalFormatting sqref="E813:E814">
    <cfRule type="expression" dxfId="233" priority="39">
      <formula>$C813=TODAY()</formula>
    </cfRule>
  </conditionalFormatting>
  <conditionalFormatting sqref="E814">
    <cfRule type="expression" dxfId="232" priority="38">
      <formula>$C814=TODAY()</formula>
    </cfRule>
  </conditionalFormatting>
  <conditionalFormatting sqref="E814">
    <cfRule type="expression" dxfId="231" priority="37">
      <formula>$C814=TODAY()</formula>
    </cfRule>
  </conditionalFormatting>
  <conditionalFormatting sqref="E814">
    <cfRule type="expression" dxfId="230" priority="36">
      <formula>$C814=TODAY()</formula>
    </cfRule>
  </conditionalFormatting>
  <conditionalFormatting sqref="E814">
    <cfRule type="expression" dxfId="229" priority="35">
      <formula>$C814=TODAY()</formula>
    </cfRule>
  </conditionalFormatting>
  <conditionalFormatting sqref="E814">
    <cfRule type="expression" dxfId="228" priority="34">
      <formula>$C814=TODAY()</formula>
    </cfRule>
  </conditionalFormatting>
  <conditionalFormatting sqref="G813:G814">
    <cfRule type="expression" dxfId="227" priority="33">
      <formula>$C813=TODAY()</formula>
    </cfRule>
  </conditionalFormatting>
  <conditionalFormatting sqref="G813:G814">
    <cfRule type="expression" dxfId="226" priority="32">
      <formula>$C813=TODAY()</formula>
    </cfRule>
  </conditionalFormatting>
  <conditionalFormatting sqref="G813:G814">
    <cfRule type="expression" dxfId="225" priority="31">
      <formula>$C813=TODAY()</formula>
    </cfRule>
  </conditionalFormatting>
  <conditionalFormatting sqref="G813:G814">
    <cfRule type="expression" dxfId="224" priority="30">
      <formula>$C813=TODAY()</formula>
    </cfRule>
  </conditionalFormatting>
  <conditionalFormatting sqref="G814">
    <cfRule type="expression" dxfId="223" priority="29">
      <formula>$C814=TODAY()</formula>
    </cfRule>
  </conditionalFormatting>
  <conditionalFormatting sqref="G814">
    <cfRule type="expression" dxfId="222" priority="28">
      <formula>$C814=TODAY()</formula>
    </cfRule>
  </conditionalFormatting>
  <conditionalFormatting sqref="G814">
    <cfRule type="expression" dxfId="221" priority="27">
      <formula>$C814=TODAY()</formula>
    </cfRule>
  </conditionalFormatting>
  <conditionalFormatting sqref="G814">
    <cfRule type="expression" dxfId="220" priority="26">
      <formula>$C814=TODAY()</formula>
    </cfRule>
  </conditionalFormatting>
  <conditionalFormatting sqref="G814">
    <cfRule type="expression" dxfId="219" priority="25">
      <formula>$C814=TODAY()</formula>
    </cfRule>
  </conditionalFormatting>
  <conditionalFormatting sqref="I813:I814">
    <cfRule type="expression" dxfId="218" priority="24">
      <formula>$C813=TODAY()</formula>
    </cfRule>
  </conditionalFormatting>
  <conditionalFormatting sqref="I813:I814">
    <cfRule type="expression" dxfId="217" priority="23">
      <formula>$C813=TODAY()</formula>
    </cfRule>
  </conditionalFormatting>
  <conditionalFormatting sqref="I813:I814">
    <cfRule type="expression" dxfId="216" priority="22">
      <formula>$C813=TODAY()</formula>
    </cfRule>
  </conditionalFormatting>
  <conditionalFormatting sqref="I813:I814">
    <cfRule type="expression" dxfId="215" priority="21">
      <formula>$C813=TODAY()</formula>
    </cfRule>
  </conditionalFormatting>
  <conditionalFormatting sqref="I814">
    <cfRule type="expression" dxfId="214" priority="20">
      <formula>$C814=TODAY()</formula>
    </cfRule>
  </conditionalFormatting>
  <conditionalFormatting sqref="I814">
    <cfRule type="expression" dxfId="213" priority="19">
      <formula>$C814=TODAY()</formula>
    </cfRule>
  </conditionalFormatting>
  <conditionalFormatting sqref="I814">
    <cfRule type="expression" dxfId="212" priority="18">
      <formula>$C814=TODAY()</formula>
    </cfRule>
  </conditionalFormatting>
  <conditionalFormatting sqref="I814">
    <cfRule type="expression" dxfId="211" priority="17">
      <formula>$C814=TODAY()</formula>
    </cfRule>
  </conditionalFormatting>
  <conditionalFormatting sqref="I814">
    <cfRule type="expression" dxfId="210" priority="16">
      <formula>$C814=TODAY()</formula>
    </cfRule>
  </conditionalFormatting>
  <conditionalFormatting sqref="K813:K814">
    <cfRule type="expression" dxfId="209" priority="15">
      <formula>$C813=TODAY()</formula>
    </cfRule>
  </conditionalFormatting>
  <conditionalFormatting sqref="K813:K814">
    <cfRule type="expression" dxfId="208" priority="14">
      <formula>$C813=TODAY()</formula>
    </cfRule>
  </conditionalFormatting>
  <conditionalFormatting sqref="K813:K814">
    <cfRule type="expression" dxfId="207" priority="13">
      <formula>$C813=TODAY()</formula>
    </cfRule>
  </conditionalFormatting>
  <conditionalFormatting sqref="K813:K814">
    <cfRule type="expression" dxfId="206" priority="12">
      <formula>$C813=TODAY()</formula>
    </cfRule>
  </conditionalFormatting>
  <conditionalFormatting sqref="K814">
    <cfRule type="expression" dxfId="205" priority="11">
      <formula>$C814=TODAY()</formula>
    </cfRule>
  </conditionalFormatting>
  <conditionalFormatting sqref="K814">
    <cfRule type="expression" dxfId="204" priority="10">
      <formula>$C814=TODAY()</formula>
    </cfRule>
  </conditionalFormatting>
  <conditionalFormatting sqref="K814">
    <cfRule type="expression" dxfId="203" priority="9">
      <formula>$C814=TODAY()</formula>
    </cfRule>
  </conditionalFormatting>
  <conditionalFormatting sqref="K814">
    <cfRule type="expression" dxfId="202" priority="8">
      <formula>$C814=TODAY()</formula>
    </cfRule>
  </conditionalFormatting>
  <conditionalFormatting sqref="K814">
    <cfRule type="expression" dxfId="201" priority="7">
      <formula>$C814=TODAY()</formula>
    </cfRule>
  </conditionalFormatting>
  <conditionalFormatting sqref="G826 E826 I826:I829 K826:K829">
    <cfRule type="expression" dxfId="200" priority="6">
      <formula>$C826=TODAY()</formula>
    </cfRule>
  </conditionalFormatting>
  <conditionalFormatting sqref="G826 E826 I826:I829 K826:K829">
    <cfRule type="expression" dxfId="199" priority="5">
      <formula>$C826=TODAY()</formula>
    </cfRule>
  </conditionalFormatting>
  <conditionalFormatting sqref="G826 E826 I826:I829 K826:K829">
    <cfRule type="expression" dxfId="198" priority="4">
      <formula>$C826=TODAY()</formula>
    </cfRule>
  </conditionalFormatting>
  <conditionalFormatting sqref="G826 I826:I829 K826:K829">
    <cfRule type="expression" dxfId="197" priority="3">
      <formula>$C826=TODAY()</formula>
    </cfRule>
  </conditionalFormatting>
  <conditionalFormatting sqref="K829 I829 G829">
    <cfRule type="expression" dxfId="196" priority="2">
      <formula>$C829=TODAY()</formula>
    </cfRule>
  </conditionalFormatting>
  <conditionalFormatting sqref="K834 I834 G834">
    <cfRule type="expression" dxfId="0" priority="1">
      <formula>$C834=TODAY()</formula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48"/>
  <sheetViews>
    <sheetView zoomScale="130" zoomScaleNormal="130" workbookViewId="0">
      <pane ySplit="3" topLeftCell="A833" activePane="bottomLeft" state="frozen"/>
      <selection pane="bottomLeft" activeCell="F850" sqref="F850"/>
    </sheetView>
  </sheetViews>
  <sheetFormatPr defaultColWidth="8.5703125" defaultRowHeight="15" x14ac:dyDescent="0.25"/>
  <cols>
    <col min="1" max="1" width="4.85546875" customWidth="1"/>
    <col min="3" max="3" width="12.7109375" customWidth="1"/>
    <col min="4" max="4" width="16.7109375" customWidth="1"/>
    <col min="5" max="5" width="12.42578125" customWidth="1"/>
    <col min="6" max="6" width="16.7109375" customWidth="1"/>
    <col min="7" max="7" width="12.42578125" customWidth="1"/>
    <col min="8" max="8" width="16.7109375" customWidth="1"/>
    <col min="9" max="9" width="12.42578125" customWidth="1"/>
    <col min="10" max="10" width="16.7109375" customWidth="1"/>
    <col min="11" max="11" width="12.42578125" customWidth="1"/>
    <col min="12" max="12" width="16.7109375" hidden="1" customWidth="1"/>
    <col min="13" max="13" width="12.42578125" hidden="1" customWidth="1"/>
    <col min="14" max="14" width="28" style="26" customWidth="1"/>
    <col min="15" max="15" width="28" customWidth="1"/>
  </cols>
  <sheetData>
    <row r="1" spans="1:15" ht="30" x14ac:dyDescent="0.4">
      <c r="A1" s="35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13"/>
      <c r="O1" s="1"/>
    </row>
    <row r="2" spans="1:15" ht="18.75" x14ac:dyDescent="0.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13"/>
      <c r="O2" s="1"/>
    </row>
    <row r="3" spans="1:15" ht="19.5" x14ac:dyDescent="0.25">
      <c r="A3" s="3" t="s">
        <v>2</v>
      </c>
      <c r="B3" s="3" t="s">
        <v>3</v>
      </c>
      <c r="C3" s="3" t="s">
        <v>4</v>
      </c>
      <c r="D3" s="4" t="s">
        <v>5</v>
      </c>
      <c r="E3" s="5" t="s">
        <v>6</v>
      </c>
      <c r="F3" s="6" t="s">
        <v>7</v>
      </c>
      <c r="G3" s="5" t="s">
        <v>6</v>
      </c>
      <c r="H3" s="6" t="s">
        <v>9</v>
      </c>
      <c r="I3" s="5" t="s">
        <v>6</v>
      </c>
      <c r="J3" s="6" t="s">
        <v>8</v>
      </c>
      <c r="K3" s="5" t="s">
        <v>6</v>
      </c>
      <c r="L3" s="6" t="s">
        <v>10</v>
      </c>
      <c r="M3" s="5" t="s">
        <v>6</v>
      </c>
      <c r="N3" s="13"/>
      <c r="O3" s="1"/>
    </row>
    <row r="4" spans="1:15" x14ac:dyDescent="0.25">
      <c r="A4" s="1">
        <v>1</v>
      </c>
      <c r="B4" s="7" t="s">
        <v>14</v>
      </c>
      <c r="C4" s="8">
        <v>45337</v>
      </c>
      <c r="D4" s="9"/>
      <c r="E4" s="10"/>
      <c r="F4" s="11"/>
      <c r="G4" s="12"/>
      <c r="H4" s="11"/>
      <c r="I4" s="12"/>
      <c r="J4" s="11"/>
      <c r="K4" s="12"/>
      <c r="L4" s="11"/>
      <c r="M4" s="12"/>
      <c r="N4" s="13"/>
      <c r="O4" s="1"/>
    </row>
    <row r="5" spans="1:15" x14ac:dyDescent="0.25">
      <c r="A5" s="1">
        <v>2</v>
      </c>
      <c r="B5" s="7" t="s">
        <v>15</v>
      </c>
      <c r="C5" s="8">
        <v>45338</v>
      </c>
      <c r="D5" s="9"/>
      <c r="E5" s="10"/>
      <c r="F5" s="11"/>
      <c r="G5" s="12"/>
      <c r="H5" s="11"/>
      <c r="I5" s="12"/>
      <c r="J5" s="11"/>
      <c r="K5" s="12"/>
      <c r="L5" s="11"/>
      <c r="M5" s="12"/>
      <c r="N5" s="13"/>
      <c r="O5" s="1"/>
    </row>
    <row r="6" spans="1:15" x14ac:dyDescent="0.25">
      <c r="A6" s="1">
        <v>3</v>
      </c>
      <c r="B6" s="7" t="s">
        <v>16</v>
      </c>
      <c r="C6" s="8">
        <v>45339</v>
      </c>
      <c r="D6" s="9"/>
      <c r="E6" s="10"/>
      <c r="F6" s="11"/>
      <c r="G6" s="12"/>
      <c r="H6" s="11"/>
      <c r="I6" s="12"/>
      <c r="J6" s="11"/>
      <c r="K6" s="12"/>
      <c r="L6" s="11">
        <v>600</v>
      </c>
      <c r="M6" s="12" t="s">
        <v>12</v>
      </c>
      <c r="N6" s="13"/>
      <c r="O6" s="1"/>
    </row>
    <row r="7" spans="1:15" x14ac:dyDescent="0.25">
      <c r="A7" s="1">
        <v>4</v>
      </c>
      <c r="B7" s="7" t="s">
        <v>17</v>
      </c>
      <c r="C7" s="8">
        <v>45340</v>
      </c>
      <c r="D7" s="9"/>
      <c r="E7" s="10"/>
      <c r="F7" s="11"/>
      <c r="G7" s="12"/>
      <c r="H7" s="11"/>
      <c r="I7" s="12"/>
      <c r="J7" s="11"/>
      <c r="K7" s="12"/>
      <c r="L7" s="11"/>
      <c r="M7" s="12"/>
      <c r="N7" s="13"/>
      <c r="O7" s="1"/>
    </row>
    <row r="8" spans="1:15" x14ac:dyDescent="0.25">
      <c r="A8" s="1">
        <v>5</v>
      </c>
      <c r="B8" s="7" t="s">
        <v>18</v>
      </c>
      <c r="C8" s="8">
        <v>45341</v>
      </c>
      <c r="D8" s="9"/>
      <c r="E8" s="10"/>
      <c r="F8" s="11"/>
      <c r="G8" s="12"/>
      <c r="H8" s="11"/>
      <c r="I8" s="12"/>
      <c r="J8" s="11"/>
      <c r="K8" s="12"/>
      <c r="L8" s="11"/>
      <c r="M8" s="12"/>
      <c r="N8" s="13"/>
      <c r="O8" s="1"/>
    </row>
    <row r="9" spans="1:15" x14ac:dyDescent="0.25">
      <c r="A9" s="1">
        <v>6</v>
      </c>
      <c r="B9" s="7" t="s">
        <v>19</v>
      </c>
      <c r="C9" s="8">
        <v>45342</v>
      </c>
      <c r="D9" s="9">
        <v>4600</v>
      </c>
      <c r="E9" s="10" t="s">
        <v>12</v>
      </c>
      <c r="F9" s="11">
        <v>5600</v>
      </c>
      <c r="G9" s="12" t="s">
        <v>12</v>
      </c>
      <c r="H9" s="11"/>
      <c r="I9" s="12"/>
      <c r="J9" s="11">
        <v>5100</v>
      </c>
      <c r="K9" s="12" t="s">
        <v>12</v>
      </c>
      <c r="L9" s="11"/>
      <c r="M9" s="12"/>
      <c r="N9" s="13"/>
      <c r="O9" s="1"/>
    </row>
    <row r="10" spans="1:15" x14ac:dyDescent="0.25">
      <c r="A10" s="1">
        <v>7</v>
      </c>
      <c r="B10" s="7" t="s">
        <v>20</v>
      </c>
      <c r="C10" s="8">
        <v>45343</v>
      </c>
      <c r="D10" s="9"/>
      <c r="E10" s="10"/>
      <c r="F10" s="11"/>
      <c r="G10" s="12"/>
      <c r="H10" s="11"/>
      <c r="I10" s="12"/>
      <c r="J10" s="11"/>
      <c r="K10" s="12"/>
      <c r="L10" s="11"/>
      <c r="M10" s="12"/>
      <c r="N10" s="13"/>
      <c r="O10" s="1"/>
    </row>
    <row r="11" spans="1:15" x14ac:dyDescent="0.25">
      <c r="A11" s="1">
        <v>8</v>
      </c>
      <c r="B11" s="7" t="s">
        <v>14</v>
      </c>
      <c r="C11" s="8">
        <v>45344</v>
      </c>
      <c r="D11" s="9"/>
      <c r="E11" s="10"/>
      <c r="F11" s="11"/>
      <c r="G11" s="12"/>
      <c r="H11" s="11"/>
      <c r="I11" s="12"/>
      <c r="J11" s="11"/>
      <c r="K11" s="12"/>
      <c r="L11" s="11"/>
      <c r="M11" s="12"/>
      <c r="N11" s="13"/>
      <c r="O11" s="1"/>
    </row>
    <row r="12" spans="1:15" x14ac:dyDescent="0.25">
      <c r="A12" s="1">
        <v>9</v>
      </c>
      <c r="B12" s="7" t="s">
        <v>15</v>
      </c>
      <c r="C12" s="8">
        <v>45345</v>
      </c>
      <c r="D12" s="9"/>
      <c r="E12" s="10"/>
      <c r="F12" s="11"/>
      <c r="G12" s="12"/>
      <c r="H12" s="11"/>
      <c r="I12" s="12"/>
      <c r="J12" s="11"/>
      <c r="K12" s="12"/>
      <c r="L12" s="11"/>
      <c r="M12" s="12"/>
      <c r="N12" s="13"/>
      <c r="O12" s="1"/>
    </row>
    <row r="13" spans="1:15" x14ac:dyDescent="0.25">
      <c r="A13" s="1">
        <v>10</v>
      </c>
      <c r="B13" s="7" t="s">
        <v>16</v>
      </c>
      <c r="C13" s="8">
        <v>45346</v>
      </c>
      <c r="D13" s="9">
        <v>1800</v>
      </c>
      <c r="E13" s="10" t="s">
        <v>21</v>
      </c>
      <c r="F13" s="11">
        <v>1260</v>
      </c>
      <c r="G13" s="10" t="s">
        <v>21</v>
      </c>
      <c r="H13" s="11"/>
      <c r="I13" s="10"/>
      <c r="J13" s="11">
        <v>180</v>
      </c>
      <c r="K13" s="10" t="s">
        <v>21</v>
      </c>
      <c r="L13" s="11">
        <v>800</v>
      </c>
      <c r="M13" s="12" t="s">
        <v>12</v>
      </c>
      <c r="N13" s="13"/>
      <c r="O13" s="1"/>
    </row>
    <row r="14" spans="1:15" x14ac:dyDescent="0.25">
      <c r="A14" s="1">
        <v>11</v>
      </c>
      <c r="B14" s="7" t="s">
        <v>17</v>
      </c>
      <c r="C14" s="8">
        <v>45347</v>
      </c>
      <c r="D14" s="9"/>
      <c r="E14" s="10"/>
      <c r="F14" s="11"/>
      <c r="G14" s="12"/>
      <c r="H14" s="11"/>
      <c r="I14" s="12"/>
      <c r="J14" s="11"/>
      <c r="K14" s="12"/>
      <c r="L14" s="11"/>
      <c r="M14" s="12"/>
      <c r="N14" s="13"/>
      <c r="O14" s="1"/>
    </row>
    <row r="15" spans="1:15" x14ac:dyDescent="0.25">
      <c r="A15" s="1">
        <v>12</v>
      </c>
      <c r="B15" s="7" t="s">
        <v>18</v>
      </c>
      <c r="C15" s="8">
        <v>45348</v>
      </c>
      <c r="D15" s="9"/>
      <c r="E15" s="10"/>
      <c r="F15" s="11"/>
      <c r="G15" s="12"/>
      <c r="H15" s="11"/>
      <c r="I15" s="12"/>
      <c r="J15" s="11"/>
      <c r="K15" s="12"/>
      <c r="L15" s="11"/>
      <c r="M15" s="12"/>
      <c r="N15" s="13"/>
      <c r="O15" s="1"/>
    </row>
    <row r="16" spans="1:15" x14ac:dyDescent="0.25">
      <c r="A16" s="1">
        <v>13</v>
      </c>
      <c r="B16" s="7" t="s">
        <v>19</v>
      </c>
      <c r="C16" s="8">
        <v>45349</v>
      </c>
      <c r="D16" s="9"/>
      <c r="E16" s="10"/>
      <c r="F16" s="11"/>
      <c r="G16" s="12"/>
      <c r="H16" s="11"/>
      <c r="I16" s="12"/>
      <c r="J16" s="11"/>
      <c r="K16" s="12"/>
      <c r="L16" s="11"/>
      <c r="M16" s="12"/>
      <c r="N16" s="13"/>
      <c r="O16" s="1"/>
    </row>
    <row r="17" spans="1:15" x14ac:dyDescent="0.25">
      <c r="A17" s="1">
        <v>14</v>
      </c>
      <c r="B17" s="7" t="s">
        <v>20</v>
      </c>
      <c r="C17" s="8">
        <v>45350</v>
      </c>
      <c r="D17" s="9">
        <v>6800</v>
      </c>
      <c r="E17" s="10" t="s">
        <v>12</v>
      </c>
      <c r="F17" s="11">
        <v>1300</v>
      </c>
      <c r="G17" s="12" t="s">
        <v>12</v>
      </c>
      <c r="H17" s="11"/>
      <c r="I17" s="12"/>
      <c r="J17" s="11">
        <v>7300</v>
      </c>
      <c r="K17" s="12" t="s">
        <v>12</v>
      </c>
      <c r="L17" s="11"/>
      <c r="M17" s="12"/>
      <c r="N17" s="13"/>
      <c r="O17" s="1"/>
    </row>
    <row r="18" spans="1:15" x14ac:dyDescent="0.25">
      <c r="A18" s="1">
        <v>15</v>
      </c>
      <c r="B18" s="7" t="s">
        <v>14</v>
      </c>
      <c r="C18" s="8">
        <v>45351</v>
      </c>
      <c r="D18" s="9"/>
      <c r="E18" s="10"/>
      <c r="F18" s="11"/>
      <c r="G18" s="12"/>
      <c r="H18" s="11"/>
      <c r="I18" s="12"/>
      <c r="J18" s="11"/>
      <c r="K18" s="12"/>
      <c r="L18" s="11"/>
      <c r="M18" s="12"/>
      <c r="N18" s="13"/>
      <c r="O18" s="1"/>
    </row>
    <row r="19" spans="1:15" x14ac:dyDescent="0.25">
      <c r="A19" s="1">
        <v>16</v>
      </c>
      <c r="B19" s="7" t="s">
        <v>15</v>
      </c>
      <c r="C19" s="8">
        <v>45352</v>
      </c>
      <c r="D19" s="9"/>
      <c r="E19" s="10"/>
      <c r="F19" s="11"/>
      <c r="G19" s="12"/>
      <c r="H19" s="11"/>
      <c r="I19" s="12"/>
      <c r="J19" s="11"/>
      <c r="K19" s="12"/>
      <c r="L19" s="11"/>
      <c r="M19" s="12"/>
      <c r="N19" s="13"/>
      <c r="O19" s="1"/>
    </row>
    <row r="20" spans="1:15" x14ac:dyDescent="0.25">
      <c r="A20" s="1">
        <v>17</v>
      </c>
      <c r="B20" s="7" t="s">
        <v>16</v>
      </c>
      <c r="C20" s="8">
        <v>45353</v>
      </c>
      <c r="D20" s="9"/>
      <c r="E20" s="10"/>
      <c r="F20" s="11"/>
      <c r="G20" s="12"/>
      <c r="H20" s="11"/>
      <c r="I20" s="12"/>
      <c r="J20" s="11"/>
      <c r="K20" s="12"/>
      <c r="L20" s="11">
        <v>300</v>
      </c>
      <c r="M20" s="12" t="s">
        <v>12</v>
      </c>
      <c r="N20" s="13"/>
      <c r="O20" s="1"/>
    </row>
    <row r="21" spans="1:15" x14ac:dyDescent="0.25">
      <c r="A21" s="1">
        <v>18</v>
      </c>
      <c r="B21" s="7" t="s">
        <v>17</v>
      </c>
      <c r="C21" s="8">
        <v>45354</v>
      </c>
      <c r="D21" s="9"/>
      <c r="E21" s="10"/>
      <c r="F21" s="11"/>
      <c r="G21" s="12"/>
      <c r="H21" s="11"/>
      <c r="I21" s="12"/>
      <c r="J21" s="11"/>
      <c r="K21" s="12"/>
      <c r="L21" s="11"/>
      <c r="M21" s="12"/>
      <c r="N21" s="13"/>
      <c r="O21" s="1"/>
    </row>
    <row r="22" spans="1:15" x14ac:dyDescent="0.25">
      <c r="A22" s="1">
        <v>19</v>
      </c>
      <c r="B22" s="7" t="s">
        <v>18</v>
      </c>
      <c r="C22" s="8">
        <v>45355</v>
      </c>
      <c r="D22" s="9"/>
      <c r="E22" s="10"/>
      <c r="F22" s="11"/>
      <c r="G22" s="12"/>
      <c r="H22" s="11"/>
      <c r="I22" s="12"/>
      <c r="J22" s="11"/>
      <c r="K22" s="12"/>
      <c r="L22" s="11"/>
      <c r="M22" s="12"/>
      <c r="N22" s="13"/>
      <c r="O22" s="1"/>
    </row>
    <row r="23" spans="1:15" x14ac:dyDescent="0.25">
      <c r="A23" s="1">
        <v>20</v>
      </c>
      <c r="B23" s="7" t="s">
        <v>19</v>
      </c>
      <c r="C23" s="8">
        <v>45356</v>
      </c>
      <c r="D23" s="9">
        <v>9500</v>
      </c>
      <c r="E23" s="10" t="s">
        <v>12</v>
      </c>
      <c r="F23" s="11">
        <v>2900</v>
      </c>
      <c r="G23" s="12" t="s">
        <v>12</v>
      </c>
      <c r="H23" s="11"/>
      <c r="I23" s="12"/>
      <c r="J23" s="11">
        <v>2800</v>
      </c>
      <c r="K23" s="12" t="s">
        <v>12</v>
      </c>
      <c r="L23" s="11"/>
      <c r="M23" s="12"/>
      <c r="N23" s="13"/>
      <c r="O23" s="1"/>
    </row>
    <row r="24" spans="1:15" x14ac:dyDescent="0.25">
      <c r="A24" s="1">
        <v>21</v>
      </c>
      <c r="B24" s="7" t="s">
        <v>20</v>
      </c>
      <c r="C24" s="8">
        <v>45357</v>
      </c>
      <c r="D24" s="9">
        <v>6000</v>
      </c>
      <c r="E24" s="10" t="s">
        <v>22</v>
      </c>
      <c r="F24" s="11">
        <v>5100</v>
      </c>
      <c r="G24" s="12" t="s">
        <v>22</v>
      </c>
      <c r="H24" s="11"/>
      <c r="I24" s="12"/>
      <c r="J24" s="11">
        <v>2000</v>
      </c>
      <c r="K24" s="12" t="s">
        <v>22</v>
      </c>
      <c r="L24" s="11">
        <v>650</v>
      </c>
      <c r="M24" s="12" t="s">
        <v>12</v>
      </c>
      <c r="N24" s="13"/>
      <c r="O24" s="1"/>
    </row>
    <row r="25" spans="1:15" x14ac:dyDescent="0.25">
      <c r="A25" s="1">
        <v>22</v>
      </c>
      <c r="B25" s="7" t="s">
        <v>14</v>
      </c>
      <c r="C25" s="8">
        <v>45358</v>
      </c>
      <c r="D25" s="9"/>
      <c r="E25" s="10"/>
      <c r="F25" s="11"/>
      <c r="G25" s="12"/>
      <c r="H25" s="11"/>
      <c r="I25" s="12"/>
      <c r="J25" s="11"/>
      <c r="K25" s="12"/>
      <c r="L25" s="11"/>
      <c r="M25" s="12"/>
      <c r="N25" s="13"/>
      <c r="O25" s="1"/>
    </row>
    <row r="26" spans="1:15" x14ac:dyDescent="0.25">
      <c r="A26" s="1">
        <v>23</v>
      </c>
      <c r="B26" s="7" t="s">
        <v>15</v>
      </c>
      <c r="C26" s="8">
        <v>45359</v>
      </c>
      <c r="D26" s="9"/>
      <c r="E26" s="10"/>
      <c r="F26" s="11"/>
      <c r="G26" s="12"/>
      <c r="H26" s="11"/>
      <c r="I26" s="12"/>
      <c r="J26" s="11"/>
      <c r="K26" s="12"/>
      <c r="L26" s="11"/>
      <c r="M26" s="12"/>
      <c r="N26" s="13"/>
      <c r="O26" s="1"/>
    </row>
    <row r="27" spans="1:15" x14ac:dyDescent="0.25">
      <c r="A27" s="1">
        <v>24</v>
      </c>
      <c r="B27" s="7" t="s">
        <v>16</v>
      </c>
      <c r="C27" s="8">
        <v>45360</v>
      </c>
      <c r="D27" s="9"/>
      <c r="E27" s="10"/>
      <c r="F27" s="11"/>
      <c r="G27" s="12"/>
      <c r="H27" s="11"/>
      <c r="I27" s="12"/>
      <c r="J27" s="11"/>
      <c r="K27" s="12"/>
      <c r="L27" s="11"/>
      <c r="M27" s="12"/>
      <c r="N27" s="13"/>
      <c r="O27" s="1"/>
    </row>
    <row r="28" spans="1:15" x14ac:dyDescent="0.25">
      <c r="A28" s="1">
        <v>25</v>
      </c>
      <c r="B28" s="7" t="s">
        <v>17</v>
      </c>
      <c r="C28" s="8">
        <v>45361</v>
      </c>
      <c r="D28" s="9"/>
      <c r="E28" s="10"/>
      <c r="F28" s="11"/>
      <c r="G28" s="12"/>
      <c r="H28" s="11"/>
      <c r="I28" s="12"/>
      <c r="J28" s="11"/>
      <c r="K28" s="12"/>
      <c r="L28" s="11"/>
      <c r="M28" s="12"/>
      <c r="N28" s="13"/>
      <c r="O28" s="1"/>
    </row>
    <row r="29" spans="1:15" x14ac:dyDescent="0.25">
      <c r="A29" s="1">
        <v>26</v>
      </c>
      <c r="B29" s="7" t="s">
        <v>18</v>
      </c>
      <c r="C29" s="8">
        <v>45362</v>
      </c>
      <c r="D29" s="9"/>
      <c r="E29" s="10"/>
      <c r="F29" s="11"/>
      <c r="G29" s="12"/>
      <c r="H29" s="11"/>
      <c r="I29" s="12"/>
      <c r="J29" s="11"/>
      <c r="K29" s="12"/>
      <c r="L29" s="11"/>
      <c r="M29" s="12"/>
      <c r="N29" s="13"/>
      <c r="O29" s="1"/>
    </row>
    <row r="30" spans="1:15" x14ac:dyDescent="0.25">
      <c r="A30" s="1">
        <v>27</v>
      </c>
      <c r="B30" s="7" t="s">
        <v>19</v>
      </c>
      <c r="C30" s="8">
        <v>45363</v>
      </c>
      <c r="D30" s="9">
        <v>6700</v>
      </c>
      <c r="E30" s="10" t="s">
        <v>12</v>
      </c>
      <c r="F30" s="11">
        <v>4800</v>
      </c>
      <c r="G30" s="12" t="s">
        <v>12</v>
      </c>
      <c r="H30" s="11"/>
      <c r="I30" s="12"/>
      <c r="J30" s="11">
        <v>4600</v>
      </c>
      <c r="K30" s="12" t="s">
        <v>12</v>
      </c>
      <c r="L30" s="11"/>
      <c r="M30" s="12"/>
      <c r="N30" s="13"/>
      <c r="O30" s="1"/>
    </row>
    <row r="31" spans="1:15" x14ac:dyDescent="0.25">
      <c r="A31" s="1">
        <v>28</v>
      </c>
      <c r="B31" s="7" t="s">
        <v>20</v>
      </c>
      <c r="C31" s="8">
        <v>45364</v>
      </c>
      <c r="D31" s="9"/>
      <c r="E31" s="10"/>
      <c r="F31" s="11"/>
      <c r="G31" s="12"/>
      <c r="H31" s="11"/>
      <c r="I31" s="12"/>
      <c r="J31" s="11"/>
      <c r="K31" s="12"/>
      <c r="L31" s="11"/>
      <c r="M31" s="12"/>
      <c r="N31" s="13"/>
      <c r="O31" s="1"/>
    </row>
    <row r="32" spans="1:15" x14ac:dyDescent="0.25">
      <c r="A32" s="1">
        <v>29</v>
      </c>
      <c r="B32" s="7" t="s">
        <v>14</v>
      </c>
      <c r="C32" s="8">
        <v>45365</v>
      </c>
      <c r="D32" s="9"/>
      <c r="E32" s="10"/>
      <c r="F32" s="11"/>
      <c r="G32" s="12"/>
      <c r="H32" s="11"/>
      <c r="I32" s="12"/>
      <c r="J32" s="11"/>
      <c r="K32" s="12"/>
      <c r="L32" s="11"/>
      <c r="M32" s="12"/>
      <c r="N32" s="13"/>
      <c r="O32" s="1"/>
    </row>
    <row r="33" spans="1:15" x14ac:dyDescent="0.25">
      <c r="A33" s="1">
        <v>30</v>
      </c>
      <c r="B33" s="7" t="s">
        <v>15</v>
      </c>
      <c r="C33" s="8">
        <v>45366</v>
      </c>
      <c r="D33" s="9"/>
      <c r="E33" s="10"/>
      <c r="F33" s="11"/>
      <c r="G33" s="12"/>
      <c r="H33" s="11"/>
      <c r="I33" s="12"/>
      <c r="J33" s="11"/>
      <c r="K33" s="12"/>
      <c r="L33" s="11"/>
      <c r="M33" s="12"/>
      <c r="N33" s="13"/>
      <c r="O33" s="1"/>
    </row>
    <row r="34" spans="1:15" x14ac:dyDescent="0.25">
      <c r="A34" s="1">
        <v>31</v>
      </c>
      <c r="B34" s="7" t="s">
        <v>16</v>
      </c>
      <c r="C34" s="8">
        <v>45367</v>
      </c>
      <c r="D34" s="9"/>
      <c r="E34" s="10"/>
      <c r="F34" s="11"/>
      <c r="G34" s="12"/>
      <c r="H34" s="11"/>
      <c r="I34" s="12"/>
      <c r="J34" s="11"/>
      <c r="K34" s="12"/>
      <c r="L34" s="11"/>
      <c r="M34" s="12"/>
      <c r="N34" s="13"/>
      <c r="O34" s="1"/>
    </row>
    <row r="35" spans="1:15" x14ac:dyDescent="0.25">
      <c r="A35" s="1">
        <v>32</v>
      </c>
      <c r="B35" s="7" t="s">
        <v>17</v>
      </c>
      <c r="C35" s="8">
        <v>45368</v>
      </c>
      <c r="D35" s="9"/>
      <c r="E35" s="10"/>
      <c r="F35" s="11"/>
      <c r="G35" s="12"/>
      <c r="H35" s="11"/>
      <c r="I35" s="12"/>
      <c r="J35" s="11"/>
      <c r="K35" s="12"/>
      <c r="L35" s="11"/>
      <c r="M35" s="12"/>
      <c r="N35" s="13"/>
      <c r="O35" s="1"/>
    </row>
    <row r="36" spans="1:15" x14ac:dyDescent="0.25">
      <c r="A36" s="1">
        <v>33</v>
      </c>
      <c r="B36" s="7" t="s">
        <v>18</v>
      </c>
      <c r="C36" s="8">
        <v>45369</v>
      </c>
      <c r="D36" s="9"/>
      <c r="E36" s="10"/>
      <c r="F36" s="11"/>
      <c r="G36" s="12"/>
      <c r="H36" s="11"/>
      <c r="I36" s="12"/>
      <c r="J36" s="11"/>
      <c r="K36" s="12"/>
      <c r="L36" s="11"/>
      <c r="M36" s="12"/>
      <c r="N36" s="13"/>
      <c r="O36" s="1"/>
    </row>
    <row r="37" spans="1:15" x14ac:dyDescent="0.25">
      <c r="A37" s="1">
        <v>34</v>
      </c>
      <c r="B37" s="7" t="s">
        <v>19</v>
      </c>
      <c r="C37" s="8">
        <v>45370</v>
      </c>
      <c r="D37" s="9">
        <v>5100</v>
      </c>
      <c r="E37" s="10" t="s">
        <v>12</v>
      </c>
      <c r="F37" s="11">
        <v>4500</v>
      </c>
      <c r="G37" s="12" t="s">
        <v>12</v>
      </c>
      <c r="H37" s="11"/>
      <c r="I37" s="12"/>
      <c r="J37" s="11">
        <v>5900</v>
      </c>
      <c r="K37" s="12" t="s">
        <v>12</v>
      </c>
      <c r="L37" s="11"/>
      <c r="M37" s="12"/>
      <c r="N37" s="13"/>
      <c r="O37" s="1"/>
    </row>
    <row r="38" spans="1:15" x14ac:dyDescent="0.25">
      <c r="A38" s="1">
        <v>35</v>
      </c>
      <c r="B38" s="7" t="s">
        <v>20</v>
      </c>
      <c r="C38" s="8">
        <v>45371</v>
      </c>
      <c r="D38" s="9">
        <v>1900</v>
      </c>
      <c r="E38" s="10" t="s">
        <v>12</v>
      </c>
      <c r="F38" s="11">
        <v>1900</v>
      </c>
      <c r="G38" s="12" t="s">
        <v>12</v>
      </c>
      <c r="H38" s="11"/>
      <c r="I38" s="12"/>
      <c r="J38" s="11">
        <v>1900</v>
      </c>
      <c r="K38" s="12" t="s">
        <v>12</v>
      </c>
      <c r="L38" s="11"/>
      <c r="M38" s="12"/>
      <c r="N38" s="13"/>
      <c r="O38" s="1"/>
    </row>
    <row r="39" spans="1:15" x14ac:dyDescent="0.25">
      <c r="A39" s="1">
        <v>36</v>
      </c>
      <c r="B39" s="7" t="s">
        <v>20</v>
      </c>
      <c r="C39" s="8">
        <v>45371</v>
      </c>
      <c r="D39" s="9">
        <v>5700</v>
      </c>
      <c r="E39" s="10" t="s">
        <v>22</v>
      </c>
      <c r="F39" s="11">
        <v>2500</v>
      </c>
      <c r="G39" s="12" t="s">
        <v>22</v>
      </c>
      <c r="H39" s="11"/>
      <c r="I39" s="12"/>
      <c r="J39" s="11">
        <v>800</v>
      </c>
      <c r="K39" s="12" t="s">
        <v>22</v>
      </c>
      <c r="L39" s="11"/>
      <c r="M39" s="12"/>
      <c r="N39" s="13"/>
      <c r="O39" s="1"/>
    </row>
    <row r="40" spans="1:15" x14ac:dyDescent="0.25">
      <c r="A40" s="1">
        <v>37</v>
      </c>
      <c r="B40" s="7" t="s">
        <v>14</v>
      </c>
      <c r="C40" s="8">
        <v>45372</v>
      </c>
      <c r="D40" s="9"/>
      <c r="E40" s="10"/>
      <c r="F40" s="11"/>
      <c r="G40" s="12"/>
      <c r="H40" s="11"/>
      <c r="I40" s="12"/>
      <c r="J40" s="11"/>
      <c r="K40" s="12"/>
      <c r="L40" s="11"/>
      <c r="M40" s="12"/>
      <c r="N40" s="13"/>
      <c r="O40" s="1"/>
    </row>
    <row r="41" spans="1:15" x14ac:dyDescent="0.25">
      <c r="A41" s="1">
        <v>38</v>
      </c>
      <c r="B41" s="7" t="s">
        <v>15</v>
      </c>
      <c r="C41" s="8">
        <v>45373</v>
      </c>
      <c r="D41" s="9"/>
      <c r="E41" s="10"/>
      <c r="F41" s="11"/>
      <c r="G41" s="12"/>
      <c r="H41" s="11"/>
      <c r="I41" s="12"/>
      <c r="J41" s="11"/>
      <c r="K41" s="12"/>
      <c r="L41" s="11"/>
      <c r="M41" s="12"/>
      <c r="N41" s="13"/>
      <c r="O41" s="1"/>
    </row>
    <row r="42" spans="1:15" x14ac:dyDescent="0.25">
      <c r="A42" s="1">
        <v>39</v>
      </c>
      <c r="B42" s="7" t="s">
        <v>16</v>
      </c>
      <c r="C42" s="8">
        <v>45374</v>
      </c>
      <c r="D42" s="9"/>
      <c r="E42" s="10"/>
      <c r="F42" s="11"/>
      <c r="G42" s="12"/>
      <c r="H42" s="11"/>
      <c r="I42" s="12"/>
      <c r="J42" s="11"/>
      <c r="K42" s="12"/>
      <c r="L42" s="11"/>
      <c r="M42" s="12"/>
      <c r="N42" s="13"/>
      <c r="O42" s="1"/>
    </row>
    <row r="43" spans="1:15" x14ac:dyDescent="0.25">
      <c r="A43" s="1">
        <v>40</v>
      </c>
      <c r="B43" s="7" t="s">
        <v>17</v>
      </c>
      <c r="C43" s="8">
        <v>45375</v>
      </c>
      <c r="D43" s="9"/>
      <c r="E43" s="10"/>
      <c r="F43" s="11"/>
      <c r="G43" s="12"/>
      <c r="H43" s="11"/>
      <c r="I43" s="12"/>
      <c r="J43" s="11"/>
      <c r="K43" s="12"/>
      <c r="L43" s="11"/>
      <c r="M43" s="12"/>
      <c r="N43" s="13"/>
      <c r="O43" s="1"/>
    </row>
    <row r="44" spans="1:15" x14ac:dyDescent="0.25">
      <c r="A44" s="1">
        <v>41</v>
      </c>
      <c r="B44" s="7" t="s">
        <v>18</v>
      </c>
      <c r="C44" s="8">
        <v>45376</v>
      </c>
      <c r="D44" s="9"/>
      <c r="E44" s="10"/>
      <c r="F44" s="11"/>
      <c r="G44" s="12"/>
      <c r="H44" s="11"/>
      <c r="I44" s="12"/>
      <c r="J44" s="11"/>
      <c r="K44" s="12"/>
      <c r="L44" s="1"/>
      <c r="M44" s="2"/>
      <c r="N44" s="13"/>
      <c r="O44" s="1"/>
    </row>
    <row r="45" spans="1:15" x14ac:dyDescent="0.25">
      <c r="A45" s="1">
        <v>42</v>
      </c>
      <c r="B45" s="7" t="s">
        <v>19</v>
      </c>
      <c r="C45" s="8">
        <v>45377</v>
      </c>
      <c r="D45" s="9">
        <v>5400</v>
      </c>
      <c r="E45" s="10" t="s">
        <v>12</v>
      </c>
      <c r="F45" s="11">
        <v>5700</v>
      </c>
      <c r="G45" s="12" t="s">
        <v>12</v>
      </c>
      <c r="H45" s="11"/>
      <c r="I45" s="12"/>
      <c r="J45" s="11">
        <v>5900</v>
      </c>
      <c r="K45" s="12" t="s">
        <v>12</v>
      </c>
      <c r="L45" s="1"/>
      <c r="M45" s="2"/>
      <c r="N45" s="13"/>
      <c r="O45" s="1"/>
    </row>
    <row r="46" spans="1:15" x14ac:dyDescent="0.25">
      <c r="A46" s="1">
        <v>43</v>
      </c>
      <c r="B46" s="7" t="s">
        <v>20</v>
      </c>
      <c r="C46" s="8">
        <v>45378</v>
      </c>
      <c r="D46" s="9"/>
      <c r="E46" s="10"/>
      <c r="F46" s="11"/>
      <c r="G46" s="12"/>
      <c r="H46" s="11"/>
      <c r="I46" s="12"/>
      <c r="J46" s="11"/>
      <c r="K46" s="12"/>
      <c r="L46" s="1"/>
      <c r="M46" s="2"/>
      <c r="N46" s="13"/>
      <c r="O46" s="1"/>
    </row>
    <row r="47" spans="1:15" x14ac:dyDescent="0.25">
      <c r="A47" s="1">
        <v>44</v>
      </c>
      <c r="B47" s="7" t="s">
        <v>14</v>
      </c>
      <c r="C47" s="8">
        <v>45379</v>
      </c>
      <c r="D47" s="9">
        <v>6900</v>
      </c>
      <c r="E47" s="10" t="s">
        <v>12</v>
      </c>
      <c r="F47" s="11"/>
      <c r="G47" s="12"/>
      <c r="H47" s="11"/>
      <c r="I47" s="12"/>
      <c r="J47" s="11"/>
      <c r="K47" s="12"/>
      <c r="L47" s="1"/>
      <c r="M47" s="2"/>
      <c r="N47" s="13"/>
      <c r="O47" s="1"/>
    </row>
    <row r="48" spans="1:15" x14ac:dyDescent="0.25">
      <c r="A48" s="1">
        <v>45</v>
      </c>
      <c r="B48" s="7" t="s">
        <v>15</v>
      </c>
      <c r="C48" s="8">
        <v>45380</v>
      </c>
      <c r="D48" s="9"/>
      <c r="E48" s="10"/>
      <c r="F48" s="11"/>
      <c r="G48" s="12"/>
      <c r="H48" s="11"/>
      <c r="I48" s="12"/>
      <c r="J48" s="11"/>
      <c r="K48" s="12"/>
      <c r="L48" s="1"/>
      <c r="M48" s="2"/>
      <c r="N48" s="13"/>
      <c r="O48" s="1"/>
    </row>
    <row r="49" spans="1:15" x14ac:dyDescent="0.25">
      <c r="A49" s="1">
        <v>46</v>
      </c>
      <c r="B49" s="7" t="s">
        <v>16</v>
      </c>
      <c r="C49" s="8">
        <v>45381</v>
      </c>
      <c r="D49" s="9"/>
      <c r="E49" s="10"/>
      <c r="F49" s="11"/>
      <c r="G49" s="12"/>
      <c r="H49" s="11"/>
      <c r="I49" s="12"/>
      <c r="J49" s="11"/>
      <c r="K49" s="12"/>
      <c r="L49" s="1"/>
      <c r="M49" s="2"/>
      <c r="N49" s="13"/>
      <c r="O49" s="1"/>
    </row>
    <row r="50" spans="1:15" x14ac:dyDescent="0.25">
      <c r="A50" s="1">
        <v>47</v>
      </c>
      <c r="B50" s="7" t="s">
        <v>17</v>
      </c>
      <c r="C50" s="8">
        <v>45382</v>
      </c>
      <c r="D50" s="9"/>
      <c r="E50" s="10"/>
      <c r="F50" s="11"/>
      <c r="G50" s="12"/>
      <c r="H50" s="11"/>
      <c r="I50" s="12"/>
      <c r="J50" s="11"/>
      <c r="K50" s="12"/>
      <c r="L50" s="1"/>
      <c r="M50" s="2"/>
      <c r="N50" s="13"/>
      <c r="O50" s="1"/>
    </row>
    <row r="51" spans="1:15" x14ac:dyDescent="0.25">
      <c r="A51" s="1">
        <v>48</v>
      </c>
      <c r="B51" s="7" t="s">
        <v>18</v>
      </c>
      <c r="C51" s="8">
        <v>45383</v>
      </c>
      <c r="D51" s="9"/>
      <c r="E51" s="10"/>
      <c r="F51" s="11"/>
      <c r="G51" s="12"/>
      <c r="H51" s="11"/>
      <c r="I51" s="12"/>
      <c r="J51" s="11"/>
      <c r="K51" s="12"/>
      <c r="L51" s="1"/>
      <c r="M51" s="2"/>
      <c r="N51" s="13"/>
      <c r="O51" s="1"/>
    </row>
    <row r="52" spans="1:15" x14ac:dyDescent="0.25">
      <c r="A52" s="1">
        <v>49</v>
      </c>
      <c r="B52" s="7" t="s">
        <v>19</v>
      </c>
      <c r="C52" s="8">
        <v>45384</v>
      </c>
      <c r="D52" s="9">
        <v>5400</v>
      </c>
      <c r="E52" s="10" t="s">
        <v>12</v>
      </c>
      <c r="F52" s="11">
        <v>4900</v>
      </c>
      <c r="G52" s="12" t="s">
        <v>12</v>
      </c>
      <c r="H52" s="11"/>
      <c r="I52" s="12"/>
      <c r="J52" s="11">
        <v>5500</v>
      </c>
      <c r="K52" s="12" t="s">
        <v>12</v>
      </c>
      <c r="L52" s="1"/>
      <c r="M52" s="2"/>
      <c r="N52" s="13"/>
      <c r="O52" s="1"/>
    </row>
    <row r="53" spans="1:15" x14ac:dyDescent="0.25">
      <c r="A53" s="1">
        <v>50</v>
      </c>
      <c r="B53" s="7" t="s">
        <v>20</v>
      </c>
      <c r="C53" s="8">
        <v>45385</v>
      </c>
      <c r="D53" s="9">
        <v>7000</v>
      </c>
      <c r="E53" s="10" t="s">
        <v>22</v>
      </c>
      <c r="F53" s="11">
        <v>2900</v>
      </c>
      <c r="G53" s="12" t="s">
        <v>22</v>
      </c>
      <c r="H53" s="11"/>
      <c r="I53" s="12"/>
      <c r="J53" s="11">
        <v>3000</v>
      </c>
      <c r="K53" s="12" t="s">
        <v>22</v>
      </c>
      <c r="L53" s="1"/>
      <c r="M53" s="2"/>
      <c r="N53" s="13"/>
      <c r="O53" s="1"/>
    </row>
    <row r="54" spans="1:15" x14ac:dyDescent="0.25">
      <c r="A54" s="1">
        <v>51</v>
      </c>
      <c r="B54" s="7" t="s">
        <v>20</v>
      </c>
      <c r="C54" s="8">
        <v>45385</v>
      </c>
      <c r="D54" s="9">
        <v>1600</v>
      </c>
      <c r="E54" s="10" t="s">
        <v>21</v>
      </c>
      <c r="F54" s="11">
        <v>1300</v>
      </c>
      <c r="G54" s="12" t="s">
        <v>21</v>
      </c>
      <c r="H54" s="11"/>
      <c r="I54" s="12"/>
      <c r="J54" s="11">
        <v>400</v>
      </c>
      <c r="K54" s="12" t="s">
        <v>21</v>
      </c>
      <c r="L54" s="1"/>
      <c r="M54" s="2"/>
      <c r="N54" s="13"/>
      <c r="O54" s="1"/>
    </row>
    <row r="55" spans="1:15" x14ac:dyDescent="0.25">
      <c r="A55" s="1">
        <v>52</v>
      </c>
      <c r="B55" s="7" t="s">
        <v>14</v>
      </c>
      <c r="C55" s="8">
        <v>45386</v>
      </c>
      <c r="D55" s="9">
        <v>5000</v>
      </c>
      <c r="E55" s="10" t="s">
        <v>12</v>
      </c>
      <c r="F55" s="11"/>
      <c r="G55" s="12"/>
      <c r="H55" s="11"/>
      <c r="I55" s="12"/>
      <c r="J55" s="11"/>
      <c r="K55" s="12"/>
      <c r="L55" s="1"/>
      <c r="M55" s="2"/>
      <c r="N55" s="13"/>
      <c r="O55" s="1"/>
    </row>
    <row r="56" spans="1:15" x14ac:dyDescent="0.25">
      <c r="A56" s="1">
        <v>53</v>
      </c>
      <c r="B56" s="7" t="s">
        <v>15</v>
      </c>
      <c r="C56" s="8">
        <v>45387</v>
      </c>
      <c r="D56" s="9"/>
      <c r="E56" s="10"/>
      <c r="F56" s="11"/>
      <c r="G56" s="12"/>
      <c r="H56" s="11"/>
      <c r="I56" s="12"/>
      <c r="J56" s="11"/>
      <c r="K56" s="12"/>
      <c r="L56" s="1"/>
      <c r="M56" s="2"/>
      <c r="N56" s="13"/>
      <c r="O56" s="1"/>
    </row>
    <row r="57" spans="1:15" x14ac:dyDescent="0.25">
      <c r="A57" s="1">
        <v>54</v>
      </c>
      <c r="B57" s="7" t="s">
        <v>16</v>
      </c>
      <c r="C57" s="8">
        <v>45388</v>
      </c>
      <c r="D57" s="9"/>
      <c r="E57" s="10"/>
      <c r="F57" s="11"/>
      <c r="G57" s="12"/>
      <c r="H57" s="11"/>
      <c r="I57" s="12"/>
      <c r="J57" s="11"/>
      <c r="K57" s="12"/>
      <c r="L57" s="1"/>
      <c r="M57" s="2"/>
      <c r="N57" s="13"/>
      <c r="O57" s="1"/>
    </row>
    <row r="58" spans="1:15" x14ac:dyDescent="0.25">
      <c r="A58" s="1">
        <v>55</v>
      </c>
      <c r="B58" s="7" t="s">
        <v>17</v>
      </c>
      <c r="C58" s="8">
        <v>45389</v>
      </c>
      <c r="D58" s="9"/>
      <c r="E58" s="10"/>
      <c r="F58" s="11"/>
      <c r="G58" s="12"/>
      <c r="H58" s="11"/>
      <c r="I58" s="12"/>
      <c r="J58" s="11"/>
      <c r="K58" s="12"/>
      <c r="L58" s="1"/>
      <c r="M58" s="2"/>
      <c r="N58" s="13"/>
      <c r="O58" s="1"/>
    </row>
    <row r="59" spans="1:15" x14ac:dyDescent="0.25">
      <c r="A59" s="1">
        <v>56</v>
      </c>
      <c r="B59" s="7" t="s">
        <v>18</v>
      </c>
      <c r="C59" s="8">
        <v>45390</v>
      </c>
      <c r="D59" s="9"/>
      <c r="E59" s="10"/>
      <c r="F59" s="11"/>
      <c r="G59" s="12"/>
      <c r="H59" s="11"/>
      <c r="I59" s="12"/>
      <c r="J59" s="11"/>
      <c r="K59" s="12"/>
      <c r="L59" s="1"/>
      <c r="M59" s="2"/>
      <c r="N59" s="13"/>
      <c r="O59" s="1"/>
    </row>
    <row r="60" spans="1:15" x14ac:dyDescent="0.25">
      <c r="A60" s="1">
        <v>57</v>
      </c>
      <c r="B60" s="7" t="s">
        <v>19</v>
      </c>
      <c r="C60" s="8">
        <v>45391</v>
      </c>
      <c r="D60" s="9">
        <v>3800</v>
      </c>
      <c r="E60" s="10" t="s">
        <v>12</v>
      </c>
      <c r="F60" s="11">
        <v>3200</v>
      </c>
      <c r="G60" s="12" t="s">
        <v>12</v>
      </c>
      <c r="H60" s="11"/>
      <c r="I60" s="12"/>
      <c r="J60" s="11">
        <v>8300</v>
      </c>
      <c r="K60" s="12" t="s">
        <v>12</v>
      </c>
      <c r="L60" s="1"/>
      <c r="M60" s="2"/>
      <c r="N60" s="13"/>
      <c r="O60" s="1"/>
    </row>
    <row r="61" spans="1:15" x14ac:dyDescent="0.25">
      <c r="A61" s="1">
        <v>58</v>
      </c>
      <c r="B61" s="7" t="s">
        <v>20</v>
      </c>
      <c r="C61" s="8">
        <v>45392</v>
      </c>
      <c r="D61" s="9"/>
      <c r="E61" s="10"/>
      <c r="F61" s="11"/>
      <c r="G61" s="12"/>
      <c r="H61" s="11"/>
      <c r="I61" s="12"/>
      <c r="J61" s="11"/>
      <c r="K61" s="12"/>
      <c r="L61" s="1"/>
      <c r="M61" s="2"/>
      <c r="N61" s="13"/>
      <c r="O61" s="1"/>
    </row>
    <row r="62" spans="1:15" x14ac:dyDescent="0.25">
      <c r="A62" s="1">
        <v>59</v>
      </c>
      <c r="B62" s="7" t="s">
        <v>14</v>
      </c>
      <c r="C62" s="8">
        <v>45393</v>
      </c>
      <c r="D62" s="9"/>
      <c r="E62" s="10"/>
      <c r="F62" s="11"/>
      <c r="G62" s="12"/>
      <c r="H62" s="11"/>
      <c r="I62" s="12"/>
      <c r="J62" s="11"/>
      <c r="K62" s="12"/>
      <c r="L62" s="1"/>
      <c r="M62" s="2"/>
      <c r="N62" s="13"/>
      <c r="O62" s="1"/>
    </row>
    <row r="63" spans="1:15" x14ac:dyDescent="0.25">
      <c r="A63" s="1">
        <v>60</v>
      </c>
      <c r="B63" s="7" t="s">
        <v>15</v>
      </c>
      <c r="C63" s="8">
        <v>45394</v>
      </c>
      <c r="D63" s="9"/>
      <c r="E63" s="10"/>
      <c r="F63" s="11"/>
      <c r="G63" s="12"/>
      <c r="H63" s="11"/>
      <c r="I63" s="12"/>
      <c r="J63" s="11"/>
      <c r="K63" s="12"/>
      <c r="L63" s="1"/>
      <c r="M63" s="2"/>
      <c r="N63" s="13"/>
      <c r="O63" s="1"/>
    </row>
    <row r="64" spans="1:15" x14ac:dyDescent="0.25">
      <c r="A64" s="1">
        <v>61</v>
      </c>
      <c r="B64" s="7" t="s">
        <v>16</v>
      </c>
      <c r="C64" s="8">
        <v>45395</v>
      </c>
      <c r="D64" s="9"/>
      <c r="E64" s="10"/>
      <c r="F64" s="11"/>
      <c r="G64" s="12"/>
      <c r="H64" s="11"/>
      <c r="I64" s="12"/>
      <c r="J64" s="11"/>
      <c r="K64" s="12"/>
      <c r="L64" s="1"/>
      <c r="M64" s="2"/>
      <c r="N64" s="13"/>
      <c r="O64" s="1"/>
    </row>
    <row r="65" spans="1:15" x14ac:dyDescent="0.25">
      <c r="A65" s="1">
        <v>62</v>
      </c>
      <c r="B65" s="7" t="s">
        <v>17</v>
      </c>
      <c r="C65" s="8">
        <v>45396</v>
      </c>
      <c r="D65" s="9"/>
      <c r="E65" s="10"/>
      <c r="F65" s="11"/>
      <c r="G65" s="12"/>
      <c r="H65" s="11"/>
      <c r="I65" s="12"/>
      <c r="J65" s="11"/>
      <c r="K65" s="12"/>
      <c r="L65" s="1"/>
      <c r="M65" s="2"/>
      <c r="N65" s="13"/>
      <c r="O65" s="1"/>
    </row>
    <row r="66" spans="1:15" x14ac:dyDescent="0.25">
      <c r="A66" s="1">
        <v>63</v>
      </c>
      <c r="B66" s="7" t="s">
        <v>18</v>
      </c>
      <c r="C66" s="8">
        <v>45397</v>
      </c>
      <c r="D66" s="9"/>
      <c r="E66" s="10"/>
      <c r="F66" s="11"/>
      <c r="G66" s="12"/>
      <c r="H66" s="11"/>
      <c r="I66" s="12"/>
      <c r="J66" s="11"/>
      <c r="K66" s="12"/>
      <c r="L66" s="1"/>
      <c r="M66" s="2"/>
      <c r="N66" s="13"/>
      <c r="O66" s="1"/>
    </row>
    <row r="67" spans="1:15" x14ac:dyDescent="0.25">
      <c r="A67" s="1">
        <v>64</v>
      </c>
      <c r="B67" s="7" t="s">
        <v>19</v>
      </c>
      <c r="C67" s="8">
        <v>45398</v>
      </c>
      <c r="D67" s="9">
        <v>4100</v>
      </c>
      <c r="E67" s="10" t="s">
        <v>12</v>
      </c>
      <c r="F67" s="11">
        <v>4400</v>
      </c>
      <c r="G67" s="12" t="s">
        <v>12</v>
      </c>
      <c r="H67" s="11"/>
      <c r="I67" s="12"/>
      <c r="J67" s="11">
        <v>7200</v>
      </c>
      <c r="K67" s="12" t="s">
        <v>12</v>
      </c>
      <c r="L67" s="1"/>
      <c r="M67" s="2"/>
      <c r="N67" s="13"/>
      <c r="O67" s="1"/>
    </row>
    <row r="68" spans="1:15" x14ac:dyDescent="0.25">
      <c r="A68" s="1">
        <v>65</v>
      </c>
      <c r="B68" s="7" t="s">
        <v>20</v>
      </c>
      <c r="C68" s="8">
        <v>45399</v>
      </c>
      <c r="D68" s="9"/>
      <c r="E68" s="10"/>
      <c r="F68" s="11"/>
      <c r="G68" s="12"/>
      <c r="H68" s="11"/>
      <c r="I68" s="12"/>
      <c r="J68" s="11"/>
      <c r="K68" s="12"/>
      <c r="L68" s="1"/>
      <c r="M68" s="2"/>
      <c r="N68" s="13"/>
      <c r="O68" s="1"/>
    </row>
    <row r="69" spans="1:15" x14ac:dyDescent="0.25">
      <c r="A69" s="1">
        <v>66</v>
      </c>
      <c r="B69" s="7" t="s">
        <v>14</v>
      </c>
      <c r="C69" s="8">
        <v>45400</v>
      </c>
      <c r="D69" s="9">
        <v>6400</v>
      </c>
      <c r="E69" s="10" t="s">
        <v>12</v>
      </c>
      <c r="F69" s="11">
        <v>3000</v>
      </c>
      <c r="G69" s="12" t="s">
        <v>12</v>
      </c>
      <c r="H69" s="11"/>
      <c r="I69" s="12"/>
      <c r="J69" s="11"/>
      <c r="K69" s="12"/>
      <c r="L69" s="1"/>
      <c r="M69" s="2"/>
      <c r="N69" s="13"/>
      <c r="O69" s="1"/>
    </row>
    <row r="70" spans="1:15" x14ac:dyDescent="0.25">
      <c r="A70" s="1">
        <v>67</v>
      </c>
      <c r="B70" s="7" t="s">
        <v>14</v>
      </c>
      <c r="C70" s="8">
        <v>45400</v>
      </c>
      <c r="D70" s="9">
        <v>1800</v>
      </c>
      <c r="E70" s="10" t="s">
        <v>21</v>
      </c>
      <c r="F70" s="11">
        <v>1400</v>
      </c>
      <c r="G70" s="10" t="s">
        <v>21</v>
      </c>
      <c r="H70" s="11"/>
      <c r="I70" s="12"/>
      <c r="J70" s="11"/>
      <c r="K70" s="12"/>
      <c r="L70" s="1"/>
      <c r="M70" s="2"/>
      <c r="N70" s="13"/>
      <c r="O70" s="1"/>
    </row>
    <row r="71" spans="1:15" x14ac:dyDescent="0.25">
      <c r="A71" s="1">
        <v>68</v>
      </c>
      <c r="B71" s="7" t="s">
        <v>14</v>
      </c>
      <c r="C71" s="8">
        <v>45400</v>
      </c>
      <c r="D71" s="9">
        <v>1000</v>
      </c>
      <c r="E71" s="10" t="s">
        <v>22</v>
      </c>
      <c r="F71" s="11">
        <v>800</v>
      </c>
      <c r="G71" s="12" t="s">
        <v>22</v>
      </c>
      <c r="H71" s="11"/>
      <c r="I71" s="12"/>
      <c r="J71" s="11"/>
      <c r="K71" s="12"/>
      <c r="L71" s="1"/>
      <c r="M71" s="2"/>
      <c r="N71" s="13"/>
      <c r="O71" s="1"/>
    </row>
    <row r="72" spans="1:15" x14ac:dyDescent="0.25">
      <c r="A72" s="1">
        <v>69</v>
      </c>
      <c r="B72" s="7" t="s">
        <v>15</v>
      </c>
      <c r="C72" s="8">
        <v>45401</v>
      </c>
      <c r="D72" s="9"/>
      <c r="E72" s="10"/>
      <c r="F72" s="11"/>
      <c r="G72" s="12"/>
      <c r="H72" s="11"/>
      <c r="I72" s="12"/>
      <c r="J72" s="11"/>
      <c r="K72" s="12"/>
      <c r="L72" s="1"/>
      <c r="M72" s="2"/>
      <c r="N72" s="13"/>
      <c r="O72" s="1"/>
    </row>
    <row r="73" spans="1:15" x14ac:dyDescent="0.25">
      <c r="A73" s="1">
        <v>70</v>
      </c>
      <c r="B73" s="7" t="s">
        <v>16</v>
      </c>
      <c r="C73" s="8">
        <v>45402</v>
      </c>
      <c r="D73" s="9"/>
      <c r="E73" s="10"/>
      <c r="F73" s="11"/>
      <c r="G73" s="12"/>
      <c r="H73" s="11"/>
      <c r="I73" s="12"/>
      <c r="J73" s="11"/>
      <c r="K73" s="12"/>
      <c r="L73" s="1"/>
      <c r="M73" s="2"/>
      <c r="N73" s="13"/>
      <c r="O73" s="1"/>
    </row>
    <row r="74" spans="1:15" x14ac:dyDescent="0.25">
      <c r="A74" s="1">
        <v>71</v>
      </c>
      <c r="B74" s="7" t="s">
        <v>17</v>
      </c>
      <c r="C74" s="8">
        <v>45403</v>
      </c>
      <c r="D74" s="9"/>
      <c r="E74" s="10"/>
      <c r="F74" s="11"/>
      <c r="G74" s="12"/>
      <c r="H74" s="11"/>
      <c r="I74" s="12"/>
      <c r="J74" s="11"/>
      <c r="K74" s="12"/>
      <c r="L74" s="1"/>
      <c r="M74" s="2"/>
      <c r="N74" s="13"/>
      <c r="O74" s="1"/>
    </row>
    <row r="75" spans="1:15" x14ac:dyDescent="0.25">
      <c r="A75" s="1">
        <v>72</v>
      </c>
      <c r="B75" s="7" t="s">
        <v>18</v>
      </c>
      <c r="C75" s="8">
        <v>45404</v>
      </c>
      <c r="D75" s="9"/>
      <c r="E75" s="10"/>
      <c r="F75" s="11"/>
      <c r="G75" s="12"/>
      <c r="H75" s="11"/>
      <c r="I75" s="12"/>
      <c r="J75" s="11"/>
      <c r="K75" s="12"/>
      <c r="L75" s="1"/>
      <c r="M75" s="2"/>
      <c r="N75" s="13"/>
      <c r="O75" s="1"/>
    </row>
    <row r="76" spans="1:15" x14ac:dyDescent="0.25">
      <c r="A76" s="1">
        <v>73</v>
      </c>
      <c r="B76" s="7" t="s">
        <v>19</v>
      </c>
      <c r="C76" s="8">
        <v>45405</v>
      </c>
      <c r="D76" s="9">
        <v>8400</v>
      </c>
      <c r="E76" s="10" t="s">
        <v>12</v>
      </c>
      <c r="F76" s="11">
        <v>5200</v>
      </c>
      <c r="G76" s="12" t="s">
        <v>12</v>
      </c>
      <c r="H76" s="11"/>
      <c r="I76" s="12"/>
      <c r="J76" s="11">
        <v>10000</v>
      </c>
      <c r="K76" s="12" t="s">
        <v>12</v>
      </c>
      <c r="L76" s="1"/>
      <c r="M76" s="2"/>
      <c r="N76" s="13"/>
      <c r="O76" s="1"/>
    </row>
    <row r="77" spans="1:15" x14ac:dyDescent="0.25">
      <c r="A77" s="1">
        <v>74</v>
      </c>
      <c r="B77" s="7" t="s">
        <v>20</v>
      </c>
      <c r="C77" s="8">
        <v>45406</v>
      </c>
      <c r="D77" s="9"/>
      <c r="E77" s="10"/>
      <c r="F77" s="11"/>
      <c r="G77" s="12"/>
      <c r="H77" s="11"/>
      <c r="I77" s="12"/>
      <c r="J77" s="11"/>
      <c r="K77" s="12"/>
      <c r="L77" s="1"/>
      <c r="M77" s="2"/>
      <c r="N77" s="13"/>
      <c r="O77" s="1"/>
    </row>
    <row r="78" spans="1:15" x14ac:dyDescent="0.25">
      <c r="A78" s="1">
        <v>75</v>
      </c>
      <c r="B78" s="7" t="s">
        <v>14</v>
      </c>
      <c r="C78" s="8">
        <v>45407</v>
      </c>
      <c r="D78" s="9"/>
      <c r="E78" s="10"/>
      <c r="F78" s="11"/>
      <c r="G78" s="12"/>
      <c r="H78" s="11"/>
      <c r="I78" s="12"/>
      <c r="J78" s="11"/>
      <c r="K78" s="12"/>
      <c r="L78" s="1"/>
      <c r="M78" s="2"/>
      <c r="N78" s="13"/>
      <c r="O78" s="1"/>
    </row>
    <row r="79" spans="1:15" x14ac:dyDescent="0.25">
      <c r="A79" s="1">
        <v>76</v>
      </c>
      <c r="B79" s="7" t="s">
        <v>15</v>
      </c>
      <c r="C79" s="8">
        <v>45408</v>
      </c>
      <c r="D79" s="9">
        <v>4800</v>
      </c>
      <c r="E79" s="10" t="s">
        <v>22</v>
      </c>
      <c r="F79" s="11">
        <v>3100</v>
      </c>
      <c r="G79" s="12" t="s">
        <v>22</v>
      </c>
      <c r="H79" s="11"/>
      <c r="I79" s="12"/>
      <c r="J79" s="11">
        <v>2900</v>
      </c>
      <c r="K79" s="12" t="s">
        <v>22</v>
      </c>
      <c r="L79" s="1"/>
      <c r="M79" s="2"/>
      <c r="N79" s="13"/>
      <c r="O79" s="1"/>
    </row>
    <row r="80" spans="1:15" x14ac:dyDescent="0.25">
      <c r="A80" s="1">
        <v>77</v>
      </c>
      <c r="B80" s="7" t="s">
        <v>15</v>
      </c>
      <c r="C80" s="8">
        <v>45408</v>
      </c>
      <c r="D80" s="9">
        <v>1700</v>
      </c>
      <c r="E80" s="10" t="s">
        <v>21</v>
      </c>
      <c r="F80" s="11">
        <v>1400</v>
      </c>
      <c r="G80" s="12" t="s">
        <v>22</v>
      </c>
      <c r="H80" s="11"/>
      <c r="I80" s="12"/>
      <c r="J80" s="11">
        <v>200</v>
      </c>
      <c r="K80" s="12" t="s">
        <v>21</v>
      </c>
      <c r="L80" s="1"/>
      <c r="M80" s="2"/>
      <c r="N80" s="13"/>
      <c r="O80" s="1"/>
    </row>
    <row r="81" spans="1:15" x14ac:dyDescent="0.25">
      <c r="A81" s="1">
        <v>78</v>
      </c>
      <c r="B81" s="7" t="s">
        <v>16</v>
      </c>
      <c r="C81" s="8">
        <v>45409</v>
      </c>
      <c r="D81" s="9"/>
      <c r="E81" s="10"/>
      <c r="F81" s="11"/>
      <c r="G81" s="12"/>
      <c r="H81" s="11"/>
      <c r="I81" s="12"/>
      <c r="J81" s="11"/>
      <c r="K81" s="12"/>
      <c r="L81" s="1"/>
      <c r="M81" s="2"/>
      <c r="N81" s="13"/>
      <c r="O81" s="1"/>
    </row>
    <row r="82" spans="1:15" x14ac:dyDescent="0.25">
      <c r="A82" s="1">
        <v>79</v>
      </c>
      <c r="B82" s="7" t="s">
        <v>17</v>
      </c>
      <c r="C82" s="8">
        <v>45410</v>
      </c>
      <c r="D82" s="9"/>
      <c r="E82" s="10"/>
      <c r="F82" s="11"/>
      <c r="G82" s="12"/>
      <c r="H82" s="11"/>
      <c r="I82" s="12"/>
      <c r="J82" s="11"/>
      <c r="K82" s="12"/>
      <c r="L82" s="1"/>
      <c r="M82" s="2"/>
      <c r="N82" s="13"/>
      <c r="O82" s="1"/>
    </row>
    <row r="83" spans="1:15" x14ac:dyDescent="0.25">
      <c r="A83" s="1">
        <v>80</v>
      </c>
      <c r="B83" s="7" t="s">
        <v>18</v>
      </c>
      <c r="C83" s="8">
        <v>45411</v>
      </c>
      <c r="D83" s="9"/>
      <c r="E83" s="10"/>
      <c r="F83" s="11"/>
      <c r="G83" s="12"/>
      <c r="H83" s="11"/>
      <c r="I83" s="12"/>
      <c r="J83" s="11"/>
      <c r="K83" s="12"/>
      <c r="L83" s="1"/>
      <c r="M83" s="2"/>
      <c r="N83" s="13"/>
      <c r="O83" s="1"/>
    </row>
    <row r="84" spans="1:15" x14ac:dyDescent="0.25">
      <c r="A84" s="1">
        <v>81</v>
      </c>
      <c r="B84" s="7" t="s">
        <v>19</v>
      </c>
      <c r="C84" s="8">
        <v>45412</v>
      </c>
      <c r="D84" s="9">
        <v>14500</v>
      </c>
      <c r="E84" s="10" t="s">
        <v>12</v>
      </c>
      <c r="F84" s="11">
        <v>7700</v>
      </c>
      <c r="G84" s="12" t="s">
        <v>12</v>
      </c>
      <c r="H84" s="11"/>
      <c r="I84" s="12"/>
      <c r="J84" s="11">
        <v>9400</v>
      </c>
      <c r="K84" s="12" t="s">
        <v>12</v>
      </c>
      <c r="L84" s="1"/>
      <c r="M84" s="2"/>
      <c r="N84" s="13"/>
      <c r="O84" s="1"/>
    </row>
    <row r="85" spans="1:15" x14ac:dyDescent="0.25">
      <c r="A85" s="1">
        <v>82</v>
      </c>
      <c r="B85" s="7" t="s">
        <v>20</v>
      </c>
      <c r="C85" s="8">
        <v>45413</v>
      </c>
      <c r="D85" s="9"/>
      <c r="E85" s="10"/>
      <c r="F85" s="11"/>
      <c r="G85" s="12"/>
      <c r="H85" s="11"/>
      <c r="I85" s="12"/>
      <c r="J85" s="11"/>
      <c r="K85" s="12"/>
      <c r="L85" s="1"/>
      <c r="M85" s="2"/>
      <c r="N85" s="13"/>
      <c r="O85" s="1"/>
    </row>
    <row r="86" spans="1:15" x14ac:dyDescent="0.25">
      <c r="A86" s="1">
        <v>83</v>
      </c>
      <c r="B86" s="7" t="s">
        <v>14</v>
      </c>
      <c r="C86" s="8">
        <v>45414</v>
      </c>
      <c r="D86" s="9"/>
      <c r="E86" s="10"/>
      <c r="F86" s="11">
        <v>2000</v>
      </c>
      <c r="G86" s="12" t="s">
        <v>12</v>
      </c>
      <c r="H86" s="11"/>
      <c r="I86" s="12"/>
      <c r="J86" s="11">
        <v>4400</v>
      </c>
      <c r="K86" s="12" t="s">
        <v>12</v>
      </c>
      <c r="L86" s="1"/>
      <c r="M86" s="2"/>
      <c r="N86" s="13"/>
      <c r="O86" s="1"/>
    </row>
    <row r="87" spans="1:15" x14ac:dyDescent="0.25">
      <c r="A87" s="1">
        <v>84</v>
      </c>
      <c r="B87" s="7" t="s">
        <v>14</v>
      </c>
      <c r="C87" s="8">
        <v>45414</v>
      </c>
      <c r="D87" s="9">
        <v>3900</v>
      </c>
      <c r="E87" s="10" t="s">
        <v>22</v>
      </c>
      <c r="F87" s="11">
        <v>2300</v>
      </c>
      <c r="G87" s="12" t="s">
        <v>22</v>
      </c>
      <c r="H87" s="11"/>
      <c r="I87" s="12"/>
      <c r="J87" s="11">
        <v>900</v>
      </c>
      <c r="K87" s="12" t="s">
        <v>22</v>
      </c>
      <c r="L87" s="1"/>
      <c r="M87" s="2"/>
      <c r="N87" s="13"/>
      <c r="O87" s="1"/>
    </row>
    <row r="88" spans="1:15" x14ac:dyDescent="0.25">
      <c r="A88" s="1">
        <v>85</v>
      </c>
      <c r="B88" s="7" t="s">
        <v>14</v>
      </c>
      <c r="C88" s="8">
        <v>45414</v>
      </c>
      <c r="D88" s="9">
        <v>900</v>
      </c>
      <c r="E88" s="10" t="s">
        <v>21</v>
      </c>
      <c r="F88" s="11">
        <v>720</v>
      </c>
      <c r="G88" s="12" t="s">
        <v>21</v>
      </c>
      <c r="H88" s="11"/>
      <c r="I88" s="12"/>
      <c r="J88" s="11">
        <v>180</v>
      </c>
      <c r="K88" s="12" t="s">
        <v>21</v>
      </c>
      <c r="L88" s="1"/>
      <c r="M88" s="2"/>
      <c r="N88" s="13"/>
      <c r="O88" s="1"/>
    </row>
    <row r="89" spans="1:15" x14ac:dyDescent="0.25">
      <c r="A89" s="1">
        <v>86</v>
      </c>
      <c r="B89" s="7" t="s">
        <v>15</v>
      </c>
      <c r="C89" s="8">
        <v>45415</v>
      </c>
      <c r="D89" s="9"/>
      <c r="E89" s="10"/>
      <c r="F89" s="11"/>
      <c r="G89" s="12"/>
      <c r="H89" s="11"/>
      <c r="I89" s="12"/>
      <c r="J89" s="11"/>
      <c r="K89" s="12"/>
      <c r="L89" s="1"/>
      <c r="M89" s="2"/>
      <c r="N89" s="13"/>
      <c r="O89" s="1"/>
    </row>
    <row r="90" spans="1:15" x14ac:dyDescent="0.25">
      <c r="A90" s="1">
        <v>87</v>
      </c>
      <c r="B90" s="7" t="s">
        <v>16</v>
      </c>
      <c r="C90" s="8">
        <v>45416</v>
      </c>
      <c r="D90" s="9"/>
      <c r="E90" s="10"/>
      <c r="F90" s="11"/>
      <c r="G90" s="12"/>
      <c r="H90" s="11"/>
      <c r="I90" s="12"/>
      <c r="J90" s="11"/>
      <c r="K90" s="12"/>
      <c r="L90" s="1"/>
      <c r="M90" s="2"/>
      <c r="N90" s="13"/>
      <c r="O90" s="1"/>
    </row>
    <row r="91" spans="1:15" x14ac:dyDescent="0.25">
      <c r="A91" s="1">
        <v>88</v>
      </c>
      <c r="B91" s="7" t="s">
        <v>17</v>
      </c>
      <c r="C91" s="8">
        <v>45417</v>
      </c>
      <c r="D91" s="9"/>
      <c r="E91" s="10"/>
      <c r="F91" s="11"/>
      <c r="G91" s="12"/>
      <c r="H91" s="11"/>
      <c r="I91" s="12"/>
      <c r="J91" s="11"/>
      <c r="K91" s="12"/>
      <c r="L91" s="1"/>
      <c r="M91" s="2"/>
      <c r="N91" s="13"/>
      <c r="O91" s="1"/>
    </row>
    <row r="92" spans="1:15" x14ac:dyDescent="0.25">
      <c r="A92" s="1">
        <v>89</v>
      </c>
      <c r="B92" s="7" t="s">
        <v>18</v>
      </c>
      <c r="C92" s="8">
        <v>45418</v>
      </c>
      <c r="D92" s="9"/>
      <c r="E92" s="10"/>
      <c r="F92" s="11"/>
      <c r="G92" s="12"/>
      <c r="H92" s="11"/>
      <c r="I92" s="12"/>
      <c r="J92" s="11"/>
      <c r="K92" s="12"/>
      <c r="L92" s="1"/>
      <c r="M92" s="2"/>
      <c r="N92" s="13"/>
      <c r="O92" s="1"/>
    </row>
    <row r="93" spans="1:15" x14ac:dyDescent="0.25">
      <c r="A93" s="1">
        <v>90</v>
      </c>
      <c r="B93" s="7" t="s">
        <v>19</v>
      </c>
      <c r="C93" s="8">
        <v>45419</v>
      </c>
      <c r="D93" s="9">
        <v>5600</v>
      </c>
      <c r="E93" s="10" t="s">
        <v>12</v>
      </c>
      <c r="F93" s="11">
        <v>3100</v>
      </c>
      <c r="G93" s="12" t="s">
        <v>12</v>
      </c>
      <c r="H93" s="11"/>
      <c r="I93" s="12"/>
      <c r="J93" s="11">
        <v>6300</v>
      </c>
      <c r="K93" s="12" t="s">
        <v>12</v>
      </c>
      <c r="L93" s="1"/>
      <c r="M93" s="2"/>
      <c r="N93" s="13"/>
      <c r="O93" s="1"/>
    </row>
    <row r="94" spans="1:15" x14ac:dyDescent="0.25">
      <c r="A94" s="1">
        <v>91</v>
      </c>
      <c r="B94" s="7" t="s">
        <v>20</v>
      </c>
      <c r="C94" s="8">
        <v>45420</v>
      </c>
      <c r="D94" s="9">
        <v>4300</v>
      </c>
      <c r="E94" s="10" t="s">
        <v>12</v>
      </c>
      <c r="F94" s="11">
        <v>4000</v>
      </c>
      <c r="G94" s="12" t="s">
        <v>12</v>
      </c>
      <c r="H94" s="11"/>
      <c r="I94" s="12"/>
      <c r="J94" s="11"/>
      <c r="K94" s="12"/>
      <c r="L94" s="1"/>
      <c r="M94" s="2"/>
      <c r="N94" s="13"/>
      <c r="O94" s="1"/>
    </row>
    <row r="95" spans="1:15" x14ac:dyDescent="0.25">
      <c r="A95" s="1">
        <v>92</v>
      </c>
      <c r="B95" s="7" t="s">
        <v>20</v>
      </c>
      <c r="C95" s="8">
        <v>45420</v>
      </c>
      <c r="D95" s="9">
        <v>4600</v>
      </c>
      <c r="E95" s="10" t="s">
        <v>22</v>
      </c>
      <c r="F95" s="11">
        <v>3000</v>
      </c>
      <c r="G95" s="12" t="s">
        <v>22</v>
      </c>
      <c r="H95" s="11"/>
      <c r="I95" s="12"/>
      <c r="J95" s="11">
        <v>1200</v>
      </c>
      <c r="K95" s="12" t="s">
        <v>22</v>
      </c>
      <c r="L95" s="1"/>
      <c r="M95" s="2"/>
      <c r="N95" s="13"/>
      <c r="O95" s="1"/>
    </row>
    <row r="96" spans="1:15" x14ac:dyDescent="0.25">
      <c r="A96" s="1">
        <v>93</v>
      </c>
      <c r="B96" s="7" t="s">
        <v>14</v>
      </c>
      <c r="C96" s="8">
        <v>45421</v>
      </c>
      <c r="D96" s="9"/>
      <c r="E96" s="10"/>
      <c r="F96" s="11"/>
      <c r="G96" s="12"/>
      <c r="H96" s="11"/>
      <c r="I96" s="12"/>
      <c r="J96" s="11"/>
      <c r="K96" s="12"/>
      <c r="L96" s="1"/>
      <c r="M96" s="2"/>
      <c r="N96" s="13"/>
      <c r="O96" s="1"/>
    </row>
    <row r="97" spans="1:15" x14ac:dyDescent="0.25">
      <c r="A97" s="1">
        <v>94</v>
      </c>
      <c r="B97" s="7" t="s">
        <v>15</v>
      </c>
      <c r="C97" s="8">
        <v>45422</v>
      </c>
      <c r="D97" s="9"/>
      <c r="E97" s="10"/>
      <c r="F97" s="11"/>
      <c r="G97" s="12"/>
      <c r="H97" s="11"/>
      <c r="I97" s="12"/>
      <c r="J97" s="11"/>
      <c r="K97" s="12"/>
      <c r="L97" s="1"/>
      <c r="M97" s="2"/>
      <c r="N97" s="13"/>
      <c r="O97" s="1"/>
    </row>
    <row r="98" spans="1:15" x14ac:dyDescent="0.25">
      <c r="A98" s="1">
        <v>95</v>
      </c>
      <c r="B98" s="7" t="s">
        <v>16</v>
      </c>
      <c r="C98" s="8">
        <v>45423</v>
      </c>
      <c r="D98" s="9"/>
      <c r="E98" s="10"/>
      <c r="F98" s="11"/>
      <c r="G98" s="12"/>
      <c r="H98" s="11"/>
      <c r="I98" s="12"/>
      <c r="J98" s="11"/>
      <c r="K98" s="12"/>
      <c r="L98" s="1"/>
      <c r="M98" s="2"/>
      <c r="N98" s="13"/>
      <c r="O98" s="1"/>
    </row>
    <row r="99" spans="1:15" x14ac:dyDescent="0.25">
      <c r="A99" s="1">
        <v>96</v>
      </c>
      <c r="B99" s="7" t="s">
        <v>17</v>
      </c>
      <c r="C99" s="8">
        <v>45424</v>
      </c>
      <c r="D99" s="9"/>
      <c r="E99" s="10"/>
      <c r="F99" s="11"/>
      <c r="G99" s="12"/>
      <c r="H99" s="11"/>
      <c r="I99" s="12"/>
      <c r="J99" s="11"/>
      <c r="K99" s="12"/>
      <c r="L99" s="1"/>
      <c r="M99" s="2"/>
      <c r="N99" s="13"/>
      <c r="O99" s="1"/>
    </row>
    <row r="100" spans="1:15" x14ac:dyDescent="0.25">
      <c r="A100" s="1">
        <v>97</v>
      </c>
      <c r="B100" s="7" t="s">
        <v>18</v>
      </c>
      <c r="C100" s="8">
        <v>45425</v>
      </c>
      <c r="D100" s="9"/>
      <c r="E100" s="10"/>
      <c r="F100" s="11"/>
      <c r="G100" s="12"/>
      <c r="H100" s="11"/>
      <c r="I100" s="12"/>
      <c r="J100" s="11"/>
      <c r="K100" s="12"/>
      <c r="L100" s="1"/>
      <c r="M100" s="2"/>
      <c r="N100" s="13"/>
      <c r="O100" s="1"/>
    </row>
    <row r="101" spans="1:15" x14ac:dyDescent="0.25">
      <c r="A101" s="1">
        <v>98</v>
      </c>
      <c r="B101" s="7" t="s">
        <v>19</v>
      </c>
      <c r="C101" s="8">
        <v>45426</v>
      </c>
      <c r="D101" s="9">
        <v>4600</v>
      </c>
      <c r="E101" s="10" t="s">
        <v>12</v>
      </c>
      <c r="F101" s="11">
        <v>6800</v>
      </c>
      <c r="G101" s="12" t="s">
        <v>12</v>
      </c>
      <c r="H101" s="11"/>
      <c r="I101" s="12"/>
      <c r="J101" s="11">
        <v>4300</v>
      </c>
      <c r="K101" s="12" t="s">
        <v>12</v>
      </c>
      <c r="L101" s="1"/>
      <c r="M101" s="2"/>
      <c r="N101" s="13"/>
      <c r="O101" s="1"/>
    </row>
    <row r="102" spans="1:15" x14ac:dyDescent="0.25">
      <c r="A102" s="1">
        <v>99</v>
      </c>
      <c r="B102" s="7" t="s">
        <v>20</v>
      </c>
      <c r="C102" s="8">
        <v>45427</v>
      </c>
      <c r="D102" s="9">
        <v>5500</v>
      </c>
      <c r="E102" s="10" t="s">
        <v>12</v>
      </c>
      <c r="F102" s="11"/>
      <c r="G102" s="12"/>
      <c r="H102" s="11"/>
      <c r="I102" s="12"/>
      <c r="J102" s="11">
        <v>5000</v>
      </c>
      <c r="K102" s="12" t="s">
        <v>12</v>
      </c>
      <c r="L102" s="1"/>
      <c r="M102" s="2"/>
      <c r="N102" s="13"/>
      <c r="O102" s="1"/>
    </row>
    <row r="103" spans="1:15" x14ac:dyDescent="0.25">
      <c r="A103" s="1">
        <v>100</v>
      </c>
      <c r="B103" s="7" t="s">
        <v>20</v>
      </c>
      <c r="C103" s="8">
        <v>45427</v>
      </c>
      <c r="D103" s="9">
        <v>2200</v>
      </c>
      <c r="E103" s="10" t="s">
        <v>22</v>
      </c>
      <c r="F103" s="11">
        <v>2000</v>
      </c>
      <c r="G103" s="12" t="s">
        <v>22</v>
      </c>
      <c r="H103" s="11"/>
      <c r="I103" s="12"/>
      <c r="J103" s="11">
        <v>800</v>
      </c>
      <c r="K103" s="12" t="s">
        <v>22</v>
      </c>
      <c r="L103" s="1"/>
      <c r="M103" s="2"/>
      <c r="N103" s="13"/>
      <c r="O103" s="1"/>
    </row>
    <row r="104" spans="1:15" x14ac:dyDescent="0.25">
      <c r="A104" s="1">
        <v>101</v>
      </c>
      <c r="B104" s="7" t="s">
        <v>20</v>
      </c>
      <c r="C104" s="8">
        <v>45427</v>
      </c>
      <c r="D104" s="9">
        <v>200</v>
      </c>
      <c r="E104" s="10" t="s">
        <v>21</v>
      </c>
      <c r="F104" s="11"/>
      <c r="G104" s="12"/>
      <c r="H104" s="11"/>
      <c r="I104" s="12"/>
      <c r="J104" s="11">
        <v>200</v>
      </c>
      <c r="K104" s="12" t="s">
        <v>21</v>
      </c>
      <c r="L104" s="1"/>
      <c r="M104" s="2"/>
      <c r="N104" s="13"/>
      <c r="O104" s="1"/>
    </row>
    <row r="105" spans="1:15" x14ac:dyDescent="0.25">
      <c r="A105" s="1">
        <v>102</v>
      </c>
      <c r="B105" s="7" t="s">
        <v>14</v>
      </c>
      <c r="C105" s="8">
        <v>45428</v>
      </c>
      <c r="D105" s="9"/>
      <c r="E105" s="10"/>
      <c r="F105" s="11"/>
      <c r="G105" s="12"/>
      <c r="H105" s="11"/>
      <c r="I105" s="12"/>
      <c r="J105" s="11"/>
      <c r="K105" s="12"/>
      <c r="L105" s="1"/>
      <c r="M105" s="2"/>
      <c r="N105" s="13"/>
      <c r="O105" s="1"/>
    </row>
    <row r="106" spans="1:15" x14ac:dyDescent="0.25">
      <c r="A106" s="1">
        <v>103</v>
      </c>
      <c r="B106" s="7" t="s">
        <v>15</v>
      </c>
      <c r="C106" s="8">
        <v>45429</v>
      </c>
      <c r="D106" s="9"/>
      <c r="E106" s="10"/>
      <c r="F106" s="11"/>
      <c r="G106" s="12"/>
      <c r="H106" s="11"/>
      <c r="I106" s="12"/>
      <c r="J106" s="11"/>
      <c r="K106" s="12"/>
      <c r="L106" s="1"/>
      <c r="M106" s="2"/>
      <c r="N106" s="13"/>
      <c r="O106" s="1"/>
    </row>
    <row r="107" spans="1:15" x14ac:dyDescent="0.25">
      <c r="A107" s="1">
        <v>104</v>
      </c>
      <c r="B107" s="7" t="s">
        <v>16</v>
      </c>
      <c r="C107" s="8">
        <v>45430</v>
      </c>
      <c r="D107" s="9"/>
      <c r="E107" s="10"/>
      <c r="F107" s="11"/>
      <c r="G107" s="12"/>
      <c r="H107" s="11"/>
      <c r="I107" s="12"/>
      <c r="J107" s="11"/>
      <c r="K107" s="12"/>
      <c r="L107" s="1"/>
      <c r="M107" s="2"/>
      <c r="N107" s="13"/>
      <c r="O107" s="1"/>
    </row>
    <row r="108" spans="1:15" x14ac:dyDescent="0.25">
      <c r="A108" s="1">
        <v>105</v>
      </c>
      <c r="B108" s="7" t="s">
        <v>17</v>
      </c>
      <c r="C108" s="8">
        <v>45431</v>
      </c>
      <c r="D108" s="9"/>
      <c r="E108" s="10"/>
      <c r="F108" s="11"/>
      <c r="G108" s="12"/>
      <c r="H108" s="11"/>
      <c r="I108" s="12"/>
      <c r="J108" s="11"/>
      <c r="K108" s="12"/>
      <c r="L108" s="1"/>
      <c r="M108" s="2"/>
      <c r="N108" s="13"/>
      <c r="O108" s="1"/>
    </row>
    <row r="109" spans="1:15" x14ac:dyDescent="0.25">
      <c r="A109" s="1">
        <v>106</v>
      </c>
      <c r="B109" s="7" t="s">
        <v>18</v>
      </c>
      <c r="C109" s="8">
        <v>45432</v>
      </c>
      <c r="D109" s="9"/>
      <c r="E109" s="10"/>
      <c r="F109" s="11"/>
      <c r="G109" s="12"/>
      <c r="H109" s="11"/>
      <c r="I109" s="12"/>
      <c r="J109" s="11"/>
      <c r="K109" s="12"/>
      <c r="L109" s="1"/>
      <c r="M109" s="2"/>
      <c r="N109" s="13"/>
      <c r="O109" s="1"/>
    </row>
    <row r="110" spans="1:15" x14ac:dyDescent="0.25">
      <c r="A110" s="1">
        <v>107</v>
      </c>
      <c r="B110" s="7" t="s">
        <v>19</v>
      </c>
      <c r="C110" s="8">
        <v>45433</v>
      </c>
      <c r="D110" s="9">
        <v>4900</v>
      </c>
      <c r="E110" s="10" t="s">
        <v>12</v>
      </c>
      <c r="F110" s="11">
        <v>6400</v>
      </c>
      <c r="G110" s="12" t="s">
        <v>12</v>
      </c>
      <c r="H110" s="11"/>
      <c r="I110" s="12"/>
      <c r="J110" s="11">
        <v>4200</v>
      </c>
      <c r="K110" s="12" t="s">
        <v>12</v>
      </c>
      <c r="L110" s="1"/>
      <c r="M110" s="2"/>
      <c r="N110" s="13"/>
      <c r="O110" s="1"/>
    </row>
    <row r="111" spans="1:15" x14ac:dyDescent="0.25">
      <c r="A111" s="1">
        <v>108</v>
      </c>
      <c r="B111" s="7" t="s">
        <v>20</v>
      </c>
      <c r="C111" s="8">
        <v>45434</v>
      </c>
      <c r="D111" s="9">
        <v>6000</v>
      </c>
      <c r="E111" s="10" t="s">
        <v>12</v>
      </c>
      <c r="F111" s="11"/>
      <c r="G111" s="12"/>
      <c r="H111" s="11"/>
      <c r="I111" s="12"/>
      <c r="J111" s="11">
        <v>6000</v>
      </c>
      <c r="K111" s="12" t="s">
        <v>12</v>
      </c>
      <c r="L111" s="1"/>
      <c r="M111" s="2"/>
      <c r="N111" s="13"/>
      <c r="O111" s="1"/>
    </row>
    <row r="112" spans="1:15" x14ac:dyDescent="0.25">
      <c r="A112" s="1">
        <v>109</v>
      </c>
      <c r="B112" s="7" t="s">
        <v>20</v>
      </c>
      <c r="C112" s="8">
        <v>45434</v>
      </c>
      <c r="D112" s="9">
        <v>800</v>
      </c>
      <c r="E112" s="10" t="s">
        <v>22</v>
      </c>
      <c r="F112" s="11">
        <v>700</v>
      </c>
      <c r="G112" s="12" t="s">
        <v>22</v>
      </c>
      <c r="H112" s="11"/>
      <c r="I112" s="12"/>
      <c r="J112" s="11">
        <v>100</v>
      </c>
      <c r="K112" s="12" t="s">
        <v>22</v>
      </c>
      <c r="L112" s="1"/>
      <c r="M112" s="2"/>
      <c r="N112" s="13"/>
      <c r="O112" s="1"/>
    </row>
    <row r="113" spans="1:15" x14ac:dyDescent="0.25">
      <c r="A113" s="1">
        <v>110</v>
      </c>
      <c r="B113" s="7" t="s">
        <v>20</v>
      </c>
      <c r="C113" s="8">
        <v>45434</v>
      </c>
      <c r="D113" s="9">
        <v>90</v>
      </c>
      <c r="E113" s="10" t="s">
        <v>21</v>
      </c>
      <c r="F113" s="11">
        <v>180</v>
      </c>
      <c r="G113" s="12" t="s">
        <v>21</v>
      </c>
      <c r="H113" s="11"/>
      <c r="I113" s="12"/>
      <c r="J113" s="11">
        <v>270</v>
      </c>
      <c r="K113" s="12" t="s">
        <v>21</v>
      </c>
      <c r="L113" s="1"/>
      <c r="M113" s="2"/>
      <c r="N113" s="13"/>
      <c r="O113" s="1"/>
    </row>
    <row r="114" spans="1:15" x14ac:dyDescent="0.25">
      <c r="A114" s="1">
        <v>111</v>
      </c>
      <c r="B114" s="7" t="s">
        <v>14</v>
      </c>
      <c r="C114" s="8">
        <v>45435</v>
      </c>
      <c r="D114" s="9"/>
      <c r="E114" s="10"/>
      <c r="F114" s="11"/>
      <c r="G114" s="12"/>
      <c r="H114" s="11"/>
      <c r="I114" s="12"/>
      <c r="J114" s="11"/>
      <c r="K114" s="12"/>
      <c r="L114" s="1"/>
      <c r="M114" s="2"/>
      <c r="N114" s="13"/>
      <c r="O114" s="1"/>
    </row>
    <row r="115" spans="1:15" x14ac:dyDescent="0.25">
      <c r="A115" s="1">
        <v>112</v>
      </c>
      <c r="B115" s="7" t="s">
        <v>15</v>
      </c>
      <c r="C115" s="8">
        <v>45436</v>
      </c>
      <c r="D115" s="9"/>
      <c r="E115" s="10"/>
      <c r="F115" s="11"/>
      <c r="G115" s="12"/>
      <c r="H115" s="11"/>
      <c r="I115" s="12"/>
      <c r="J115" s="11"/>
      <c r="K115" s="12"/>
      <c r="L115" s="1"/>
      <c r="M115" s="2"/>
      <c r="N115" s="13"/>
      <c r="O115" s="1"/>
    </row>
    <row r="116" spans="1:15" x14ac:dyDescent="0.25">
      <c r="A116" s="1">
        <v>113</v>
      </c>
      <c r="B116" s="7" t="s">
        <v>16</v>
      </c>
      <c r="C116" s="8">
        <v>45437</v>
      </c>
      <c r="D116" s="9"/>
      <c r="E116" s="10"/>
      <c r="F116" s="11"/>
      <c r="G116" s="12"/>
      <c r="H116" s="11"/>
      <c r="I116" s="12"/>
      <c r="J116" s="11"/>
      <c r="K116" s="12"/>
      <c r="L116" s="1"/>
      <c r="M116" s="2"/>
      <c r="N116" s="13"/>
      <c r="O116" s="1"/>
    </row>
    <row r="117" spans="1:15" x14ac:dyDescent="0.25">
      <c r="A117" s="1">
        <v>114</v>
      </c>
      <c r="B117" s="7" t="s">
        <v>17</v>
      </c>
      <c r="C117" s="8">
        <v>45438</v>
      </c>
      <c r="D117" s="9"/>
      <c r="E117" s="10"/>
      <c r="F117" s="11"/>
      <c r="G117" s="12"/>
      <c r="H117" s="11"/>
      <c r="I117" s="12"/>
      <c r="J117" s="11"/>
      <c r="K117" s="12"/>
      <c r="L117" s="1"/>
      <c r="M117" s="2"/>
      <c r="N117" s="13"/>
      <c r="O117" s="1"/>
    </row>
    <row r="118" spans="1:15" x14ac:dyDescent="0.25">
      <c r="A118" s="1">
        <v>115</v>
      </c>
      <c r="B118" s="7" t="s">
        <v>18</v>
      </c>
      <c r="C118" s="8">
        <v>45439</v>
      </c>
      <c r="D118" s="9"/>
      <c r="E118" s="10"/>
      <c r="F118" s="11"/>
      <c r="G118" s="12"/>
      <c r="H118" s="11"/>
      <c r="I118" s="12"/>
      <c r="J118" s="11"/>
      <c r="K118" s="12"/>
      <c r="L118" s="1"/>
      <c r="M118" s="2"/>
      <c r="N118" s="13"/>
      <c r="O118" s="1"/>
    </row>
    <row r="119" spans="1:15" x14ac:dyDescent="0.25">
      <c r="A119" s="1">
        <v>116</v>
      </c>
      <c r="B119" s="7" t="s">
        <v>19</v>
      </c>
      <c r="C119" s="8">
        <v>45440</v>
      </c>
      <c r="D119" s="9">
        <v>4300</v>
      </c>
      <c r="E119" s="10" t="s">
        <v>12</v>
      </c>
      <c r="F119" s="11">
        <v>8000</v>
      </c>
      <c r="G119" s="12" t="s">
        <v>12</v>
      </c>
      <c r="H119" s="11"/>
      <c r="I119" s="12"/>
      <c r="J119" s="11">
        <v>4200</v>
      </c>
      <c r="K119" s="12" t="s">
        <v>12</v>
      </c>
      <c r="L119" s="1"/>
      <c r="M119" s="2"/>
      <c r="N119" s="13"/>
      <c r="O119" s="1"/>
    </row>
    <row r="120" spans="1:15" x14ac:dyDescent="0.25">
      <c r="A120" s="1">
        <v>117</v>
      </c>
      <c r="B120" s="7" t="s">
        <v>20</v>
      </c>
      <c r="C120" s="8">
        <v>45441</v>
      </c>
      <c r="D120" s="9">
        <v>5700</v>
      </c>
      <c r="E120" s="10" t="s">
        <v>12</v>
      </c>
      <c r="F120" s="11"/>
      <c r="G120" s="12"/>
      <c r="H120" s="11"/>
      <c r="I120" s="12"/>
      <c r="J120" s="11">
        <v>5800</v>
      </c>
      <c r="K120" s="12" t="s">
        <v>12</v>
      </c>
      <c r="L120" s="1"/>
      <c r="M120" s="2"/>
      <c r="N120" s="13"/>
      <c r="O120" s="1"/>
    </row>
    <row r="121" spans="1:15" x14ac:dyDescent="0.25">
      <c r="A121" s="1">
        <v>118</v>
      </c>
      <c r="B121" s="7" t="s">
        <v>20</v>
      </c>
      <c r="C121" s="8">
        <v>45441</v>
      </c>
      <c r="D121" s="9">
        <v>1600</v>
      </c>
      <c r="E121" s="10" t="s">
        <v>22</v>
      </c>
      <c r="F121" s="11">
        <v>2100</v>
      </c>
      <c r="G121" s="12" t="s">
        <v>22</v>
      </c>
      <c r="H121" s="11"/>
      <c r="I121" s="12"/>
      <c r="J121" s="11">
        <v>1900</v>
      </c>
      <c r="K121" s="12" t="s">
        <v>22</v>
      </c>
      <c r="L121" s="1"/>
      <c r="M121" s="2"/>
      <c r="N121" s="13"/>
      <c r="O121" s="1"/>
    </row>
    <row r="122" spans="1:15" x14ac:dyDescent="0.25">
      <c r="A122" s="1">
        <v>119</v>
      </c>
      <c r="B122" s="7" t="s">
        <v>14</v>
      </c>
      <c r="C122" s="8">
        <v>45442</v>
      </c>
      <c r="D122" s="9"/>
      <c r="E122" s="10"/>
      <c r="F122" s="11"/>
      <c r="G122" s="12"/>
      <c r="H122" s="11"/>
      <c r="I122" s="12"/>
      <c r="J122" s="11"/>
      <c r="K122" s="12"/>
      <c r="L122" s="1"/>
      <c r="M122" s="2"/>
      <c r="N122" s="13"/>
      <c r="O122" s="1"/>
    </row>
    <row r="123" spans="1:15" x14ac:dyDescent="0.25">
      <c r="A123" s="1">
        <v>120</v>
      </c>
      <c r="B123" s="7" t="s">
        <v>15</v>
      </c>
      <c r="C123" s="8">
        <v>45443</v>
      </c>
      <c r="D123" s="9"/>
      <c r="E123" s="10"/>
      <c r="F123" s="11"/>
      <c r="G123" s="12"/>
      <c r="H123" s="11"/>
      <c r="I123" s="12"/>
      <c r="J123" s="11"/>
      <c r="K123" s="12"/>
      <c r="L123" s="1"/>
      <c r="M123" s="2"/>
      <c r="N123" s="13"/>
      <c r="O123" s="1"/>
    </row>
    <row r="124" spans="1:15" x14ac:dyDescent="0.25">
      <c r="A124" s="1">
        <v>121</v>
      </c>
      <c r="B124" s="7" t="s">
        <v>16</v>
      </c>
      <c r="C124" s="8">
        <v>45444</v>
      </c>
      <c r="D124" s="9"/>
      <c r="E124" s="10"/>
      <c r="F124" s="11"/>
      <c r="G124" s="12"/>
      <c r="H124" s="11"/>
      <c r="I124" s="12"/>
      <c r="J124" s="11"/>
      <c r="K124" s="12"/>
      <c r="L124" s="1"/>
      <c r="M124" s="2"/>
      <c r="N124" s="13"/>
      <c r="O124" s="1"/>
    </row>
    <row r="125" spans="1:15" x14ac:dyDescent="0.25">
      <c r="A125" s="1">
        <v>122</v>
      </c>
      <c r="B125" s="7" t="s">
        <v>17</v>
      </c>
      <c r="C125" s="8">
        <v>45445</v>
      </c>
      <c r="D125" s="9"/>
      <c r="E125" s="10"/>
      <c r="F125" s="11"/>
      <c r="G125" s="12"/>
      <c r="H125" s="11"/>
      <c r="I125" s="12"/>
      <c r="J125" s="11"/>
      <c r="K125" s="12"/>
      <c r="L125" s="1"/>
      <c r="M125" s="2"/>
      <c r="N125" s="13"/>
      <c r="O125" s="1"/>
    </row>
    <row r="126" spans="1:15" x14ac:dyDescent="0.25">
      <c r="A126" s="1">
        <v>123</v>
      </c>
      <c r="B126" s="7" t="s">
        <v>18</v>
      </c>
      <c r="C126" s="8">
        <v>45446</v>
      </c>
      <c r="D126" s="9"/>
      <c r="E126" s="10"/>
      <c r="F126" s="11"/>
      <c r="G126" s="12"/>
      <c r="H126" s="11"/>
      <c r="I126" s="12"/>
      <c r="J126" s="11"/>
      <c r="K126" s="12"/>
      <c r="L126" s="1"/>
      <c r="M126" s="2"/>
      <c r="N126" s="13"/>
      <c r="O126" s="1"/>
    </row>
    <row r="127" spans="1:15" x14ac:dyDescent="0.25">
      <c r="A127" s="1">
        <v>124</v>
      </c>
      <c r="B127" s="7" t="s">
        <v>19</v>
      </c>
      <c r="C127" s="8">
        <v>45447</v>
      </c>
      <c r="D127" s="9">
        <v>12300</v>
      </c>
      <c r="E127" s="10" t="s">
        <v>12</v>
      </c>
      <c r="F127" s="11">
        <v>8100</v>
      </c>
      <c r="G127" s="12" t="s">
        <v>12</v>
      </c>
      <c r="H127" s="11"/>
      <c r="I127" s="12"/>
      <c r="J127" s="11">
        <v>10000</v>
      </c>
      <c r="K127" s="12" t="s">
        <v>12</v>
      </c>
      <c r="L127" s="1"/>
      <c r="M127" s="2"/>
      <c r="N127" s="13"/>
      <c r="O127" s="1"/>
    </row>
    <row r="128" spans="1:15" x14ac:dyDescent="0.25">
      <c r="A128" s="1">
        <v>125</v>
      </c>
      <c r="B128" s="7" t="s">
        <v>20</v>
      </c>
      <c r="C128" s="8">
        <v>45448</v>
      </c>
      <c r="D128" s="9"/>
      <c r="E128" s="10"/>
      <c r="F128" s="11"/>
      <c r="G128" s="12"/>
      <c r="H128" s="11"/>
      <c r="I128" s="12"/>
      <c r="J128" s="11"/>
      <c r="K128" s="12"/>
      <c r="L128" s="1"/>
      <c r="M128" s="2"/>
      <c r="N128" s="13"/>
      <c r="O128" s="1"/>
    </row>
    <row r="129" spans="1:15" x14ac:dyDescent="0.25">
      <c r="A129" s="1">
        <v>126</v>
      </c>
      <c r="B129" s="7" t="s">
        <v>14</v>
      </c>
      <c r="C129" s="8">
        <v>45449</v>
      </c>
      <c r="D129" s="9">
        <v>6400</v>
      </c>
      <c r="E129" s="10" t="s">
        <v>22</v>
      </c>
      <c r="F129" s="11">
        <v>1000</v>
      </c>
      <c r="G129" s="12" t="s">
        <v>22</v>
      </c>
      <c r="H129" s="11"/>
      <c r="I129" s="12"/>
      <c r="J129" s="11">
        <v>700</v>
      </c>
      <c r="K129" s="12" t="s">
        <v>22</v>
      </c>
      <c r="L129" s="1"/>
      <c r="M129" s="2"/>
      <c r="N129" s="13"/>
      <c r="O129" s="1"/>
    </row>
    <row r="130" spans="1:15" x14ac:dyDescent="0.25">
      <c r="A130" s="1">
        <v>127</v>
      </c>
      <c r="B130" s="7" t="s">
        <v>15</v>
      </c>
      <c r="C130" s="8">
        <v>45450</v>
      </c>
      <c r="D130" s="9"/>
      <c r="E130" s="10"/>
      <c r="F130" s="11"/>
      <c r="G130" s="12"/>
      <c r="H130" s="11"/>
      <c r="I130" s="12"/>
      <c r="J130" s="11"/>
      <c r="K130" s="12"/>
      <c r="L130" s="1"/>
      <c r="M130" s="2"/>
      <c r="N130" s="13"/>
      <c r="O130" s="1"/>
    </row>
    <row r="131" spans="1:15" x14ac:dyDescent="0.25">
      <c r="A131" s="1">
        <v>128</v>
      </c>
      <c r="B131" s="7" t="s">
        <v>16</v>
      </c>
      <c r="C131" s="8">
        <v>45451</v>
      </c>
      <c r="D131" s="9"/>
      <c r="E131" s="10"/>
      <c r="F131" s="11"/>
      <c r="G131" s="12"/>
      <c r="H131" s="11"/>
      <c r="I131" s="12"/>
      <c r="J131" s="11"/>
      <c r="K131" s="12"/>
      <c r="L131" s="1"/>
      <c r="M131" s="2"/>
      <c r="N131" s="13"/>
      <c r="O131" s="1"/>
    </row>
    <row r="132" spans="1:15" x14ac:dyDescent="0.25">
      <c r="A132" s="1">
        <v>129</v>
      </c>
      <c r="B132" s="7" t="s">
        <v>17</v>
      </c>
      <c r="C132" s="8">
        <v>45452</v>
      </c>
      <c r="D132" s="9"/>
      <c r="E132" s="10"/>
      <c r="F132" s="11"/>
      <c r="G132" s="12"/>
      <c r="H132" s="11"/>
      <c r="I132" s="12"/>
      <c r="J132" s="11"/>
      <c r="K132" s="12"/>
      <c r="L132" s="1"/>
      <c r="M132" s="2"/>
      <c r="N132" s="13"/>
      <c r="O132" s="1"/>
    </row>
    <row r="133" spans="1:15" x14ac:dyDescent="0.25">
      <c r="A133" s="1">
        <v>130</v>
      </c>
      <c r="B133" s="7" t="s">
        <v>18</v>
      </c>
      <c r="C133" s="8">
        <v>45453</v>
      </c>
      <c r="D133" s="9"/>
      <c r="E133" s="10"/>
      <c r="F133" s="11"/>
      <c r="G133" s="12"/>
      <c r="H133" s="11"/>
      <c r="I133" s="12"/>
      <c r="J133" s="11"/>
      <c r="K133" s="12"/>
      <c r="L133" s="1"/>
      <c r="M133" s="2"/>
      <c r="N133" s="13"/>
      <c r="O133" s="1"/>
    </row>
    <row r="134" spans="1:15" x14ac:dyDescent="0.25">
      <c r="A134" s="1">
        <v>131</v>
      </c>
      <c r="B134" s="7" t="s">
        <v>19</v>
      </c>
      <c r="C134" s="8">
        <v>45454</v>
      </c>
      <c r="D134" s="9">
        <v>6600</v>
      </c>
      <c r="E134" s="10" t="s">
        <v>12</v>
      </c>
      <c r="F134" s="11">
        <v>3600</v>
      </c>
      <c r="G134" s="12" t="s">
        <v>12</v>
      </c>
      <c r="H134" s="11"/>
      <c r="I134" s="12"/>
      <c r="J134" s="11">
        <v>4400</v>
      </c>
      <c r="K134" s="12" t="s">
        <v>12</v>
      </c>
      <c r="L134" s="1"/>
      <c r="M134" s="2"/>
      <c r="N134" s="13"/>
      <c r="O134" s="1"/>
    </row>
    <row r="135" spans="1:15" x14ac:dyDescent="0.25">
      <c r="A135" s="1">
        <v>132</v>
      </c>
      <c r="B135" s="7" t="s">
        <v>20</v>
      </c>
      <c r="C135" s="8">
        <v>45455</v>
      </c>
      <c r="D135" s="9">
        <v>6300</v>
      </c>
      <c r="E135" s="10" t="s">
        <v>12</v>
      </c>
      <c r="F135" s="11">
        <v>3500</v>
      </c>
      <c r="G135" s="12" t="s">
        <v>12</v>
      </c>
      <c r="H135" s="11"/>
      <c r="I135" s="12"/>
      <c r="J135" s="11">
        <v>4300</v>
      </c>
      <c r="K135" s="12" t="s">
        <v>12</v>
      </c>
      <c r="L135" s="1"/>
      <c r="M135" s="2"/>
      <c r="N135" s="13"/>
      <c r="O135" s="1"/>
    </row>
    <row r="136" spans="1:15" x14ac:dyDescent="0.25">
      <c r="A136" s="1">
        <v>133</v>
      </c>
      <c r="B136" s="7" t="s">
        <v>20</v>
      </c>
      <c r="C136" s="8">
        <v>45455</v>
      </c>
      <c r="D136" s="14">
        <v>1000</v>
      </c>
      <c r="E136" s="10" t="s">
        <v>22</v>
      </c>
      <c r="F136" s="11">
        <v>1400</v>
      </c>
      <c r="G136" s="12" t="s">
        <v>22</v>
      </c>
      <c r="H136" s="11"/>
      <c r="I136" s="12"/>
      <c r="J136" s="11">
        <v>600</v>
      </c>
      <c r="K136" s="12" t="s">
        <v>22</v>
      </c>
      <c r="L136" s="1"/>
      <c r="M136" s="2"/>
      <c r="N136" s="15" t="s">
        <v>23</v>
      </c>
      <c r="O136" s="1"/>
    </row>
    <row r="137" spans="1:15" x14ac:dyDescent="0.25">
      <c r="A137" s="1">
        <v>134</v>
      </c>
      <c r="B137" s="7" t="s">
        <v>14</v>
      </c>
      <c r="C137" s="8">
        <v>45456</v>
      </c>
      <c r="D137" s="9"/>
      <c r="E137" s="10"/>
      <c r="F137" s="11"/>
      <c r="G137" s="12"/>
      <c r="H137" s="11"/>
      <c r="I137" s="12"/>
      <c r="J137" s="11"/>
      <c r="K137" s="12"/>
      <c r="L137" s="1"/>
      <c r="M137" s="2"/>
      <c r="N137" s="13"/>
      <c r="O137" s="1"/>
    </row>
    <row r="138" spans="1:15" x14ac:dyDescent="0.25">
      <c r="A138" s="1">
        <v>135</v>
      </c>
      <c r="B138" s="7" t="s">
        <v>15</v>
      </c>
      <c r="C138" s="8">
        <v>45457</v>
      </c>
      <c r="D138" s="9"/>
      <c r="E138" s="10"/>
      <c r="F138" s="11"/>
      <c r="G138" s="12"/>
      <c r="H138" s="11"/>
      <c r="I138" s="12"/>
      <c r="J138" s="11"/>
      <c r="K138" s="12"/>
      <c r="L138" s="1"/>
      <c r="M138" s="2"/>
      <c r="N138" s="13"/>
      <c r="O138" s="1"/>
    </row>
    <row r="139" spans="1:15" x14ac:dyDescent="0.25">
      <c r="A139" s="1">
        <v>136</v>
      </c>
      <c r="B139" s="7" t="s">
        <v>16</v>
      </c>
      <c r="C139" s="8">
        <v>45458</v>
      </c>
      <c r="D139" s="9"/>
      <c r="E139" s="10"/>
      <c r="F139" s="11"/>
      <c r="G139" s="12"/>
      <c r="H139" s="11"/>
      <c r="I139" s="12"/>
      <c r="J139" s="11"/>
      <c r="K139" s="12"/>
      <c r="L139" s="1"/>
      <c r="M139" s="2"/>
      <c r="N139" s="13"/>
      <c r="O139" s="1"/>
    </row>
    <row r="140" spans="1:15" x14ac:dyDescent="0.25">
      <c r="A140" s="1">
        <v>137</v>
      </c>
      <c r="B140" s="7" t="s">
        <v>17</v>
      </c>
      <c r="C140" s="8">
        <v>45459</v>
      </c>
      <c r="D140" s="9"/>
      <c r="E140" s="10"/>
      <c r="F140" s="11"/>
      <c r="G140" s="12"/>
      <c r="H140" s="11"/>
      <c r="I140" s="12"/>
      <c r="J140" s="11"/>
      <c r="K140" s="12"/>
      <c r="L140" s="1"/>
      <c r="M140" s="2"/>
      <c r="N140" s="13"/>
      <c r="O140" s="1"/>
    </row>
    <row r="141" spans="1:15" x14ac:dyDescent="0.25">
      <c r="A141" s="1">
        <v>138</v>
      </c>
      <c r="B141" s="7" t="s">
        <v>18</v>
      </c>
      <c r="C141" s="8">
        <v>45460</v>
      </c>
      <c r="D141" s="9"/>
      <c r="E141" s="10"/>
      <c r="F141" s="11"/>
      <c r="G141" s="12"/>
      <c r="H141" s="11"/>
      <c r="I141" s="12"/>
      <c r="J141" s="11"/>
      <c r="K141" s="12"/>
      <c r="L141" s="1"/>
      <c r="M141" s="2"/>
      <c r="N141" s="13"/>
      <c r="O141" s="1"/>
    </row>
    <row r="142" spans="1:15" x14ac:dyDescent="0.25">
      <c r="A142" s="1">
        <v>139</v>
      </c>
      <c r="B142" s="7" t="s">
        <v>19</v>
      </c>
      <c r="C142" s="8">
        <v>45461</v>
      </c>
      <c r="D142" s="9">
        <v>7100</v>
      </c>
      <c r="E142" s="10" t="s">
        <v>12</v>
      </c>
      <c r="F142" s="11">
        <v>3900</v>
      </c>
      <c r="G142" s="12" t="s">
        <v>12</v>
      </c>
      <c r="H142" s="11"/>
      <c r="I142" s="12"/>
      <c r="J142" s="11">
        <v>6200</v>
      </c>
      <c r="K142" s="12" t="s">
        <v>12</v>
      </c>
      <c r="L142" s="1"/>
      <c r="M142" s="2"/>
      <c r="N142" s="13"/>
      <c r="O142" s="1"/>
    </row>
    <row r="143" spans="1:15" x14ac:dyDescent="0.25">
      <c r="A143" s="1">
        <v>140</v>
      </c>
      <c r="B143" s="7" t="s">
        <v>20</v>
      </c>
      <c r="C143" s="8">
        <v>45462</v>
      </c>
      <c r="D143" s="9"/>
      <c r="E143" s="10"/>
      <c r="F143" s="11"/>
      <c r="G143" s="12"/>
      <c r="H143" s="11"/>
      <c r="I143" s="12"/>
      <c r="J143" s="11"/>
      <c r="K143" s="12"/>
      <c r="L143" s="1"/>
      <c r="M143" s="2"/>
      <c r="N143" s="13"/>
      <c r="O143" s="1"/>
    </row>
    <row r="144" spans="1:15" x14ac:dyDescent="0.25">
      <c r="A144" s="1">
        <v>141</v>
      </c>
      <c r="B144" s="7" t="s">
        <v>14</v>
      </c>
      <c r="C144" s="8">
        <v>45463</v>
      </c>
      <c r="D144" s="9">
        <v>5000</v>
      </c>
      <c r="E144" s="10" t="s">
        <v>12</v>
      </c>
      <c r="F144" s="11">
        <v>2300</v>
      </c>
      <c r="G144" s="12" t="s">
        <v>12</v>
      </c>
      <c r="H144" s="11"/>
      <c r="I144" s="12"/>
      <c r="J144" s="11">
        <v>3700</v>
      </c>
      <c r="K144" s="12" t="s">
        <v>12</v>
      </c>
      <c r="L144" s="1"/>
      <c r="M144" s="2"/>
      <c r="N144" s="13"/>
      <c r="O144" s="1"/>
    </row>
    <row r="145" spans="1:15" x14ac:dyDescent="0.25">
      <c r="A145" s="1">
        <v>142</v>
      </c>
      <c r="B145" s="7" t="s">
        <v>14</v>
      </c>
      <c r="C145" s="8">
        <v>45463</v>
      </c>
      <c r="D145" s="9">
        <v>1600</v>
      </c>
      <c r="E145" s="10" t="s">
        <v>22</v>
      </c>
      <c r="F145" s="11">
        <v>400</v>
      </c>
      <c r="G145" s="12" t="s">
        <v>22</v>
      </c>
      <c r="H145" s="11"/>
      <c r="I145" s="12"/>
      <c r="J145" s="11">
        <v>1000</v>
      </c>
      <c r="K145" s="12" t="s">
        <v>22</v>
      </c>
      <c r="L145" s="1"/>
      <c r="M145" s="2"/>
      <c r="N145" s="15" t="s">
        <v>24</v>
      </c>
      <c r="O145" s="16" t="s">
        <v>25</v>
      </c>
    </row>
    <row r="146" spans="1:15" x14ac:dyDescent="0.25">
      <c r="A146" s="1">
        <v>143</v>
      </c>
      <c r="B146" s="7" t="s">
        <v>15</v>
      </c>
      <c r="C146" s="8">
        <v>45464</v>
      </c>
      <c r="D146" s="9"/>
      <c r="E146" s="10"/>
      <c r="F146" s="11"/>
      <c r="G146" s="12"/>
      <c r="H146" s="11"/>
      <c r="I146" s="12"/>
      <c r="J146" s="11"/>
      <c r="K146" s="12"/>
      <c r="L146" s="1"/>
      <c r="M146" s="2"/>
      <c r="N146" s="13"/>
      <c r="O146" s="1"/>
    </row>
    <row r="147" spans="1:15" x14ac:dyDescent="0.25">
      <c r="A147" s="1">
        <v>144</v>
      </c>
      <c r="B147" s="7" t="s">
        <v>16</v>
      </c>
      <c r="C147" s="8">
        <v>45465</v>
      </c>
      <c r="D147" s="9"/>
      <c r="E147" s="10"/>
      <c r="F147" s="11"/>
      <c r="G147" s="12"/>
      <c r="H147" s="11"/>
      <c r="I147" s="12"/>
      <c r="J147" s="11"/>
      <c r="K147" s="12"/>
      <c r="L147" s="1"/>
      <c r="M147" s="2"/>
      <c r="N147" s="13"/>
      <c r="O147" s="1"/>
    </row>
    <row r="148" spans="1:15" x14ac:dyDescent="0.25">
      <c r="A148" s="1">
        <v>145</v>
      </c>
      <c r="B148" s="7" t="s">
        <v>17</v>
      </c>
      <c r="C148" s="8">
        <v>45466</v>
      </c>
      <c r="D148" s="9"/>
      <c r="E148" s="10"/>
      <c r="F148" s="11"/>
      <c r="G148" s="12"/>
      <c r="H148" s="11"/>
      <c r="I148" s="12"/>
      <c r="J148" s="11"/>
      <c r="K148" s="12"/>
      <c r="L148" s="1"/>
      <c r="M148" s="2"/>
      <c r="N148" s="13"/>
      <c r="O148" s="1"/>
    </row>
    <row r="149" spans="1:15" x14ac:dyDescent="0.25">
      <c r="A149" s="1">
        <v>146</v>
      </c>
      <c r="B149" s="7" t="s">
        <v>18</v>
      </c>
      <c r="C149" s="8">
        <v>45467</v>
      </c>
      <c r="D149" s="9"/>
      <c r="E149" s="10"/>
      <c r="F149" s="11"/>
      <c r="G149" s="12"/>
      <c r="H149" s="11"/>
      <c r="I149" s="12"/>
      <c r="J149" s="11"/>
      <c r="K149" s="12"/>
      <c r="L149" s="1"/>
      <c r="M149" s="2"/>
      <c r="N149" s="13"/>
      <c r="O149" s="1"/>
    </row>
    <row r="150" spans="1:15" x14ac:dyDescent="0.25">
      <c r="A150" s="1">
        <v>147</v>
      </c>
      <c r="B150" s="7" t="s">
        <v>19</v>
      </c>
      <c r="C150" s="8">
        <v>45468</v>
      </c>
      <c r="D150" s="9">
        <v>7700</v>
      </c>
      <c r="E150" s="10" t="s">
        <v>12</v>
      </c>
      <c r="F150" s="11">
        <v>4800</v>
      </c>
      <c r="G150" s="12" t="s">
        <v>12</v>
      </c>
      <c r="H150" s="11"/>
      <c r="I150" s="12"/>
      <c r="J150" s="11">
        <v>4000</v>
      </c>
      <c r="K150" s="12" t="s">
        <v>12</v>
      </c>
      <c r="L150" s="1"/>
      <c r="M150" s="2"/>
      <c r="N150" s="13"/>
      <c r="O150" s="1"/>
    </row>
    <row r="151" spans="1:15" x14ac:dyDescent="0.25">
      <c r="A151" s="1">
        <v>148</v>
      </c>
      <c r="B151" s="7" t="s">
        <v>20</v>
      </c>
      <c r="C151" s="8">
        <v>45469</v>
      </c>
      <c r="D151" s="9">
        <v>3500</v>
      </c>
      <c r="E151" s="10" t="s">
        <v>12</v>
      </c>
      <c r="F151" s="11">
        <v>2800</v>
      </c>
      <c r="G151" s="12" t="s">
        <v>12</v>
      </c>
      <c r="H151" s="11"/>
      <c r="I151" s="12"/>
      <c r="J151" s="11">
        <v>1200</v>
      </c>
      <c r="K151" s="12" t="s">
        <v>12</v>
      </c>
      <c r="L151" s="1"/>
      <c r="M151" s="2"/>
      <c r="N151" s="13"/>
      <c r="O151" s="1"/>
    </row>
    <row r="152" spans="1:15" x14ac:dyDescent="0.25">
      <c r="A152" s="1">
        <v>149</v>
      </c>
      <c r="B152" s="7" t="s">
        <v>20</v>
      </c>
      <c r="C152" s="8">
        <v>45469</v>
      </c>
      <c r="D152" s="9">
        <v>2200</v>
      </c>
      <c r="E152" s="10" t="s">
        <v>22</v>
      </c>
      <c r="F152" s="11">
        <v>700</v>
      </c>
      <c r="G152" s="12" t="s">
        <v>22</v>
      </c>
      <c r="H152" s="11"/>
      <c r="I152" s="12"/>
      <c r="J152" s="11">
        <v>600</v>
      </c>
      <c r="K152" s="12" t="s">
        <v>22</v>
      </c>
      <c r="L152" s="1"/>
      <c r="M152" s="2"/>
      <c r="N152" s="25" t="s">
        <v>26</v>
      </c>
      <c r="O152" s="1"/>
    </row>
    <row r="153" spans="1:15" x14ac:dyDescent="0.25">
      <c r="A153" s="1">
        <v>150</v>
      </c>
      <c r="B153" s="7" t="s">
        <v>20</v>
      </c>
      <c r="C153" s="8">
        <v>45469</v>
      </c>
      <c r="D153" s="9">
        <v>2200</v>
      </c>
      <c r="E153" s="10" t="s">
        <v>21</v>
      </c>
      <c r="F153" s="11">
        <v>1600</v>
      </c>
      <c r="G153" s="12" t="s">
        <v>21</v>
      </c>
      <c r="H153" s="11"/>
      <c r="I153" s="12"/>
      <c r="J153" s="11">
        <v>400</v>
      </c>
      <c r="K153" s="12" t="s">
        <v>21</v>
      </c>
      <c r="L153" s="1"/>
      <c r="M153" s="2"/>
      <c r="N153" s="13"/>
      <c r="O153" s="1"/>
    </row>
    <row r="154" spans="1:15" x14ac:dyDescent="0.25">
      <c r="A154" s="1">
        <v>151</v>
      </c>
      <c r="B154" s="7" t="s">
        <v>14</v>
      </c>
      <c r="C154" s="8">
        <v>45470</v>
      </c>
      <c r="D154" s="9"/>
      <c r="E154" s="10"/>
      <c r="F154" s="11"/>
      <c r="G154" s="12"/>
      <c r="H154" s="11"/>
      <c r="I154" s="12"/>
      <c r="J154" s="11"/>
      <c r="K154" s="12"/>
      <c r="L154" s="1"/>
      <c r="M154" s="2"/>
      <c r="N154" s="13"/>
      <c r="O154" s="1"/>
    </row>
    <row r="155" spans="1:15" x14ac:dyDescent="0.25">
      <c r="A155" s="1">
        <v>152</v>
      </c>
      <c r="B155" s="7" t="s">
        <v>15</v>
      </c>
      <c r="C155" s="8">
        <v>45471</v>
      </c>
      <c r="D155" s="9"/>
      <c r="E155" s="10"/>
      <c r="F155" s="11"/>
      <c r="G155" s="12"/>
      <c r="H155" s="11"/>
      <c r="I155" s="12"/>
      <c r="J155" s="11"/>
      <c r="K155" s="12"/>
      <c r="L155" s="1"/>
      <c r="M155" s="2"/>
      <c r="N155" s="13"/>
      <c r="O155" s="1"/>
    </row>
    <row r="156" spans="1:15" x14ac:dyDescent="0.25">
      <c r="A156" s="1">
        <v>153</v>
      </c>
      <c r="B156" s="7" t="s">
        <v>16</v>
      </c>
      <c r="C156" s="8">
        <v>45472</v>
      </c>
      <c r="D156" s="9"/>
      <c r="E156" s="10"/>
      <c r="F156" s="11"/>
      <c r="G156" s="12"/>
      <c r="H156" s="11"/>
      <c r="I156" s="12"/>
      <c r="J156" s="11"/>
      <c r="K156" s="12"/>
      <c r="L156" s="1"/>
      <c r="M156" s="2"/>
      <c r="N156" s="13"/>
      <c r="O156" s="1"/>
    </row>
    <row r="157" spans="1:15" x14ac:dyDescent="0.25">
      <c r="A157" s="1">
        <v>154</v>
      </c>
      <c r="B157" s="7" t="s">
        <v>17</v>
      </c>
      <c r="C157" s="8">
        <v>45473</v>
      </c>
      <c r="D157" s="9"/>
      <c r="E157" s="10"/>
      <c r="F157" s="11"/>
      <c r="G157" s="12"/>
      <c r="H157" s="11"/>
      <c r="I157" s="12"/>
      <c r="J157" s="11"/>
      <c r="K157" s="12"/>
      <c r="L157" s="1"/>
      <c r="M157" s="2"/>
      <c r="N157" s="13"/>
      <c r="O157" s="1"/>
    </row>
    <row r="158" spans="1:15" x14ac:dyDescent="0.25">
      <c r="A158" s="1">
        <v>155</v>
      </c>
      <c r="B158" s="7" t="s">
        <v>18</v>
      </c>
      <c r="C158" s="8">
        <v>45474</v>
      </c>
      <c r="D158" s="9"/>
      <c r="E158" s="10"/>
      <c r="F158" s="11"/>
      <c r="G158" s="12"/>
      <c r="H158" s="11"/>
      <c r="I158" s="12"/>
      <c r="J158" s="11"/>
      <c r="K158" s="12"/>
      <c r="L158" s="1"/>
      <c r="M158" s="2"/>
      <c r="N158" s="13"/>
      <c r="O158" s="1"/>
    </row>
    <row r="159" spans="1:15" x14ac:dyDescent="0.25">
      <c r="A159" s="1">
        <v>156</v>
      </c>
      <c r="B159" s="7" t="s">
        <v>19</v>
      </c>
      <c r="C159" s="8">
        <v>45475</v>
      </c>
      <c r="D159" s="9">
        <v>7400</v>
      </c>
      <c r="E159" s="10" t="s">
        <v>12</v>
      </c>
      <c r="F159" s="11">
        <v>5500</v>
      </c>
      <c r="G159" s="12" t="s">
        <v>12</v>
      </c>
      <c r="H159" s="11"/>
      <c r="I159" s="12"/>
      <c r="J159" s="11">
        <v>1900</v>
      </c>
      <c r="K159" s="12" t="s">
        <v>12</v>
      </c>
      <c r="L159" s="1"/>
      <c r="M159" s="2"/>
      <c r="N159" s="13"/>
      <c r="O159" s="1"/>
    </row>
    <row r="160" spans="1:15" x14ac:dyDescent="0.25">
      <c r="A160" s="1">
        <v>157</v>
      </c>
      <c r="B160" s="7" t="s">
        <v>20</v>
      </c>
      <c r="C160" s="8">
        <v>45476</v>
      </c>
      <c r="D160" s="9">
        <v>4900</v>
      </c>
      <c r="E160" s="10" t="s">
        <v>12</v>
      </c>
      <c r="F160" s="11">
        <v>4000</v>
      </c>
      <c r="G160" s="12" t="s">
        <v>12</v>
      </c>
      <c r="H160" s="11"/>
      <c r="I160" s="12"/>
      <c r="J160" s="11"/>
      <c r="K160" s="12"/>
      <c r="L160" s="1"/>
      <c r="M160" s="2"/>
      <c r="N160" s="13"/>
      <c r="O160" s="1"/>
    </row>
    <row r="161" spans="1:15" x14ac:dyDescent="0.25">
      <c r="A161" s="1">
        <v>158</v>
      </c>
      <c r="B161" s="7" t="s">
        <v>20</v>
      </c>
      <c r="C161" s="8">
        <v>45476</v>
      </c>
      <c r="D161" s="9">
        <v>2400</v>
      </c>
      <c r="E161" s="10" t="s">
        <v>22</v>
      </c>
      <c r="F161" s="11">
        <v>1800</v>
      </c>
      <c r="G161" s="12" t="s">
        <v>22</v>
      </c>
      <c r="H161" s="11"/>
      <c r="I161" s="12"/>
      <c r="J161" s="11">
        <v>800</v>
      </c>
      <c r="K161" s="12" t="s">
        <v>22</v>
      </c>
      <c r="L161" s="1"/>
      <c r="M161" s="2"/>
      <c r="N161" s="13"/>
      <c r="O161" s="1"/>
    </row>
    <row r="162" spans="1:15" x14ac:dyDescent="0.25">
      <c r="A162" s="1">
        <v>159</v>
      </c>
      <c r="B162" s="7" t="s">
        <v>14</v>
      </c>
      <c r="C162" s="8">
        <v>45477</v>
      </c>
      <c r="D162" s="9"/>
      <c r="E162" s="10"/>
      <c r="F162" s="11"/>
      <c r="G162" s="12"/>
      <c r="H162" s="11"/>
      <c r="I162" s="12"/>
      <c r="J162" s="11"/>
      <c r="K162" s="12"/>
      <c r="L162" s="1"/>
      <c r="M162" s="2"/>
      <c r="N162" s="13"/>
      <c r="O162" s="1"/>
    </row>
    <row r="163" spans="1:15" x14ac:dyDescent="0.25">
      <c r="A163" s="1">
        <v>160</v>
      </c>
      <c r="B163" s="7" t="s">
        <v>15</v>
      </c>
      <c r="C163" s="8">
        <v>45478</v>
      </c>
      <c r="D163" s="9"/>
      <c r="E163" s="10"/>
      <c r="F163" s="11"/>
      <c r="G163" s="12"/>
      <c r="H163" s="11"/>
      <c r="I163" s="12"/>
      <c r="J163" s="11"/>
      <c r="K163" s="12"/>
      <c r="L163" s="1"/>
      <c r="M163" s="2"/>
      <c r="N163" s="13"/>
      <c r="O163" s="1"/>
    </row>
    <row r="164" spans="1:15" x14ac:dyDescent="0.25">
      <c r="A164" s="1">
        <v>161</v>
      </c>
      <c r="B164" s="7" t="s">
        <v>16</v>
      </c>
      <c r="C164" s="8">
        <v>45479</v>
      </c>
      <c r="D164" s="9"/>
      <c r="E164" s="10"/>
      <c r="F164" s="11"/>
      <c r="G164" s="12"/>
      <c r="H164" s="11"/>
      <c r="I164" s="12"/>
      <c r="J164" s="11"/>
      <c r="K164" s="12"/>
      <c r="L164" s="1"/>
      <c r="M164" s="2"/>
      <c r="N164" s="13"/>
      <c r="O164" s="1"/>
    </row>
    <row r="165" spans="1:15" x14ac:dyDescent="0.25">
      <c r="A165" s="1">
        <v>162</v>
      </c>
      <c r="B165" s="7" t="s">
        <v>17</v>
      </c>
      <c r="C165" s="8">
        <v>45480</v>
      </c>
      <c r="D165" s="9"/>
      <c r="E165" s="10"/>
      <c r="F165" s="11"/>
      <c r="G165" s="12"/>
      <c r="H165" s="11"/>
      <c r="I165" s="12"/>
      <c r="J165" s="11"/>
      <c r="K165" s="12"/>
      <c r="L165" s="1"/>
      <c r="M165" s="2"/>
      <c r="N165" s="13"/>
      <c r="O165" s="1"/>
    </row>
    <row r="166" spans="1:15" x14ac:dyDescent="0.25">
      <c r="A166" s="1">
        <v>163</v>
      </c>
      <c r="B166" s="7" t="s">
        <v>18</v>
      </c>
      <c r="C166" s="8">
        <v>45481</v>
      </c>
      <c r="D166" s="9"/>
      <c r="E166" s="10"/>
      <c r="F166" s="11"/>
      <c r="G166" s="12"/>
      <c r="H166" s="11"/>
      <c r="I166" s="12"/>
      <c r="J166" s="11"/>
      <c r="K166" s="12"/>
      <c r="L166" s="1"/>
      <c r="M166" s="2"/>
      <c r="N166" s="13"/>
      <c r="O166" s="1"/>
    </row>
    <row r="167" spans="1:15" x14ac:dyDescent="0.25">
      <c r="A167" s="1">
        <v>164</v>
      </c>
      <c r="B167" s="7" t="s">
        <v>19</v>
      </c>
      <c r="C167" s="8">
        <v>45482</v>
      </c>
      <c r="D167" s="9">
        <v>5000</v>
      </c>
      <c r="E167" s="10" t="s">
        <v>12</v>
      </c>
      <c r="F167" s="11">
        <v>4500</v>
      </c>
      <c r="G167" s="12" t="s">
        <v>12</v>
      </c>
      <c r="H167" s="11">
        <v>500</v>
      </c>
      <c r="I167" s="12" t="s">
        <v>12</v>
      </c>
      <c r="J167" s="11">
        <v>6200</v>
      </c>
      <c r="K167" s="12" t="s">
        <v>12</v>
      </c>
      <c r="L167" s="1"/>
      <c r="M167" s="2"/>
      <c r="N167" s="13"/>
      <c r="O167" s="1"/>
    </row>
    <row r="168" spans="1:15" x14ac:dyDescent="0.25">
      <c r="A168" s="1">
        <v>165</v>
      </c>
      <c r="B168" s="7" t="s">
        <v>20</v>
      </c>
      <c r="C168" s="8">
        <v>45483</v>
      </c>
      <c r="D168" s="9"/>
      <c r="E168" s="10"/>
      <c r="F168" s="11"/>
      <c r="G168" s="12"/>
      <c r="H168" s="11"/>
      <c r="I168" s="12"/>
      <c r="J168" s="11"/>
      <c r="K168" s="12"/>
      <c r="L168" s="1"/>
      <c r="M168" s="2"/>
      <c r="N168" s="13"/>
      <c r="O168" s="1"/>
    </row>
    <row r="169" spans="1:15" x14ac:dyDescent="0.25">
      <c r="A169" s="1">
        <v>166</v>
      </c>
      <c r="B169" s="7" t="s">
        <v>14</v>
      </c>
      <c r="C169" s="8">
        <v>45484</v>
      </c>
      <c r="D169" s="9">
        <v>5000</v>
      </c>
      <c r="E169" s="10" t="s">
        <v>12</v>
      </c>
      <c r="F169" s="11">
        <v>5000</v>
      </c>
      <c r="G169" s="12" t="s">
        <v>12</v>
      </c>
      <c r="H169" s="11"/>
      <c r="I169" s="12"/>
      <c r="J169" s="11">
        <v>7000</v>
      </c>
      <c r="K169" s="12" t="s">
        <v>12</v>
      </c>
      <c r="L169" s="1"/>
      <c r="M169" s="2"/>
      <c r="N169" s="13"/>
      <c r="O169" s="1"/>
    </row>
    <row r="170" spans="1:15" x14ac:dyDescent="0.25">
      <c r="A170" s="1">
        <v>167</v>
      </c>
      <c r="B170" s="7" t="s">
        <v>14</v>
      </c>
      <c r="C170" s="8">
        <v>45484</v>
      </c>
      <c r="D170" s="17">
        <v>4000</v>
      </c>
      <c r="E170" s="10" t="s">
        <v>22</v>
      </c>
      <c r="F170" s="11">
        <v>2000</v>
      </c>
      <c r="G170" s="12" t="s">
        <v>22</v>
      </c>
      <c r="H170" s="11"/>
      <c r="I170" s="12"/>
      <c r="J170" s="18">
        <v>500</v>
      </c>
      <c r="K170" s="12" t="s">
        <v>22</v>
      </c>
      <c r="L170" s="1"/>
      <c r="M170" s="2"/>
      <c r="N170" s="13"/>
      <c r="O170" s="1"/>
    </row>
    <row r="171" spans="1:15" x14ac:dyDescent="0.25">
      <c r="A171" s="1">
        <v>168</v>
      </c>
      <c r="B171" s="7" t="s">
        <v>15</v>
      </c>
      <c r="C171" s="8">
        <v>45485</v>
      </c>
      <c r="D171" s="9"/>
      <c r="E171" s="10"/>
      <c r="F171" s="11"/>
      <c r="G171" s="12"/>
      <c r="H171" s="11"/>
      <c r="I171" s="12"/>
      <c r="J171" s="11"/>
      <c r="K171" s="12"/>
      <c r="L171" s="1"/>
      <c r="M171" s="2"/>
      <c r="N171" s="13"/>
      <c r="O171" s="1"/>
    </row>
    <row r="172" spans="1:15" x14ac:dyDescent="0.25">
      <c r="A172" s="1">
        <v>169</v>
      </c>
      <c r="B172" s="7" t="s">
        <v>16</v>
      </c>
      <c r="C172" s="8">
        <v>45486</v>
      </c>
      <c r="D172" s="9"/>
      <c r="E172" s="10"/>
      <c r="F172" s="11"/>
      <c r="G172" s="12"/>
      <c r="H172" s="11"/>
      <c r="I172" s="12"/>
      <c r="J172" s="11"/>
      <c r="K172" s="12"/>
      <c r="L172" s="1"/>
      <c r="M172" s="2"/>
      <c r="N172" s="13"/>
      <c r="O172" s="1"/>
    </row>
    <row r="173" spans="1:15" x14ac:dyDescent="0.25">
      <c r="A173" s="1">
        <v>170</v>
      </c>
      <c r="B173" s="7" t="s">
        <v>17</v>
      </c>
      <c r="C173" s="8">
        <v>45487</v>
      </c>
      <c r="D173" s="9"/>
      <c r="E173" s="10"/>
      <c r="F173" s="11"/>
      <c r="G173" s="12"/>
      <c r="H173" s="11"/>
      <c r="I173" s="12"/>
      <c r="J173" s="11"/>
      <c r="K173" s="12"/>
      <c r="L173" s="1"/>
      <c r="M173" s="2"/>
      <c r="N173" s="13"/>
      <c r="O173" s="1"/>
    </row>
    <row r="174" spans="1:15" x14ac:dyDescent="0.25">
      <c r="A174" s="1">
        <v>171</v>
      </c>
      <c r="B174" s="7" t="s">
        <v>18</v>
      </c>
      <c r="C174" s="8">
        <v>45488</v>
      </c>
      <c r="D174" s="9"/>
      <c r="E174" s="10"/>
      <c r="F174" s="11"/>
      <c r="G174" s="12"/>
      <c r="H174" s="11"/>
      <c r="I174" s="12"/>
      <c r="J174" s="11"/>
      <c r="K174" s="12"/>
    </row>
    <row r="175" spans="1:15" x14ac:dyDescent="0.25">
      <c r="A175" s="1">
        <v>172</v>
      </c>
      <c r="B175" s="7" t="s">
        <v>19</v>
      </c>
      <c r="C175" s="8">
        <v>45489</v>
      </c>
      <c r="D175" s="9">
        <v>5900</v>
      </c>
      <c r="E175" s="10" t="s">
        <v>12</v>
      </c>
      <c r="F175" s="11">
        <v>4400</v>
      </c>
      <c r="G175" s="12" t="s">
        <v>12</v>
      </c>
      <c r="H175" s="11"/>
      <c r="I175" s="12"/>
      <c r="J175" s="11">
        <v>5300</v>
      </c>
      <c r="K175" s="12" t="s">
        <v>12</v>
      </c>
    </row>
    <row r="176" spans="1:15" x14ac:dyDescent="0.25">
      <c r="A176" s="1">
        <v>173</v>
      </c>
      <c r="B176" s="7" t="s">
        <v>20</v>
      </c>
      <c r="C176" s="8">
        <v>45490</v>
      </c>
      <c r="D176" s="9">
        <v>4700</v>
      </c>
      <c r="E176" s="10" t="s">
        <v>12</v>
      </c>
      <c r="F176" s="11">
        <v>4100</v>
      </c>
      <c r="G176" s="12" t="s">
        <v>12</v>
      </c>
      <c r="H176" s="11">
        <v>900</v>
      </c>
      <c r="I176" s="12" t="s">
        <v>12</v>
      </c>
      <c r="J176" s="11"/>
      <c r="K176" s="12"/>
    </row>
    <row r="177" spans="1:11" x14ac:dyDescent="0.25">
      <c r="A177" s="1">
        <v>174</v>
      </c>
      <c r="B177" s="7" t="s">
        <v>20</v>
      </c>
      <c r="C177" s="8">
        <v>45490</v>
      </c>
      <c r="D177" s="9">
        <v>1400</v>
      </c>
      <c r="E177" s="10" t="s">
        <v>22</v>
      </c>
      <c r="F177" s="11">
        <v>1300</v>
      </c>
      <c r="G177" s="12" t="s">
        <v>22</v>
      </c>
      <c r="H177" s="11"/>
      <c r="I177" s="12"/>
      <c r="J177" s="11">
        <v>300</v>
      </c>
      <c r="K177" s="12" t="s">
        <v>22</v>
      </c>
    </row>
    <row r="178" spans="1:11" x14ac:dyDescent="0.25">
      <c r="A178" s="1">
        <v>175</v>
      </c>
      <c r="B178" s="7" t="s">
        <v>20</v>
      </c>
      <c r="C178" s="8">
        <v>45490</v>
      </c>
      <c r="D178" s="9">
        <v>1400</v>
      </c>
      <c r="E178" s="10" t="s">
        <v>21</v>
      </c>
      <c r="F178" s="11">
        <v>1700</v>
      </c>
      <c r="G178" s="12" t="s">
        <v>21</v>
      </c>
      <c r="H178" s="11"/>
      <c r="I178" s="12"/>
      <c r="J178" s="11">
        <v>200</v>
      </c>
      <c r="K178" s="12" t="s">
        <v>21</v>
      </c>
    </row>
    <row r="179" spans="1:11" x14ac:dyDescent="0.25">
      <c r="A179" s="1">
        <v>176</v>
      </c>
      <c r="B179" s="7" t="s">
        <v>14</v>
      </c>
      <c r="C179" s="8">
        <v>45491</v>
      </c>
      <c r="D179" s="9"/>
      <c r="E179" s="10"/>
      <c r="F179" s="11"/>
      <c r="G179" s="12"/>
      <c r="H179" s="11"/>
      <c r="I179" s="12"/>
      <c r="J179" s="11"/>
      <c r="K179" s="12"/>
    </row>
    <row r="180" spans="1:11" x14ac:dyDescent="0.25">
      <c r="A180" s="1">
        <v>177</v>
      </c>
      <c r="B180" s="7" t="s">
        <v>15</v>
      </c>
      <c r="C180" s="8">
        <v>45492</v>
      </c>
      <c r="D180" s="9"/>
      <c r="E180" s="10"/>
      <c r="F180" s="11"/>
      <c r="G180" s="12"/>
      <c r="H180" s="11"/>
      <c r="I180" s="12"/>
      <c r="J180" s="11"/>
      <c r="K180" s="12"/>
    </row>
    <row r="181" spans="1:11" x14ac:dyDescent="0.25">
      <c r="A181" s="1">
        <v>178</v>
      </c>
      <c r="B181" s="7" t="s">
        <v>16</v>
      </c>
      <c r="C181" s="8">
        <v>45493</v>
      </c>
      <c r="D181" s="9"/>
      <c r="E181" s="10"/>
      <c r="F181" s="11"/>
      <c r="G181" s="12"/>
      <c r="H181" s="11"/>
      <c r="I181" s="12"/>
      <c r="J181" s="11"/>
      <c r="K181" s="12"/>
    </row>
    <row r="182" spans="1:11" x14ac:dyDescent="0.25">
      <c r="A182" s="1">
        <v>179</v>
      </c>
      <c r="B182" s="7" t="s">
        <v>17</v>
      </c>
      <c r="C182" s="8">
        <v>45494</v>
      </c>
      <c r="D182" s="9"/>
      <c r="E182" s="10"/>
      <c r="F182" s="11"/>
      <c r="G182" s="12"/>
      <c r="H182" s="11"/>
      <c r="I182" s="12"/>
      <c r="J182" s="11"/>
      <c r="K182" s="12"/>
    </row>
    <row r="183" spans="1:11" x14ac:dyDescent="0.25">
      <c r="A183" s="1">
        <v>180</v>
      </c>
      <c r="B183" s="7" t="s">
        <v>18</v>
      </c>
      <c r="C183" s="8">
        <v>45495</v>
      </c>
      <c r="D183" s="9"/>
      <c r="E183" s="10"/>
      <c r="F183" s="11"/>
      <c r="G183" s="12"/>
      <c r="H183" s="11"/>
      <c r="I183" s="12"/>
      <c r="J183" s="11"/>
      <c r="K183" s="12"/>
    </row>
    <row r="184" spans="1:11" x14ac:dyDescent="0.25">
      <c r="A184" s="1">
        <v>181</v>
      </c>
      <c r="B184" s="7" t="s">
        <v>19</v>
      </c>
      <c r="C184" s="8">
        <v>45496</v>
      </c>
      <c r="D184" s="9">
        <v>5500</v>
      </c>
      <c r="E184" s="10" t="s">
        <v>12</v>
      </c>
      <c r="F184" s="11">
        <v>5000</v>
      </c>
      <c r="G184" s="12" t="s">
        <v>12</v>
      </c>
      <c r="H184" s="11"/>
      <c r="I184" s="12"/>
      <c r="J184" s="11">
        <v>6100</v>
      </c>
      <c r="K184" s="12" t="s">
        <v>12</v>
      </c>
    </row>
    <row r="185" spans="1:11" x14ac:dyDescent="0.25">
      <c r="A185" s="1">
        <v>182</v>
      </c>
      <c r="B185" s="7" t="s">
        <v>20</v>
      </c>
      <c r="C185" s="8">
        <v>45497</v>
      </c>
      <c r="D185" s="9">
        <v>6500</v>
      </c>
      <c r="E185" s="10" t="s">
        <v>12</v>
      </c>
      <c r="F185" s="11">
        <v>6000</v>
      </c>
      <c r="G185" s="12" t="s">
        <v>12</v>
      </c>
      <c r="H185" s="11"/>
      <c r="I185" s="12"/>
      <c r="J185" s="11">
        <v>4600</v>
      </c>
      <c r="K185" s="12" t="s">
        <v>12</v>
      </c>
    </row>
    <row r="186" spans="1:11" x14ac:dyDescent="0.25">
      <c r="A186" s="1">
        <v>183</v>
      </c>
      <c r="B186" s="7" t="s">
        <v>14</v>
      </c>
      <c r="C186" s="8">
        <v>45498</v>
      </c>
      <c r="D186" s="9">
        <v>6000</v>
      </c>
      <c r="E186" s="10" t="s">
        <v>22</v>
      </c>
      <c r="F186" s="11">
        <v>2500</v>
      </c>
      <c r="G186" s="12" t="s">
        <v>22</v>
      </c>
      <c r="H186" s="11"/>
      <c r="I186" s="12"/>
      <c r="J186" s="11">
        <v>2500</v>
      </c>
      <c r="K186" s="12" t="s">
        <v>22</v>
      </c>
    </row>
    <row r="187" spans="1:11" x14ac:dyDescent="0.25">
      <c r="A187" s="1">
        <v>184</v>
      </c>
      <c r="B187" s="7" t="s">
        <v>14</v>
      </c>
      <c r="C187" s="8">
        <v>45498</v>
      </c>
      <c r="D187" s="9">
        <v>2200</v>
      </c>
      <c r="E187" s="10" t="s">
        <v>21</v>
      </c>
      <c r="F187" s="11">
        <v>1400</v>
      </c>
      <c r="G187" s="12" t="s">
        <v>21</v>
      </c>
      <c r="H187" s="11"/>
      <c r="I187" s="12"/>
      <c r="J187" s="11"/>
      <c r="K187" s="12"/>
    </row>
    <row r="188" spans="1:11" x14ac:dyDescent="0.25">
      <c r="A188" s="1">
        <v>185</v>
      </c>
      <c r="B188" s="7" t="s">
        <v>15</v>
      </c>
      <c r="C188" s="8">
        <v>45499</v>
      </c>
      <c r="D188" s="9"/>
      <c r="E188" s="10"/>
      <c r="F188" s="11"/>
      <c r="G188" s="12"/>
      <c r="H188" s="11"/>
      <c r="I188" s="12"/>
      <c r="J188" s="11"/>
      <c r="K188" s="12"/>
    </row>
    <row r="189" spans="1:11" x14ac:dyDescent="0.25">
      <c r="A189" s="1">
        <v>186</v>
      </c>
      <c r="B189" s="7" t="s">
        <v>16</v>
      </c>
      <c r="C189" s="8">
        <v>45500</v>
      </c>
      <c r="D189" s="9"/>
      <c r="E189" s="10"/>
      <c r="F189" s="11"/>
      <c r="G189" s="12"/>
      <c r="H189" s="11"/>
      <c r="I189" s="12"/>
      <c r="J189" s="11"/>
      <c r="K189" s="12"/>
    </row>
    <row r="190" spans="1:11" x14ac:dyDescent="0.25">
      <c r="A190" s="1">
        <v>187</v>
      </c>
      <c r="B190" s="7" t="s">
        <v>17</v>
      </c>
      <c r="C190" s="8">
        <v>45501</v>
      </c>
      <c r="D190" s="9"/>
      <c r="E190" s="10"/>
      <c r="F190" s="11"/>
      <c r="G190" s="12"/>
      <c r="H190" s="11"/>
      <c r="I190" s="12"/>
      <c r="J190" s="11"/>
      <c r="K190" s="12"/>
    </row>
    <row r="191" spans="1:11" x14ac:dyDescent="0.25">
      <c r="A191" s="1">
        <v>188</v>
      </c>
      <c r="B191" s="7" t="s">
        <v>18</v>
      </c>
      <c r="C191" s="8">
        <v>45502</v>
      </c>
      <c r="D191" s="9"/>
      <c r="E191" s="10"/>
      <c r="F191" s="11"/>
      <c r="G191" s="12"/>
      <c r="H191" s="11"/>
      <c r="I191" s="12"/>
      <c r="J191" s="11"/>
      <c r="K191" s="12"/>
    </row>
    <row r="192" spans="1:11" x14ac:dyDescent="0.25">
      <c r="A192" s="1">
        <v>189</v>
      </c>
      <c r="B192" s="7" t="s">
        <v>19</v>
      </c>
      <c r="C192" s="8">
        <v>45503</v>
      </c>
      <c r="D192" s="9">
        <v>4900</v>
      </c>
      <c r="E192" s="10" t="s">
        <v>12</v>
      </c>
      <c r="F192" s="11">
        <v>6500</v>
      </c>
      <c r="G192" s="12" t="s">
        <v>12</v>
      </c>
      <c r="H192" s="11"/>
      <c r="I192" s="12"/>
      <c r="J192" s="11">
        <v>5600</v>
      </c>
      <c r="K192" s="12" t="s">
        <v>12</v>
      </c>
    </row>
    <row r="193" spans="1:11" x14ac:dyDescent="0.25">
      <c r="A193" s="1">
        <v>190</v>
      </c>
      <c r="B193" s="7" t="s">
        <v>20</v>
      </c>
      <c r="C193" s="8">
        <v>45504</v>
      </c>
      <c r="D193" s="9"/>
      <c r="E193" s="10"/>
      <c r="F193" s="11"/>
      <c r="G193" s="12"/>
      <c r="H193" s="11"/>
      <c r="I193" s="12"/>
      <c r="J193" s="11"/>
      <c r="K193" s="12"/>
    </row>
    <row r="194" spans="1:11" x14ac:dyDescent="0.25">
      <c r="A194" s="1">
        <v>191</v>
      </c>
      <c r="B194" s="7" t="s">
        <v>14</v>
      </c>
      <c r="C194" s="8">
        <v>45505</v>
      </c>
      <c r="D194" s="9">
        <v>1400</v>
      </c>
      <c r="E194" s="10" t="s">
        <v>12</v>
      </c>
      <c r="F194" s="11">
        <v>3000</v>
      </c>
      <c r="G194" s="12" t="s">
        <v>12</v>
      </c>
      <c r="H194" s="11"/>
      <c r="I194" s="12"/>
      <c r="J194" s="11"/>
      <c r="K194" s="12"/>
    </row>
    <row r="195" spans="1:11" x14ac:dyDescent="0.25">
      <c r="A195" s="1">
        <v>192</v>
      </c>
      <c r="B195" s="7" t="s">
        <v>14</v>
      </c>
      <c r="C195" s="8">
        <v>45505</v>
      </c>
      <c r="D195" s="9">
        <v>2000</v>
      </c>
      <c r="E195" s="10" t="s">
        <v>22</v>
      </c>
      <c r="F195" s="11">
        <v>500</v>
      </c>
      <c r="G195" s="12" t="s">
        <v>22</v>
      </c>
      <c r="H195" s="11"/>
      <c r="I195" s="12"/>
      <c r="J195" s="11"/>
      <c r="K195" s="12"/>
    </row>
    <row r="196" spans="1:11" x14ac:dyDescent="0.25">
      <c r="A196" s="1">
        <v>193</v>
      </c>
      <c r="B196" s="7" t="s">
        <v>15</v>
      </c>
      <c r="C196" s="8">
        <v>45506</v>
      </c>
      <c r="D196" s="9"/>
      <c r="E196" s="10"/>
      <c r="F196" s="11"/>
      <c r="G196" s="12"/>
      <c r="H196" s="11"/>
      <c r="I196" s="12"/>
      <c r="J196" s="11"/>
      <c r="K196" s="12"/>
    </row>
    <row r="197" spans="1:11" x14ac:dyDescent="0.25">
      <c r="A197" s="1">
        <v>194</v>
      </c>
      <c r="B197" s="7" t="s">
        <v>16</v>
      </c>
      <c r="C197" s="8">
        <v>45507</v>
      </c>
      <c r="D197" s="9"/>
      <c r="E197" s="10"/>
      <c r="F197" s="11"/>
      <c r="G197" s="12"/>
      <c r="H197" s="11"/>
      <c r="I197" s="12"/>
      <c r="J197" s="11"/>
      <c r="K197" s="12"/>
    </row>
    <row r="198" spans="1:11" x14ac:dyDescent="0.25">
      <c r="A198" s="1">
        <v>195</v>
      </c>
      <c r="B198" s="7" t="s">
        <v>17</v>
      </c>
      <c r="C198" s="8">
        <v>45508</v>
      </c>
      <c r="D198" s="9"/>
      <c r="E198" s="10"/>
      <c r="F198" s="11"/>
      <c r="G198" s="12"/>
      <c r="H198" s="11"/>
      <c r="I198" s="12"/>
      <c r="J198" s="11"/>
      <c r="K198" s="12"/>
    </row>
    <row r="199" spans="1:11" x14ac:dyDescent="0.25">
      <c r="A199" s="1">
        <v>196</v>
      </c>
      <c r="B199" s="7" t="s">
        <v>18</v>
      </c>
      <c r="C199" s="8">
        <v>45509</v>
      </c>
      <c r="D199" s="9"/>
      <c r="E199" s="10"/>
      <c r="F199" s="11"/>
      <c r="G199" s="12"/>
      <c r="H199" s="11"/>
      <c r="I199" s="12"/>
      <c r="J199" s="11"/>
      <c r="K199" s="12"/>
    </row>
    <row r="200" spans="1:11" x14ac:dyDescent="0.25">
      <c r="A200" s="1">
        <v>197</v>
      </c>
      <c r="B200" s="7" t="s">
        <v>19</v>
      </c>
      <c r="C200" s="8">
        <v>45510</v>
      </c>
      <c r="D200" s="9">
        <v>12300</v>
      </c>
      <c r="E200" s="10" t="s">
        <v>12</v>
      </c>
      <c r="F200" s="11">
        <f>4000+5200</f>
        <v>9200</v>
      </c>
      <c r="G200" s="12" t="s">
        <v>12</v>
      </c>
      <c r="H200" s="11"/>
      <c r="I200" s="12"/>
      <c r="J200" s="11">
        <v>12100</v>
      </c>
      <c r="K200" s="12" t="s">
        <v>12</v>
      </c>
    </row>
    <row r="201" spans="1:11" x14ac:dyDescent="0.25">
      <c r="A201" s="1">
        <v>198</v>
      </c>
      <c r="B201" s="7" t="s">
        <v>20</v>
      </c>
      <c r="C201" s="8">
        <v>45511</v>
      </c>
      <c r="D201" s="9">
        <v>3300</v>
      </c>
      <c r="E201" s="10" t="s">
        <v>22</v>
      </c>
      <c r="F201" s="11">
        <v>2100</v>
      </c>
      <c r="G201" s="12" t="s">
        <v>22</v>
      </c>
      <c r="H201" s="11"/>
      <c r="I201" s="12"/>
      <c r="J201" s="11">
        <v>100</v>
      </c>
      <c r="K201" s="12" t="s">
        <v>22</v>
      </c>
    </row>
    <row r="202" spans="1:11" x14ac:dyDescent="0.25">
      <c r="A202" s="1">
        <v>199</v>
      </c>
      <c r="B202" s="7" t="s">
        <v>20</v>
      </c>
      <c r="C202" s="8">
        <v>45511</v>
      </c>
      <c r="D202" s="9">
        <v>200</v>
      </c>
      <c r="E202" s="10" t="s">
        <v>21</v>
      </c>
      <c r="F202" s="11">
        <v>500</v>
      </c>
      <c r="G202" s="12" t="s">
        <v>21</v>
      </c>
      <c r="H202" s="11"/>
      <c r="I202" s="12"/>
      <c r="J202" s="11">
        <v>100</v>
      </c>
      <c r="K202" s="12" t="s">
        <v>21</v>
      </c>
    </row>
    <row r="203" spans="1:11" x14ac:dyDescent="0.25">
      <c r="A203" s="1">
        <v>200</v>
      </c>
      <c r="B203" s="7" t="s">
        <v>14</v>
      </c>
      <c r="C203" s="8">
        <v>45512</v>
      </c>
      <c r="D203" s="9"/>
      <c r="E203" s="10"/>
      <c r="F203" s="11"/>
      <c r="G203" s="12"/>
      <c r="H203" s="11"/>
      <c r="I203" s="12"/>
      <c r="J203" s="11"/>
      <c r="K203" s="12"/>
    </row>
    <row r="204" spans="1:11" x14ac:dyDescent="0.25">
      <c r="A204" s="1">
        <v>201</v>
      </c>
      <c r="B204" s="7" t="s">
        <v>15</v>
      </c>
      <c r="C204" s="8">
        <v>45513</v>
      </c>
      <c r="D204" s="9"/>
      <c r="E204" s="10"/>
      <c r="F204" s="11"/>
      <c r="G204" s="12"/>
      <c r="H204" s="11"/>
      <c r="I204" s="12"/>
      <c r="J204" s="11"/>
      <c r="K204" s="12"/>
    </row>
    <row r="205" spans="1:11" x14ac:dyDescent="0.25">
      <c r="A205" s="1">
        <v>202</v>
      </c>
      <c r="B205" s="7" t="s">
        <v>16</v>
      </c>
      <c r="C205" s="8">
        <v>45514</v>
      </c>
      <c r="D205" s="9"/>
      <c r="E205" s="10"/>
      <c r="F205" s="11"/>
      <c r="G205" s="12"/>
      <c r="H205" s="11"/>
      <c r="I205" s="12"/>
      <c r="J205" s="11"/>
      <c r="K205" s="12"/>
    </row>
    <row r="206" spans="1:11" x14ac:dyDescent="0.25">
      <c r="A206" s="1">
        <v>203</v>
      </c>
      <c r="B206" s="7" t="s">
        <v>17</v>
      </c>
      <c r="C206" s="8">
        <v>45515</v>
      </c>
      <c r="D206" s="9"/>
      <c r="E206" s="10"/>
      <c r="F206" s="11"/>
      <c r="G206" s="12"/>
      <c r="H206" s="11"/>
      <c r="I206" s="12"/>
      <c r="J206" s="11"/>
      <c r="K206" s="12"/>
    </row>
    <row r="207" spans="1:11" x14ac:dyDescent="0.25">
      <c r="A207" s="1">
        <v>204</v>
      </c>
      <c r="B207" s="7" t="s">
        <v>18</v>
      </c>
      <c r="C207" s="8">
        <v>45516</v>
      </c>
      <c r="D207" s="9"/>
      <c r="E207" s="10"/>
      <c r="F207" s="11"/>
      <c r="G207" s="12"/>
      <c r="H207" s="11"/>
      <c r="I207" s="12"/>
      <c r="J207" s="11"/>
      <c r="K207" s="12"/>
    </row>
    <row r="208" spans="1:11" x14ac:dyDescent="0.25">
      <c r="A208" s="1">
        <v>205</v>
      </c>
      <c r="B208" s="7" t="s">
        <v>19</v>
      </c>
      <c r="C208" s="8">
        <v>45517</v>
      </c>
      <c r="D208" s="9">
        <v>5900</v>
      </c>
      <c r="E208" s="10" t="s">
        <v>12</v>
      </c>
      <c r="F208" s="11">
        <v>5400</v>
      </c>
      <c r="G208" s="12" t="s">
        <v>12</v>
      </c>
      <c r="H208" s="11"/>
      <c r="I208" s="12"/>
      <c r="J208" s="11">
        <v>4800</v>
      </c>
      <c r="K208" s="12" t="s">
        <v>12</v>
      </c>
    </row>
    <row r="209" spans="1:11" x14ac:dyDescent="0.25">
      <c r="A209" s="1">
        <v>206</v>
      </c>
      <c r="B209" s="7" t="s">
        <v>20</v>
      </c>
      <c r="C209" s="8">
        <v>45518</v>
      </c>
      <c r="D209" s="9">
        <v>3500</v>
      </c>
      <c r="E209" s="10" t="s">
        <v>12</v>
      </c>
      <c r="F209" s="11">
        <v>3100</v>
      </c>
      <c r="G209" s="12" t="s">
        <v>12</v>
      </c>
      <c r="H209" s="11"/>
      <c r="I209" s="12"/>
      <c r="J209" s="11">
        <v>2800</v>
      </c>
      <c r="K209" s="12" t="s">
        <v>12</v>
      </c>
    </row>
    <row r="210" spans="1:11" x14ac:dyDescent="0.25">
      <c r="A210" s="1">
        <v>207</v>
      </c>
      <c r="B210" s="7" t="s">
        <v>20</v>
      </c>
      <c r="C210" s="8">
        <v>45518</v>
      </c>
      <c r="D210" s="9">
        <v>1700</v>
      </c>
      <c r="E210" s="10" t="s">
        <v>22</v>
      </c>
      <c r="F210" s="11">
        <v>400</v>
      </c>
      <c r="G210" s="12" t="s">
        <v>22</v>
      </c>
      <c r="H210" s="11"/>
      <c r="I210" s="12"/>
      <c r="J210" s="11">
        <v>800</v>
      </c>
      <c r="K210" s="12" t="s">
        <v>22</v>
      </c>
    </row>
    <row r="211" spans="1:11" x14ac:dyDescent="0.25">
      <c r="A211" s="1">
        <v>208</v>
      </c>
      <c r="B211" s="7" t="s">
        <v>20</v>
      </c>
      <c r="C211" s="8">
        <v>45518</v>
      </c>
      <c r="D211" s="9">
        <v>1200</v>
      </c>
      <c r="E211" s="10" t="s">
        <v>21</v>
      </c>
      <c r="F211" s="11"/>
      <c r="G211" s="12"/>
      <c r="H211" s="11"/>
      <c r="I211" s="12"/>
      <c r="J211" s="11">
        <v>400</v>
      </c>
      <c r="K211" s="12" t="s">
        <v>21</v>
      </c>
    </row>
    <row r="212" spans="1:11" x14ac:dyDescent="0.25">
      <c r="A212" s="1">
        <v>209</v>
      </c>
      <c r="B212" s="7" t="s">
        <v>14</v>
      </c>
      <c r="C212" s="8">
        <v>45519</v>
      </c>
      <c r="D212" s="9"/>
      <c r="E212" s="10"/>
      <c r="F212" s="11"/>
      <c r="G212" s="12"/>
      <c r="H212" s="11"/>
      <c r="I212" s="12"/>
      <c r="J212" s="11"/>
      <c r="K212" s="12"/>
    </row>
    <row r="213" spans="1:11" x14ac:dyDescent="0.25">
      <c r="A213" s="1">
        <v>210</v>
      </c>
      <c r="B213" s="7" t="s">
        <v>15</v>
      </c>
      <c r="C213" s="8">
        <v>45520</v>
      </c>
      <c r="D213" s="9"/>
      <c r="E213" s="10"/>
      <c r="F213" s="11"/>
      <c r="G213" s="12"/>
      <c r="H213" s="11"/>
      <c r="I213" s="12"/>
      <c r="J213" s="11"/>
      <c r="K213" s="12"/>
    </row>
    <row r="214" spans="1:11" x14ac:dyDescent="0.25">
      <c r="A214" s="1">
        <v>211</v>
      </c>
      <c r="B214" s="7" t="s">
        <v>16</v>
      </c>
      <c r="C214" s="8">
        <v>45521</v>
      </c>
      <c r="D214" s="9"/>
      <c r="E214" s="10"/>
      <c r="F214" s="11"/>
      <c r="G214" s="12"/>
      <c r="H214" s="11"/>
      <c r="I214" s="12"/>
      <c r="J214" s="11"/>
      <c r="K214" s="12"/>
    </row>
    <row r="215" spans="1:11" x14ac:dyDescent="0.25">
      <c r="A215" s="1">
        <v>212</v>
      </c>
      <c r="B215" s="7" t="s">
        <v>17</v>
      </c>
      <c r="C215" s="8">
        <v>45522</v>
      </c>
      <c r="D215" s="9"/>
      <c r="E215" s="10"/>
      <c r="F215" s="11"/>
      <c r="G215" s="12"/>
      <c r="H215" s="11"/>
      <c r="I215" s="12"/>
      <c r="J215" s="11"/>
      <c r="K215" s="12"/>
    </row>
    <row r="216" spans="1:11" x14ac:dyDescent="0.25">
      <c r="A216" s="1">
        <v>213</v>
      </c>
      <c r="B216" s="7" t="s">
        <v>18</v>
      </c>
      <c r="C216" s="8">
        <v>45523</v>
      </c>
      <c r="D216" s="9"/>
      <c r="E216" s="10"/>
      <c r="F216" s="11"/>
      <c r="G216" s="12"/>
      <c r="H216" s="11"/>
      <c r="I216" s="12"/>
      <c r="J216" s="11"/>
      <c r="K216" s="12"/>
    </row>
    <row r="217" spans="1:11" x14ac:dyDescent="0.25">
      <c r="A217" s="1">
        <v>214</v>
      </c>
      <c r="B217" s="7" t="s">
        <v>19</v>
      </c>
      <c r="C217" s="8">
        <v>45524</v>
      </c>
      <c r="D217" s="9">
        <v>6400</v>
      </c>
      <c r="E217" s="10" t="s">
        <v>12</v>
      </c>
      <c r="F217" s="11">
        <v>5300</v>
      </c>
      <c r="G217" s="12" t="s">
        <v>12</v>
      </c>
      <c r="H217" s="11"/>
      <c r="I217" s="12"/>
      <c r="J217" s="11">
        <v>5300</v>
      </c>
      <c r="K217" s="12" t="s">
        <v>12</v>
      </c>
    </row>
    <row r="218" spans="1:11" x14ac:dyDescent="0.25">
      <c r="A218" s="1">
        <v>215</v>
      </c>
      <c r="B218" s="7" t="s">
        <v>20</v>
      </c>
      <c r="C218" s="8">
        <v>45525</v>
      </c>
      <c r="D218" s="9">
        <v>2500</v>
      </c>
      <c r="E218" s="10" t="s">
        <v>12</v>
      </c>
      <c r="F218" s="11">
        <v>2000</v>
      </c>
      <c r="G218" s="12" t="s">
        <v>12</v>
      </c>
      <c r="H218" s="11"/>
      <c r="I218" s="12"/>
      <c r="J218" s="11">
        <v>2100</v>
      </c>
      <c r="K218" s="12" t="s">
        <v>12</v>
      </c>
    </row>
    <row r="219" spans="1:11" x14ac:dyDescent="0.25">
      <c r="A219" s="1">
        <v>216</v>
      </c>
      <c r="B219" s="7" t="s">
        <v>20</v>
      </c>
      <c r="C219" s="8">
        <v>45525</v>
      </c>
      <c r="D219" s="9">
        <v>4300</v>
      </c>
      <c r="E219" s="10" t="s">
        <v>22</v>
      </c>
      <c r="F219" s="11">
        <v>1600</v>
      </c>
      <c r="G219" s="12" t="s">
        <v>22</v>
      </c>
      <c r="H219" s="11"/>
      <c r="I219" s="12"/>
      <c r="J219" s="11">
        <v>700</v>
      </c>
      <c r="K219" s="12" t="s">
        <v>22</v>
      </c>
    </row>
    <row r="220" spans="1:11" x14ac:dyDescent="0.25">
      <c r="A220" s="1">
        <v>217</v>
      </c>
      <c r="B220" s="7" t="s">
        <v>14</v>
      </c>
      <c r="C220" s="8">
        <v>45526</v>
      </c>
      <c r="D220" s="9"/>
      <c r="E220" s="10"/>
      <c r="F220" s="11"/>
      <c r="G220" s="12"/>
      <c r="H220" s="11"/>
      <c r="I220" s="12"/>
      <c r="J220" s="11"/>
      <c r="K220" s="12"/>
    </row>
    <row r="221" spans="1:11" x14ac:dyDescent="0.25">
      <c r="A221" s="1">
        <v>218</v>
      </c>
      <c r="B221" s="7" t="s">
        <v>15</v>
      </c>
      <c r="C221" s="8">
        <v>45527</v>
      </c>
      <c r="D221" s="9"/>
      <c r="E221" s="10"/>
      <c r="F221" s="11"/>
      <c r="G221" s="12"/>
      <c r="H221" s="11"/>
      <c r="I221" s="12"/>
      <c r="J221" s="11"/>
      <c r="K221" s="12"/>
    </row>
    <row r="222" spans="1:11" x14ac:dyDescent="0.25">
      <c r="A222" s="1">
        <v>219</v>
      </c>
      <c r="B222" s="7" t="s">
        <v>16</v>
      </c>
      <c r="C222" s="8">
        <v>45528</v>
      </c>
      <c r="D222" s="9"/>
      <c r="E222" s="10"/>
      <c r="F222" s="11"/>
      <c r="G222" s="12"/>
      <c r="H222" s="11"/>
      <c r="I222" s="12"/>
      <c r="J222" s="11"/>
      <c r="K222" s="12"/>
    </row>
    <row r="223" spans="1:11" x14ac:dyDescent="0.25">
      <c r="A223" s="1">
        <v>220</v>
      </c>
      <c r="B223" s="7" t="s">
        <v>17</v>
      </c>
      <c r="C223" s="8">
        <v>45529</v>
      </c>
      <c r="D223" s="9"/>
      <c r="E223" s="10"/>
      <c r="F223" s="11"/>
      <c r="G223" s="12"/>
      <c r="H223" s="11"/>
      <c r="I223" s="12"/>
      <c r="J223" s="11"/>
      <c r="K223" s="12"/>
    </row>
    <row r="224" spans="1:11" x14ac:dyDescent="0.25">
      <c r="A224" s="1">
        <v>221</v>
      </c>
      <c r="B224" s="7" t="s">
        <v>18</v>
      </c>
      <c r="C224" s="8">
        <v>45530</v>
      </c>
      <c r="D224" s="9"/>
      <c r="E224" s="10"/>
      <c r="F224" s="11"/>
      <c r="G224" s="12"/>
      <c r="H224" s="11"/>
      <c r="I224" s="12"/>
      <c r="J224" s="11"/>
      <c r="K224" s="12"/>
    </row>
    <row r="225" spans="1:11" x14ac:dyDescent="0.25">
      <c r="A225" s="1">
        <v>222</v>
      </c>
      <c r="B225" s="7" t="s">
        <v>19</v>
      </c>
      <c r="C225" s="8">
        <v>45531</v>
      </c>
      <c r="D225" s="9">
        <v>5900</v>
      </c>
      <c r="E225" s="10" t="s">
        <v>12</v>
      </c>
      <c r="F225" s="11">
        <v>5300</v>
      </c>
      <c r="G225" s="12" t="s">
        <v>12</v>
      </c>
      <c r="H225" s="11"/>
      <c r="I225" s="12"/>
      <c r="J225" s="11">
        <v>6000</v>
      </c>
      <c r="K225" s="12" t="s">
        <v>12</v>
      </c>
    </row>
    <row r="226" spans="1:11" x14ac:dyDescent="0.25">
      <c r="A226" s="1">
        <v>223</v>
      </c>
      <c r="B226" s="7" t="s">
        <v>20</v>
      </c>
      <c r="C226" s="8">
        <v>45532</v>
      </c>
      <c r="D226" s="9">
        <v>4300</v>
      </c>
      <c r="E226" s="10" t="s">
        <v>12</v>
      </c>
      <c r="F226" s="11">
        <v>3900</v>
      </c>
      <c r="G226" s="12" t="s">
        <v>12</v>
      </c>
      <c r="H226" s="11"/>
      <c r="I226" s="12"/>
      <c r="J226" s="11">
        <v>4300</v>
      </c>
      <c r="K226" s="12" t="s">
        <v>12</v>
      </c>
    </row>
    <row r="227" spans="1:11" x14ac:dyDescent="0.25">
      <c r="A227" s="1">
        <v>224</v>
      </c>
      <c r="B227" s="7" t="s">
        <v>14</v>
      </c>
      <c r="C227" s="8">
        <v>45533</v>
      </c>
      <c r="D227" s="9">
        <v>6800</v>
      </c>
      <c r="E227" s="10" t="s">
        <v>22</v>
      </c>
      <c r="F227" s="11">
        <v>3300</v>
      </c>
      <c r="G227" s="12" t="s">
        <v>22</v>
      </c>
      <c r="H227" s="11"/>
      <c r="I227" s="12"/>
      <c r="J227" s="11">
        <v>1900</v>
      </c>
      <c r="K227" s="12" t="s">
        <v>22</v>
      </c>
    </row>
    <row r="228" spans="1:11" x14ac:dyDescent="0.25">
      <c r="A228" s="1">
        <v>225</v>
      </c>
      <c r="B228" s="7" t="s">
        <v>14</v>
      </c>
      <c r="C228" s="8">
        <v>45533</v>
      </c>
      <c r="D228" s="9">
        <v>1000</v>
      </c>
      <c r="E228" s="10" t="s">
        <v>21</v>
      </c>
      <c r="F228" s="11">
        <v>900</v>
      </c>
      <c r="G228" s="12" t="s">
        <v>21</v>
      </c>
      <c r="H228" s="11"/>
      <c r="I228" s="12"/>
      <c r="J228" s="11"/>
      <c r="K228" s="12"/>
    </row>
    <row r="229" spans="1:11" x14ac:dyDescent="0.25">
      <c r="A229" s="1">
        <v>226</v>
      </c>
      <c r="B229" s="7" t="s">
        <v>15</v>
      </c>
      <c r="C229" s="8">
        <v>45534</v>
      </c>
      <c r="D229" s="9"/>
      <c r="E229" s="10"/>
      <c r="F229" s="11"/>
      <c r="G229" s="12"/>
      <c r="H229" s="11"/>
      <c r="I229" s="12"/>
      <c r="J229" s="11"/>
      <c r="K229" s="12"/>
    </row>
    <row r="230" spans="1:11" x14ac:dyDescent="0.25">
      <c r="A230" s="1">
        <v>227</v>
      </c>
      <c r="B230" s="7" t="s">
        <v>16</v>
      </c>
      <c r="C230" s="8">
        <v>45535</v>
      </c>
      <c r="D230" s="9"/>
      <c r="E230" s="10"/>
      <c r="F230" s="11"/>
      <c r="G230" s="12"/>
      <c r="H230" s="11"/>
      <c r="I230" s="12"/>
      <c r="J230" s="11"/>
      <c r="K230" s="12"/>
    </row>
    <row r="231" spans="1:11" x14ac:dyDescent="0.25">
      <c r="A231" s="1">
        <v>228</v>
      </c>
      <c r="B231" s="7" t="s">
        <v>17</v>
      </c>
      <c r="C231" s="8">
        <v>45536</v>
      </c>
      <c r="D231" s="9"/>
      <c r="E231" s="10"/>
      <c r="F231" s="11"/>
      <c r="G231" s="12"/>
      <c r="H231" s="11"/>
      <c r="I231" s="12"/>
      <c r="J231" s="11"/>
      <c r="K231" s="12"/>
    </row>
    <row r="232" spans="1:11" x14ac:dyDescent="0.25">
      <c r="A232" s="1">
        <v>229</v>
      </c>
      <c r="B232" s="7" t="s">
        <v>18</v>
      </c>
      <c r="C232" s="8">
        <v>45537</v>
      </c>
      <c r="D232" s="9"/>
      <c r="E232" s="10"/>
      <c r="F232" s="11"/>
      <c r="G232" s="12"/>
      <c r="H232" s="11"/>
      <c r="I232" s="12"/>
      <c r="J232" s="11"/>
      <c r="K232" s="12"/>
    </row>
    <row r="233" spans="1:11" x14ac:dyDescent="0.25">
      <c r="A233" s="1">
        <v>230</v>
      </c>
      <c r="B233" s="7" t="s">
        <v>19</v>
      </c>
      <c r="C233" s="8">
        <v>45538</v>
      </c>
      <c r="D233" s="9">
        <v>6400</v>
      </c>
      <c r="E233" s="10" t="s">
        <v>12</v>
      </c>
      <c r="F233" s="11">
        <v>5300</v>
      </c>
      <c r="G233" s="12" t="s">
        <v>12</v>
      </c>
      <c r="H233" s="11"/>
      <c r="I233" s="12"/>
      <c r="J233" s="11">
        <v>5000</v>
      </c>
      <c r="K233" s="12" t="s">
        <v>12</v>
      </c>
    </row>
    <row r="234" spans="1:11" x14ac:dyDescent="0.25">
      <c r="A234" s="1">
        <v>231</v>
      </c>
      <c r="B234" s="7" t="s">
        <v>20</v>
      </c>
      <c r="C234" s="8">
        <v>45539</v>
      </c>
      <c r="D234" s="9"/>
      <c r="E234" s="10"/>
      <c r="F234" s="11"/>
      <c r="G234" s="12"/>
      <c r="H234" s="11"/>
      <c r="I234" s="12"/>
      <c r="J234" s="11"/>
      <c r="K234" s="12"/>
    </row>
    <row r="235" spans="1:11" x14ac:dyDescent="0.25">
      <c r="A235" s="1">
        <v>232</v>
      </c>
      <c r="B235" s="7" t="s">
        <v>14</v>
      </c>
      <c r="C235" s="8">
        <v>45540</v>
      </c>
      <c r="D235" s="9">
        <v>2800</v>
      </c>
      <c r="E235" s="10" t="s">
        <v>12</v>
      </c>
      <c r="F235" s="11">
        <v>2300</v>
      </c>
      <c r="G235" s="12" t="s">
        <v>12</v>
      </c>
      <c r="H235" s="11"/>
      <c r="I235" s="12"/>
      <c r="J235" s="11">
        <v>2200</v>
      </c>
      <c r="K235" s="12" t="s">
        <v>12</v>
      </c>
    </row>
    <row r="236" spans="1:11" x14ac:dyDescent="0.25">
      <c r="A236" s="1">
        <v>233</v>
      </c>
      <c r="B236" s="7" t="s">
        <v>14</v>
      </c>
      <c r="C236" s="8">
        <v>45540</v>
      </c>
      <c r="D236" s="9">
        <v>2500</v>
      </c>
      <c r="E236" s="10" t="s">
        <v>22</v>
      </c>
      <c r="F236" s="11">
        <v>900</v>
      </c>
      <c r="G236" s="12" t="s">
        <v>22</v>
      </c>
      <c r="H236" s="11"/>
      <c r="I236" s="12"/>
      <c r="J236" s="11">
        <v>1100</v>
      </c>
      <c r="K236" s="12" t="s">
        <v>22</v>
      </c>
    </row>
    <row r="237" spans="1:11" x14ac:dyDescent="0.25">
      <c r="A237" s="1">
        <v>234</v>
      </c>
      <c r="B237" s="7" t="s">
        <v>14</v>
      </c>
      <c r="C237" s="8">
        <v>45540</v>
      </c>
      <c r="D237" s="9">
        <v>900</v>
      </c>
      <c r="E237" s="10" t="s">
        <v>21</v>
      </c>
      <c r="F237" s="11">
        <v>800</v>
      </c>
      <c r="G237" s="12" t="s">
        <v>21</v>
      </c>
      <c r="H237" s="11"/>
      <c r="I237" s="12"/>
      <c r="J237" s="11">
        <v>100</v>
      </c>
      <c r="K237" s="12" t="s">
        <v>21</v>
      </c>
    </row>
    <row r="238" spans="1:11" x14ac:dyDescent="0.25">
      <c r="A238" s="1">
        <v>235</v>
      </c>
      <c r="B238" s="7" t="s">
        <v>15</v>
      </c>
      <c r="C238" s="8">
        <v>45541</v>
      </c>
      <c r="D238" s="9"/>
      <c r="E238" s="10"/>
      <c r="F238" s="11"/>
      <c r="G238" s="12"/>
      <c r="H238" s="11"/>
      <c r="I238" s="12"/>
      <c r="J238" s="11"/>
      <c r="K238" s="12"/>
    </row>
    <row r="239" spans="1:11" x14ac:dyDescent="0.25">
      <c r="A239" s="1">
        <v>236</v>
      </c>
      <c r="B239" s="7" t="s">
        <v>16</v>
      </c>
      <c r="C239" s="8">
        <v>45542</v>
      </c>
      <c r="D239" s="9"/>
      <c r="E239" s="10"/>
      <c r="F239" s="11"/>
      <c r="G239" s="12"/>
      <c r="H239" s="11"/>
      <c r="I239" s="12"/>
      <c r="J239" s="11"/>
      <c r="K239" s="12"/>
    </row>
    <row r="240" spans="1:11" x14ac:dyDescent="0.25">
      <c r="A240" s="1">
        <v>237</v>
      </c>
      <c r="B240" s="7" t="s">
        <v>17</v>
      </c>
      <c r="C240" s="8">
        <v>45543</v>
      </c>
      <c r="D240" s="9"/>
      <c r="E240" s="10"/>
      <c r="F240" s="11"/>
      <c r="G240" s="12"/>
      <c r="H240" s="11"/>
      <c r="I240" s="12"/>
      <c r="J240" s="11"/>
      <c r="K240" s="12"/>
    </row>
    <row r="241" spans="1:11" x14ac:dyDescent="0.25">
      <c r="A241" s="1">
        <v>238</v>
      </c>
      <c r="B241" s="7" t="s">
        <v>18</v>
      </c>
      <c r="C241" s="8">
        <v>45544</v>
      </c>
      <c r="D241" s="9"/>
      <c r="E241" s="10"/>
      <c r="F241" s="11"/>
      <c r="G241" s="12"/>
      <c r="H241" s="11"/>
      <c r="I241" s="12"/>
      <c r="J241" s="11"/>
      <c r="K241" s="12"/>
    </row>
    <row r="242" spans="1:11" x14ac:dyDescent="0.25">
      <c r="A242" s="1">
        <v>239</v>
      </c>
      <c r="B242" s="7" t="s">
        <v>19</v>
      </c>
      <c r="C242" s="8">
        <v>45545</v>
      </c>
      <c r="D242" s="9">
        <v>7300</v>
      </c>
      <c r="E242" s="10" t="s">
        <v>12</v>
      </c>
      <c r="F242" s="11">
        <v>3900</v>
      </c>
      <c r="G242" s="12" t="s">
        <v>12</v>
      </c>
      <c r="H242" s="11"/>
      <c r="I242" s="12"/>
      <c r="J242" s="11">
        <v>5600</v>
      </c>
      <c r="K242" s="12" t="s">
        <v>12</v>
      </c>
    </row>
    <row r="243" spans="1:11" x14ac:dyDescent="0.25">
      <c r="A243" s="1">
        <v>240</v>
      </c>
      <c r="B243" s="7" t="s">
        <v>20</v>
      </c>
      <c r="C243" s="8">
        <v>45546</v>
      </c>
      <c r="D243" s="9"/>
      <c r="E243" s="10"/>
      <c r="F243" s="11"/>
      <c r="G243" s="12"/>
      <c r="H243" s="11"/>
      <c r="I243" s="12"/>
      <c r="J243" s="11"/>
      <c r="K243" s="12"/>
    </row>
    <row r="244" spans="1:11" x14ac:dyDescent="0.25">
      <c r="A244" s="1">
        <v>241</v>
      </c>
      <c r="B244" s="7" t="s">
        <v>14</v>
      </c>
      <c r="C244" s="8">
        <v>45547</v>
      </c>
      <c r="D244" s="9">
        <v>2400</v>
      </c>
      <c r="E244" s="10" t="s">
        <v>12</v>
      </c>
      <c r="F244" s="11">
        <v>1400</v>
      </c>
      <c r="G244" s="12" t="s">
        <v>12</v>
      </c>
      <c r="H244" s="11"/>
      <c r="I244" s="12"/>
      <c r="J244" s="11">
        <v>2000</v>
      </c>
      <c r="K244" s="12" t="s">
        <v>12</v>
      </c>
    </row>
    <row r="245" spans="1:11" x14ac:dyDescent="0.25">
      <c r="A245" s="1">
        <v>242</v>
      </c>
      <c r="B245" s="7" t="s">
        <v>14</v>
      </c>
      <c r="C245" s="8">
        <v>45547</v>
      </c>
      <c r="D245" s="9">
        <v>5300</v>
      </c>
      <c r="E245" s="10" t="s">
        <v>22</v>
      </c>
      <c r="F245" s="11">
        <v>2000</v>
      </c>
      <c r="G245" s="12" t="s">
        <v>22</v>
      </c>
      <c r="H245" s="11"/>
      <c r="I245" s="12"/>
      <c r="J245" s="11">
        <v>1300</v>
      </c>
      <c r="K245" s="12" t="s">
        <v>22</v>
      </c>
    </row>
    <row r="246" spans="1:11" x14ac:dyDescent="0.25">
      <c r="A246" s="1">
        <v>243</v>
      </c>
      <c r="B246" s="7" t="s">
        <v>14</v>
      </c>
      <c r="C246" s="8">
        <v>45547</v>
      </c>
      <c r="D246" s="9">
        <v>300</v>
      </c>
      <c r="E246" s="10" t="s">
        <v>21</v>
      </c>
      <c r="F246" s="11">
        <v>500</v>
      </c>
      <c r="G246" s="12" t="s">
        <v>21</v>
      </c>
      <c r="H246" s="11"/>
      <c r="I246" s="12"/>
      <c r="J246" s="11">
        <v>100</v>
      </c>
      <c r="K246" s="12" t="s">
        <v>21</v>
      </c>
    </row>
    <row r="247" spans="1:11" x14ac:dyDescent="0.25">
      <c r="A247" s="1">
        <v>244</v>
      </c>
      <c r="B247" s="7" t="s">
        <v>15</v>
      </c>
      <c r="C247" s="8">
        <v>45548</v>
      </c>
      <c r="D247" s="9"/>
      <c r="E247" s="10"/>
      <c r="F247" s="11"/>
      <c r="G247" s="12"/>
      <c r="H247" s="11"/>
      <c r="I247" s="12"/>
      <c r="J247" s="11"/>
      <c r="K247" s="12"/>
    </row>
    <row r="248" spans="1:11" x14ac:dyDescent="0.25">
      <c r="A248" s="1">
        <v>245</v>
      </c>
      <c r="B248" s="7" t="s">
        <v>16</v>
      </c>
      <c r="C248" s="8">
        <v>45549</v>
      </c>
      <c r="D248" s="9"/>
      <c r="E248" s="10"/>
      <c r="F248" s="11"/>
      <c r="G248" s="12"/>
      <c r="H248" s="11"/>
      <c r="I248" s="12"/>
      <c r="J248" s="11"/>
      <c r="K248" s="12"/>
    </row>
    <row r="249" spans="1:11" x14ac:dyDescent="0.25">
      <c r="A249" s="1">
        <v>246</v>
      </c>
      <c r="B249" s="7" t="s">
        <v>17</v>
      </c>
      <c r="C249" s="8">
        <v>45550</v>
      </c>
      <c r="D249" s="9"/>
      <c r="E249" s="10"/>
      <c r="F249" s="11"/>
      <c r="G249" s="12"/>
      <c r="H249" s="11"/>
      <c r="I249" s="12"/>
      <c r="J249" s="11"/>
      <c r="K249" s="12"/>
    </row>
    <row r="250" spans="1:11" x14ac:dyDescent="0.25">
      <c r="A250" s="1">
        <v>247</v>
      </c>
      <c r="B250" s="7" t="s">
        <v>18</v>
      </c>
      <c r="C250" s="8">
        <v>45551</v>
      </c>
      <c r="D250" s="9"/>
      <c r="E250" s="10"/>
      <c r="F250" s="11"/>
      <c r="G250" s="12"/>
      <c r="H250" s="11"/>
      <c r="I250" s="12"/>
      <c r="J250" s="11"/>
      <c r="K250" s="12"/>
    </row>
    <row r="251" spans="1:11" x14ac:dyDescent="0.25">
      <c r="A251" s="1">
        <v>248</v>
      </c>
      <c r="B251" s="7" t="s">
        <v>19</v>
      </c>
      <c r="C251" s="8">
        <v>45552</v>
      </c>
      <c r="D251" s="9">
        <f>13400+1600</f>
        <v>15000</v>
      </c>
      <c r="E251" s="10" t="s">
        <v>12</v>
      </c>
      <c r="F251" s="11">
        <f>3500+4900</f>
        <v>8400</v>
      </c>
      <c r="G251" s="12" t="s">
        <v>12</v>
      </c>
      <c r="H251" s="11"/>
      <c r="I251" s="12"/>
      <c r="J251" s="11">
        <v>10300</v>
      </c>
      <c r="K251" s="12" t="s">
        <v>12</v>
      </c>
    </row>
    <row r="252" spans="1:11" x14ac:dyDescent="0.25">
      <c r="A252" s="1">
        <v>249</v>
      </c>
      <c r="B252" s="7" t="s">
        <v>20</v>
      </c>
      <c r="C252" s="8">
        <v>45553</v>
      </c>
      <c r="D252" s="9"/>
      <c r="E252" s="10"/>
      <c r="F252" s="11"/>
      <c r="G252" s="12"/>
      <c r="H252" s="11"/>
      <c r="I252" s="12"/>
      <c r="J252" s="11"/>
      <c r="K252" s="12"/>
    </row>
    <row r="253" spans="1:11" x14ac:dyDescent="0.25">
      <c r="A253" s="1">
        <v>250</v>
      </c>
      <c r="B253" s="7" t="s">
        <v>14</v>
      </c>
      <c r="C253" s="8">
        <v>45554</v>
      </c>
      <c r="D253" s="9">
        <v>6400</v>
      </c>
      <c r="E253" s="10" t="s">
        <v>22</v>
      </c>
      <c r="F253" s="11">
        <v>4800</v>
      </c>
      <c r="G253" s="12" t="s">
        <v>22</v>
      </c>
      <c r="H253" s="11"/>
      <c r="I253" s="12"/>
      <c r="J253" s="11">
        <v>1900</v>
      </c>
      <c r="K253" s="12" t="s">
        <v>22</v>
      </c>
    </row>
    <row r="254" spans="1:11" x14ac:dyDescent="0.25">
      <c r="A254" s="1">
        <v>251</v>
      </c>
      <c r="B254" s="7" t="s">
        <v>14</v>
      </c>
      <c r="C254" s="8">
        <v>45554</v>
      </c>
      <c r="D254" s="9">
        <v>1000</v>
      </c>
      <c r="E254" s="10" t="s">
        <v>21</v>
      </c>
      <c r="F254" s="11">
        <v>300</v>
      </c>
      <c r="G254" s="12" t="s">
        <v>21</v>
      </c>
      <c r="H254" s="11"/>
      <c r="I254" s="12"/>
      <c r="J254" s="11"/>
      <c r="K254" s="12"/>
    </row>
    <row r="255" spans="1:11" x14ac:dyDescent="0.25">
      <c r="A255" s="1">
        <v>252</v>
      </c>
      <c r="B255" s="7" t="s">
        <v>15</v>
      </c>
      <c r="C255" s="8">
        <v>45555</v>
      </c>
      <c r="D255" s="9"/>
      <c r="E255" s="10"/>
      <c r="F255" s="11"/>
      <c r="G255" s="12"/>
      <c r="H255" s="11"/>
      <c r="I255" s="12"/>
      <c r="J255" s="11"/>
      <c r="K255" s="12"/>
    </row>
    <row r="256" spans="1:11" x14ac:dyDescent="0.25">
      <c r="A256" s="1">
        <v>253</v>
      </c>
      <c r="B256" s="7" t="s">
        <v>16</v>
      </c>
      <c r="C256" s="8">
        <v>45556</v>
      </c>
      <c r="D256" s="9"/>
      <c r="E256" s="10"/>
      <c r="F256" s="11"/>
      <c r="G256" s="12"/>
      <c r="H256" s="11"/>
      <c r="I256" s="12"/>
      <c r="J256" s="11"/>
      <c r="K256" s="12"/>
    </row>
    <row r="257" spans="1:11" x14ac:dyDescent="0.25">
      <c r="A257" s="1">
        <v>254</v>
      </c>
      <c r="B257" s="7" t="s">
        <v>17</v>
      </c>
      <c r="C257" s="8">
        <v>45557</v>
      </c>
      <c r="D257" s="9"/>
      <c r="E257" s="10"/>
      <c r="F257" s="11"/>
      <c r="G257" s="12"/>
      <c r="H257" s="11"/>
      <c r="I257" s="12"/>
      <c r="J257" s="11"/>
      <c r="K257" s="12"/>
    </row>
    <row r="258" spans="1:11" x14ac:dyDescent="0.25">
      <c r="A258" s="1">
        <v>255</v>
      </c>
      <c r="B258" s="7" t="s">
        <v>18</v>
      </c>
      <c r="C258" s="8">
        <v>45558</v>
      </c>
      <c r="D258" s="9"/>
      <c r="E258" s="10"/>
      <c r="F258" s="11"/>
      <c r="G258" s="12"/>
      <c r="H258" s="11"/>
      <c r="I258" s="12"/>
      <c r="J258" s="11"/>
      <c r="K258" s="12"/>
    </row>
    <row r="259" spans="1:11" x14ac:dyDescent="0.25">
      <c r="A259" s="1">
        <v>256</v>
      </c>
      <c r="B259" s="7" t="s">
        <v>19</v>
      </c>
      <c r="C259" s="8">
        <v>45559</v>
      </c>
      <c r="D259" s="11">
        <v>5800</v>
      </c>
      <c r="E259" s="12" t="s">
        <v>12</v>
      </c>
      <c r="F259" s="11">
        <v>4600</v>
      </c>
      <c r="G259" s="12" t="s">
        <v>12</v>
      </c>
      <c r="H259" s="11"/>
      <c r="I259" s="12"/>
      <c r="J259" s="11">
        <v>5800</v>
      </c>
      <c r="K259" s="12" t="s">
        <v>12</v>
      </c>
    </row>
    <row r="260" spans="1:11" x14ac:dyDescent="0.25">
      <c r="A260" s="1">
        <v>257</v>
      </c>
      <c r="B260" s="7" t="s">
        <v>20</v>
      </c>
      <c r="C260" s="8">
        <v>45560</v>
      </c>
      <c r="D260" s="9"/>
      <c r="E260" s="10"/>
      <c r="F260" s="11"/>
      <c r="G260" s="12"/>
      <c r="H260" s="11"/>
      <c r="I260" s="12"/>
      <c r="J260" s="11"/>
      <c r="K260" s="12"/>
    </row>
    <row r="261" spans="1:11" x14ac:dyDescent="0.25">
      <c r="A261" s="1">
        <v>258</v>
      </c>
      <c r="B261" s="7" t="s">
        <v>14</v>
      </c>
      <c r="C261" s="8">
        <v>45561</v>
      </c>
      <c r="D261" s="9">
        <v>1600</v>
      </c>
      <c r="E261" s="10" t="s">
        <v>12</v>
      </c>
      <c r="F261" s="11">
        <v>1300</v>
      </c>
      <c r="G261" s="12" t="s">
        <v>12</v>
      </c>
      <c r="H261" s="11"/>
      <c r="I261" s="12"/>
      <c r="J261" s="11">
        <v>3100</v>
      </c>
      <c r="K261" s="12" t="s">
        <v>12</v>
      </c>
    </row>
    <row r="262" spans="1:11" x14ac:dyDescent="0.25">
      <c r="A262" s="1">
        <v>259</v>
      </c>
      <c r="B262" s="7" t="s">
        <v>14</v>
      </c>
      <c r="C262" s="8">
        <v>45561</v>
      </c>
      <c r="D262" s="9">
        <v>5200</v>
      </c>
      <c r="E262" s="10" t="s">
        <v>22</v>
      </c>
      <c r="F262" s="11">
        <v>1900</v>
      </c>
      <c r="G262" s="12" t="s">
        <v>22</v>
      </c>
      <c r="H262" s="11"/>
      <c r="I262" s="12"/>
      <c r="J262" s="11">
        <v>1200</v>
      </c>
      <c r="K262" s="12" t="s">
        <v>22</v>
      </c>
    </row>
    <row r="263" spans="1:11" x14ac:dyDescent="0.25">
      <c r="A263" s="1">
        <v>260</v>
      </c>
      <c r="B263" s="7" t="s">
        <v>14</v>
      </c>
      <c r="C263" s="8">
        <v>45561</v>
      </c>
      <c r="D263" s="9">
        <v>500</v>
      </c>
      <c r="E263" s="10" t="s">
        <v>21</v>
      </c>
      <c r="F263" s="11"/>
      <c r="G263" s="12"/>
      <c r="H263" s="11"/>
      <c r="I263" s="12"/>
      <c r="J263" s="11">
        <v>200</v>
      </c>
      <c r="K263" s="12" t="s">
        <v>21</v>
      </c>
    </row>
    <row r="264" spans="1:11" x14ac:dyDescent="0.25">
      <c r="A264" s="1">
        <v>261</v>
      </c>
      <c r="B264" s="7" t="s">
        <v>15</v>
      </c>
      <c r="C264" s="8">
        <v>45562</v>
      </c>
      <c r="D264" s="9"/>
      <c r="E264" s="10"/>
      <c r="F264" s="11"/>
      <c r="G264" s="12"/>
      <c r="H264" s="11"/>
      <c r="I264" s="12"/>
      <c r="J264" s="11"/>
      <c r="K264" s="12"/>
    </row>
    <row r="265" spans="1:11" x14ac:dyDescent="0.25">
      <c r="A265" s="1">
        <v>262</v>
      </c>
      <c r="B265" s="7" t="s">
        <v>16</v>
      </c>
      <c r="C265" s="8">
        <v>45563</v>
      </c>
      <c r="D265" s="9"/>
      <c r="E265" s="10"/>
      <c r="F265" s="11"/>
      <c r="G265" s="12"/>
      <c r="H265" s="11"/>
      <c r="I265" s="12"/>
      <c r="J265" s="11"/>
      <c r="K265" s="12"/>
    </row>
    <row r="266" spans="1:11" x14ac:dyDescent="0.25">
      <c r="A266" s="1">
        <v>263</v>
      </c>
      <c r="B266" s="7" t="s">
        <v>17</v>
      </c>
      <c r="C266" s="8">
        <v>45564</v>
      </c>
      <c r="D266" s="9"/>
      <c r="E266" s="10"/>
      <c r="F266" s="11"/>
      <c r="G266" s="12"/>
      <c r="H266" s="11"/>
      <c r="I266" s="12"/>
      <c r="J266" s="11"/>
      <c r="K266" s="12"/>
    </row>
    <row r="267" spans="1:11" x14ac:dyDescent="0.25">
      <c r="A267" s="1">
        <v>264</v>
      </c>
      <c r="B267" s="7" t="s">
        <v>18</v>
      </c>
      <c r="C267" s="8">
        <v>45565</v>
      </c>
      <c r="D267" s="9"/>
      <c r="E267" s="10"/>
      <c r="F267" s="11"/>
      <c r="G267" s="12"/>
      <c r="H267" s="11"/>
      <c r="I267" s="12"/>
      <c r="J267" s="11"/>
      <c r="K267" s="12"/>
    </row>
    <row r="268" spans="1:11" x14ac:dyDescent="0.25">
      <c r="A268" s="1">
        <v>265</v>
      </c>
      <c r="B268" s="7" t="s">
        <v>19</v>
      </c>
      <c r="C268" s="8">
        <v>45566</v>
      </c>
      <c r="D268" s="9">
        <v>13800</v>
      </c>
      <c r="E268" s="10" t="s">
        <v>12</v>
      </c>
      <c r="F268" s="11">
        <f>3200+4300</f>
        <v>7500</v>
      </c>
      <c r="G268" s="12" t="s">
        <v>12</v>
      </c>
      <c r="H268" s="11"/>
      <c r="I268" s="12"/>
      <c r="J268" s="11">
        <v>11100</v>
      </c>
      <c r="K268" s="12" t="s">
        <v>12</v>
      </c>
    </row>
    <row r="269" spans="1:11" x14ac:dyDescent="0.25">
      <c r="A269" s="1">
        <v>266</v>
      </c>
      <c r="B269" s="7" t="s">
        <v>20</v>
      </c>
      <c r="C269" s="8">
        <v>45567</v>
      </c>
      <c r="D269" s="9"/>
      <c r="E269" s="10"/>
      <c r="F269" s="11"/>
      <c r="G269" s="12"/>
      <c r="H269" s="11"/>
      <c r="I269" s="12"/>
      <c r="J269" s="11"/>
      <c r="K269" s="12"/>
    </row>
    <row r="270" spans="1:11" x14ac:dyDescent="0.25">
      <c r="A270" s="1">
        <v>267</v>
      </c>
      <c r="B270" s="7" t="s">
        <v>14</v>
      </c>
      <c r="C270" s="8">
        <v>45568</v>
      </c>
      <c r="D270" s="9">
        <v>5700</v>
      </c>
      <c r="E270" s="10" t="s">
        <v>22</v>
      </c>
      <c r="F270" s="11">
        <v>1400</v>
      </c>
      <c r="G270" s="12" t="s">
        <v>22</v>
      </c>
      <c r="H270" s="11"/>
      <c r="I270" s="12"/>
      <c r="J270" s="11">
        <v>1400</v>
      </c>
      <c r="K270" s="12" t="s">
        <v>22</v>
      </c>
    </row>
    <row r="271" spans="1:11" x14ac:dyDescent="0.25">
      <c r="A271" s="1">
        <v>268</v>
      </c>
      <c r="B271" s="7" t="s">
        <v>15</v>
      </c>
      <c r="C271" s="8">
        <v>45569</v>
      </c>
      <c r="D271" s="9"/>
      <c r="E271" s="10"/>
      <c r="F271" s="11"/>
      <c r="G271" s="12"/>
      <c r="H271" s="11"/>
      <c r="I271" s="12"/>
      <c r="J271" s="11"/>
      <c r="K271" s="12"/>
    </row>
    <row r="272" spans="1:11" x14ac:dyDescent="0.25">
      <c r="A272" s="1">
        <v>269</v>
      </c>
      <c r="B272" s="7" t="s">
        <v>16</v>
      </c>
      <c r="C272" s="8">
        <v>45570</v>
      </c>
      <c r="D272" s="9"/>
      <c r="E272" s="10"/>
      <c r="F272" s="11"/>
      <c r="G272" s="12"/>
      <c r="H272" s="11"/>
      <c r="I272" s="12"/>
      <c r="J272" s="11"/>
      <c r="K272" s="12"/>
    </row>
    <row r="273" spans="1:11" x14ac:dyDescent="0.25">
      <c r="A273" s="1">
        <v>270</v>
      </c>
      <c r="B273" s="7" t="s">
        <v>17</v>
      </c>
      <c r="C273" s="8">
        <v>45571</v>
      </c>
      <c r="D273" s="9"/>
      <c r="E273" s="10"/>
      <c r="F273" s="11"/>
      <c r="G273" s="12"/>
      <c r="H273" s="11"/>
      <c r="I273" s="12"/>
      <c r="J273" s="11"/>
      <c r="K273" s="12"/>
    </row>
    <row r="274" spans="1:11" x14ac:dyDescent="0.25">
      <c r="A274" s="1">
        <v>271</v>
      </c>
      <c r="B274" s="7" t="s">
        <v>18</v>
      </c>
      <c r="C274" s="8">
        <v>45572</v>
      </c>
      <c r="D274" s="9"/>
      <c r="E274" s="10"/>
      <c r="F274" s="11"/>
      <c r="G274" s="12"/>
      <c r="H274" s="11"/>
      <c r="I274" s="12"/>
      <c r="J274" s="11"/>
      <c r="K274" s="12"/>
    </row>
    <row r="275" spans="1:11" x14ac:dyDescent="0.25">
      <c r="A275" s="1">
        <v>272</v>
      </c>
      <c r="B275" s="7" t="s">
        <v>19</v>
      </c>
      <c r="C275" s="8">
        <v>45573</v>
      </c>
      <c r="D275" s="9">
        <v>6400</v>
      </c>
      <c r="E275" s="10" t="s">
        <v>12</v>
      </c>
      <c r="F275" s="11">
        <v>1800</v>
      </c>
      <c r="G275" s="12" t="s">
        <v>12</v>
      </c>
      <c r="H275" s="11"/>
      <c r="I275" s="12"/>
      <c r="J275" s="11">
        <v>6800</v>
      </c>
      <c r="K275" s="12" t="s">
        <v>12</v>
      </c>
    </row>
    <row r="276" spans="1:11" x14ac:dyDescent="0.25">
      <c r="A276" s="1">
        <v>273</v>
      </c>
      <c r="B276" s="7" t="s">
        <v>20</v>
      </c>
      <c r="C276" s="8">
        <v>45574</v>
      </c>
      <c r="D276" s="9"/>
      <c r="E276" s="10"/>
      <c r="F276" s="11"/>
      <c r="G276" s="12"/>
      <c r="H276" s="11"/>
      <c r="I276" s="12"/>
      <c r="J276" s="11"/>
      <c r="K276" s="12"/>
    </row>
    <row r="277" spans="1:11" x14ac:dyDescent="0.25">
      <c r="A277" s="1">
        <v>274</v>
      </c>
      <c r="B277" s="7" t="s">
        <v>14</v>
      </c>
      <c r="C277" s="8">
        <v>45575</v>
      </c>
      <c r="D277" s="9"/>
      <c r="E277" s="10"/>
      <c r="F277" s="11"/>
      <c r="G277" s="12"/>
      <c r="H277" s="11"/>
      <c r="I277" s="12"/>
      <c r="J277" s="11"/>
      <c r="K277" s="12"/>
    </row>
    <row r="278" spans="1:11" x14ac:dyDescent="0.25">
      <c r="A278" s="1">
        <v>275</v>
      </c>
      <c r="B278" s="7" t="s">
        <v>15</v>
      </c>
      <c r="C278" s="8">
        <v>45576</v>
      </c>
      <c r="D278" s="9">
        <v>3500</v>
      </c>
      <c r="E278" s="10" t="s">
        <v>12</v>
      </c>
      <c r="F278" s="11">
        <v>700</v>
      </c>
      <c r="G278" s="12" t="s">
        <v>12</v>
      </c>
      <c r="H278" s="11"/>
      <c r="I278" s="12"/>
      <c r="J278" s="11">
        <v>2700</v>
      </c>
      <c r="K278" s="12" t="s">
        <v>12</v>
      </c>
    </row>
    <row r="279" spans="1:11" x14ac:dyDescent="0.25">
      <c r="A279" s="1">
        <v>276</v>
      </c>
      <c r="B279" s="7" t="s">
        <v>15</v>
      </c>
      <c r="C279" s="8">
        <v>45576</v>
      </c>
      <c r="D279" s="9">
        <v>2800</v>
      </c>
      <c r="E279" s="12" t="s">
        <v>22</v>
      </c>
      <c r="F279" s="11">
        <v>500</v>
      </c>
      <c r="G279" s="12" t="s">
        <v>22</v>
      </c>
      <c r="H279" s="11"/>
      <c r="I279" s="12"/>
      <c r="J279" s="11">
        <v>2600</v>
      </c>
      <c r="K279" s="12" t="s">
        <v>22</v>
      </c>
    </row>
    <row r="280" spans="1:11" x14ac:dyDescent="0.25">
      <c r="A280" s="1">
        <v>277</v>
      </c>
      <c r="B280" s="7" t="s">
        <v>16</v>
      </c>
      <c r="C280" s="8">
        <v>45577</v>
      </c>
      <c r="D280" s="9"/>
      <c r="E280" s="10"/>
      <c r="F280" s="11"/>
      <c r="G280" s="12"/>
      <c r="H280" s="11"/>
      <c r="I280" s="12"/>
      <c r="J280" s="11"/>
      <c r="K280" s="12"/>
    </row>
    <row r="281" spans="1:11" x14ac:dyDescent="0.25">
      <c r="A281" s="1">
        <v>278</v>
      </c>
      <c r="B281" s="7" t="s">
        <v>17</v>
      </c>
      <c r="C281" s="8">
        <v>45578</v>
      </c>
      <c r="D281" s="9"/>
      <c r="E281" s="10"/>
      <c r="F281" s="11"/>
      <c r="G281" s="12"/>
      <c r="H281" s="11"/>
      <c r="I281" s="12"/>
      <c r="J281" s="11"/>
      <c r="K281" s="12"/>
    </row>
    <row r="282" spans="1:11" x14ac:dyDescent="0.25">
      <c r="A282" s="1">
        <v>279</v>
      </c>
      <c r="B282" s="7" t="s">
        <v>18</v>
      </c>
      <c r="C282" s="8">
        <v>45579</v>
      </c>
      <c r="D282" s="9"/>
      <c r="E282" s="10"/>
      <c r="F282" s="11"/>
      <c r="G282" s="12"/>
      <c r="H282" s="11"/>
      <c r="I282" s="12"/>
      <c r="J282" s="11"/>
      <c r="K282" s="12"/>
    </row>
    <row r="283" spans="1:11" x14ac:dyDescent="0.25">
      <c r="A283" s="1">
        <v>280</v>
      </c>
      <c r="B283" s="7" t="s">
        <v>19</v>
      </c>
      <c r="C283" s="8">
        <v>45580</v>
      </c>
      <c r="D283" s="9">
        <v>8100</v>
      </c>
      <c r="E283" s="10" t="s">
        <v>12</v>
      </c>
      <c r="F283" s="11">
        <v>1500</v>
      </c>
      <c r="G283" s="12" t="s">
        <v>12</v>
      </c>
      <c r="H283" s="11"/>
      <c r="I283" s="12"/>
      <c r="J283" s="11">
        <v>5500</v>
      </c>
      <c r="K283" s="12" t="s">
        <v>12</v>
      </c>
    </row>
    <row r="284" spans="1:11" x14ac:dyDescent="0.25">
      <c r="A284" s="1">
        <v>281</v>
      </c>
      <c r="B284" s="7" t="s">
        <v>20</v>
      </c>
      <c r="C284" s="8">
        <v>45581</v>
      </c>
      <c r="D284" s="9"/>
      <c r="E284" s="10"/>
      <c r="F284" s="11"/>
      <c r="G284" s="12"/>
      <c r="H284" s="11"/>
      <c r="I284" s="12"/>
      <c r="J284" s="11"/>
      <c r="K284" s="12"/>
    </row>
    <row r="285" spans="1:11" x14ac:dyDescent="0.25">
      <c r="A285" s="1">
        <v>282</v>
      </c>
      <c r="B285" s="7" t="s">
        <v>14</v>
      </c>
      <c r="C285" s="8">
        <v>45582</v>
      </c>
      <c r="D285" s="9"/>
      <c r="E285" s="10"/>
      <c r="F285" s="11"/>
      <c r="G285" s="12"/>
      <c r="H285" s="11"/>
      <c r="I285" s="12"/>
      <c r="J285" s="11"/>
      <c r="K285" s="12"/>
    </row>
    <row r="286" spans="1:11" x14ac:dyDescent="0.25">
      <c r="A286" s="1">
        <v>283</v>
      </c>
      <c r="B286" s="7" t="s">
        <v>15</v>
      </c>
      <c r="C286" s="8">
        <v>45583</v>
      </c>
      <c r="D286" s="9"/>
      <c r="E286" s="10"/>
      <c r="F286" s="11"/>
      <c r="G286" s="12"/>
      <c r="H286" s="11"/>
      <c r="I286" s="12"/>
      <c r="J286" s="11"/>
      <c r="K286" s="12"/>
    </row>
    <row r="287" spans="1:11" x14ac:dyDescent="0.25">
      <c r="A287" s="1">
        <v>284</v>
      </c>
      <c r="B287" s="7" t="s">
        <v>16</v>
      </c>
      <c r="C287" s="8">
        <v>45584</v>
      </c>
      <c r="D287" s="9"/>
      <c r="E287" s="10"/>
      <c r="F287" s="11"/>
      <c r="G287" s="12"/>
      <c r="H287" s="11"/>
      <c r="I287" s="12"/>
      <c r="J287" s="11"/>
      <c r="K287" s="12"/>
    </row>
    <row r="288" spans="1:11" x14ac:dyDescent="0.25">
      <c r="A288" s="1">
        <v>285</v>
      </c>
      <c r="B288" s="7" t="s">
        <v>17</v>
      </c>
      <c r="C288" s="8">
        <v>45585</v>
      </c>
      <c r="D288" s="9"/>
      <c r="E288" s="10"/>
      <c r="F288" s="11"/>
      <c r="G288" s="12"/>
      <c r="H288" s="11"/>
      <c r="I288" s="12"/>
      <c r="J288" s="11"/>
      <c r="K288" s="12"/>
    </row>
    <row r="289" spans="1:14" x14ac:dyDescent="0.25">
      <c r="A289" s="1">
        <v>286</v>
      </c>
      <c r="B289" s="7" t="s">
        <v>18</v>
      </c>
      <c r="C289" s="8">
        <v>45586</v>
      </c>
      <c r="D289" s="9"/>
      <c r="E289" s="10"/>
      <c r="F289" s="11"/>
      <c r="G289" s="12"/>
      <c r="H289" s="11"/>
      <c r="I289" s="12"/>
      <c r="J289" s="11"/>
      <c r="K289" s="12"/>
    </row>
    <row r="290" spans="1:14" x14ac:dyDescent="0.25">
      <c r="A290" s="1">
        <v>287</v>
      </c>
      <c r="B290" s="7" t="s">
        <v>19</v>
      </c>
      <c r="C290" s="8">
        <v>45587</v>
      </c>
      <c r="D290" s="9">
        <v>5900</v>
      </c>
      <c r="E290" s="10" t="s">
        <v>12</v>
      </c>
      <c r="F290" s="11">
        <v>4400</v>
      </c>
      <c r="G290" s="12" t="s">
        <v>12</v>
      </c>
      <c r="H290" s="11"/>
      <c r="I290" s="12"/>
      <c r="J290" s="11">
        <v>4800</v>
      </c>
      <c r="K290" s="12" t="s">
        <v>12</v>
      </c>
    </row>
    <row r="291" spans="1:14" x14ac:dyDescent="0.25">
      <c r="A291" s="1">
        <v>288</v>
      </c>
      <c r="B291" s="7" t="s">
        <v>20</v>
      </c>
      <c r="C291" s="8">
        <v>45588</v>
      </c>
      <c r="D291" s="9"/>
      <c r="E291" s="10"/>
      <c r="F291" s="11"/>
      <c r="G291" s="12"/>
      <c r="H291" s="11"/>
      <c r="I291" s="12"/>
      <c r="J291" s="11"/>
      <c r="K291" s="12"/>
    </row>
    <row r="292" spans="1:14" x14ac:dyDescent="0.25">
      <c r="A292" s="1">
        <v>289</v>
      </c>
      <c r="B292" s="7" t="s">
        <v>14</v>
      </c>
      <c r="C292" s="8">
        <v>45589</v>
      </c>
      <c r="D292" s="9">
        <v>5500</v>
      </c>
      <c r="E292" s="10" t="s">
        <v>12</v>
      </c>
      <c r="F292" s="11">
        <v>4100</v>
      </c>
      <c r="G292" s="12" t="s">
        <v>12</v>
      </c>
      <c r="H292" s="11"/>
      <c r="I292" s="12"/>
      <c r="J292" s="11">
        <v>4500</v>
      </c>
      <c r="K292" s="12" t="s">
        <v>12</v>
      </c>
    </row>
    <row r="293" spans="1:14" x14ac:dyDescent="0.25">
      <c r="A293" s="1">
        <v>290</v>
      </c>
      <c r="B293" s="7" t="s">
        <v>15</v>
      </c>
      <c r="C293" s="8">
        <v>45590</v>
      </c>
      <c r="D293" s="9">
        <v>4800</v>
      </c>
      <c r="E293" s="10" t="s">
        <v>22</v>
      </c>
      <c r="F293" s="11">
        <v>1700</v>
      </c>
      <c r="G293" s="12" t="s">
        <v>22</v>
      </c>
      <c r="H293" s="19">
        <v>600</v>
      </c>
      <c r="I293" s="20" t="s">
        <v>22</v>
      </c>
      <c r="J293" s="11">
        <v>500</v>
      </c>
      <c r="K293" s="12" t="s">
        <v>22</v>
      </c>
      <c r="N293" s="27" t="s">
        <v>27</v>
      </c>
    </row>
    <row r="294" spans="1:14" x14ac:dyDescent="0.25">
      <c r="A294" s="1">
        <v>291</v>
      </c>
      <c r="B294" s="7" t="s">
        <v>15</v>
      </c>
      <c r="C294" s="8">
        <v>45590</v>
      </c>
      <c r="D294" s="9">
        <v>500</v>
      </c>
      <c r="E294" s="10" t="s">
        <v>21</v>
      </c>
      <c r="F294" s="11"/>
      <c r="G294" s="12"/>
      <c r="H294" s="11"/>
      <c r="I294" s="12"/>
      <c r="J294" s="11">
        <v>100</v>
      </c>
      <c r="K294" s="12" t="s">
        <v>21</v>
      </c>
    </row>
    <row r="295" spans="1:14" x14ac:dyDescent="0.25">
      <c r="A295" s="1">
        <v>292</v>
      </c>
      <c r="B295" s="7" t="s">
        <v>16</v>
      </c>
      <c r="C295" s="8">
        <v>45591</v>
      </c>
      <c r="D295" s="9"/>
      <c r="E295" s="10"/>
      <c r="F295" s="11"/>
      <c r="G295" s="12"/>
      <c r="H295" s="11"/>
      <c r="I295" s="12"/>
      <c r="J295" s="11"/>
      <c r="K295" s="12"/>
    </row>
    <row r="296" spans="1:14" x14ac:dyDescent="0.25">
      <c r="A296" s="1">
        <v>293</v>
      </c>
      <c r="B296" s="7" t="s">
        <v>17</v>
      </c>
      <c r="C296" s="8">
        <v>45592</v>
      </c>
      <c r="D296" s="9"/>
      <c r="E296" s="10"/>
      <c r="F296" s="11"/>
      <c r="G296" s="12"/>
      <c r="H296" s="11"/>
      <c r="I296" s="12"/>
      <c r="J296" s="11"/>
      <c r="K296" s="12"/>
    </row>
    <row r="297" spans="1:14" x14ac:dyDescent="0.25">
      <c r="A297" s="1">
        <v>294</v>
      </c>
      <c r="B297" s="7" t="s">
        <v>18</v>
      </c>
      <c r="C297" s="8">
        <v>45593</v>
      </c>
      <c r="D297" s="9"/>
      <c r="E297" s="10"/>
      <c r="F297" s="11"/>
      <c r="G297" s="12"/>
      <c r="H297" s="11"/>
      <c r="I297" s="12"/>
      <c r="J297" s="11"/>
      <c r="K297" s="12"/>
    </row>
    <row r="298" spans="1:14" x14ac:dyDescent="0.25">
      <c r="A298" s="1">
        <v>295</v>
      </c>
      <c r="B298" s="7" t="s">
        <v>19</v>
      </c>
      <c r="C298" s="8">
        <v>45594</v>
      </c>
      <c r="D298" s="9">
        <v>3500</v>
      </c>
      <c r="E298" s="10" t="s">
        <v>12</v>
      </c>
      <c r="F298" s="11">
        <v>3900</v>
      </c>
      <c r="G298" s="12" t="s">
        <v>12</v>
      </c>
      <c r="H298" s="11"/>
      <c r="I298" s="12"/>
      <c r="J298" s="11">
        <v>7300</v>
      </c>
      <c r="K298" s="12" t="s">
        <v>12</v>
      </c>
    </row>
    <row r="299" spans="1:14" x14ac:dyDescent="0.25">
      <c r="A299" s="1">
        <v>296</v>
      </c>
      <c r="B299" s="7" t="s">
        <v>20</v>
      </c>
      <c r="C299" s="8">
        <v>45595</v>
      </c>
      <c r="D299" s="9"/>
      <c r="E299" s="10"/>
      <c r="F299" s="11"/>
      <c r="G299" s="12"/>
      <c r="H299" s="11"/>
      <c r="I299" s="12"/>
      <c r="J299" s="11"/>
      <c r="K299" s="12"/>
    </row>
    <row r="300" spans="1:14" x14ac:dyDescent="0.25">
      <c r="A300" s="1">
        <v>297</v>
      </c>
      <c r="B300" s="7" t="s">
        <v>14</v>
      </c>
      <c r="C300" s="8">
        <v>45596</v>
      </c>
      <c r="D300" s="9">
        <v>4100</v>
      </c>
      <c r="E300" s="10" t="s">
        <v>12</v>
      </c>
      <c r="F300" s="11">
        <v>4400</v>
      </c>
      <c r="G300" s="12" t="s">
        <v>12</v>
      </c>
      <c r="H300" s="11"/>
      <c r="I300" s="12"/>
      <c r="J300" s="11">
        <v>8500</v>
      </c>
      <c r="K300" s="12" t="s">
        <v>12</v>
      </c>
    </row>
    <row r="301" spans="1:14" x14ac:dyDescent="0.25">
      <c r="A301" s="1">
        <v>298</v>
      </c>
      <c r="B301" s="7" t="s">
        <v>15</v>
      </c>
      <c r="C301" s="8">
        <v>45597</v>
      </c>
      <c r="D301" s="9">
        <v>4800</v>
      </c>
      <c r="E301" s="10" t="s">
        <v>22</v>
      </c>
      <c r="F301" s="11">
        <v>1600</v>
      </c>
      <c r="G301" s="12" t="s">
        <v>22</v>
      </c>
      <c r="H301" s="11"/>
      <c r="I301" s="12"/>
      <c r="J301" s="11">
        <v>1300</v>
      </c>
      <c r="K301" s="12" t="s">
        <v>22</v>
      </c>
    </row>
    <row r="302" spans="1:14" x14ac:dyDescent="0.25">
      <c r="A302" s="1">
        <v>299</v>
      </c>
      <c r="B302" s="7" t="s">
        <v>15</v>
      </c>
      <c r="C302" s="8">
        <v>45597</v>
      </c>
      <c r="D302" s="9">
        <v>270</v>
      </c>
      <c r="E302" s="10" t="s">
        <v>21</v>
      </c>
      <c r="F302" s="11">
        <v>180</v>
      </c>
      <c r="G302" s="12" t="s">
        <v>21</v>
      </c>
      <c r="H302" s="11"/>
      <c r="I302" s="12"/>
      <c r="J302" s="11">
        <v>180</v>
      </c>
      <c r="K302" s="12" t="s">
        <v>21</v>
      </c>
    </row>
    <row r="303" spans="1:14" x14ac:dyDescent="0.25">
      <c r="A303" s="1">
        <v>300</v>
      </c>
      <c r="B303" s="7" t="s">
        <v>16</v>
      </c>
      <c r="C303" s="8">
        <v>45598</v>
      </c>
      <c r="D303" s="9"/>
      <c r="E303" s="10"/>
      <c r="F303" s="11"/>
      <c r="G303" s="12"/>
      <c r="H303" s="11"/>
      <c r="I303" s="12"/>
      <c r="J303" s="11"/>
      <c r="K303" s="12"/>
    </row>
    <row r="304" spans="1:14" x14ac:dyDescent="0.25">
      <c r="A304" s="1">
        <v>301</v>
      </c>
      <c r="B304" s="7" t="s">
        <v>17</v>
      </c>
      <c r="C304" s="8">
        <v>45599</v>
      </c>
      <c r="D304" s="9"/>
      <c r="E304" s="10"/>
      <c r="F304" s="11"/>
      <c r="G304" s="12"/>
      <c r="H304" s="11"/>
      <c r="I304" s="12"/>
      <c r="J304" s="11"/>
      <c r="K304" s="12"/>
    </row>
    <row r="305" spans="1:11" x14ac:dyDescent="0.25">
      <c r="A305" s="1">
        <v>302</v>
      </c>
      <c r="B305" s="7" t="s">
        <v>18</v>
      </c>
      <c r="C305" s="8">
        <v>45600</v>
      </c>
      <c r="D305" s="9"/>
      <c r="E305" s="10"/>
      <c r="F305" s="11"/>
      <c r="G305" s="12"/>
      <c r="H305" s="11"/>
      <c r="I305" s="12"/>
      <c r="J305" s="11"/>
      <c r="K305" s="12"/>
    </row>
    <row r="306" spans="1:11" x14ac:dyDescent="0.25">
      <c r="A306" s="1">
        <v>303</v>
      </c>
      <c r="B306" s="7" t="s">
        <v>19</v>
      </c>
      <c r="C306" s="8">
        <v>45601</v>
      </c>
      <c r="D306" s="9">
        <v>5400</v>
      </c>
      <c r="E306" s="10" t="s">
        <v>12</v>
      </c>
      <c r="F306" s="11">
        <v>3300</v>
      </c>
      <c r="G306" s="12" t="s">
        <v>12</v>
      </c>
      <c r="H306" s="11">
        <v>1400</v>
      </c>
      <c r="I306" s="12" t="s">
        <v>12</v>
      </c>
      <c r="J306" s="11">
        <v>4800</v>
      </c>
      <c r="K306" s="12" t="s">
        <v>12</v>
      </c>
    </row>
    <row r="307" spans="1:11" x14ac:dyDescent="0.25">
      <c r="A307" s="1">
        <v>304</v>
      </c>
      <c r="B307" s="7" t="s">
        <v>20</v>
      </c>
      <c r="C307" s="8">
        <v>45602</v>
      </c>
      <c r="D307" s="9"/>
      <c r="E307" s="10"/>
      <c r="F307" s="11"/>
      <c r="G307" s="12"/>
      <c r="H307" s="11"/>
      <c r="I307" s="12"/>
      <c r="J307" s="11"/>
      <c r="K307" s="12"/>
    </row>
    <row r="308" spans="1:11" x14ac:dyDescent="0.25">
      <c r="A308" s="1">
        <v>305</v>
      </c>
      <c r="B308" s="7" t="s">
        <v>14</v>
      </c>
      <c r="C308" s="8">
        <v>45603</v>
      </c>
      <c r="D308" s="9"/>
      <c r="E308" s="10"/>
      <c r="F308" s="11"/>
      <c r="G308" s="12"/>
      <c r="H308" s="11"/>
      <c r="I308" s="12"/>
      <c r="J308" s="11"/>
      <c r="K308" s="12"/>
    </row>
    <row r="309" spans="1:11" x14ac:dyDescent="0.25">
      <c r="A309" s="1">
        <v>306</v>
      </c>
      <c r="B309" s="7" t="s">
        <v>15</v>
      </c>
      <c r="C309" s="8">
        <v>45604</v>
      </c>
      <c r="D309" s="9">
        <v>3500</v>
      </c>
      <c r="E309" s="10" t="s">
        <v>22</v>
      </c>
      <c r="F309" s="11">
        <v>1600</v>
      </c>
      <c r="G309" s="12" t="s">
        <v>22</v>
      </c>
      <c r="H309" s="11">
        <v>600</v>
      </c>
      <c r="I309" s="12" t="s">
        <v>22</v>
      </c>
      <c r="J309" s="11">
        <v>1300</v>
      </c>
      <c r="K309" s="12" t="s">
        <v>22</v>
      </c>
    </row>
    <row r="310" spans="1:11" x14ac:dyDescent="0.25">
      <c r="A310" s="1">
        <v>307</v>
      </c>
      <c r="B310" s="7" t="s">
        <v>15</v>
      </c>
      <c r="C310" s="8">
        <v>45604</v>
      </c>
      <c r="D310" s="9">
        <v>600</v>
      </c>
      <c r="E310" s="10" t="s">
        <v>21</v>
      </c>
      <c r="F310" s="11">
        <v>600</v>
      </c>
      <c r="G310" s="12" t="s">
        <v>21</v>
      </c>
      <c r="H310" s="11"/>
      <c r="I310" s="12"/>
      <c r="J310" s="11">
        <v>200</v>
      </c>
      <c r="K310" s="12" t="s">
        <v>21</v>
      </c>
    </row>
    <row r="311" spans="1:11" x14ac:dyDescent="0.25">
      <c r="A311" s="1">
        <v>308</v>
      </c>
      <c r="B311" s="7" t="s">
        <v>16</v>
      </c>
      <c r="C311" s="8">
        <v>45605</v>
      </c>
      <c r="D311" s="9"/>
      <c r="E311" s="10"/>
      <c r="F311" s="11"/>
      <c r="G311" s="12"/>
      <c r="H311" s="11"/>
      <c r="I311" s="12"/>
      <c r="J311" s="11"/>
      <c r="K311" s="12"/>
    </row>
    <row r="312" spans="1:11" x14ac:dyDescent="0.25">
      <c r="A312" s="1">
        <v>309</v>
      </c>
      <c r="B312" s="7" t="s">
        <v>17</v>
      </c>
      <c r="C312" s="8">
        <v>45606</v>
      </c>
      <c r="D312" s="9"/>
      <c r="E312" s="10"/>
      <c r="F312" s="11"/>
      <c r="G312" s="12"/>
      <c r="H312" s="11"/>
      <c r="I312" s="12"/>
      <c r="J312" s="11"/>
      <c r="K312" s="12"/>
    </row>
    <row r="313" spans="1:11" x14ac:dyDescent="0.25">
      <c r="A313" s="1">
        <v>310</v>
      </c>
      <c r="B313" s="7" t="s">
        <v>18</v>
      </c>
      <c r="C313" s="8">
        <v>45607</v>
      </c>
      <c r="D313" s="9"/>
      <c r="E313" s="10"/>
      <c r="F313" s="11"/>
      <c r="G313" s="12"/>
      <c r="H313" s="11"/>
      <c r="I313" s="12"/>
      <c r="J313" s="11"/>
      <c r="K313" s="12"/>
    </row>
    <row r="314" spans="1:11" x14ac:dyDescent="0.25">
      <c r="A314" s="1">
        <v>311</v>
      </c>
      <c r="B314" s="7" t="s">
        <v>19</v>
      </c>
      <c r="C314" s="8">
        <v>45608</v>
      </c>
      <c r="D314" s="9">
        <v>3100</v>
      </c>
      <c r="E314" s="10" t="s">
        <v>12</v>
      </c>
      <c r="F314" s="11">
        <v>5700</v>
      </c>
      <c r="G314" s="12" t="s">
        <v>12</v>
      </c>
      <c r="H314" s="11">
        <v>1900</v>
      </c>
      <c r="I314" s="12" t="s">
        <v>12</v>
      </c>
      <c r="J314" s="11">
        <v>3400</v>
      </c>
      <c r="K314" s="12" t="s">
        <v>12</v>
      </c>
    </row>
    <row r="315" spans="1:11" x14ac:dyDescent="0.25">
      <c r="A315" s="1">
        <v>312</v>
      </c>
      <c r="B315" s="7" t="s">
        <v>20</v>
      </c>
      <c r="C315" s="8">
        <v>45609</v>
      </c>
      <c r="D315" s="9"/>
      <c r="E315" s="10"/>
      <c r="F315" s="11"/>
      <c r="G315" s="12"/>
      <c r="H315" s="11"/>
      <c r="I315" s="12"/>
      <c r="J315" s="11"/>
      <c r="K315" s="12"/>
    </row>
    <row r="316" spans="1:11" x14ac:dyDescent="0.25">
      <c r="A316" s="1">
        <v>313</v>
      </c>
      <c r="B316" s="7" t="s">
        <v>14</v>
      </c>
      <c r="C316" s="8">
        <v>45610</v>
      </c>
      <c r="D316" s="9">
        <v>1600</v>
      </c>
      <c r="E316" s="10" t="s">
        <v>12</v>
      </c>
      <c r="F316" s="11">
        <v>3000</v>
      </c>
      <c r="G316" s="12" t="s">
        <v>12</v>
      </c>
      <c r="H316" s="11"/>
      <c r="I316" s="12"/>
      <c r="J316" s="11">
        <v>1800</v>
      </c>
      <c r="K316" s="12" t="s">
        <v>12</v>
      </c>
    </row>
    <row r="317" spans="1:11" x14ac:dyDescent="0.25">
      <c r="A317" s="1">
        <v>314</v>
      </c>
      <c r="B317" s="7" t="s">
        <v>14</v>
      </c>
      <c r="C317" s="8">
        <v>45610</v>
      </c>
      <c r="D317" s="9">
        <v>1900</v>
      </c>
      <c r="E317" s="10" t="s">
        <v>22</v>
      </c>
      <c r="F317" s="11">
        <v>1100</v>
      </c>
      <c r="G317" s="12" t="s">
        <v>22</v>
      </c>
      <c r="H317" s="11">
        <v>800</v>
      </c>
      <c r="I317" s="12" t="s">
        <v>22</v>
      </c>
      <c r="J317" s="11">
        <v>1500</v>
      </c>
      <c r="K317" s="12" t="s">
        <v>22</v>
      </c>
    </row>
    <row r="318" spans="1:11" x14ac:dyDescent="0.25">
      <c r="A318" s="1">
        <v>315</v>
      </c>
      <c r="B318" s="7" t="s">
        <v>14</v>
      </c>
      <c r="C318" s="8">
        <v>45610</v>
      </c>
      <c r="D318" s="9">
        <v>2200</v>
      </c>
      <c r="E318" s="10" t="s">
        <v>21</v>
      </c>
      <c r="F318" s="11">
        <v>300</v>
      </c>
      <c r="G318" s="12" t="s">
        <v>21</v>
      </c>
      <c r="H318" s="11"/>
      <c r="I318" s="12"/>
      <c r="J318" s="11">
        <v>100</v>
      </c>
      <c r="K318" s="12" t="s">
        <v>21</v>
      </c>
    </row>
    <row r="319" spans="1:11" x14ac:dyDescent="0.25">
      <c r="A319" s="1">
        <v>316</v>
      </c>
      <c r="B319" s="7" t="s">
        <v>15</v>
      </c>
      <c r="C319" s="8">
        <v>45611</v>
      </c>
      <c r="D319" s="9"/>
      <c r="E319" s="10"/>
      <c r="F319" s="11"/>
      <c r="G319" s="12"/>
      <c r="H319" s="11"/>
      <c r="I319" s="12"/>
      <c r="J319" s="11"/>
      <c r="K319" s="12"/>
    </row>
    <row r="320" spans="1:11" x14ac:dyDescent="0.25">
      <c r="A320" s="1">
        <v>317</v>
      </c>
      <c r="B320" s="7" t="s">
        <v>16</v>
      </c>
      <c r="C320" s="8">
        <v>45612</v>
      </c>
      <c r="D320" s="9"/>
      <c r="E320" s="10"/>
      <c r="F320" s="11"/>
      <c r="G320" s="12"/>
      <c r="H320" s="11"/>
      <c r="I320" s="12"/>
      <c r="J320" s="11"/>
      <c r="K320" s="12"/>
    </row>
    <row r="321" spans="1:11" x14ac:dyDescent="0.25">
      <c r="A321" s="1">
        <v>318</v>
      </c>
      <c r="B321" s="7" t="s">
        <v>17</v>
      </c>
      <c r="C321" s="8">
        <v>45613</v>
      </c>
      <c r="D321" s="9"/>
      <c r="E321" s="10"/>
      <c r="F321" s="11"/>
      <c r="G321" s="12"/>
      <c r="H321" s="11"/>
      <c r="I321" s="12"/>
      <c r="J321" s="11"/>
      <c r="K321" s="12"/>
    </row>
    <row r="322" spans="1:11" x14ac:dyDescent="0.25">
      <c r="A322" s="1">
        <v>319</v>
      </c>
      <c r="B322" s="7" t="s">
        <v>18</v>
      </c>
      <c r="C322" s="8">
        <v>45614</v>
      </c>
      <c r="D322" s="9"/>
      <c r="E322" s="10"/>
      <c r="F322" s="11"/>
      <c r="G322" s="12"/>
      <c r="H322" s="11"/>
      <c r="I322" s="12"/>
      <c r="J322" s="11"/>
      <c r="K322" s="12"/>
    </row>
    <row r="323" spans="1:11" x14ac:dyDescent="0.25">
      <c r="A323" s="1">
        <v>320</v>
      </c>
      <c r="B323" s="7" t="s">
        <v>19</v>
      </c>
      <c r="C323" s="8">
        <v>45615</v>
      </c>
      <c r="D323" s="9">
        <v>9200</v>
      </c>
      <c r="E323" s="10" t="s">
        <v>12</v>
      </c>
      <c r="F323" s="11">
        <v>1500</v>
      </c>
      <c r="G323" s="12" t="s">
        <v>12</v>
      </c>
      <c r="H323" s="11"/>
      <c r="I323" s="12"/>
      <c r="J323" s="11">
        <v>4800</v>
      </c>
      <c r="K323" s="12" t="s">
        <v>12</v>
      </c>
    </row>
    <row r="324" spans="1:11" x14ac:dyDescent="0.25">
      <c r="A324" s="1">
        <v>321</v>
      </c>
      <c r="B324" s="7" t="s">
        <v>20</v>
      </c>
      <c r="C324" s="8">
        <v>45616</v>
      </c>
      <c r="D324" s="9"/>
      <c r="E324" s="10"/>
      <c r="F324" s="11"/>
      <c r="G324" s="12"/>
      <c r="H324" s="11"/>
      <c r="I324" s="12"/>
      <c r="J324" s="11"/>
      <c r="K324" s="12"/>
    </row>
    <row r="325" spans="1:11" x14ac:dyDescent="0.25">
      <c r="A325" s="1">
        <v>322</v>
      </c>
      <c r="B325" s="7" t="s">
        <v>14</v>
      </c>
      <c r="C325" s="8">
        <v>45617</v>
      </c>
      <c r="D325" s="9">
        <v>4400</v>
      </c>
      <c r="E325" s="10" t="s">
        <v>12</v>
      </c>
      <c r="F325" s="11">
        <v>700</v>
      </c>
      <c r="G325" s="12" t="s">
        <v>12</v>
      </c>
      <c r="H325" s="11"/>
      <c r="I325" s="12"/>
      <c r="J325" s="11">
        <v>2300</v>
      </c>
      <c r="K325" s="12" t="s">
        <v>12</v>
      </c>
    </row>
    <row r="326" spans="1:11" x14ac:dyDescent="0.25">
      <c r="A326" s="1">
        <v>323</v>
      </c>
      <c r="B326" s="7" t="s">
        <v>14</v>
      </c>
      <c r="C326" s="8">
        <v>45617</v>
      </c>
      <c r="D326" s="9">
        <v>2000</v>
      </c>
      <c r="E326" s="10" t="s">
        <v>22</v>
      </c>
      <c r="F326" s="11">
        <v>500</v>
      </c>
      <c r="G326" s="12" t="s">
        <v>22</v>
      </c>
      <c r="H326" s="11">
        <v>700</v>
      </c>
      <c r="I326" s="12" t="s">
        <v>22</v>
      </c>
      <c r="J326" s="11">
        <v>200</v>
      </c>
      <c r="K326" s="12" t="s">
        <v>22</v>
      </c>
    </row>
    <row r="327" spans="1:11" x14ac:dyDescent="0.25">
      <c r="A327" s="1">
        <v>324</v>
      </c>
      <c r="B327" s="7" t="s">
        <v>14</v>
      </c>
      <c r="C327" s="8">
        <v>45617</v>
      </c>
      <c r="D327" s="9">
        <v>1400</v>
      </c>
      <c r="E327" s="10" t="s">
        <v>21</v>
      </c>
      <c r="F327" s="11">
        <v>1300</v>
      </c>
      <c r="G327" s="12" t="s">
        <v>21</v>
      </c>
      <c r="H327" s="11"/>
      <c r="I327" s="12"/>
      <c r="J327" s="11">
        <v>300</v>
      </c>
      <c r="K327" s="12" t="s">
        <v>21</v>
      </c>
    </row>
    <row r="328" spans="1:11" x14ac:dyDescent="0.25">
      <c r="A328" s="1">
        <v>325</v>
      </c>
      <c r="B328" s="7" t="s">
        <v>15</v>
      </c>
      <c r="C328" s="8">
        <v>45618</v>
      </c>
      <c r="D328" s="9"/>
      <c r="E328" s="10"/>
      <c r="F328" s="11"/>
      <c r="G328" s="12"/>
      <c r="H328" s="11"/>
      <c r="I328" s="12"/>
      <c r="J328" s="11"/>
      <c r="K328" s="12"/>
    </row>
    <row r="329" spans="1:11" x14ac:dyDescent="0.25">
      <c r="A329" s="1">
        <v>326</v>
      </c>
      <c r="B329" s="7" t="s">
        <v>16</v>
      </c>
      <c r="C329" s="8">
        <v>45619</v>
      </c>
      <c r="D329" s="9"/>
      <c r="E329" s="10"/>
      <c r="F329" s="11"/>
      <c r="G329" s="12"/>
      <c r="H329" s="11"/>
      <c r="I329" s="12"/>
      <c r="J329" s="11"/>
      <c r="K329" s="12"/>
    </row>
    <row r="330" spans="1:11" x14ac:dyDescent="0.25">
      <c r="A330" s="1">
        <v>327</v>
      </c>
      <c r="B330" s="7" t="s">
        <v>17</v>
      </c>
      <c r="C330" s="8">
        <v>45620</v>
      </c>
      <c r="D330" s="9"/>
      <c r="E330" s="10"/>
      <c r="F330" s="11"/>
      <c r="G330" s="12"/>
      <c r="H330" s="11"/>
      <c r="I330" s="12"/>
      <c r="J330" s="11"/>
      <c r="K330" s="12"/>
    </row>
    <row r="331" spans="1:11" x14ac:dyDescent="0.25">
      <c r="A331" s="1">
        <v>328</v>
      </c>
      <c r="B331" s="7" t="s">
        <v>18</v>
      </c>
      <c r="C331" s="8">
        <v>45621</v>
      </c>
      <c r="D331" s="9"/>
      <c r="E331" s="10"/>
      <c r="F331" s="11"/>
      <c r="G331" s="12"/>
      <c r="H331" s="11"/>
      <c r="I331" s="12"/>
      <c r="J331" s="11"/>
      <c r="K331" s="12"/>
    </row>
    <row r="332" spans="1:11" x14ac:dyDescent="0.25">
      <c r="A332" s="1">
        <v>329</v>
      </c>
      <c r="B332" s="7" t="s">
        <v>19</v>
      </c>
      <c r="C332" s="8">
        <v>45622</v>
      </c>
      <c r="D332" s="9">
        <v>3100</v>
      </c>
      <c r="E332" s="10" t="s">
        <v>12</v>
      </c>
      <c r="F332" s="11">
        <v>5100</v>
      </c>
      <c r="G332" s="12" t="s">
        <v>12</v>
      </c>
      <c r="H332" s="11">
        <v>1700</v>
      </c>
      <c r="I332" s="12" t="s">
        <v>12</v>
      </c>
      <c r="J332" s="11">
        <v>3600</v>
      </c>
      <c r="K332" s="12" t="s">
        <v>12</v>
      </c>
    </row>
    <row r="333" spans="1:11" x14ac:dyDescent="0.25">
      <c r="A333" s="1">
        <v>330</v>
      </c>
      <c r="B333" s="7" t="s">
        <v>20</v>
      </c>
      <c r="C333" s="8">
        <v>45623</v>
      </c>
      <c r="D333" s="9"/>
      <c r="E333" s="10"/>
      <c r="F333" s="11"/>
      <c r="G333" s="12"/>
      <c r="H333" s="11"/>
      <c r="I333" s="12"/>
      <c r="J333" s="11"/>
      <c r="K333" s="12"/>
    </row>
    <row r="334" spans="1:11" x14ac:dyDescent="0.25">
      <c r="A334" s="1">
        <v>331</v>
      </c>
      <c r="B334" s="7" t="s">
        <v>14</v>
      </c>
      <c r="C334" s="8">
        <v>45624</v>
      </c>
      <c r="D334" s="9">
        <v>4900</v>
      </c>
      <c r="E334" s="10" t="s">
        <v>12</v>
      </c>
      <c r="F334" s="11">
        <v>5700</v>
      </c>
      <c r="G334" s="12" t="s">
        <v>12</v>
      </c>
      <c r="H334" s="11">
        <v>1900</v>
      </c>
      <c r="I334" s="12" t="s">
        <v>12</v>
      </c>
      <c r="J334" s="11">
        <v>4300</v>
      </c>
      <c r="K334" s="12" t="s">
        <v>12</v>
      </c>
    </row>
    <row r="335" spans="1:11" x14ac:dyDescent="0.25">
      <c r="A335" s="1">
        <v>332</v>
      </c>
      <c r="B335" s="7" t="s">
        <v>14</v>
      </c>
      <c r="C335" s="8">
        <v>45624</v>
      </c>
      <c r="D335" s="9">
        <v>3100</v>
      </c>
      <c r="E335" s="10" t="s">
        <v>12</v>
      </c>
      <c r="F335" s="11">
        <v>3400</v>
      </c>
      <c r="G335" s="12" t="s">
        <v>12</v>
      </c>
      <c r="H335" s="11"/>
      <c r="I335" s="12"/>
      <c r="J335" s="11">
        <v>3700</v>
      </c>
      <c r="K335" s="12" t="s">
        <v>12</v>
      </c>
    </row>
    <row r="336" spans="1:11" x14ac:dyDescent="0.25">
      <c r="A336" s="1">
        <v>333</v>
      </c>
      <c r="B336" s="7" t="s">
        <v>14</v>
      </c>
      <c r="C336" s="8">
        <v>45624</v>
      </c>
      <c r="D336" s="9">
        <v>1500</v>
      </c>
      <c r="E336" s="10" t="s">
        <v>22</v>
      </c>
      <c r="F336" s="11">
        <v>700</v>
      </c>
      <c r="G336" s="12" t="s">
        <v>22</v>
      </c>
      <c r="H336" s="11"/>
      <c r="I336" s="12"/>
      <c r="J336" s="11">
        <v>300</v>
      </c>
      <c r="K336" s="12" t="s">
        <v>22</v>
      </c>
    </row>
    <row r="337" spans="1:11" x14ac:dyDescent="0.25">
      <c r="A337" s="1">
        <v>334</v>
      </c>
      <c r="B337" s="7" t="s">
        <v>14</v>
      </c>
      <c r="C337" s="8">
        <v>45624</v>
      </c>
      <c r="D337" s="9"/>
      <c r="E337" s="10"/>
      <c r="F337" s="11">
        <v>200</v>
      </c>
      <c r="G337" s="12" t="s">
        <v>21</v>
      </c>
      <c r="H337" s="11"/>
      <c r="I337" s="12"/>
      <c r="J337" s="11">
        <v>200</v>
      </c>
      <c r="K337" s="12" t="s">
        <v>21</v>
      </c>
    </row>
    <row r="338" spans="1:11" x14ac:dyDescent="0.25">
      <c r="A338" s="1">
        <v>335</v>
      </c>
      <c r="B338" s="7" t="s">
        <v>15</v>
      </c>
      <c r="C338" s="8">
        <v>45625</v>
      </c>
      <c r="D338" s="9"/>
      <c r="E338" s="10"/>
      <c r="F338" s="11"/>
      <c r="G338" s="12"/>
      <c r="H338" s="11"/>
      <c r="I338" s="12"/>
      <c r="J338" s="11"/>
      <c r="K338" s="12"/>
    </row>
    <row r="339" spans="1:11" x14ac:dyDescent="0.25">
      <c r="A339" s="1">
        <v>336</v>
      </c>
      <c r="B339" s="7" t="s">
        <v>16</v>
      </c>
      <c r="C339" s="8">
        <v>45626</v>
      </c>
      <c r="D339" s="9"/>
      <c r="E339" s="10"/>
      <c r="F339" s="11"/>
      <c r="G339" s="12"/>
      <c r="H339" s="11"/>
      <c r="I339" s="12"/>
      <c r="J339" s="11"/>
      <c r="K339" s="12"/>
    </row>
    <row r="340" spans="1:11" x14ac:dyDescent="0.25">
      <c r="A340" s="1">
        <v>337</v>
      </c>
      <c r="B340" s="7" t="s">
        <v>17</v>
      </c>
      <c r="C340" s="8">
        <v>45627</v>
      </c>
      <c r="D340" s="9"/>
      <c r="E340" s="10"/>
      <c r="F340" s="11"/>
      <c r="G340" s="12"/>
      <c r="H340" s="11"/>
      <c r="I340" s="12"/>
      <c r="J340" s="11"/>
      <c r="K340" s="12"/>
    </row>
    <row r="341" spans="1:11" x14ac:dyDescent="0.25">
      <c r="A341" s="1">
        <v>338</v>
      </c>
      <c r="B341" s="7" t="s">
        <v>18</v>
      </c>
      <c r="C341" s="8">
        <v>45628</v>
      </c>
      <c r="D341" s="9"/>
      <c r="E341" s="10"/>
      <c r="F341" s="11"/>
      <c r="G341" s="12"/>
      <c r="H341" s="11"/>
      <c r="I341" s="12"/>
      <c r="J341" s="11"/>
      <c r="K341" s="12"/>
    </row>
    <row r="342" spans="1:11" x14ac:dyDescent="0.25">
      <c r="A342" s="1">
        <v>339</v>
      </c>
      <c r="B342" s="7" t="s">
        <v>19</v>
      </c>
      <c r="C342" s="8">
        <v>45629</v>
      </c>
      <c r="D342" s="9">
        <v>5200</v>
      </c>
      <c r="E342" s="10" t="s">
        <v>12</v>
      </c>
      <c r="F342" s="11">
        <v>2500</v>
      </c>
      <c r="G342" s="12" t="s">
        <v>12</v>
      </c>
      <c r="H342" s="11">
        <v>500</v>
      </c>
      <c r="I342" s="12" t="s">
        <v>12</v>
      </c>
      <c r="J342" s="11">
        <v>5700</v>
      </c>
      <c r="K342" s="12" t="s">
        <v>12</v>
      </c>
    </row>
    <row r="343" spans="1:11" x14ac:dyDescent="0.25">
      <c r="A343" s="1">
        <v>340</v>
      </c>
      <c r="B343" s="7" t="s">
        <v>20</v>
      </c>
      <c r="C343" s="8">
        <v>45630</v>
      </c>
      <c r="D343" s="9"/>
      <c r="E343" s="10"/>
      <c r="F343" s="11"/>
      <c r="G343" s="12"/>
      <c r="H343" s="11"/>
      <c r="I343" s="12"/>
      <c r="J343" s="11"/>
      <c r="K343" s="12"/>
    </row>
    <row r="344" spans="1:11" x14ac:dyDescent="0.25">
      <c r="A344" s="1">
        <v>341</v>
      </c>
      <c r="B344" s="7" t="s">
        <v>14</v>
      </c>
      <c r="C344" s="8">
        <v>45631</v>
      </c>
      <c r="D344" s="9">
        <v>2900</v>
      </c>
      <c r="E344" s="10" t="s">
        <v>12</v>
      </c>
      <c r="F344" s="11">
        <v>1400</v>
      </c>
      <c r="G344" s="12" t="s">
        <v>12</v>
      </c>
      <c r="H344" s="11"/>
      <c r="I344" s="12"/>
      <c r="J344" s="11">
        <v>3200</v>
      </c>
      <c r="K344" s="12" t="s">
        <v>12</v>
      </c>
    </row>
    <row r="345" spans="1:11" x14ac:dyDescent="0.25">
      <c r="A345" s="1">
        <v>342</v>
      </c>
      <c r="B345" s="7" t="s">
        <v>14</v>
      </c>
      <c r="C345" s="8">
        <v>45631</v>
      </c>
      <c r="D345" s="9">
        <v>1500</v>
      </c>
      <c r="E345" s="10" t="s">
        <v>22</v>
      </c>
      <c r="F345" s="11">
        <v>2300</v>
      </c>
      <c r="G345" s="12" t="s">
        <v>22</v>
      </c>
      <c r="H345" s="11"/>
      <c r="I345" s="12"/>
      <c r="J345" s="11">
        <v>600</v>
      </c>
      <c r="K345" s="12" t="s">
        <v>22</v>
      </c>
    </row>
    <row r="346" spans="1:11" x14ac:dyDescent="0.25">
      <c r="A346" s="1">
        <v>343</v>
      </c>
      <c r="B346" s="7" t="s">
        <v>14</v>
      </c>
      <c r="C346" s="8">
        <v>45631</v>
      </c>
      <c r="D346" s="9">
        <v>700</v>
      </c>
      <c r="E346" s="10" t="s">
        <v>21</v>
      </c>
      <c r="F346" s="11">
        <v>300</v>
      </c>
      <c r="G346" s="12" t="s">
        <v>21</v>
      </c>
      <c r="H346" s="11"/>
      <c r="I346" s="12"/>
      <c r="J346" s="11">
        <v>100</v>
      </c>
      <c r="K346" s="12" t="s">
        <v>21</v>
      </c>
    </row>
    <row r="347" spans="1:11" x14ac:dyDescent="0.25">
      <c r="A347" s="1">
        <v>344</v>
      </c>
      <c r="B347" s="7" t="s">
        <v>15</v>
      </c>
      <c r="C347" s="8">
        <v>45632</v>
      </c>
      <c r="D347" s="9"/>
      <c r="E347" s="10"/>
      <c r="F347" s="11"/>
      <c r="G347" s="12"/>
      <c r="H347" s="11"/>
      <c r="I347" s="12"/>
      <c r="J347" s="11"/>
      <c r="K347" s="12"/>
    </row>
    <row r="348" spans="1:11" x14ac:dyDescent="0.25">
      <c r="A348" s="1">
        <v>345</v>
      </c>
      <c r="B348" s="7" t="s">
        <v>16</v>
      </c>
      <c r="C348" s="8">
        <v>45633</v>
      </c>
      <c r="D348" s="9"/>
      <c r="E348" s="10"/>
      <c r="F348" s="11"/>
      <c r="G348" s="12"/>
      <c r="H348" s="11"/>
      <c r="I348" s="12"/>
      <c r="J348" s="11"/>
      <c r="K348" s="12"/>
    </row>
    <row r="349" spans="1:11" x14ac:dyDescent="0.25">
      <c r="A349" s="1">
        <v>346</v>
      </c>
      <c r="B349" s="7" t="s">
        <v>17</v>
      </c>
      <c r="C349" s="8">
        <v>45634</v>
      </c>
      <c r="D349" s="9"/>
      <c r="E349" s="10"/>
      <c r="F349" s="11"/>
      <c r="G349" s="12"/>
      <c r="H349" s="11"/>
      <c r="I349" s="12"/>
      <c r="J349" s="11"/>
      <c r="K349" s="12"/>
    </row>
    <row r="350" spans="1:11" x14ac:dyDescent="0.25">
      <c r="A350" s="1">
        <v>347</v>
      </c>
      <c r="B350" s="7" t="s">
        <v>18</v>
      </c>
      <c r="C350" s="8">
        <v>45635</v>
      </c>
      <c r="D350" s="9"/>
      <c r="E350" s="10"/>
      <c r="F350" s="11"/>
      <c r="G350" s="12"/>
      <c r="H350" s="11"/>
      <c r="I350" s="12"/>
      <c r="J350" s="11"/>
      <c r="K350" s="12"/>
    </row>
    <row r="351" spans="1:11" x14ac:dyDescent="0.25">
      <c r="A351" s="1">
        <v>348</v>
      </c>
      <c r="B351" s="7" t="s">
        <v>19</v>
      </c>
      <c r="C351" s="8">
        <v>45636</v>
      </c>
      <c r="D351" s="9">
        <v>6500</v>
      </c>
      <c r="E351" s="10" t="s">
        <v>12</v>
      </c>
      <c r="F351" s="11">
        <v>2000</v>
      </c>
      <c r="G351" s="12" t="s">
        <v>12</v>
      </c>
      <c r="H351" s="11"/>
      <c r="I351" s="12"/>
      <c r="J351" s="11">
        <v>5100</v>
      </c>
      <c r="K351" s="12" t="s">
        <v>12</v>
      </c>
    </row>
    <row r="352" spans="1:11" x14ac:dyDescent="0.25">
      <c r="A352" s="1">
        <v>349</v>
      </c>
      <c r="B352" s="7" t="s">
        <v>20</v>
      </c>
      <c r="C352" s="8">
        <v>45637</v>
      </c>
      <c r="D352" s="9"/>
      <c r="E352" s="10"/>
      <c r="F352" s="11"/>
      <c r="G352" s="12"/>
      <c r="H352" s="11"/>
      <c r="I352" s="12"/>
      <c r="J352" s="11"/>
      <c r="K352" s="12"/>
    </row>
    <row r="353" spans="1:11" x14ac:dyDescent="0.25">
      <c r="A353" s="1">
        <v>350</v>
      </c>
      <c r="B353" s="7" t="s">
        <v>14</v>
      </c>
      <c r="C353" s="8">
        <v>45638</v>
      </c>
      <c r="D353" s="9">
        <v>3800</v>
      </c>
      <c r="E353" s="10" t="s">
        <v>12</v>
      </c>
      <c r="F353" s="11">
        <v>1200</v>
      </c>
      <c r="G353" s="12" t="s">
        <v>12</v>
      </c>
      <c r="H353" s="11"/>
      <c r="I353" s="12"/>
      <c r="J353" s="11">
        <v>3000</v>
      </c>
      <c r="K353" s="12" t="s">
        <v>12</v>
      </c>
    </row>
    <row r="354" spans="1:11" x14ac:dyDescent="0.25">
      <c r="A354" s="1">
        <v>351</v>
      </c>
      <c r="B354" s="7" t="s">
        <v>14</v>
      </c>
      <c r="C354" s="8">
        <v>45638</v>
      </c>
      <c r="D354" s="9">
        <v>3100</v>
      </c>
      <c r="E354" s="10" t="s">
        <v>22</v>
      </c>
      <c r="F354" s="11">
        <v>1300</v>
      </c>
      <c r="G354" s="12" t="s">
        <v>22</v>
      </c>
      <c r="H354" s="11">
        <v>1000</v>
      </c>
      <c r="I354" s="12" t="s">
        <v>22</v>
      </c>
      <c r="J354" s="11">
        <v>400</v>
      </c>
      <c r="K354" s="12" t="s">
        <v>22</v>
      </c>
    </row>
    <row r="355" spans="1:11" x14ac:dyDescent="0.25">
      <c r="A355" s="1">
        <v>352</v>
      </c>
      <c r="B355" s="7" t="s">
        <v>14</v>
      </c>
      <c r="C355" s="8">
        <v>45638</v>
      </c>
      <c r="D355" s="9">
        <v>1100</v>
      </c>
      <c r="E355" s="12" t="s">
        <v>21</v>
      </c>
      <c r="F355" s="11">
        <v>500</v>
      </c>
      <c r="G355" s="12" t="s">
        <v>21</v>
      </c>
      <c r="H355" s="11"/>
      <c r="I355" s="12"/>
      <c r="J355" s="11">
        <v>50</v>
      </c>
      <c r="K355" s="12" t="s">
        <v>21</v>
      </c>
    </row>
    <row r="356" spans="1:11" x14ac:dyDescent="0.25">
      <c r="A356" s="1">
        <v>353</v>
      </c>
      <c r="B356" s="7" t="s">
        <v>15</v>
      </c>
      <c r="C356" s="8">
        <v>45639</v>
      </c>
      <c r="D356" s="9"/>
      <c r="E356" s="10"/>
      <c r="F356" s="11"/>
      <c r="G356" s="12"/>
      <c r="H356" s="11"/>
      <c r="I356" s="12"/>
      <c r="J356" s="11"/>
      <c r="K356" s="12"/>
    </row>
    <row r="357" spans="1:11" x14ac:dyDescent="0.25">
      <c r="A357" s="1">
        <v>354</v>
      </c>
      <c r="B357" s="7" t="s">
        <v>16</v>
      </c>
      <c r="C357" s="8">
        <v>45640</v>
      </c>
      <c r="D357" s="9"/>
      <c r="E357" s="10"/>
      <c r="F357" s="11"/>
      <c r="G357" s="12"/>
      <c r="H357" s="11"/>
      <c r="I357" s="12"/>
      <c r="J357" s="11"/>
      <c r="K357" s="12"/>
    </row>
    <row r="358" spans="1:11" x14ac:dyDescent="0.25">
      <c r="A358" s="1">
        <v>355</v>
      </c>
      <c r="B358" s="7" t="s">
        <v>17</v>
      </c>
      <c r="C358" s="8">
        <v>45641</v>
      </c>
      <c r="D358" s="9"/>
      <c r="E358" s="10"/>
      <c r="F358" s="11"/>
      <c r="G358" s="12"/>
      <c r="H358" s="11"/>
      <c r="I358" s="12"/>
      <c r="J358" s="11"/>
      <c r="K358" s="12"/>
    </row>
    <row r="359" spans="1:11" x14ac:dyDescent="0.25">
      <c r="A359" s="1">
        <v>356</v>
      </c>
      <c r="B359" s="7" t="s">
        <v>18</v>
      </c>
      <c r="C359" s="8">
        <v>45642</v>
      </c>
      <c r="D359" s="9"/>
      <c r="E359" s="10"/>
      <c r="F359" s="11"/>
      <c r="G359" s="12"/>
      <c r="H359" s="11"/>
      <c r="I359" s="12"/>
      <c r="J359" s="11"/>
      <c r="K359" s="12"/>
    </row>
    <row r="360" spans="1:11" x14ac:dyDescent="0.25">
      <c r="A360" s="1">
        <v>357</v>
      </c>
      <c r="B360" s="7" t="s">
        <v>19</v>
      </c>
      <c r="C360" s="8">
        <v>45643</v>
      </c>
      <c r="D360" s="9">
        <v>4400</v>
      </c>
      <c r="E360" s="10" t="s">
        <v>12</v>
      </c>
      <c r="F360" s="11">
        <v>4700</v>
      </c>
      <c r="G360" s="12" t="s">
        <v>12</v>
      </c>
      <c r="H360" s="11">
        <v>400</v>
      </c>
      <c r="I360" s="12" t="s">
        <v>12</v>
      </c>
      <c r="J360" s="11">
        <v>3700</v>
      </c>
      <c r="K360" s="12" t="s">
        <v>12</v>
      </c>
    </row>
    <row r="361" spans="1:11" x14ac:dyDescent="0.25">
      <c r="A361" s="1">
        <v>358</v>
      </c>
      <c r="B361" s="7" t="s">
        <v>20</v>
      </c>
      <c r="C361" s="8">
        <v>45644</v>
      </c>
      <c r="D361" s="9"/>
      <c r="E361" s="10"/>
      <c r="F361" s="11"/>
      <c r="G361" s="12"/>
      <c r="H361" s="11"/>
      <c r="I361" s="12"/>
      <c r="J361" s="11"/>
      <c r="K361" s="12"/>
    </row>
    <row r="362" spans="1:11" x14ac:dyDescent="0.25">
      <c r="A362" s="1">
        <v>359</v>
      </c>
      <c r="B362" s="7" t="s">
        <v>14</v>
      </c>
      <c r="C362" s="8">
        <v>45645</v>
      </c>
      <c r="D362" s="9">
        <v>4100</v>
      </c>
      <c r="E362" s="10" t="s">
        <v>12</v>
      </c>
      <c r="F362" s="11">
        <v>4300</v>
      </c>
      <c r="G362" s="12" t="s">
        <v>12</v>
      </c>
      <c r="H362" s="11"/>
      <c r="I362" s="12"/>
      <c r="J362" s="11">
        <v>3400</v>
      </c>
      <c r="K362" s="12" t="s">
        <v>12</v>
      </c>
    </row>
    <row r="363" spans="1:11" x14ac:dyDescent="0.25">
      <c r="A363" s="1">
        <v>360</v>
      </c>
      <c r="B363" s="7" t="s">
        <v>14</v>
      </c>
      <c r="C363" s="8">
        <v>45645</v>
      </c>
      <c r="D363" s="9">
        <v>1200</v>
      </c>
      <c r="E363" s="10" t="s">
        <v>22</v>
      </c>
      <c r="F363" s="11">
        <v>900</v>
      </c>
      <c r="G363" s="12" t="s">
        <v>22</v>
      </c>
      <c r="H363" s="11"/>
      <c r="I363" s="12"/>
      <c r="J363" s="11">
        <v>100</v>
      </c>
      <c r="K363" s="12" t="s">
        <v>22</v>
      </c>
    </row>
    <row r="364" spans="1:11" x14ac:dyDescent="0.25">
      <c r="A364" s="1">
        <v>361</v>
      </c>
      <c r="B364" s="7" t="s">
        <v>14</v>
      </c>
      <c r="C364" s="8">
        <v>45645</v>
      </c>
      <c r="D364" s="9">
        <v>400</v>
      </c>
      <c r="E364" s="10" t="s">
        <v>21</v>
      </c>
      <c r="F364" s="11">
        <v>400</v>
      </c>
      <c r="G364" s="12" t="s">
        <v>21</v>
      </c>
      <c r="H364" s="11"/>
      <c r="I364" s="12"/>
      <c r="J364" s="11">
        <v>100</v>
      </c>
      <c r="K364" s="12" t="s">
        <v>21</v>
      </c>
    </row>
    <row r="365" spans="1:11" x14ac:dyDescent="0.25">
      <c r="A365" s="1">
        <v>362</v>
      </c>
      <c r="B365" s="7" t="s">
        <v>15</v>
      </c>
      <c r="C365" s="8">
        <v>45646</v>
      </c>
      <c r="D365" s="9"/>
      <c r="E365" s="10"/>
      <c r="F365" s="11"/>
      <c r="G365" s="12"/>
      <c r="H365" s="11"/>
      <c r="I365" s="12"/>
      <c r="J365" s="11"/>
      <c r="K365" s="12"/>
    </row>
    <row r="366" spans="1:11" x14ac:dyDescent="0.25">
      <c r="A366" s="1">
        <v>363</v>
      </c>
      <c r="B366" s="7" t="s">
        <v>16</v>
      </c>
      <c r="C366" s="8">
        <v>45647</v>
      </c>
      <c r="D366" s="9"/>
      <c r="E366" s="10"/>
      <c r="F366" s="11"/>
      <c r="G366" s="12"/>
      <c r="H366" s="11"/>
      <c r="I366" s="12"/>
      <c r="J366" s="11"/>
      <c r="K366" s="12"/>
    </row>
    <row r="367" spans="1:11" x14ac:dyDescent="0.25">
      <c r="A367" s="1">
        <v>364</v>
      </c>
      <c r="B367" s="7" t="s">
        <v>17</v>
      </c>
      <c r="C367" s="8">
        <v>45648</v>
      </c>
      <c r="D367" s="9"/>
      <c r="E367" s="10"/>
      <c r="F367" s="11"/>
      <c r="G367" s="12"/>
      <c r="H367" s="11"/>
      <c r="I367" s="12"/>
      <c r="J367" s="11"/>
      <c r="K367" s="12"/>
    </row>
    <row r="368" spans="1:11" x14ac:dyDescent="0.25">
      <c r="A368" s="1">
        <v>365</v>
      </c>
      <c r="B368" s="7" t="s">
        <v>18</v>
      </c>
      <c r="C368" s="8">
        <v>45649</v>
      </c>
      <c r="D368" s="9"/>
      <c r="E368" s="10"/>
      <c r="F368" s="11"/>
      <c r="G368" s="12"/>
      <c r="H368" s="11"/>
      <c r="I368" s="12"/>
      <c r="J368" s="11"/>
      <c r="K368" s="12"/>
    </row>
    <row r="369" spans="1:14" x14ac:dyDescent="0.25">
      <c r="A369" s="1">
        <v>366</v>
      </c>
      <c r="B369" s="7" t="s">
        <v>19</v>
      </c>
      <c r="C369" s="8">
        <v>45650</v>
      </c>
      <c r="D369" s="9">
        <v>3300</v>
      </c>
      <c r="E369" s="10" t="s">
        <v>12</v>
      </c>
      <c r="F369" s="11">
        <v>5400</v>
      </c>
      <c r="G369" s="12" t="s">
        <v>12</v>
      </c>
      <c r="H369" s="11"/>
      <c r="I369" s="12"/>
      <c r="J369" s="11">
        <v>8000</v>
      </c>
      <c r="K369" s="12" t="s">
        <v>12</v>
      </c>
    </row>
    <row r="370" spans="1:14" x14ac:dyDescent="0.25">
      <c r="A370" s="1">
        <v>367</v>
      </c>
      <c r="B370" s="7" t="s">
        <v>20</v>
      </c>
      <c r="C370" s="8">
        <v>45651</v>
      </c>
      <c r="D370" s="9"/>
      <c r="E370" s="10"/>
      <c r="F370" s="11"/>
      <c r="G370" s="12"/>
      <c r="H370" s="11"/>
      <c r="I370" s="12"/>
      <c r="J370" s="11"/>
      <c r="K370" s="12"/>
    </row>
    <row r="371" spans="1:14" x14ac:dyDescent="0.25">
      <c r="A371" s="1">
        <v>368</v>
      </c>
      <c r="B371" s="7" t="s">
        <v>14</v>
      </c>
      <c r="C371" s="8">
        <v>45652</v>
      </c>
      <c r="D371" s="9">
        <v>600</v>
      </c>
      <c r="E371" s="10" t="s">
        <v>12</v>
      </c>
      <c r="F371" s="11">
        <v>1000</v>
      </c>
      <c r="G371" s="12" t="s">
        <v>12</v>
      </c>
      <c r="H371" s="11">
        <v>1800</v>
      </c>
      <c r="I371" s="12" t="s">
        <v>12</v>
      </c>
      <c r="J371" s="11">
        <v>1500</v>
      </c>
      <c r="K371" s="12" t="s">
        <v>12</v>
      </c>
    </row>
    <row r="372" spans="1:14" x14ac:dyDescent="0.25">
      <c r="A372" s="1">
        <v>369</v>
      </c>
      <c r="B372" s="7" t="s">
        <v>14</v>
      </c>
      <c r="C372" s="8">
        <v>45652</v>
      </c>
      <c r="D372" s="9">
        <v>4200</v>
      </c>
      <c r="E372" s="10" t="s">
        <v>22</v>
      </c>
      <c r="F372" s="11">
        <v>1700</v>
      </c>
      <c r="G372" s="12" t="s">
        <v>22</v>
      </c>
      <c r="H372" s="11">
        <v>300</v>
      </c>
      <c r="I372" s="12" t="s">
        <v>22</v>
      </c>
      <c r="J372" s="11">
        <v>200</v>
      </c>
      <c r="K372" s="12" t="s">
        <v>22</v>
      </c>
    </row>
    <row r="373" spans="1:14" x14ac:dyDescent="0.25">
      <c r="A373" s="1">
        <v>370</v>
      </c>
      <c r="B373" s="7" t="s">
        <v>14</v>
      </c>
      <c r="C373" s="8">
        <v>45652</v>
      </c>
      <c r="D373" s="9">
        <v>1200</v>
      </c>
      <c r="E373" s="10" t="s">
        <v>21</v>
      </c>
      <c r="F373" s="11">
        <v>600</v>
      </c>
      <c r="G373" s="12" t="s">
        <v>21</v>
      </c>
      <c r="H373" s="11"/>
      <c r="I373" s="12"/>
      <c r="J373" s="11">
        <v>100</v>
      </c>
      <c r="K373" s="12" t="s">
        <v>21</v>
      </c>
    </row>
    <row r="374" spans="1:14" x14ac:dyDescent="0.25">
      <c r="A374" s="1">
        <v>371</v>
      </c>
      <c r="B374" s="7" t="s">
        <v>15</v>
      </c>
      <c r="C374" s="8">
        <v>45653</v>
      </c>
      <c r="D374" s="9"/>
      <c r="E374" s="10"/>
      <c r="F374" s="11"/>
      <c r="G374" s="12"/>
      <c r="H374" s="11"/>
      <c r="I374" s="12"/>
      <c r="J374" s="11"/>
      <c r="K374" s="12"/>
    </row>
    <row r="375" spans="1:14" x14ac:dyDescent="0.25">
      <c r="A375" s="1">
        <v>372</v>
      </c>
      <c r="B375" s="7" t="s">
        <v>16</v>
      </c>
      <c r="C375" s="8">
        <v>45654</v>
      </c>
      <c r="D375" s="9"/>
      <c r="E375" s="10"/>
      <c r="F375" s="11"/>
      <c r="G375" s="12"/>
      <c r="H375" s="11"/>
      <c r="I375" s="12"/>
      <c r="J375" s="11"/>
      <c r="K375" s="12"/>
    </row>
    <row r="376" spans="1:14" x14ac:dyDescent="0.25">
      <c r="A376" s="1">
        <v>373</v>
      </c>
      <c r="B376" s="7" t="s">
        <v>17</v>
      </c>
      <c r="C376" s="8">
        <v>45655</v>
      </c>
      <c r="D376" s="9"/>
      <c r="E376" s="10"/>
      <c r="F376" s="11"/>
      <c r="G376" s="12"/>
      <c r="H376" s="11"/>
      <c r="I376" s="12"/>
      <c r="J376" s="11"/>
      <c r="K376" s="12"/>
    </row>
    <row r="377" spans="1:14" x14ac:dyDescent="0.25">
      <c r="A377" s="1">
        <v>374</v>
      </c>
      <c r="B377" s="7" t="s">
        <v>18</v>
      </c>
      <c r="C377" s="8">
        <v>45656</v>
      </c>
      <c r="D377" s="9"/>
      <c r="E377" s="10"/>
      <c r="F377" s="11"/>
      <c r="G377" s="12"/>
      <c r="H377" s="11"/>
      <c r="I377" s="12"/>
      <c r="J377" s="11"/>
      <c r="K377" s="12"/>
    </row>
    <row r="378" spans="1:14" x14ac:dyDescent="0.25">
      <c r="A378" s="1">
        <v>375</v>
      </c>
      <c r="B378" s="7" t="s">
        <v>19</v>
      </c>
      <c r="C378" s="8">
        <v>45657</v>
      </c>
      <c r="D378" s="9"/>
      <c r="E378" s="10"/>
      <c r="F378" s="11"/>
      <c r="G378" s="12"/>
      <c r="H378" s="11"/>
      <c r="I378" s="12"/>
      <c r="J378" s="11"/>
      <c r="K378" s="12"/>
    </row>
    <row r="379" spans="1:14" x14ac:dyDescent="0.25">
      <c r="A379" s="1">
        <v>376</v>
      </c>
      <c r="B379" s="7" t="s">
        <v>20</v>
      </c>
      <c r="C379" s="8">
        <v>45658</v>
      </c>
      <c r="D379" s="9"/>
      <c r="E379" s="10"/>
      <c r="F379" s="11"/>
      <c r="G379" s="12"/>
      <c r="H379" s="11"/>
      <c r="I379" s="12"/>
      <c r="J379" s="11"/>
      <c r="K379" s="12"/>
    </row>
    <row r="380" spans="1:14" x14ac:dyDescent="0.25">
      <c r="A380" s="1">
        <v>377</v>
      </c>
      <c r="B380" s="7" t="s">
        <v>14</v>
      </c>
      <c r="C380" s="8">
        <v>45659</v>
      </c>
      <c r="D380" s="9"/>
      <c r="E380" s="10"/>
      <c r="F380" s="11"/>
      <c r="G380" s="12"/>
      <c r="H380" s="11"/>
      <c r="I380" s="12"/>
      <c r="J380" s="11"/>
      <c r="K380" s="12"/>
    </row>
    <row r="381" spans="1:14" x14ac:dyDescent="0.25">
      <c r="A381" s="1">
        <v>378</v>
      </c>
      <c r="B381" s="7" t="s">
        <v>15</v>
      </c>
      <c r="C381" s="8">
        <v>45660</v>
      </c>
      <c r="D381" s="9">
        <v>5200</v>
      </c>
      <c r="E381" s="10" t="s">
        <v>12</v>
      </c>
      <c r="F381" s="11">
        <v>2400</v>
      </c>
      <c r="G381" s="12" t="s">
        <v>12</v>
      </c>
      <c r="H381" s="11">
        <v>1100</v>
      </c>
      <c r="I381" s="12" t="s">
        <v>12</v>
      </c>
      <c r="J381" s="11">
        <v>5500</v>
      </c>
      <c r="K381" s="12" t="s">
        <v>12</v>
      </c>
    </row>
    <row r="382" spans="1:14" x14ac:dyDescent="0.25">
      <c r="A382" s="1">
        <v>379</v>
      </c>
      <c r="B382" s="7" t="s">
        <v>15</v>
      </c>
      <c r="C382" s="8">
        <v>45660</v>
      </c>
      <c r="D382" s="21">
        <v>1000</v>
      </c>
      <c r="E382" s="22" t="s">
        <v>22</v>
      </c>
      <c r="F382" s="23">
        <v>200</v>
      </c>
      <c r="G382" s="24" t="s">
        <v>22</v>
      </c>
      <c r="H382" s="23"/>
      <c r="I382" s="24"/>
      <c r="J382" s="23">
        <v>300</v>
      </c>
      <c r="K382" s="24" t="s">
        <v>22</v>
      </c>
      <c r="N382" s="26" t="s">
        <v>29</v>
      </c>
    </row>
    <row r="383" spans="1:14" x14ac:dyDescent="0.25">
      <c r="A383" s="1">
        <v>380</v>
      </c>
      <c r="B383" s="7" t="s">
        <v>15</v>
      </c>
      <c r="C383" s="8">
        <v>45660</v>
      </c>
      <c r="D383" s="21">
        <v>200</v>
      </c>
      <c r="E383" s="22" t="s">
        <v>21</v>
      </c>
      <c r="F383" s="23">
        <v>300</v>
      </c>
      <c r="G383" s="24" t="s">
        <v>21</v>
      </c>
      <c r="H383" s="23"/>
      <c r="I383" s="24"/>
      <c r="J383" s="23">
        <v>100</v>
      </c>
      <c r="K383" s="24" t="s">
        <v>21</v>
      </c>
      <c r="N383" s="26" t="s">
        <v>29</v>
      </c>
    </row>
    <row r="384" spans="1:14" x14ac:dyDescent="0.25">
      <c r="A384" s="1">
        <v>381</v>
      </c>
      <c r="B384" s="7" t="s">
        <v>16</v>
      </c>
      <c r="C384" s="8">
        <v>45661</v>
      </c>
      <c r="D384" s="9"/>
      <c r="E384" s="10"/>
      <c r="F384" s="11"/>
      <c r="G384" s="12"/>
      <c r="H384" s="11"/>
      <c r="I384" s="12"/>
      <c r="J384" s="11"/>
      <c r="K384" s="12"/>
    </row>
    <row r="385" spans="1:14" x14ac:dyDescent="0.25">
      <c r="A385" s="1">
        <v>382</v>
      </c>
      <c r="B385" s="7" t="s">
        <v>17</v>
      </c>
      <c r="C385" s="8">
        <v>45662</v>
      </c>
      <c r="D385" s="9"/>
      <c r="E385" s="10"/>
      <c r="F385" s="11"/>
      <c r="G385" s="12"/>
      <c r="H385" s="11"/>
      <c r="I385" s="12"/>
      <c r="J385" s="11"/>
      <c r="K385" s="12"/>
    </row>
    <row r="386" spans="1:14" x14ac:dyDescent="0.25">
      <c r="A386" s="1">
        <v>383</v>
      </c>
      <c r="B386" s="7" t="s">
        <v>18</v>
      </c>
      <c r="C386" s="8">
        <v>45663</v>
      </c>
      <c r="D386" s="9"/>
      <c r="E386" s="10"/>
      <c r="F386" s="11"/>
      <c r="G386" s="12"/>
      <c r="H386" s="11"/>
      <c r="I386" s="12"/>
      <c r="J386" s="11"/>
      <c r="K386" s="12"/>
    </row>
    <row r="387" spans="1:14" x14ac:dyDescent="0.25">
      <c r="A387" s="1">
        <v>384</v>
      </c>
      <c r="B387" s="7" t="s">
        <v>19</v>
      </c>
      <c r="C387" s="8">
        <v>45664</v>
      </c>
      <c r="D387" s="9">
        <v>5300</v>
      </c>
      <c r="E387" s="10" t="s">
        <v>12</v>
      </c>
      <c r="F387" s="11">
        <v>3400</v>
      </c>
      <c r="G387" s="12" t="s">
        <v>12</v>
      </c>
      <c r="H387" s="11"/>
      <c r="I387" s="12"/>
      <c r="J387" s="11">
        <v>5000</v>
      </c>
      <c r="K387" s="12" t="s">
        <v>12</v>
      </c>
    </row>
    <row r="388" spans="1:14" x14ac:dyDescent="0.25">
      <c r="A388" s="1">
        <v>385</v>
      </c>
      <c r="B388" s="7" t="s">
        <v>20</v>
      </c>
      <c r="C388" s="8">
        <v>45665</v>
      </c>
      <c r="D388" s="9"/>
      <c r="E388" s="10"/>
      <c r="F388" s="11"/>
      <c r="G388" s="12"/>
      <c r="H388" s="11"/>
      <c r="I388" s="12"/>
      <c r="J388" s="11"/>
      <c r="K388" s="12"/>
    </row>
    <row r="389" spans="1:14" x14ac:dyDescent="0.25">
      <c r="A389" s="1">
        <v>386</v>
      </c>
      <c r="B389" s="7" t="s">
        <v>14</v>
      </c>
      <c r="C389" s="8">
        <v>45666</v>
      </c>
      <c r="D389" s="9">
        <v>6300</v>
      </c>
      <c r="E389" s="10" t="s">
        <v>12</v>
      </c>
      <c r="F389" s="11">
        <v>4000</v>
      </c>
      <c r="G389" s="12" t="s">
        <v>12</v>
      </c>
      <c r="H389" s="11">
        <v>800</v>
      </c>
      <c r="I389" s="12" t="s">
        <v>12</v>
      </c>
      <c r="J389" s="11">
        <v>5900</v>
      </c>
      <c r="K389" s="12" t="s">
        <v>12</v>
      </c>
    </row>
    <row r="390" spans="1:14" x14ac:dyDescent="0.25">
      <c r="A390" s="1">
        <v>387</v>
      </c>
      <c r="B390" s="7" t="s">
        <v>15</v>
      </c>
      <c r="C390" s="8">
        <v>45667</v>
      </c>
      <c r="D390" s="9"/>
      <c r="E390" s="10"/>
      <c r="F390" s="11"/>
      <c r="G390" s="12"/>
      <c r="H390" s="11"/>
      <c r="I390" s="12"/>
      <c r="J390" s="11"/>
      <c r="K390" s="12"/>
    </row>
    <row r="391" spans="1:14" x14ac:dyDescent="0.25">
      <c r="A391" s="1">
        <v>388</v>
      </c>
      <c r="B391" s="7" t="s">
        <v>16</v>
      </c>
      <c r="C391" s="8">
        <v>45668</v>
      </c>
      <c r="D391" s="9"/>
      <c r="E391" s="10"/>
      <c r="F391" s="11"/>
      <c r="G391" s="12"/>
      <c r="H391" s="11"/>
      <c r="I391" s="12"/>
      <c r="J391" s="11"/>
      <c r="K391" s="12"/>
    </row>
    <row r="392" spans="1:14" x14ac:dyDescent="0.25">
      <c r="A392" s="1">
        <v>389</v>
      </c>
      <c r="B392" s="7" t="s">
        <v>17</v>
      </c>
      <c r="C392" s="8">
        <v>45669</v>
      </c>
      <c r="D392" s="9"/>
      <c r="E392" s="10"/>
      <c r="F392" s="11"/>
      <c r="G392" s="12"/>
      <c r="H392" s="11"/>
      <c r="I392" s="12"/>
      <c r="J392" s="11"/>
      <c r="K392" s="12"/>
    </row>
    <row r="393" spans="1:14" x14ac:dyDescent="0.25">
      <c r="A393" s="1">
        <v>390</v>
      </c>
      <c r="B393" s="7" t="s">
        <v>18</v>
      </c>
      <c r="C393" s="8">
        <v>45670</v>
      </c>
      <c r="D393" s="9"/>
      <c r="E393" s="10"/>
      <c r="F393" s="11"/>
      <c r="G393" s="12"/>
      <c r="H393" s="11"/>
      <c r="I393" s="12"/>
      <c r="J393" s="11"/>
      <c r="K393" s="12"/>
    </row>
    <row r="394" spans="1:14" x14ac:dyDescent="0.25">
      <c r="A394" s="1">
        <v>391</v>
      </c>
      <c r="B394" s="7" t="s">
        <v>19</v>
      </c>
      <c r="C394" s="8">
        <v>45671</v>
      </c>
      <c r="D394" s="9">
        <v>4400</v>
      </c>
      <c r="E394" s="10" t="s">
        <v>12</v>
      </c>
      <c r="F394" s="11">
        <v>4100</v>
      </c>
      <c r="G394" s="12" t="s">
        <v>12</v>
      </c>
      <c r="H394" s="11">
        <v>600</v>
      </c>
      <c r="I394" s="12" t="s">
        <v>12</v>
      </c>
      <c r="J394" s="11">
        <v>4400</v>
      </c>
      <c r="K394" s="12" t="s">
        <v>12</v>
      </c>
    </row>
    <row r="395" spans="1:14" x14ac:dyDescent="0.25">
      <c r="A395" s="1">
        <v>392</v>
      </c>
      <c r="B395" s="7" t="s">
        <v>20</v>
      </c>
      <c r="C395" s="8">
        <v>45672</v>
      </c>
      <c r="D395" s="9"/>
      <c r="E395" s="10"/>
      <c r="F395" s="11"/>
      <c r="G395" s="12"/>
      <c r="H395" s="11"/>
      <c r="I395" s="12"/>
      <c r="J395" s="11"/>
      <c r="K395" s="12"/>
    </row>
    <row r="396" spans="1:14" x14ac:dyDescent="0.25">
      <c r="A396" s="1">
        <v>393</v>
      </c>
      <c r="B396" s="7" t="s">
        <v>14</v>
      </c>
      <c r="C396" s="8">
        <v>45673</v>
      </c>
      <c r="D396" s="9">
        <v>2400</v>
      </c>
      <c r="E396" s="10" t="s">
        <v>22</v>
      </c>
      <c r="F396" s="11">
        <v>1700</v>
      </c>
      <c r="G396" s="12" t="s">
        <v>22</v>
      </c>
      <c r="H396" s="11"/>
      <c r="I396" s="12"/>
      <c r="J396" s="11">
        <v>700</v>
      </c>
      <c r="K396" s="12" t="s">
        <v>22</v>
      </c>
      <c r="N396" s="28" t="s">
        <v>28</v>
      </c>
    </row>
    <row r="397" spans="1:14" x14ac:dyDescent="0.25">
      <c r="A397" s="1">
        <v>394</v>
      </c>
      <c r="B397" s="7" t="s">
        <v>14</v>
      </c>
      <c r="C397" s="8">
        <v>45673</v>
      </c>
      <c r="D397" s="9">
        <v>400</v>
      </c>
      <c r="E397" s="10" t="s">
        <v>21</v>
      </c>
      <c r="F397" s="11">
        <v>20</v>
      </c>
      <c r="G397" s="12" t="s">
        <v>21</v>
      </c>
      <c r="H397" s="11"/>
      <c r="I397" s="12"/>
      <c r="J397" s="11">
        <v>20</v>
      </c>
      <c r="K397" s="12" t="s">
        <v>21</v>
      </c>
      <c r="N397" s="28" t="s">
        <v>28</v>
      </c>
    </row>
    <row r="398" spans="1:14" x14ac:dyDescent="0.25">
      <c r="A398" s="1">
        <v>395</v>
      </c>
      <c r="B398" s="7" t="s">
        <v>15</v>
      </c>
      <c r="C398" s="8">
        <v>45674</v>
      </c>
      <c r="D398" s="9"/>
      <c r="E398" s="10"/>
      <c r="F398" s="11"/>
      <c r="G398" s="12"/>
      <c r="H398" s="11"/>
      <c r="I398" s="12"/>
      <c r="J398" s="11"/>
      <c r="K398" s="12"/>
    </row>
    <row r="399" spans="1:14" x14ac:dyDescent="0.25">
      <c r="A399" s="1">
        <v>396</v>
      </c>
      <c r="B399" s="7" t="s">
        <v>16</v>
      </c>
      <c r="C399" s="8">
        <v>45675</v>
      </c>
      <c r="D399" s="9"/>
      <c r="E399" s="10"/>
      <c r="F399" s="11"/>
      <c r="G399" s="12"/>
      <c r="H399" s="11"/>
      <c r="I399" s="12"/>
      <c r="J399" s="11"/>
      <c r="K399" s="12"/>
    </row>
    <row r="400" spans="1:14" x14ac:dyDescent="0.25">
      <c r="A400" s="1">
        <v>397</v>
      </c>
      <c r="B400" s="7" t="s">
        <v>17</v>
      </c>
      <c r="C400" s="8">
        <v>45676</v>
      </c>
      <c r="D400" s="9"/>
      <c r="E400" s="10"/>
      <c r="F400" s="11"/>
      <c r="G400" s="12"/>
      <c r="H400" s="11"/>
      <c r="I400" s="12"/>
      <c r="J400" s="11"/>
      <c r="K400" s="12"/>
    </row>
    <row r="401" spans="1:11" x14ac:dyDescent="0.25">
      <c r="A401" s="1">
        <v>398</v>
      </c>
      <c r="B401" s="7" t="s">
        <v>18</v>
      </c>
      <c r="C401" s="8">
        <v>45677</v>
      </c>
      <c r="D401" s="9"/>
      <c r="E401" s="10"/>
      <c r="F401" s="11"/>
      <c r="G401" s="12"/>
      <c r="H401" s="11"/>
      <c r="I401" s="12"/>
      <c r="J401" s="11"/>
      <c r="K401" s="12"/>
    </row>
    <row r="402" spans="1:11" x14ac:dyDescent="0.25">
      <c r="A402" s="1">
        <v>399</v>
      </c>
      <c r="B402" s="7" t="s">
        <v>19</v>
      </c>
      <c r="C402" s="8">
        <v>45678</v>
      </c>
      <c r="D402" s="9">
        <v>5100</v>
      </c>
      <c r="E402" s="10" t="s">
        <v>12</v>
      </c>
      <c r="F402" s="11">
        <v>3000</v>
      </c>
      <c r="G402" s="12" t="s">
        <v>12</v>
      </c>
      <c r="H402" s="11"/>
      <c r="I402" s="12"/>
      <c r="J402" s="11">
        <v>5800</v>
      </c>
      <c r="K402" s="12" t="s">
        <v>12</v>
      </c>
    </row>
    <row r="403" spans="1:11" x14ac:dyDescent="0.25">
      <c r="A403" s="1">
        <v>400</v>
      </c>
      <c r="B403" s="7" t="s">
        <v>20</v>
      </c>
      <c r="C403" s="8">
        <v>45679</v>
      </c>
      <c r="D403" s="9"/>
      <c r="E403" s="10"/>
      <c r="F403" s="11"/>
      <c r="G403" s="12"/>
      <c r="H403" s="11"/>
      <c r="I403" s="12"/>
      <c r="J403" s="11"/>
      <c r="K403" s="12"/>
    </row>
    <row r="404" spans="1:11" x14ac:dyDescent="0.25">
      <c r="A404" s="1">
        <v>401</v>
      </c>
      <c r="B404" s="7" t="s">
        <v>14</v>
      </c>
      <c r="C404" s="8">
        <v>45680</v>
      </c>
      <c r="D404" s="9">
        <v>5700</v>
      </c>
      <c r="E404" s="10" t="s">
        <v>12</v>
      </c>
      <c r="F404" s="11">
        <v>3400</v>
      </c>
      <c r="G404" s="12" t="s">
        <v>12</v>
      </c>
      <c r="H404" s="11">
        <v>1300</v>
      </c>
      <c r="I404" s="12" t="s">
        <v>12</v>
      </c>
      <c r="J404" s="11">
        <v>6600</v>
      </c>
      <c r="K404" s="12" t="s">
        <v>12</v>
      </c>
    </row>
    <row r="405" spans="1:11" x14ac:dyDescent="0.25">
      <c r="A405" s="1">
        <v>402</v>
      </c>
      <c r="B405" s="7" t="s">
        <v>14</v>
      </c>
      <c r="C405" s="8">
        <v>45680</v>
      </c>
      <c r="D405" s="9">
        <v>3300</v>
      </c>
      <c r="E405" s="10" t="s">
        <v>22</v>
      </c>
      <c r="F405" s="11">
        <v>1300</v>
      </c>
      <c r="G405" s="12" t="s">
        <v>22</v>
      </c>
      <c r="H405" s="11"/>
      <c r="I405" s="12"/>
      <c r="J405" s="11">
        <v>800</v>
      </c>
      <c r="K405" s="12" t="s">
        <v>22</v>
      </c>
    </row>
    <row r="406" spans="1:11" x14ac:dyDescent="0.25">
      <c r="A406" s="1">
        <v>403</v>
      </c>
      <c r="B406" s="7" t="s">
        <v>14</v>
      </c>
      <c r="C406" s="8">
        <v>45680</v>
      </c>
      <c r="D406" s="9">
        <v>900</v>
      </c>
      <c r="E406" s="10" t="s">
        <v>21</v>
      </c>
      <c r="F406" s="11">
        <v>500</v>
      </c>
      <c r="G406" s="12" t="s">
        <v>21</v>
      </c>
      <c r="H406" s="11"/>
      <c r="I406" s="12"/>
      <c r="J406" s="11">
        <v>400</v>
      </c>
      <c r="K406" s="12" t="s">
        <v>21</v>
      </c>
    </row>
    <row r="407" spans="1:11" x14ac:dyDescent="0.25">
      <c r="A407" s="1">
        <v>404</v>
      </c>
      <c r="B407" s="7" t="s">
        <v>15</v>
      </c>
      <c r="C407" s="8">
        <v>45681</v>
      </c>
      <c r="D407" s="9"/>
      <c r="E407" s="10"/>
      <c r="F407" s="11"/>
      <c r="G407" s="12"/>
      <c r="H407" s="11"/>
      <c r="I407" s="12"/>
      <c r="J407" s="11"/>
      <c r="K407" s="12"/>
    </row>
    <row r="408" spans="1:11" x14ac:dyDescent="0.25">
      <c r="A408" s="1">
        <v>405</v>
      </c>
      <c r="B408" s="7" t="s">
        <v>16</v>
      </c>
      <c r="C408" s="8">
        <v>45682</v>
      </c>
      <c r="D408" s="9"/>
      <c r="E408" s="10"/>
      <c r="F408" s="11"/>
      <c r="G408" s="12"/>
      <c r="H408" s="11"/>
      <c r="I408" s="12"/>
      <c r="J408" s="11"/>
      <c r="K408" s="12"/>
    </row>
    <row r="409" spans="1:11" x14ac:dyDescent="0.25">
      <c r="A409" s="1">
        <v>406</v>
      </c>
      <c r="B409" s="7" t="s">
        <v>17</v>
      </c>
      <c r="C409" s="8">
        <v>45683</v>
      </c>
      <c r="D409" s="9"/>
      <c r="E409" s="10"/>
      <c r="F409" s="11"/>
      <c r="G409" s="12"/>
      <c r="H409" s="11"/>
      <c r="I409" s="12"/>
      <c r="J409" s="11"/>
      <c r="K409" s="12"/>
    </row>
    <row r="410" spans="1:11" x14ac:dyDescent="0.25">
      <c r="A410" s="1">
        <v>407</v>
      </c>
      <c r="B410" s="7" t="s">
        <v>18</v>
      </c>
      <c r="C410" s="8">
        <v>45684</v>
      </c>
      <c r="D410" s="9"/>
      <c r="E410" s="10"/>
      <c r="F410" s="11"/>
      <c r="G410" s="12"/>
      <c r="H410" s="11"/>
      <c r="I410" s="12"/>
      <c r="J410" s="11"/>
      <c r="K410" s="12"/>
    </row>
    <row r="411" spans="1:11" x14ac:dyDescent="0.25">
      <c r="A411" s="1">
        <v>408</v>
      </c>
      <c r="B411" s="7" t="s">
        <v>19</v>
      </c>
      <c r="C411" s="8">
        <v>45685</v>
      </c>
      <c r="D411" s="9">
        <v>5400</v>
      </c>
      <c r="E411" s="10" t="s">
        <v>12</v>
      </c>
      <c r="F411" s="11">
        <v>4200</v>
      </c>
      <c r="G411" s="12" t="s">
        <v>12</v>
      </c>
      <c r="H411" s="11"/>
      <c r="I411" s="12"/>
      <c r="J411" s="11">
        <v>4600</v>
      </c>
      <c r="K411" s="12" t="s">
        <v>12</v>
      </c>
    </row>
    <row r="412" spans="1:11" x14ac:dyDescent="0.25">
      <c r="A412" s="1">
        <v>409</v>
      </c>
      <c r="B412" s="7" t="s">
        <v>20</v>
      </c>
      <c r="C412" s="8">
        <v>45686</v>
      </c>
      <c r="D412" s="9"/>
      <c r="E412" s="10"/>
      <c r="F412" s="11"/>
      <c r="G412" s="12"/>
      <c r="H412" s="11"/>
      <c r="I412" s="12"/>
      <c r="J412" s="11"/>
      <c r="K412" s="12"/>
    </row>
    <row r="413" spans="1:11" x14ac:dyDescent="0.25">
      <c r="A413" s="1">
        <v>410</v>
      </c>
      <c r="B413" s="7" t="s">
        <v>14</v>
      </c>
      <c r="C413" s="8">
        <v>45687</v>
      </c>
      <c r="D413" s="9">
        <v>6200</v>
      </c>
      <c r="E413" s="10" t="s">
        <v>12</v>
      </c>
      <c r="F413" s="11">
        <v>4800</v>
      </c>
      <c r="G413" s="12" t="s">
        <v>12</v>
      </c>
      <c r="H413" s="11">
        <v>700</v>
      </c>
      <c r="I413" s="12" t="s">
        <v>12</v>
      </c>
      <c r="J413" s="11">
        <v>5200</v>
      </c>
      <c r="K413" s="12" t="s">
        <v>12</v>
      </c>
    </row>
    <row r="414" spans="1:11" x14ac:dyDescent="0.25">
      <c r="A414" s="1">
        <v>411</v>
      </c>
      <c r="B414" s="7" t="s">
        <v>14</v>
      </c>
      <c r="C414" s="8">
        <v>45687</v>
      </c>
      <c r="D414" s="9">
        <v>1200</v>
      </c>
      <c r="E414" s="10" t="s">
        <v>22</v>
      </c>
      <c r="F414" s="11">
        <v>700</v>
      </c>
      <c r="G414" s="12" t="s">
        <v>22</v>
      </c>
      <c r="H414" s="11">
        <v>500</v>
      </c>
      <c r="I414" s="12" t="s">
        <v>22</v>
      </c>
      <c r="J414" s="11">
        <v>600</v>
      </c>
      <c r="K414" s="12" t="s">
        <v>22</v>
      </c>
    </row>
    <row r="415" spans="1:11" x14ac:dyDescent="0.25">
      <c r="A415" s="1">
        <v>412</v>
      </c>
      <c r="B415" s="7" t="s">
        <v>14</v>
      </c>
      <c r="C415" s="8">
        <v>45687</v>
      </c>
      <c r="D415" s="9">
        <v>1000</v>
      </c>
      <c r="E415" s="10" t="s">
        <v>21</v>
      </c>
      <c r="F415" s="11">
        <v>1400</v>
      </c>
      <c r="G415" s="12" t="s">
        <v>21</v>
      </c>
      <c r="H415" s="11"/>
      <c r="I415" s="12"/>
      <c r="J415" s="11">
        <v>200</v>
      </c>
      <c r="K415" s="12" t="s">
        <v>21</v>
      </c>
    </row>
    <row r="416" spans="1:11" x14ac:dyDescent="0.25">
      <c r="A416" s="1">
        <v>413</v>
      </c>
      <c r="B416" s="7" t="s">
        <v>15</v>
      </c>
      <c r="C416" s="8">
        <v>45688</v>
      </c>
      <c r="D416" s="9"/>
      <c r="E416" s="10"/>
      <c r="F416" s="11"/>
      <c r="G416" s="12"/>
      <c r="H416" s="11"/>
      <c r="I416" s="12"/>
      <c r="J416" s="11"/>
      <c r="K416" s="12"/>
    </row>
    <row r="417" spans="1:11" x14ac:dyDescent="0.25">
      <c r="A417" s="1">
        <v>414</v>
      </c>
      <c r="B417" s="7" t="s">
        <v>16</v>
      </c>
      <c r="C417" s="8">
        <v>45689</v>
      </c>
      <c r="D417" s="9"/>
      <c r="E417" s="10"/>
      <c r="F417" s="11"/>
      <c r="G417" s="12"/>
      <c r="H417" s="11"/>
      <c r="I417" s="12"/>
      <c r="J417" s="11"/>
      <c r="K417" s="12"/>
    </row>
    <row r="418" spans="1:11" x14ac:dyDescent="0.25">
      <c r="A418" s="1">
        <v>415</v>
      </c>
      <c r="B418" s="7" t="s">
        <v>17</v>
      </c>
      <c r="C418" s="8">
        <v>45690</v>
      </c>
      <c r="D418" s="9"/>
      <c r="E418" s="10"/>
      <c r="F418" s="11"/>
      <c r="G418" s="12"/>
      <c r="H418" s="11"/>
      <c r="I418" s="12"/>
      <c r="J418" s="11"/>
      <c r="K418" s="12"/>
    </row>
    <row r="419" spans="1:11" x14ac:dyDescent="0.25">
      <c r="A419" s="1">
        <v>416</v>
      </c>
      <c r="B419" s="7" t="s">
        <v>18</v>
      </c>
      <c r="C419" s="8">
        <v>45691</v>
      </c>
      <c r="D419" s="9"/>
      <c r="E419" s="10"/>
      <c r="F419" s="11"/>
      <c r="G419" s="12"/>
      <c r="H419" s="11"/>
      <c r="I419" s="12"/>
      <c r="J419" s="11"/>
      <c r="K419" s="12"/>
    </row>
    <row r="420" spans="1:11" x14ac:dyDescent="0.25">
      <c r="A420" s="1">
        <v>417</v>
      </c>
      <c r="B420" s="7" t="s">
        <v>19</v>
      </c>
      <c r="C420" s="8">
        <v>45692</v>
      </c>
      <c r="D420" s="9">
        <v>3000</v>
      </c>
      <c r="E420" s="10" t="s">
        <v>12</v>
      </c>
      <c r="F420" s="11">
        <v>2600</v>
      </c>
      <c r="G420" s="12" t="s">
        <v>12</v>
      </c>
      <c r="H420" s="11">
        <v>1700</v>
      </c>
      <c r="I420" s="12" t="s">
        <v>12</v>
      </c>
      <c r="J420" s="11">
        <v>6600</v>
      </c>
      <c r="K420" s="12" t="s">
        <v>12</v>
      </c>
    </row>
    <row r="421" spans="1:11" x14ac:dyDescent="0.25">
      <c r="A421" s="1">
        <v>418</v>
      </c>
      <c r="B421" s="7" t="s">
        <v>20</v>
      </c>
      <c r="C421" s="8">
        <v>45693</v>
      </c>
      <c r="D421" s="9"/>
      <c r="E421" s="10"/>
      <c r="F421" s="11"/>
      <c r="G421" s="12"/>
      <c r="H421" s="11"/>
      <c r="I421" s="12"/>
      <c r="J421" s="11"/>
      <c r="K421" s="12"/>
    </row>
    <row r="422" spans="1:11" x14ac:dyDescent="0.25">
      <c r="A422" s="1">
        <v>419</v>
      </c>
      <c r="B422" s="7" t="s">
        <v>14</v>
      </c>
      <c r="C422" s="8">
        <v>45694</v>
      </c>
      <c r="D422" s="9">
        <v>2400</v>
      </c>
      <c r="E422" s="10" t="s">
        <v>12</v>
      </c>
      <c r="F422" s="11">
        <v>2000</v>
      </c>
      <c r="G422" s="12" t="s">
        <v>12</v>
      </c>
      <c r="H422" s="11"/>
      <c r="I422" s="12"/>
      <c r="J422" s="11">
        <v>5100</v>
      </c>
      <c r="K422" s="12" t="s">
        <v>12</v>
      </c>
    </row>
    <row r="423" spans="1:11" x14ac:dyDescent="0.25">
      <c r="A423" s="1">
        <v>420</v>
      </c>
      <c r="B423" s="7" t="s">
        <v>14</v>
      </c>
      <c r="C423" s="8">
        <v>45694</v>
      </c>
      <c r="D423" s="9">
        <v>2900</v>
      </c>
      <c r="E423" s="10" t="s">
        <v>22</v>
      </c>
      <c r="F423" s="11">
        <v>900</v>
      </c>
      <c r="G423" s="12" t="s">
        <v>22</v>
      </c>
      <c r="H423" s="11"/>
      <c r="I423" s="12"/>
      <c r="J423" s="11">
        <v>300</v>
      </c>
      <c r="K423" s="12" t="s">
        <v>22</v>
      </c>
    </row>
    <row r="424" spans="1:11" x14ac:dyDescent="0.25">
      <c r="A424" s="1">
        <v>421</v>
      </c>
      <c r="B424" s="7" t="s">
        <v>14</v>
      </c>
      <c r="C424" s="8">
        <v>45694</v>
      </c>
      <c r="D424" s="9">
        <v>900</v>
      </c>
      <c r="E424" s="10" t="s">
        <v>21</v>
      </c>
      <c r="F424" s="11"/>
      <c r="G424" s="12"/>
      <c r="H424" s="11"/>
      <c r="I424" s="12"/>
      <c r="J424" s="11"/>
      <c r="K424" s="12"/>
    </row>
    <row r="425" spans="1:11" x14ac:dyDescent="0.25">
      <c r="A425" s="1">
        <v>422</v>
      </c>
      <c r="B425" s="7" t="s">
        <v>15</v>
      </c>
      <c r="C425" s="8">
        <v>45695</v>
      </c>
      <c r="D425" s="9"/>
      <c r="E425" s="10"/>
      <c r="F425" s="11"/>
      <c r="G425" s="12"/>
      <c r="H425" s="11"/>
      <c r="I425" s="12"/>
      <c r="J425" s="11"/>
      <c r="K425" s="12"/>
    </row>
    <row r="426" spans="1:11" x14ac:dyDescent="0.25">
      <c r="A426" s="1">
        <v>423</v>
      </c>
      <c r="B426" s="7" t="s">
        <v>16</v>
      </c>
      <c r="C426" s="8">
        <v>45696</v>
      </c>
      <c r="D426" s="9"/>
      <c r="E426" s="10"/>
      <c r="F426" s="11"/>
      <c r="G426" s="12"/>
      <c r="H426" s="11"/>
      <c r="I426" s="12"/>
      <c r="J426" s="11"/>
      <c r="K426" s="12"/>
    </row>
    <row r="427" spans="1:11" x14ac:dyDescent="0.25">
      <c r="A427" s="1">
        <v>424</v>
      </c>
      <c r="B427" s="7" t="s">
        <v>17</v>
      </c>
      <c r="C427" s="8">
        <v>45697</v>
      </c>
      <c r="D427" s="9"/>
      <c r="E427" s="10"/>
      <c r="F427" s="11"/>
      <c r="G427" s="12"/>
      <c r="H427" s="11"/>
      <c r="I427" s="12"/>
      <c r="J427" s="11"/>
      <c r="K427" s="12"/>
    </row>
    <row r="428" spans="1:11" x14ac:dyDescent="0.25">
      <c r="A428" s="1">
        <v>425</v>
      </c>
      <c r="B428" s="7" t="s">
        <v>18</v>
      </c>
      <c r="C428" s="8">
        <v>45698</v>
      </c>
      <c r="D428" s="9"/>
      <c r="E428" s="10"/>
      <c r="F428" s="11"/>
      <c r="G428" s="12"/>
      <c r="H428" s="11"/>
      <c r="I428" s="12"/>
      <c r="J428" s="11"/>
      <c r="K428" s="12"/>
    </row>
    <row r="429" spans="1:11" x14ac:dyDescent="0.25">
      <c r="A429" s="1">
        <v>426</v>
      </c>
      <c r="B429" s="7" t="s">
        <v>19</v>
      </c>
      <c r="C429" s="8">
        <v>45699</v>
      </c>
      <c r="D429" s="9">
        <v>3700</v>
      </c>
      <c r="E429" s="10" t="s">
        <v>12</v>
      </c>
      <c r="F429" s="11">
        <v>3500</v>
      </c>
      <c r="G429" s="12" t="s">
        <v>12</v>
      </c>
      <c r="H429" s="11">
        <v>1100</v>
      </c>
      <c r="I429" s="12" t="s">
        <v>12</v>
      </c>
      <c r="J429" s="11">
        <v>6100</v>
      </c>
      <c r="K429" s="12" t="s">
        <v>12</v>
      </c>
    </row>
    <row r="430" spans="1:11" x14ac:dyDescent="0.25">
      <c r="A430" s="1">
        <v>427</v>
      </c>
      <c r="B430" s="7" t="s">
        <v>20</v>
      </c>
      <c r="C430" s="8">
        <v>45700</v>
      </c>
      <c r="D430" s="9"/>
      <c r="E430" s="10"/>
      <c r="F430" s="11"/>
      <c r="G430" s="12"/>
      <c r="H430" s="11"/>
      <c r="I430" s="12"/>
      <c r="J430" s="11"/>
      <c r="K430" s="12"/>
    </row>
    <row r="431" spans="1:11" x14ac:dyDescent="0.25">
      <c r="A431" s="1">
        <v>428</v>
      </c>
      <c r="B431" s="7" t="s">
        <v>14</v>
      </c>
      <c r="C431" s="8">
        <v>45701</v>
      </c>
      <c r="D431" s="9">
        <v>1400</v>
      </c>
      <c r="E431" s="10" t="s">
        <v>12</v>
      </c>
      <c r="F431" s="11">
        <v>1300</v>
      </c>
      <c r="G431" s="12" t="s">
        <v>12</v>
      </c>
      <c r="H431" s="11"/>
      <c r="I431" s="12"/>
      <c r="J431" s="11">
        <v>2300</v>
      </c>
      <c r="K431" s="12" t="s">
        <v>12</v>
      </c>
    </row>
    <row r="432" spans="1:11" x14ac:dyDescent="0.25">
      <c r="A432" s="1">
        <v>429</v>
      </c>
      <c r="B432" s="7" t="s">
        <v>14</v>
      </c>
      <c r="C432" s="8">
        <v>45701</v>
      </c>
      <c r="D432" s="9">
        <v>1100</v>
      </c>
      <c r="E432" s="10" t="s">
        <v>22</v>
      </c>
      <c r="F432" s="11">
        <v>700</v>
      </c>
      <c r="G432" s="12" t="s">
        <v>22</v>
      </c>
      <c r="H432" s="11"/>
      <c r="I432" s="12"/>
      <c r="J432" s="11">
        <v>800</v>
      </c>
      <c r="K432" s="12" t="s">
        <v>22</v>
      </c>
    </row>
    <row r="433" spans="1:11" x14ac:dyDescent="0.25">
      <c r="A433" s="1">
        <v>430</v>
      </c>
      <c r="B433" s="7" t="s">
        <v>14</v>
      </c>
      <c r="C433" s="8">
        <v>45701</v>
      </c>
      <c r="D433" s="9"/>
      <c r="E433" s="10"/>
      <c r="F433" s="11">
        <v>100</v>
      </c>
      <c r="G433" s="12" t="s">
        <v>21</v>
      </c>
      <c r="H433" s="11"/>
      <c r="I433" s="12"/>
      <c r="J433" s="11">
        <v>200</v>
      </c>
      <c r="K433" s="12" t="s">
        <v>21</v>
      </c>
    </row>
    <row r="434" spans="1:11" x14ac:dyDescent="0.25">
      <c r="A434" s="1">
        <v>431</v>
      </c>
      <c r="B434" s="7" t="s">
        <v>15</v>
      </c>
      <c r="C434" s="8">
        <v>45702</v>
      </c>
      <c r="D434" s="9"/>
      <c r="E434" s="10"/>
      <c r="F434" s="11"/>
      <c r="G434" s="12"/>
      <c r="H434" s="11"/>
      <c r="I434" s="12"/>
      <c r="J434" s="11"/>
      <c r="K434" s="12"/>
    </row>
    <row r="435" spans="1:11" x14ac:dyDescent="0.25">
      <c r="A435" s="1">
        <v>432</v>
      </c>
      <c r="B435" s="7" t="s">
        <v>16</v>
      </c>
      <c r="C435" s="8">
        <v>45703</v>
      </c>
      <c r="D435" s="9"/>
      <c r="E435" s="10"/>
      <c r="F435" s="11"/>
      <c r="G435" s="12"/>
      <c r="H435" s="11"/>
      <c r="I435" s="12"/>
      <c r="J435" s="11"/>
      <c r="K435" s="12"/>
    </row>
    <row r="436" spans="1:11" x14ac:dyDescent="0.25">
      <c r="A436" s="1">
        <v>433</v>
      </c>
      <c r="B436" s="7" t="s">
        <v>17</v>
      </c>
      <c r="C436" s="8">
        <v>45704</v>
      </c>
      <c r="D436" s="9"/>
      <c r="E436" s="10"/>
      <c r="F436" s="11"/>
      <c r="G436" s="12"/>
      <c r="H436" s="11"/>
      <c r="I436" s="12"/>
      <c r="J436" s="11"/>
      <c r="K436" s="12"/>
    </row>
    <row r="437" spans="1:11" x14ac:dyDescent="0.25">
      <c r="A437" s="1">
        <v>434</v>
      </c>
      <c r="B437" s="7" t="s">
        <v>18</v>
      </c>
      <c r="C437" s="8">
        <v>45705</v>
      </c>
      <c r="D437" s="9"/>
      <c r="E437" s="10"/>
      <c r="F437" s="11"/>
      <c r="G437" s="12"/>
      <c r="H437" s="11"/>
      <c r="I437" s="12"/>
      <c r="J437" s="11"/>
      <c r="K437" s="12"/>
    </row>
    <row r="438" spans="1:11" x14ac:dyDescent="0.25">
      <c r="A438" s="1">
        <v>435</v>
      </c>
      <c r="B438" s="7" t="s">
        <v>19</v>
      </c>
      <c r="C438" s="8">
        <v>45706</v>
      </c>
      <c r="D438" s="9">
        <v>6200</v>
      </c>
      <c r="E438" s="10" t="s">
        <v>12</v>
      </c>
      <c r="F438" s="11">
        <v>3300</v>
      </c>
      <c r="G438" s="12" t="s">
        <v>12</v>
      </c>
      <c r="H438" s="11">
        <v>1200</v>
      </c>
      <c r="I438" s="12" t="s">
        <v>12</v>
      </c>
      <c r="J438" s="11">
        <v>4600</v>
      </c>
      <c r="K438" s="12" t="s">
        <v>12</v>
      </c>
    </row>
    <row r="439" spans="1:11" x14ac:dyDescent="0.25">
      <c r="A439" s="1">
        <v>436</v>
      </c>
      <c r="B439" s="7" t="s">
        <v>20</v>
      </c>
      <c r="C439" s="8">
        <v>45707</v>
      </c>
      <c r="D439" s="9"/>
      <c r="E439" s="10"/>
      <c r="F439" s="11"/>
      <c r="G439" s="12"/>
      <c r="H439" s="11"/>
      <c r="I439" s="12"/>
      <c r="J439" s="11"/>
      <c r="K439" s="12"/>
    </row>
    <row r="440" spans="1:11" x14ac:dyDescent="0.25">
      <c r="A440" s="1">
        <v>437</v>
      </c>
      <c r="B440" s="7" t="s">
        <v>14</v>
      </c>
      <c r="C440" s="8">
        <v>45708</v>
      </c>
      <c r="D440" s="9">
        <v>5600</v>
      </c>
      <c r="E440" s="10" t="s">
        <v>12</v>
      </c>
      <c r="F440" s="11">
        <v>2900</v>
      </c>
      <c r="G440" s="12" t="s">
        <v>12</v>
      </c>
      <c r="H440" s="11"/>
      <c r="I440" s="12"/>
      <c r="J440" s="11">
        <v>4200</v>
      </c>
      <c r="K440" s="12" t="s">
        <v>12</v>
      </c>
    </row>
    <row r="441" spans="1:11" x14ac:dyDescent="0.25">
      <c r="A441" s="1">
        <v>438</v>
      </c>
      <c r="B441" s="7" t="s">
        <v>14</v>
      </c>
      <c r="C441" s="8">
        <v>45708</v>
      </c>
      <c r="D441" s="9">
        <v>1100</v>
      </c>
      <c r="E441" s="10" t="s">
        <v>22</v>
      </c>
      <c r="F441" s="11">
        <v>800</v>
      </c>
      <c r="G441" s="12" t="s">
        <v>22</v>
      </c>
      <c r="H441" s="11"/>
      <c r="I441" s="12"/>
      <c r="J441" s="11">
        <v>150</v>
      </c>
      <c r="K441" s="12" t="s">
        <v>22</v>
      </c>
    </row>
    <row r="442" spans="1:11" x14ac:dyDescent="0.25">
      <c r="A442" s="1">
        <v>439</v>
      </c>
      <c r="B442" s="7" t="s">
        <v>14</v>
      </c>
      <c r="C442" s="8">
        <v>45708</v>
      </c>
      <c r="D442" s="9">
        <v>800</v>
      </c>
      <c r="E442" s="10" t="s">
        <v>21</v>
      </c>
      <c r="F442" s="11">
        <v>500</v>
      </c>
      <c r="G442" s="12" t="s">
        <v>21</v>
      </c>
      <c r="H442" s="11"/>
      <c r="I442" s="12"/>
      <c r="J442" s="11"/>
      <c r="K442" s="12"/>
    </row>
    <row r="443" spans="1:11" x14ac:dyDescent="0.25">
      <c r="A443" s="1">
        <v>440</v>
      </c>
      <c r="B443" s="7" t="s">
        <v>15</v>
      </c>
      <c r="C443" s="8">
        <v>45709</v>
      </c>
      <c r="D443" s="9"/>
      <c r="E443" s="10"/>
      <c r="F443" s="11"/>
      <c r="G443" s="12"/>
      <c r="H443" s="11"/>
      <c r="I443" s="12"/>
      <c r="J443" s="11"/>
      <c r="K443" s="12"/>
    </row>
    <row r="444" spans="1:11" x14ac:dyDescent="0.25">
      <c r="A444" s="1">
        <v>441</v>
      </c>
      <c r="B444" s="7" t="s">
        <v>16</v>
      </c>
      <c r="C444" s="8">
        <v>45710</v>
      </c>
      <c r="D444" s="9"/>
      <c r="E444" s="10"/>
      <c r="F444" s="11"/>
      <c r="G444" s="12"/>
      <c r="H444" s="11"/>
      <c r="I444" s="12"/>
      <c r="J444" s="11"/>
      <c r="K444" s="12"/>
    </row>
    <row r="445" spans="1:11" x14ac:dyDescent="0.25">
      <c r="A445" s="1">
        <v>442</v>
      </c>
      <c r="B445" s="7" t="s">
        <v>17</v>
      </c>
      <c r="C445" s="8">
        <v>45711</v>
      </c>
      <c r="D445" s="9"/>
      <c r="E445" s="10"/>
      <c r="F445" s="11"/>
      <c r="G445" s="12"/>
      <c r="H445" s="11"/>
      <c r="I445" s="12"/>
      <c r="J445" s="11"/>
      <c r="K445" s="12"/>
    </row>
    <row r="446" spans="1:11" x14ac:dyDescent="0.25">
      <c r="A446" s="1">
        <v>443</v>
      </c>
      <c r="B446" s="7" t="s">
        <v>18</v>
      </c>
      <c r="C446" s="8">
        <v>45712</v>
      </c>
      <c r="D446" s="9"/>
      <c r="E446" s="10"/>
      <c r="F446" s="11"/>
      <c r="G446" s="12"/>
      <c r="H446" s="11"/>
      <c r="I446" s="12"/>
      <c r="J446" s="11"/>
      <c r="K446" s="12"/>
    </row>
    <row r="447" spans="1:11" x14ac:dyDescent="0.25">
      <c r="A447" s="1">
        <v>444</v>
      </c>
      <c r="B447" s="7" t="s">
        <v>19</v>
      </c>
      <c r="C447" s="8">
        <v>45713</v>
      </c>
      <c r="D447" s="9">
        <v>7300</v>
      </c>
      <c r="E447" s="10" t="s">
        <v>12</v>
      </c>
      <c r="F447" s="11">
        <v>4600</v>
      </c>
      <c r="G447" s="12" t="s">
        <v>12</v>
      </c>
      <c r="H447" s="11"/>
      <c r="I447" s="12"/>
      <c r="J447" s="11">
        <f>4900+5000</f>
        <v>9900</v>
      </c>
      <c r="K447" s="12" t="s">
        <v>12</v>
      </c>
    </row>
    <row r="448" spans="1:11" x14ac:dyDescent="0.25">
      <c r="A448" s="1">
        <v>445</v>
      </c>
      <c r="B448" s="7" t="s">
        <v>20</v>
      </c>
      <c r="C448" s="8">
        <v>45714</v>
      </c>
      <c r="D448" s="9"/>
      <c r="E448" s="10"/>
      <c r="F448" s="11"/>
      <c r="G448" s="12"/>
      <c r="H448" s="11"/>
      <c r="I448" s="12"/>
      <c r="J448" s="11"/>
      <c r="K448" s="12"/>
    </row>
    <row r="449" spans="1:11" x14ac:dyDescent="0.25">
      <c r="A449" s="1">
        <v>446</v>
      </c>
      <c r="B449" s="7" t="s">
        <v>14</v>
      </c>
      <c r="C449" s="8">
        <v>45715</v>
      </c>
      <c r="D449" s="9">
        <v>2700</v>
      </c>
      <c r="E449" s="10" t="s">
        <v>12</v>
      </c>
      <c r="F449" s="11">
        <v>1700</v>
      </c>
      <c r="G449" s="12" t="s">
        <v>12</v>
      </c>
      <c r="H449" s="11">
        <v>2300</v>
      </c>
      <c r="I449" s="12" t="s">
        <v>12</v>
      </c>
      <c r="J449" s="11">
        <v>3700</v>
      </c>
      <c r="K449" s="12" t="s">
        <v>12</v>
      </c>
    </row>
    <row r="450" spans="1:11" x14ac:dyDescent="0.25">
      <c r="A450" s="1">
        <v>447</v>
      </c>
      <c r="B450" s="7" t="s">
        <v>14</v>
      </c>
      <c r="C450" s="8">
        <v>45715</v>
      </c>
      <c r="D450" s="9">
        <v>2800</v>
      </c>
      <c r="E450" s="10" t="s">
        <v>22</v>
      </c>
      <c r="F450" s="11">
        <v>600</v>
      </c>
      <c r="G450" s="12" t="s">
        <v>22</v>
      </c>
      <c r="H450" s="11">
        <v>100</v>
      </c>
      <c r="I450" s="12" t="s">
        <v>22</v>
      </c>
      <c r="J450" s="11">
        <v>400</v>
      </c>
      <c r="K450" s="12" t="s">
        <v>22</v>
      </c>
    </row>
    <row r="451" spans="1:11" x14ac:dyDescent="0.25">
      <c r="A451" s="1">
        <v>448</v>
      </c>
      <c r="B451" s="7" t="s">
        <v>14</v>
      </c>
      <c r="C451" s="8">
        <v>45715</v>
      </c>
      <c r="D451" s="9">
        <v>200</v>
      </c>
      <c r="E451" s="10" t="s">
        <v>21</v>
      </c>
      <c r="F451" s="11">
        <v>400</v>
      </c>
      <c r="G451" s="12" t="s">
        <v>21</v>
      </c>
      <c r="H451" s="11">
        <v>40</v>
      </c>
      <c r="I451" s="12" t="s">
        <v>21</v>
      </c>
      <c r="J451" s="11">
        <v>50</v>
      </c>
      <c r="K451" s="12" t="s">
        <v>21</v>
      </c>
    </row>
    <row r="452" spans="1:11" x14ac:dyDescent="0.25">
      <c r="A452" s="1">
        <v>449</v>
      </c>
      <c r="B452" s="7" t="s">
        <v>15</v>
      </c>
      <c r="C452" s="8">
        <v>45716</v>
      </c>
      <c r="D452" s="9"/>
      <c r="E452" s="10"/>
      <c r="F452" s="11"/>
      <c r="G452" s="12"/>
      <c r="H452" s="11"/>
      <c r="I452" s="12"/>
      <c r="J452" s="11"/>
      <c r="K452" s="12"/>
    </row>
    <row r="453" spans="1:11" x14ac:dyDescent="0.25">
      <c r="A453" s="1">
        <v>450</v>
      </c>
      <c r="B453" s="7" t="s">
        <v>16</v>
      </c>
      <c r="C453" s="8">
        <v>45717</v>
      </c>
      <c r="D453" s="9"/>
      <c r="E453" s="10"/>
      <c r="F453" s="11"/>
      <c r="G453" s="12"/>
      <c r="H453" s="11"/>
      <c r="I453" s="12"/>
      <c r="J453" s="11"/>
      <c r="K453" s="12"/>
    </row>
    <row r="454" spans="1:11" x14ac:dyDescent="0.25">
      <c r="A454" s="1">
        <v>451</v>
      </c>
      <c r="B454" s="7" t="s">
        <v>17</v>
      </c>
      <c r="C454" s="8">
        <v>45718</v>
      </c>
      <c r="D454" s="9"/>
      <c r="E454" s="10"/>
      <c r="F454" s="11"/>
      <c r="G454" s="12"/>
      <c r="H454" s="11"/>
      <c r="I454" s="12"/>
      <c r="J454" s="11"/>
      <c r="K454" s="12"/>
    </row>
    <row r="455" spans="1:11" x14ac:dyDescent="0.25">
      <c r="A455" s="1">
        <v>452</v>
      </c>
      <c r="B455" s="7" t="s">
        <v>18</v>
      </c>
      <c r="C455" s="8">
        <v>45719</v>
      </c>
      <c r="D455" s="9"/>
      <c r="E455" s="10"/>
      <c r="F455" s="11"/>
      <c r="G455" s="12"/>
      <c r="H455" s="11"/>
      <c r="I455" s="12"/>
      <c r="J455" s="11"/>
      <c r="K455" s="12"/>
    </row>
    <row r="456" spans="1:11" x14ac:dyDescent="0.25">
      <c r="A456" s="1">
        <v>453</v>
      </c>
      <c r="B456" s="7" t="s">
        <v>19</v>
      </c>
      <c r="C456" s="8">
        <v>45720</v>
      </c>
      <c r="D456" s="9">
        <v>5900</v>
      </c>
      <c r="E456" s="10" t="s">
        <v>12</v>
      </c>
      <c r="F456" s="11">
        <v>1600</v>
      </c>
      <c r="G456" s="12" t="s">
        <v>12</v>
      </c>
      <c r="H456" s="11"/>
      <c r="I456" s="12"/>
      <c r="J456" s="11">
        <v>5800</v>
      </c>
      <c r="K456" s="12" t="s">
        <v>12</v>
      </c>
    </row>
    <row r="457" spans="1:11" x14ac:dyDescent="0.25">
      <c r="A457" s="1">
        <v>454</v>
      </c>
      <c r="B457" s="7" t="s">
        <v>20</v>
      </c>
      <c r="C457" s="8">
        <v>45721</v>
      </c>
      <c r="D457" s="9"/>
      <c r="E457" s="10"/>
      <c r="F457" s="11"/>
      <c r="G457" s="12"/>
      <c r="H457" s="11"/>
      <c r="I457" s="12"/>
      <c r="J457" s="11"/>
      <c r="K457" s="12"/>
    </row>
    <row r="458" spans="1:11" x14ac:dyDescent="0.25">
      <c r="A458" s="1">
        <v>455</v>
      </c>
      <c r="B458" s="7" t="s">
        <v>14</v>
      </c>
      <c r="C458" s="8">
        <v>45722</v>
      </c>
      <c r="D458" s="9">
        <v>3500</v>
      </c>
      <c r="E458" s="10" t="s">
        <v>12</v>
      </c>
      <c r="F458" s="11">
        <v>1000</v>
      </c>
      <c r="G458" s="12" t="s">
        <v>12</v>
      </c>
      <c r="H458" s="11">
        <v>1300</v>
      </c>
      <c r="I458" s="12" t="s">
        <v>12</v>
      </c>
      <c r="J458" s="11">
        <v>3400</v>
      </c>
      <c r="K458" s="12" t="s">
        <v>12</v>
      </c>
    </row>
    <row r="459" spans="1:11" x14ac:dyDescent="0.25">
      <c r="A459" s="1">
        <v>456</v>
      </c>
      <c r="B459" s="7" t="s">
        <v>14</v>
      </c>
      <c r="C459" s="8">
        <v>45722</v>
      </c>
      <c r="D459" s="9">
        <v>2800</v>
      </c>
      <c r="E459" s="10" t="s">
        <v>22</v>
      </c>
      <c r="F459" s="11">
        <v>1400</v>
      </c>
      <c r="G459" s="12" t="s">
        <v>22</v>
      </c>
      <c r="H459" s="11">
        <v>100</v>
      </c>
      <c r="I459" s="12" t="s">
        <v>22</v>
      </c>
      <c r="J459" s="11">
        <v>700</v>
      </c>
      <c r="K459" s="12" t="s">
        <v>22</v>
      </c>
    </row>
    <row r="460" spans="1:11" x14ac:dyDescent="0.25">
      <c r="A460" s="1">
        <v>457</v>
      </c>
      <c r="B460" s="7" t="s">
        <v>14</v>
      </c>
      <c r="C460" s="8">
        <v>45722</v>
      </c>
      <c r="D460" s="9">
        <v>800</v>
      </c>
      <c r="E460" s="10" t="s">
        <v>21</v>
      </c>
      <c r="F460" s="11"/>
      <c r="G460" s="12"/>
      <c r="H460" s="11"/>
      <c r="I460" s="12"/>
      <c r="J460" s="11">
        <v>100</v>
      </c>
      <c r="K460" s="12" t="s">
        <v>21</v>
      </c>
    </row>
    <row r="461" spans="1:11" x14ac:dyDescent="0.25">
      <c r="A461" s="1">
        <v>458</v>
      </c>
      <c r="B461" s="7" t="s">
        <v>15</v>
      </c>
      <c r="C461" s="8">
        <v>45723</v>
      </c>
      <c r="D461" s="9"/>
      <c r="E461" s="10"/>
      <c r="F461" s="11"/>
      <c r="G461" s="12"/>
      <c r="H461" s="11"/>
      <c r="I461" s="12"/>
      <c r="J461" s="11"/>
      <c r="K461" s="12"/>
    </row>
    <row r="462" spans="1:11" x14ac:dyDescent="0.25">
      <c r="A462" s="1">
        <v>459</v>
      </c>
      <c r="B462" s="7" t="s">
        <v>16</v>
      </c>
      <c r="C462" s="8">
        <v>45724</v>
      </c>
      <c r="D462" s="9"/>
      <c r="E462" s="10"/>
      <c r="F462" s="11"/>
      <c r="G462" s="12"/>
      <c r="H462" s="11"/>
      <c r="I462" s="12"/>
      <c r="J462" s="11"/>
      <c r="K462" s="12"/>
    </row>
    <row r="463" spans="1:11" x14ac:dyDescent="0.25">
      <c r="A463" s="1">
        <v>460</v>
      </c>
      <c r="B463" s="7" t="s">
        <v>17</v>
      </c>
      <c r="C463" s="8">
        <v>45725</v>
      </c>
      <c r="D463" s="9"/>
      <c r="E463" s="10"/>
      <c r="F463" s="11"/>
      <c r="G463" s="12"/>
      <c r="H463" s="11"/>
      <c r="I463" s="12"/>
      <c r="J463" s="11"/>
      <c r="K463" s="12"/>
    </row>
    <row r="464" spans="1:11" x14ac:dyDescent="0.25">
      <c r="A464" s="1">
        <v>461</v>
      </c>
      <c r="B464" s="7" t="s">
        <v>18</v>
      </c>
      <c r="C464" s="8">
        <v>45726</v>
      </c>
      <c r="D464" s="9"/>
      <c r="E464" s="10"/>
      <c r="F464" s="11"/>
      <c r="G464" s="12"/>
      <c r="H464" s="11"/>
      <c r="I464" s="12"/>
      <c r="J464" s="11"/>
      <c r="K464" s="12"/>
    </row>
    <row r="465" spans="1:11" x14ac:dyDescent="0.25">
      <c r="A465" s="1">
        <v>462</v>
      </c>
      <c r="B465" s="7" t="s">
        <v>19</v>
      </c>
      <c r="C465" s="8">
        <v>45727</v>
      </c>
      <c r="D465" s="9">
        <v>4200</v>
      </c>
      <c r="E465" s="10" t="s">
        <v>12</v>
      </c>
      <c r="F465" s="11">
        <v>3500</v>
      </c>
      <c r="G465" s="12" t="s">
        <v>12</v>
      </c>
      <c r="H465" s="11"/>
      <c r="I465" s="12"/>
      <c r="J465" s="11">
        <v>2000</v>
      </c>
      <c r="K465" s="12" t="s">
        <v>12</v>
      </c>
    </row>
    <row r="466" spans="1:11" x14ac:dyDescent="0.25">
      <c r="A466" s="1">
        <v>463</v>
      </c>
      <c r="B466" s="7" t="s">
        <v>20</v>
      </c>
      <c r="C466" s="8">
        <v>45728</v>
      </c>
      <c r="D466" s="9"/>
      <c r="E466" s="10"/>
      <c r="F466" s="11"/>
      <c r="G466" s="12"/>
      <c r="H466" s="11"/>
      <c r="I466" s="12"/>
      <c r="J466" s="11"/>
      <c r="K466" s="12"/>
    </row>
    <row r="467" spans="1:11" x14ac:dyDescent="0.25">
      <c r="A467" s="1">
        <v>464</v>
      </c>
      <c r="B467" s="7" t="s">
        <v>14</v>
      </c>
      <c r="C467" s="8">
        <v>45729</v>
      </c>
      <c r="D467" s="9">
        <v>2400</v>
      </c>
      <c r="E467" s="10" t="s">
        <v>12</v>
      </c>
      <c r="F467" s="11">
        <v>2000</v>
      </c>
      <c r="G467" s="12" t="s">
        <v>12</v>
      </c>
      <c r="H467" s="11">
        <v>1600</v>
      </c>
      <c r="I467" s="12" t="s">
        <v>12</v>
      </c>
      <c r="J467" s="11"/>
      <c r="K467" s="12"/>
    </row>
    <row r="468" spans="1:11" x14ac:dyDescent="0.25">
      <c r="A468" s="1">
        <v>465</v>
      </c>
      <c r="B468" s="7" t="s">
        <v>14</v>
      </c>
      <c r="C468" s="8">
        <v>45729</v>
      </c>
      <c r="D468" s="9">
        <v>3200</v>
      </c>
      <c r="E468" s="10" t="s">
        <v>22</v>
      </c>
      <c r="F468" s="11">
        <v>2700</v>
      </c>
      <c r="G468" s="12" t="s">
        <v>22</v>
      </c>
      <c r="H468" s="11">
        <v>300</v>
      </c>
      <c r="I468" s="12" t="s">
        <v>22</v>
      </c>
      <c r="J468" s="11">
        <v>400</v>
      </c>
      <c r="K468" s="12" t="s">
        <v>22</v>
      </c>
    </row>
    <row r="469" spans="1:11" x14ac:dyDescent="0.25">
      <c r="A469" s="1">
        <v>466</v>
      </c>
      <c r="B469" s="7" t="s">
        <v>14</v>
      </c>
      <c r="C469" s="8">
        <v>45729</v>
      </c>
      <c r="D469" s="9">
        <v>500</v>
      </c>
      <c r="E469" s="10" t="s">
        <v>21</v>
      </c>
      <c r="F469" s="11">
        <v>700</v>
      </c>
      <c r="G469" s="12" t="s">
        <v>21</v>
      </c>
      <c r="H469" s="11">
        <v>50</v>
      </c>
      <c r="I469" s="12" t="s">
        <v>21</v>
      </c>
      <c r="J469" s="11">
        <v>100</v>
      </c>
      <c r="K469" s="12" t="s">
        <v>21</v>
      </c>
    </row>
    <row r="470" spans="1:11" x14ac:dyDescent="0.25">
      <c r="A470" s="1">
        <v>467</v>
      </c>
      <c r="B470" s="7" t="s">
        <v>15</v>
      </c>
      <c r="C470" s="8">
        <v>45730</v>
      </c>
      <c r="D470" s="9"/>
      <c r="E470" s="10"/>
      <c r="F470" s="11"/>
      <c r="G470" s="12"/>
      <c r="H470" s="11"/>
      <c r="I470" s="12"/>
      <c r="J470" s="11"/>
      <c r="K470" s="12"/>
    </row>
    <row r="471" spans="1:11" x14ac:dyDescent="0.25">
      <c r="A471" s="1">
        <v>468</v>
      </c>
      <c r="B471" s="7" t="s">
        <v>16</v>
      </c>
      <c r="C471" s="8">
        <v>45731</v>
      </c>
      <c r="D471" s="9"/>
      <c r="E471" s="10"/>
      <c r="F471" s="11"/>
      <c r="G471" s="12"/>
      <c r="H471" s="11"/>
      <c r="I471" s="12"/>
      <c r="J471" s="11"/>
      <c r="K471" s="12"/>
    </row>
    <row r="472" spans="1:11" x14ac:dyDescent="0.25">
      <c r="A472" s="1">
        <v>469</v>
      </c>
      <c r="B472" s="7" t="s">
        <v>17</v>
      </c>
      <c r="C472" s="8">
        <v>45732</v>
      </c>
      <c r="D472" s="9"/>
      <c r="E472" s="10"/>
      <c r="F472" s="11"/>
      <c r="G472" s="12"/>
      <c r="H472" s="11"/>
      <c r="I472" s="12"/>
      <c r="J472" s="11"/>
      <c r="K472" s="12"/>
    </row>
    <row r="473" spans="1:11" x14ac:dyDescent="0.25">
      <c r="A473" s="1">
        <v>470</v>
      </c>
      <c r="B473" s="7" t="s">
        <v>18</v>
      </c>
      <c r="C473" s="8">
        <v>45733</v>
      </c>
      <c r="D473" s="9"/>
      <c r="E473" s="10"/>
      <c r="F473" s="11"/>
      <c r="G473" s="12"/>
      <c r="H473" s="11"/>
      <c r="I473" s="12"/>
      <c r="J473" s="11"/>
      <c r="K473" s="12"/>
    </row>
    <row r="474" spans="1:11" x14ac:dyDescent="0.25">
      <c r="A474" s="1">
        <v>471</v>
      </c>
      <c r="B474" s="7" t="s">
        <v>19</v>
      </c>
      <c r="C474" s="8">
        <v>45734</v>
      </c>
      <c r="D474" s="9"/>
      <c r="E474" s="10"/>
      <c r="F474" s="11">
        <v>3300</v>
      </c>
      <c r="G474" s="12" t="s">
        <v>12</v>
      </c>
      <c r="H474" s="11">
        <v>2300</v>
      </c>
      <c r="I474" s="12" t="s">
        <v>12</v>
      </c>
      <c r="J474" s="11">
        <v>9000</v>
      </c>
      <c r="K474" s="12" t="s">
        <v>12</v>
      </c>
    </row>
    <row r="475" spans="1:11" x14ac:dyDescent="0.25">
      <c r="A475" s="1">
        <v>472</v>
      </c>
      <c r="B475" s="7" t="s">
        <v>20</v>
      </c>
      <c r="C475" s="8">
        <v>45735</v>
      </c>
      <c r="D475" s="9"/>
      <c r="E475" s="10"/>
      <c r="F475" s="11"/>
      <c r="G475" s="12"/>
      <c r="H475" s="11"/>
      <c r="I475" s="12"/>
      <c r="J475" s="11"/>
      <c r="K475" s="12"/>
    </row>
    <row r="476" spans="1:11" x14ac:dyDescent="0.25">
      <c r="A476" s="1">
        <v>473</v>
      </c>
      <c r="B476" s="7" t="s">
        <v>14</v>
      </c>
      <c r="C476" s="8">
        <v>45736</v>
      </c>
      <c r="D476" s="9">
        <v>1300</v>
      </c>
      <c r="E476" s="10" t="s">
        <v>12</v>
      </c>
      <c r="F476" s="11"/>
      <c r="G476" s="12"/>
      <c r="H476" s="11"/>
      <c r="I476" s="12"/>
      <c r="J476" s="11">
        <v>5400</v>
      </c>
      <c r="K476" s="12" t="s">
        <v>12</v>
      </c>
    </row>
    <row r="477" spans="1:11" x14ac:dyDescent="0.25">
      <c r="A477" s="1">
        <v>474</v>
      </c>
      <c r="B477" s="7" t="s">
        <v>14</v>
      </c>
      <c r="C477" s="8">
        <v>45736</v>
      </c>
      <c r="D477" s="9">
        <v>2700</v>
      </c>
      <c r="E477" s="10" t="s">
        <v>22</v>
      </c>
      <c r="F477" s="11">
        <v>600</v>
      </c>
      <c r="G477" s="12" t="s">
        <v>22</v>
      </c>
      <c r="H477" s="11">
        <v>200</v>
      </c>
      <c r="I477" s="12" t="s">
        <v>22</v>
      </c>
      <c r="J477" s="11">
        <v>800</v>
      </c>
      <c r="K477" s="12" t="s">
        <v>22</v>
      </c>
    </row>
    <row r="478" spans="1:11" x14ac:dyDescent="0.25">
      <c r="A478" s="1">
        <v>475</v>
      </c>
      <c r="B478" s="7" t="s">
        <v>14</v>
      </c>
      <c r="C478" s="8">
        <v>45736</v>
      </c>
      <c r="D478" s="9">
        <v>1300</v>
      </c>
      <c r="E478" s="10" t="s">
        <v>21</v>
      </c>
      <c r="F478" s="11">
        <v>200</v>
      </c>
      <c r="G478" s="12" t="s">
        <v>21</v>
      </c>
      <c r="H478" s="11">
        <v>40</v>
      </c>
      <c r="I478" s="12" t="s">
        <v>21</v>
      </c>
      <c r="J478" s="11">
        <v>100</v>
      </c>
      <c r="K478" s="12" t="s">
        <v>21</v>
      </c>
    </row>
    <row r="479" spans="1:11" x14ac:dyDescent="0.25">
      <c r="A479" s="1">
        <v>476</v>
      </c>
      <c r="B479" s="7" t="s">
        <v>15</v>
      </c>
      <c r="C479" s="8">
        <v>45737</v>
      </c>
      <c r="D479" s="9"/>
      <c r="E479" s="10"/>
      <c r="F479" s="11"/>
      <c r="G479" s="12"/>
      <c r="H479" s="11"/>
      <c r="I479" s="12"/>
      <c r="J479" s="11"/>
      <c r="K479" s="12"/>
    </row>
    <row r="480" spans="1:11" x14ac:dyDescent="0.25">
      <c r="A480" s="1">
        <v>477</v>
      </c>
      <c r="B480" s="7" t="s">
        <v>16</v>
      </c>
      <c r="C480" s="8">
        <v>45738</v>
      </c>
      <c r="D480" s="9"/>
      <c r="E480" s="10"/>
      <c r="F480" s="11"/>
      <c r="G480" s="12"/>
      <c r="H480" s="11"/>
      <c r="I480" s="12"/>
      <c r="J480" s="11"/>
      <c r="K480" s="12"/>
    </row>
    <row r="481" spans="1:11" x14ac:dyDescent="0.25">
      <c r="A481" s="1">
        <v>478</v>
      </c>
      <c r="B481" s="7" t="s">
        <v>17</v>
      </c>
      <c r="C481" s="8">
        <v>45739</v>
      </c>
      <c r="D481" s="9"/>
      <c r="E481" s="10"/>
      <c r="F481" s="11"/>
      <c r="G481" s="12"/>
      <c r="H481" s="11"/>
      <c r="I481" s="12"/>
      <c r="J481" s="11"/>
      <c r="K481" s="12"/>
    </row>
    <row r="482" spans="1:11" x14ac:dyDescent="0.25">
      <c r="A482" s="1">
        <v>479</v>
      </c>
      <c r="B482" s="7" t="s">
        <v>18</v>
      </c>
      <c r="C482" s="8">
        <v>45740</v>
      </c>
      <c r="D482" s="9"/>
      <c r="E482" s="10"/>
      <c r="F482" s="11"/>
      <c r="G482" s="12"/>
      <c r="H482" s="11"/>
      <c r="I482" s="12"/>
      <c r="J482" s="11"/>
      <c r="K482" s="12"/>
    </row>
    <row r="483" spans="1:11" x14ac:dyDescent="0.25">
      <c r="A483" s="1">
        <v>480</v>
      </c>
      <c r="B483" s="7" t="s">
        <v>19</v>
      </c>
      <c r="C483" s="8">
        <v>45741</v>
      </c>
      <c r="D483" s="9"/>
      <c r="E483" s="10"/>
      <c r="F483" s="11"/>
      <c r="G483" s="12"/>
      <c r="H483" s="11"/>
      <c r="I483" s="12"/>
      <c r="J483" s="11"/>
      <c r="K483" s="12"/>
    </row>
    <row r="484" spans="1:11" x14ac:dyDescent="0.25">
      <c r="A484" s="1">
        <v>481</v>
      </c>
      <c r="B484" s="7" t="s">
        <v>20</v>
      </c>
      <c r="C484" s="8">
        <v>45742</v>
      </c>
      <c r="D484" s="9">
        <v>5600</v>
      </c>
      <c r="E484" s="10" t="s">
        <v>12</v>
      </c>
      <c r="F484" s="11">
        <v>2600</v>
      </c>
      <c r="G484" s="12" t="s">
        <v>12</v>
      </c>
      <c r="H484" s="11">
        <v>1400</v>
      </c>
      <c r="I484" s="12" t="s">
        <v>12</v>
      </c>
      <c r="J484" s="11">
        <v>2900</v>
      </c>
      <c r="K484" s="12" t="s">
        <v>12</v>
      </c>
    </row>
    <row r="485" spans="1:11" x14ac:dyDescent="0.25">
      <c r="A485" s="1">
        <v>482</v>
      </c>
      <c r="B485" s="7" t="s">
        <v>14</v>
      </c>
      <c r="C485" s="8">
        <v>45743</v>
      </c>
      <c r="D485" s="9">
        <v>1300</v>
      </c>
      <c r="E485" s="10" t="s">
        <v>22</v>
      </c>
      <c r="F485" s="11">
        <v>600</v>
      </c>
      <c r="G485" s="12" t="s">
        <v>22</v>
      </c>
      <c r="H485" s="11">
        <v>500</v>
      </c>
      <c r="I485" s="12" t="s">
        <v>22</v>
      </c>
      <c r="J485" s="11">
        <v>800</v>
      </c>
      <c r="K485" s="12" t="s">
        <v>22</v>
      </c>
    </row>
    <row r="486" spans="1:11" x14ac:dyDescent="0.25">
      <c r="A486" s="1">
        <v>483</v>
      </c>
      <c r="B486" s="7" t="s">
        <v>15</v>
      </c>
      <c r="C486" s="8">
        <v>45744</v>
      </c>
      <c r="D486" s="9"/>
      <c r="E486" s="10"/>
      <c r="F486" s="11"/>
      <c r="G486" s="12"/>
      <c r="H486" s="11"/>
      <c r="I486" s="12"/>
      <c r="J486" s="11"/>
      <c r="K486" s="12"/>
    </row>
    <row r="487" spans="1:11" x14ac:dyDescent="0.25">
      <c r="A487" s="1">
        <v>484</v>
      </c>
      <c r="B487" s="7" t="s">
        <v>16</v>
      </c>
      <c r="C487" s="8">
        <v>45745</v>
      </c>
      <c r="D487" s="9"/>
      <c r="E487" s="10"/>
      <c r="F487" s="11"/>
      <c r="G487" s="12"/>
      <c r="H487" s="11"/>
      <c r="I487" s="12"/>
      <c r="J487" s="11"/>
      <c r="K487" s="12"/>
    </row>
    <row r="488" spans="1:11" x14ac:dyDescent="0.25">
      <c r="A488" s="1">
        <v>485</v>
      </c>
      <c r="B488" s="7" t="s">
        <v>17</v>
      </c>
      <c r="C488" s="8">
        <v>45746</v>
      </c>
      <c r="D488" s="9"/>
      <c r="E488" s="10"/>
      <c r="F488" s="11"/>
      <c r="G488" s="12"/>
      <c r="H488" s="11"/>
      <c r="I488" s="12"/>
      <c r="J488" s="11"/>
      <c r="K488" s="12"/>
    </row>
    <row r="489" spans="1:11" x14ac:dyDescent="0.25">
      <c r="A489" s="1">
        <v>486</v>
      </c>
      <c r="B489" s="7" t="s">
        <v>18</v>
      </c>
      <c r="C489" s="8">
        <v>45747</v>
      </c>
      <c r="D489" s="9"/>
      <c r="E489" s="10"/>
      <c r="F489" s="11"/>
      <c r="G489" s="12"/>
      <c r="H489" s="11"/>
      <c r="I489" s="12"/>
      <c r="J489" s="11"/>
      <c r="K489" s="12"/>
    </row>
    <row r="490" spans="1:11" x14ac:dyDescent="0.25">
      <c r="A490" s="1">
        <v>487</v>
      </c>
      <c r="B490" s="7" t="s">
        <v>19</v>
      </c>
      <c r="C490" s="8">
        <v>45748</v>
      </c>
      <c r="D490" s="9">
        <v>5000</v>
      </c>
      <c r="E490" s="10" t="s">
        <v>12</v>
      </c>
      <c r="F490" s="11">
        <v>3000</v>
      </c>
      <c r="G490" s="12" t="s">
        <v>12</v>
      </c>
      <c r="H490" s="11">
        <v>1800</v>
      </c>
      <c r="I490" s="12" t="s">
        <v>12</v>
      </c>
      <c r="J490" s="11">
        <v>4800</v>
      </c>
      <c r="K490" s="12" t="s">
        <v>12</v>
      </c>
    </row>
    <row r="491" spans="1:11" x14ac:dyDescent="0.25">
      <c r="A491" s="1">
        <v>490</v>
      </c>
      <c r="B491" s="7" t="s">
        <v>20</v>
      </c>
      <c r="C491" s="8">
        <v>45749</v>
      </c>
      <c r="D491" s="9"/>
      <c r="E491" s="10"/>
      <c r="F491" s="11"/>
      <c r="G491" s="12"/>
      <c r="H491" s="11"/>
      <c r="I491" s="12"/>
      <c r="J491" s="11"/>
      <c r="K491" s="12"/>
    </row>
    <row r="492" spans="1:11" x14ac:dyDescent="0.25">
      <c r="A492" s="1">
        <v>491</v>
      </c>
      <c r="B492" s="7" t="s">
        <v>14</v>
      </c>
      <c r="C492" s="8">
        <v>45750</v>
      </c>
      <c r="D492" s="9">
        <v>3200</v>
      </c>
      <c r="E492" s="10" t="s">
        <v>12</v>
      </c>
      <c r="F492" s="11">
        <v>1900</v>
      </c>
      <c r="G492" s="12" t="s">
        <v>12</v>
      </c>
      <c r="H492" s="11">
        <v>1100</v>
      </c>
      <c r="I492" s="12" t="s">
        <v>12</v>
      </c>
      <c r="J492" s="11">
        <v>3000</v>
      </c>
      <c r="K492" s="12" t="s">
        <v>12</v>
      </c>
    </row>
    <row r="493" spans="1:11" x14ac:dyDescent="0.25">
      <c r="A493" s="1">
        <v>492</v>
      </c>
      <c r="B493" s="7" t="s">
        <v>14</v>
      </c>
      <c r="C493" s="8">
        <v>45750</v>
      </c>
      <c r="D493" s="9">
        <v>2300</v>
      </c>
      <c r="E493" s="10" t="s">
        <v>22</v>
      </c>
      <c r="F493" s="11">
        <v>200</v>
      </c>
      <c r="G493" s="12" t="s">
        <v>22</v>
      </c>
      <c r="H493" s="11">
        <v>200</v>
      </c>
      <c r="I493" s="12" t="s">
        <v>22</v>
      </c>
      <c r="J493" s="11">
        <v>400</v>
      </c>
      <c r="K493" s="12" t="s">
        <v>22</v>
      </c>
    </row>
    <row r="494" spans="1:11" x14ac:dyDescent="0.25">
      <c r="A494" s="1">
        <v>493</v>
      </c>
      <c r="B494" s="7" t="s">
        <v>14</v>
      </c>
      <c r="C494" s="8">
        <v>45750</v>
      </c>
      <c r="D494" s="9">
        <v>200</v>
      </c>
      <c r="E494" s="10" t="s">
        <v>21</v>
      </c>
      <c r="F494" s="11">
        <v>500</v>
      </c>
      <c r="G494" s="12" t="s">
        <v>21</v>
      </c>
      <c r="H494" s="11">
        <v>100</v>
      </c>
      <c r="I494" s="12" t="s">
        <v>21</v>
      </c>
      <c r="J494" s="11"/>
      <c r="K494" s="12"/>
    </row>
    <row r="495" spans="1:11" x14ac:dyDescent="0.25">
      <c r="A495" s="1">
        <v>494</v>
      </c>
      <c r="B495" s="7" t="s">
        <v>15</v>
      </c>
      <c r="C495" s="8">
        <v>45751</v>
      </c>
      <c r="D495" s="9"/>
      <c r="E495" s="10"/>
      <c r="F495" s="11"/>
      <c r="G495" s="12"/>
      <c r="H495" s="11"/>
      <c r="I495" s="12"/>
      <c r="J495" s="11"/>
      <c r="K495" s="12"/>
    </row>
    <row r="496" spans="1:11" x14ac:dyDescent="0.25">
      <c r="A496" s="1">
        <v>495</v>
      </c>
      <c r="B496" s="7" t="s">
        <v>16</v>
      </c>
      <c r="C496" s="8">
        <v>45752</v>
      </c>
      <c r="D496" s="9"/>
      <c r="E496" s="10"/>
      <c r="F496" s="11"/>
      <c r="G496" s="12"/>
      <c r="H496" s="11"/>
      <c r="I496" s="12"/>
      <c r="J496" s="11"/>
      <c r="K496" s="12"/>
    </row>
    <row r="497" spans="1:11" x14ac:dyDescent="0.25">
      <c r="A497" s="1">
        <v>496</v>
      </c>
      <c r="B497" s="7" t="s">
        <v>17</v>
      </c>
      <c r="C497" s="8">
        <v>45753</v>
      </c>
      <c r="D497" s="9"/>
      <c r="E497" s="10"/>
      <c r="F497" s="11"/>
      <c r="G497" s="12"/>
      <c r="H497" s="11"/>
      <c r="I497" s="12"/>
      <c r="J497" s="11"/>
      <c r="K497" s="12"/>
    </row>
    <row r="498" spans="1:11" x14ac:dyDescent="0.25">
      <c r="A498" s="1">
        <v>497</v>
      </c>
      <c r="B498" s="7" t="s">
        <v>18</v>
      </c>
      <c r="C498" s="8">
        <v>45754</v>
      </c>
      <c r="D498" s="9"/>
      <c r="E498" s="10"/>
      <c r="F498" s="11"/>
      <c r="G498" s="12"/>
      <c r="H498" s="11"/>
      <c r="I498" s="12"/>
      <c r="J498" s="11"/>
      <c r="K498" s="12"/>
    </row>
    <row r="499" spans="1:11" x14ac:dyDescent="0.25">
      <c r="A499" s="1">
        <v>498</v>
      </c>
      <c r="B499" s="7" t="s">
        <v>19</v>
      </c>
      <c r="C499" s="8">
        <v>45755</v>
      </c>
      <c r="D499" s="9">
        <v>3900</v>
      </c>
      <c r="E499" s="10" t="s">
        <v>12</v>
      </c>
      <c r="F499" s="11">
        <v>2900</v>
      </c>
      <c r="G499" s="12" t="s">
        <v>12</v>
      </c>
      <c r="H499" s="11">
        <v>1200</v>
      </c>
      <c r="I499" s="12" t="s">
        <v>12</v>
      </c>
      <c r="J499" s="11">
        <v>6900</v>
      </c>
      <c r="K499" s="12" t="s">
        <v>12</v>
      </c>
    </row>
    <row r="500" spans="1:11" x14ac:dyDescent="0.25">
      <c r="A500" s="1">
        <v>499</v>
      </c>
      <c r="B500" s="7" t="s">
        <v>20</v>
      </c>
      <c r="C500" s="8">
        <v>45756</v>
      </c>
      <c r="D500" s="9"/>
      <c r="E500" s="10"/>
      <c r="F500" s="11"/>
      <c r="G500" s="12"/>
      <c r="H500" s="11"/>
      <c r="I500" s="12"/>
      <c r="J500" s="11"/>
      <c r="K500" s="12"/>
    </row>
    <row r="501" spans="1:11" x14ac:dyDescent="0.25">
      <c r="A501" s="1">
        <v>500</v>
      </c>
      <c r="B501" s="7" t="s">
        <v>14</v>
      </c>
      <c r="C501" s="8">
        <v>45757</v>
      </c>
      <c r="D501" s="9">
        <v>1300</v>
      </c>
      <c r="E501" s="10" t="s">
        <v>12</v>
      </c>
      <c r="F501" s="11">
        <v>1000</v>
      </c>
      <c r="G501" s="12" t="s">
        <v>12</v>
      </c>
      <c r="H501" s="11">
        <v>400</v>
      </c>
      <c r="I501" s="12" t="s">
        <v>12</v>
      </c>
      <c r="J501" s="11">
        <v>2300</v>
      </c>
      <c r="K501" s="12" t="s">
        <v>12</v>
      </c>
    </row>
    <row r="502" spans="1:11" x14ac:dyDescent="0.25">
      <c r="A502" s="1">
        <v>501</v>
      </c>
      <c r="B502" s="7" t="s">
        <v>14</v>
      </c>
      <c r="C502" s="8">
        <v>45757</v>
      </c>
      <c r="D502" s="9">
        <v>400</v>
      </c>
      <c r="E502" s="10" t="s">
        <v>22</v>
      </c>
      <c r="F502" s="11">
        <v>100</v>
      </c>
      <c r="G502" s="12" t="s">
        <v>22</v>
      </c>
      <c r="H502" s="11">
        <v>200</v>
      </c>
      <c r="I502" s="12" t="s">
        <v>22</v>
      </c>
      <c r="J502" s="11">
        <v>500</v>
      </c>
      <c r="K502" s="12" t="s">
        <v>22</v>
      </c>
    </row>
    <row r="503" spans="1:11" x14ac:dyDescent="0.25">
      <c r="A503" s="1">
        <v>502</v>
      </c>
      <c r="B503" s="7" t="s">
        <v>15</v>
      </c>
      <c r="C503" s="8">
        <v>45758</v>
      </c>
      <c r="D503" s="9"/>
      <c r="E503" s="10"/>
      <c r="F503" s="11"/>
      <c r="G503" s="12"/>
      <c r="H503" s="11"/>
      <c r="I503" s="12"/>
      <c r="J503" s="11"/>
      <c r="K503" s="12"/>
    </row>
    <row r="504" spans="1:11" x14ac:dyDescent="0.25">
      <c r="A504" s="1">
        <v>503</v>
      </c>
      <c r="B504" s="7" t="s">
        <v>16</v>
      </c>
      <c r="C504" s="8">
        <v>45759</v>
      </c>
      <c r="D504" s="9"/>
      <c r="E504" s="10"/>
      <c r="F504" s="11"/>
      <c r="G504" s="12"/>
      <c r="H504" s="11"/>
      <c r="I504" s="12"/>
      <c r="J504" s="11"/>
      <c r="K504" s="12"/>
    </row>
    <row r="505" spans="1:11" x14ac:dyDescent="0.25">
      <c r="A505" s="1">
        <v>504</v>
      </c>
      <c r="B505" s="7" t="s">
        <v>17</v>
      </c>
      <c r="C505" s="8">
        <v>45760</v>
      </c>
      <c r="D505" s="9"/>
      <c r="E505" s="10"/>
      <c r="F505" s="11"/>
      <c r="G505" s="12"/>
      <c r="H505" s="11"/>
      <c r="I505" s="12"/>
      <c r="J505" s="11"/>
      <c r="K505" s="12"/>
    </row>
    <row r="506" spans="1:11" x14ac:dyDescent="0.25">
      <c r="A506" s="1">
        <v>505</v>
      </c>
      <c r="B506" s="7" t="s">
        <v>18</v>
      </c>
      <c r="C506" s="8">
        <v>45761</v>
      </c>
      <c r="D506" s="9"/>
      <c r="E506" s="10"/>
      <c r="F506" s="11"/>
      <c r="G506" s="12"/>
      <c r="H506" s="11"/>
      <c r="I506" s="12"/>
      <c r="J506" s="11"/>
      <c r="K506" s="12"/>
    </row>
    <row r="507" spans="1:11" x14ac:dyDescent="0.25">
      <c r="A507" s="1">
        <v>506</v>
      </c>
      <c r="B507" s="7" t="s">
        <v>19</v>
      </c>
      <c r="C507" s="8">
        <v>45762</v>
      </c>
      <c r="D507" s="9">
        <v>4700</v>
      </c>
      <c r="E507" s="10" t="s">
        <v>12</v>
      </c>
      <c r="F507" s="11">
        <v>1900</v>
      </c>
      <c r="G507" s="12" t="s">
        <v>12</v>
      </c>
      <c r="H507" s="11">
        <v>1700</v>
      </c>
      <c r="I507" s="12" t="s">
        <v>12</v>
      </c>
      <c r="J507" s="11">
        <v>3800</v>
      </c>
      <c r="K507" s="12" t="s">
        <v>12</v>
      </c>
    </row>
    <row r="508" spans="1:11" x14ac:dyDescent="0.25">
      <c r="A508" s="1">
        <v>507</v>
      </c>
      <c r="B508" s="7" t="s">
        <v>20</v>
      </c>
      <c r="C508" s="8">
        <v>45763</v>
      </c>
      <c r="D508" s="9"/>
      <c r="E508" s="10"/>
      <c r="F508" s="11"/>
      <c r="G508" s="12"/>
      <c r="H508" s="11"/>
      <c r="I508" s="12"/>
      <c r="J508" s="11"/>
      <c r="K508" s="12"/>
    </row>
    <row r="509" spans="1:11" x14ac:dyDescent="0.25">
      <c r="A509" s="1">
        <v>508</v>
      </c>
      <c r="B509" s="7" t="s">
        <v>14</v>
      </c>
      <c r="C509" s="8">
        <v>45764</v>
      </c>
      <c r="D509" s="9">
        <v>3900</v>
      </c>
      <c r="E509" s="10" t="s">
        <v>12</v>
      </c>
      <c r="F509" s="11">
        <v>1600</v>
      </c>
      <c r="G509" s="12" t="s">
        <v>12</v>
      </c>
      <c r="H509" s="11"/>
      <c r="I509" s="12"/>
      <c r="J509" s="11">
        <v>3100</v>
      </c>
      <c r="K509" s="12" t="s">
        <v>12</v>
      </c>
    </row>
    <row r="510" spans="1:11" x14ac:dyDescent="0.25">
      <c r="A510" s="1">
        <v>509</v>
      </c>
      <c r="B510" s="7" t="s">
        <v>14</v>
      </c>
      <c r="C510" s="8">
        <v>45764</v>
      </c>
      <c r="D510" s="9">
        <v>1100</v>
      </c>
      <c r="E510" s="10" t="s">
        <v>22</v>
      </c>
      <c r="F510" s="11">
        <v>800</v>
      </c>
      <c r="G510" s="12" t="s">
        <v>22</v>
      </c>
      <c r="H510" s="11">
        <v>100</v>
      </c>
      <c r="I510" s="12" t="s">
        <v>22</v>
      </c>
      <c r="J510" s="11">
        <v>600</v>
      </c>
      <c r="K510" s="12" t="s">
        <v>22</v>
      </c>
    </row>
    <row r="511" spans="1:11" x14ac:dyDescent="0.25">
      <c r="A511" s="1">
        <v>510</v>
      </c>
      <c r="B511" s="7" t="s">
        <v>14</v>
      </c>
      <c r="C511" s="8">
        <v>45764</v>
      </c>
      <c r="D511" s="9">
        <v>800</v>
      </c>
      <c r="E511" s="10" t="s">
        <v>21</v>
      </c>
      <c r="F511" s="11">
        <v>300</v>
      </c>
      <c r="G511" s="12" t="s">
        <v>21</v>
      </c>
      <c r="H511" s="11"/>
      <c r="I511" s="12"/>
      <c r="J511" s="11"/>
      <c r="K511" s="12"/>
    </row>
    <row r="512" spans="1:11" x14ac:dyDescent="0.25">
      <c r="A512" s="1">
        <v>511</v>
      </c>
      <c r="B512" s="7" t="s">
        <v>15</v>
      </c>
      <c r="C512" s="8">
        <v>45765</v>
      </c>
      <c r="D512" s="9"/>
      <c r="E512" s="10"/>
      <c r="F512" s="11"/>
      <c r="G512" s="12"/>
      <c r="H512" s="11"/>
      <c r="I512" s="12"/>
      <c r="J512" s="11"/>
      <c r="K512" s="12"/>
    </row>
    <row r="513" spans="1:11" x14ac:dyDescent="0.25">
      <c r="A513" s="1">
        <v>512</v>
      </c>
      <c r="B513" s="7" t="s">
        <v>16</v>
      </c>
      <c r="C513" s="8">
        <v>45766</v>
      </c>
      <c r="D513" s="9"/>
      <c r="E513" s="10"/>
      <c r="F513" s="11"/>
      <c r="G513" s="12"/>
      <c r="H513" s="11"/>
      <c r="I513" s="12"/>
      <c r="J513" s="11"/>
      <c r="K513" s="12"/>
    </row>
    <row r="514" spans="1:11" x14ac:dyDescent="0.25">
      <c r="A514" s="1">
        <v>513</v>
      </c>
      <c r="B514" s="7" t="s">
        <v>17</v>
      </c>
      <c r="C514" s="8">
        <v>45767</v>
      </c>
      <c r="D514" s="9"/>
      <c r="E514" s="10"/>
      <c r="F514" s="11"/>
      <c r="G514" s="12"/>
      <c r="H514" s="11"/>
      <c r="I514" s="12"/>
      <c r="J514" s="11"/>
      <c r="K514" s="12"/>
    </row>
    <row r="515" spans="1:11" x14ac:dyDescent="0.25">
      <c r="A515" s="1">
        <v>514</v>
      </c>
      <c r="B515" s="7" t="s">
        <v>18</v>
      </c>
      <c r="C515" s="8">
        <v>45768</v>
      </c>
      <c r="D515" s="9"/>
      <c r="E515" s="10"/>
      <c r="F515" s="11"/>
      <c r="G515" s="12"/>
      <c r="H515" s="11"/>
      <c r="I515" s="12"/>
      <c r="J515" s="11"/>
      <c r="K515" s="12"/>
    </row>
    <row r="516" spans="1:11" x14ac:dyDescent="0.25">
      <c r="A516" s="1">
        <v>515</v>
      </c>
      <c r="B516" s="7" t="s">
        <v>19</v>
      </c>
      <c r="C516" s="8">
        <v>45769</v>
      </c>
      <c r="D516" s="9">
        <v>4700</v>
      </c>
      <c r="E516" s="10" t="s">
        <v>12</v>
      </c>
      <c r="F516" s="11">
        <v>3800</v>
      </c>
      <c r="G516" s="12" t="s">
        <v>12</v>
      </c>
      <c r="H516" s="11">
        <v>1800</v>
      </c>
      <c r="I516" s="12" t="s">
        <v>12</v>
      </c>
      <c r="J516" s="11">
        <v>3300</v>
      </c>
      <c r="K516" s="12" t="s">
        <v>12</v>
      </c>
    </row>
    <row r="517" spans="1:11" x14ac:dyDescent="0.25">
      <c r="A517" s="1">
        <v>516</v>
      </c>
      <c r="B517" s="7" t="s">
        <v>20</v>
      </c>
      <c r="C517" s="8">
        <v>45770</v>
      </c>
      <c r="D517" s="9"/>
      <c r="E517" s="10"/>
      <c r="F517" s="11"/>
      <c r="G517" s="12"/>
      <c r="H517" s="11"/>
      <c r="I517" s="12"/>
      <c r="J517" s="11"/>
      <c r="K517" s="12"/>
    </row>
    <row r="518" spans="1:11" x14ac:dyDescent="0.25">
      <c r="A518" s="1">
        <v>517</v>
      </c>
      <c r="B518" s="7" t="s">
        <v>14</v>
      </c>
      <c r="C518" s="8">
        <v>45771</v>
      </c>
      <c r="D518" s="9">
        <f>1600+3000</f>
        <v>4600</v>
      </c>
      <c r="E518" s="10" t="s">
        <v>12</v>
      </c>
      <c r="F518" s="11">
        <f>1000+2500</f>
        <v>3500</v>
      </c>
      <c r="G518" s="12" t="s">
        <v>12</v>
      </c>
      <c r="H518" s="11">
        <v>1700</v>
      </c>
      <c r="I518" s="12" t="s">
        <v>12</v>
      </c>
      <c r="J518" s="11">
        <v>2800</v>
      </c>
      <c r="K518" s="12" t="s">
        <v>12</v>
      </c>
    </row>
    <row r="519" spans="1:11" x14ac:dyDescent="0.25">
      <c r="A519" s="1">
        <v>518</v>
      </c>
      <c r="B519" s="7" t="s">
        <v>14</v>
      </c>
      <c r="C519" s="8">
        <v>45771</v>
      </c>
      <c r="D519" s="9">
        <v>2700</v>
      </c>
      <c r="E519" s="10" t="s">
        <v>22</v>
      </c>
      <c r="F519" s="11">
        <v>600</v>
      </c>
      <c r="G519" s="12" t="s">
        <v>22</v>
      </c>
      <c r="H519" s="11"/>
      <c r="I519" s="12"/>
      <c r="J519" s="11">
        <v>400</v>
      </c>
      <c r="K519" s="12" t="s">
        <v>22</v>
      </c>
    </row>
    <row r="520" spans="1:11" x14ac:dyDescent="0.25">
      <c r="A520" s="1">
        <v>519</v>
      </c>
      <c r="B520" s="7" t="s">
        <v>14</v>
      </c>
      <c r="C520" s="8">
        <v>45771</v>
      </c>
      <c r="D520" s="9">
        <v>700</v>
      </c>
      <c r="E520" s="10" t="s">
        <v>21</v>
      </c>
      <c r="F520" s="11">
        <v>600</v>
      </c>
      <c r="G520" s="12" t="s">
        <v>21</v>
      </c>
      <c r="H520" s="11"/>
      <c r="I520" s="12"/>
      <c r="J520" s="11">
        <v>100</v>
      </c>
      <c r="K520" s="12" t="s">
        <v>21</v>
      </c>
    </row>
    <row r="521" spans="1:11" x14ac:dyDescent="0.25">
      <c r="A521" s="1">
        <v>520</v>
      </c>
      <c r="B521" s="7" t="s">
        <v>15</v>
      </c>
      <c r="C521" s="8">
        <v>45772</v>
      </c>
      <c r="D521" s="9"/>
      <c r="E521" s="10"/>
      <c r="F521" s="11"/>
      <c r="G521" s="12"/>
      <c r="H521" s="11"/>
      <c r="I521" s="12"/>
      <c r="J521" s="11"/>
      <c r="K521" s="12"/>
    </row>
    <row r="522" spans="1:11" x14ac:dyDescent="0.25">
      <c r="A522" s="1">
        <v>521</v>
      </c>
      <c r="B522" s="7" t="s">
        <v>16</v>
      </c>
      <c r="C522" s="8">
        <v>45773</v>
      </c>
      <c r="D522" s="9"/>
      <c r="E522" s="10"/>
      <c r="F522" s="11"/>
      <c r="G522" s="12"/>
      <c r="H522" s="11"/>
      <c r="I522" s="12"/>
      <c r="J522" s="11"/>
      <c r="K522" s="12"/>
    </row>
    <row r="523" spans="1:11" x14ac:dyDescent="0.25">
      <c r="A523" s="1">
        <v>522</v>
      </c>
      <c r="B523" s="7" t="s">
        <v>17</v>
      </c>
      <c r="C523" s="8">
        <v>45774</v>
      </c>
      <c r="D523" s="9"/>
      <c r="E523" s="10"/>
      <c r="F523" s="11"/>
      <c r="G523" s="12"/>
      <c r="H523" s="11"/>
      <c r="I523" s="12"/>
      <c r="J523" s="11"/>
      <c r="K523" s="12"/>
    </row>
    <row r="524" spans="1:11" x14ac:dyDescent="0.25">
      <c r="A524" s="1">
        <v>523</v>
      </c>
      <c r="B524" s="7" t="s">
        <v>18</v>
      </c>
      <c r="C524" s="8">
        <v>45775</v>
      </c>
      <c r="D524" s="9"/>
      <c r="E524" s="10"/>
      <c r="F524" s="11"/>
      <c r="G524" s="12"/>
      <c r="H524" s="11"/>
      <c r="I524" s="12"/>
      <c r="J524" s="11"/>
      <c r="K524" s="12"/>
    </row>
    <row r="525" spans="1:11" x14ac:dyDescent="0.25">
      <c r="A525" s="1">
        <v>524</v>
      </c>
      <c r="B525" s="7" t="s">
        <v>19</v>
      </c>
      <c r="C525" s="8">
        <v>45776</v>
      </c>
      <c r="D525" s="9">
        <v>6100</v>
      </c>
      <c r="E525" s="10" t="s">
        <v>12</v>
      </c>
      <c r="F525" s="11">
        <v>1300</v>
      </c>
      <c r="G525" s="12" t="s">
        <v>12</v>
      </c>
      <c r="H525" s="11">
        <v>700</v>
      </c>
      <c r="I525" s="12" t="s">
        <v>12</v>
      </c>
      <c r="J525" s="11">
        <v>6900</v>
      </c>
      <c r="K525" s="12" t="s">
        <v>12</v>
      </c>
    </row>
    <row r="526" spans="1:11" x14ac:dyDescent="0.25">
      <c r="A526" s="1">
        <v>525</v>
      </c>
      <c r="B526" s="7" t="s">
        <v>20</v>
      </c>
      <c r="C526" s="8">
        <v>45777</v>
      </c>
      <c r="D526" s="9"/>
      <c r="E526" s="10"/>
      <c r="F526" s="11"/>
      <c r="G526" s="12"/>
      <c r="H526" s="11"/>
      <c r="I526" s="12"/>
      <c r="J526" s="11"/>
      <c r="K526" s="12"/>
    </row>
    <row r="527" spans="1:11" x14ac:dyDescent="0.25">
      <c r="A527" s="1">
        <v>526</v>
      </c>
      <c r="B527" s="7" t="s">
        <v>14</v>
      </c>
      <c r="C527" s="8">
        <v>45778</v>
      </c>
      <c r="D527" s="9">
        <v>1000</v>
      </c>
      <c r="E527" s="10" t="s">
        <v>12</v>
      </c>
      <c r="F527" s="11"/>
      <c r="G527" s="12"/>
      <c r="H527" s="11"/>
      <c r="I527" s="12"/>
      <c r="J527" s="11">
        <v>1600</v>
      </c>
      <c r="K527" s="12" t="s">
        <v>12</v>
      </c>
    </row>
    <row r="528" spans="1:11" x14ac:dyDescent="0.25">
      <c r="A528" s="1">
        <v>527</v>
      </c>
      <c r="B528" s="7" t="s">
        <v>14</v>
      </c>
      <c r="C528" s="8">
        <v>45778</v>
      </c>
      <c r="D528" s="9">
        <v>3100</v>
      </c>
      <c r="E528" s="10" t="s">
        <v>22</v>
      </c>
      <c r="F528" s="11">
        <v>500</v>
      </c>
      <c r="G528" s="12" t="s">
        <v>22</v>
      </c>
      <c r="H528" s="11"/>
      <c r="I528" s="12"/>
      <c r="J528" s="11">
        <v>100</v>
      </c>
      <c r="K528" s="12" t="s">
        <v>22</v>
      </c>
    </row>
    <row r="529" spans="1:11" x14ac:dyDescent="0.25">
      <c r="A529" s="1">
        <v>528</v>
      </c>
      <c r="B529" s="7" t="s">
        <v>14</v>
      </c>
      <c r="C529" s="8">
        <v>45778</v>
      </c>
      <c r="D529" s="9">
        <v>700</v>
      </c>
      <c r="E529" s="10" t="s">
        <v>21</v>
      </c>
      <c r="F529" s="11">
        <v>100</v>
      </c>
      <c r="G529" s="12" t="s">
        <v>21</v>
      </c>
      <c r="H529" s="11"/>
      <c r="I529" s="12"/>
      <c r="J529" s="11"/>
      <c r="K529" s="12"/>
    </row>
    <row r="530" spans="1:11" x14ac:dyDescent="0.25">
      <c r="A530" s="1">
        <v>529</v>
      </c>
      <c r="B530" s="7" t="s">
        <v>15</v>
      </c>
      <c r="C530" s="8">
        <v>45779</v>
      </c>
      <c r="D530" s="9"/>
      <c r="E530" s="10"/>
      <c r="F530" s="11"/>
      <c r="G530" s="12"/>
      <c r="H530" s="11"/>
      <c r="I530" s="12"/>
      <c r="J530" s="11"/>
      <c r="K530" s="12"/>
    </row>
    <row r="531" spans="1:11" x14ac:dyDescent="0.25">
      <c r="A531" s="1">
        <v>530</v>
      </c>
      <c r="B531" s="7" t="s">
        <v>16</v>
      </c>
      <c r="C531" s="8">
        <v>45780</v>
      </c>
      <c r="D531" s="9"/>
      <c r="E531" s="10"/>
      <c r="F531" s="11"/>
      <c r="G531" s="12"/>
      <c r="H531" s="11"/>
      <c r="I531" s="12"/>
      <c r="J531" s="11"/>
      <c r="K531" s="12"/>
    </row>
    <row r="532" spans="1:11" x14ac:dyDescent="0.25">
      <c r="A532" s="1">
        <v>531</v>
      </c>
      <c r="B532" s="7" t="s">
        <v>17</v>
      </c>
      <c r="C532" s="8">
        <v>45781</v>
      </c>
      <c r="D532" s="9"/>
      <c r="E532" s="10"/>
      <c r="F532" s="11"/>
      <c r="G532" s="12"/>
      <c r="H532" s="11"/>
      <c r="I532" s="12"/>
      <c r="J532" s="11"/>
      <c r="K532" s="12"/>
    </row>
    <row r="533" spans="1:11" x14ac:dyDescent="0.25">
      <c r="A533" s="1">
        <v>532</v>
      </c>
      <c r="B533" s="7" t="s">
        <v>18</v>
      </c>
      <c r="C533" s="8">
        <v>45782</v>
      </c>
      <c r="D533" s="9"/>
      <c r="E533" s="10"/>
      <c r="F533" s="11"/>
      <c r="G533" s="12"/>
      <c r="H533" s="11"/>
      <c r="I533" s="12"/>
      <c r="J533" s="11"/>
      <c r="K533" s="12"/>
    </row>
    <row r="534" spans="1:11" x14ac:dyDescent="0.25">
      <c r="A534" s="1">
        <v>533</v>
      </c>
      <c r="B534" s="7" t="s">
        <v>19</v>
      </c>
      <c r="C534" s="8">
        <v>45783</v>
      </c>
      <c r="D534" s="9">
        <v>2000</v>
      </c>
      <c r="E534" s="10" t="s">
        <v>12</v>
      </c>
      <c r="F534" s="11">
        <v>2300</v>
      </c>
      <c r="G534" s="12" t="s">
        <v>12</v>
      </c>
      <c r="H534" s="11">
        <v>1500</v>
      </c>
      <c r="I534" s="12" t="s">
        <v>12</v>
      </c>
      <c r="J534" s="11">
        <v>7600</v>
      </c>
      <c r="K534" s="12" t="s">
        <v>12</v>
      </c>
    </row>
    <row r="535" spans="1:11" x14ac:dyDescent="0.25">
      <c r="A535" s="1">
        <v>534</v>
      </c>
      <c r="B535" s="7" t="s">
        <v>20</v>
      </c>
      <c r="C535" s="8">
        <v>45784</v>
      </c>
      <c r="D535" s="9"/>
      <c r="E535" s="10"/>
      <c r="F535" s="11"/>
      <c r="G535" s="12"/>
      <c r="H535" s="11"/>
      <c r="I535" s="12"/>
      <c r="J535" s="11"/>
      <c r="K535" s="12"/>
    </row>
    <row r="536" spans="1:11" x14ac:dyDescent="0.25">
      <c r="A536" s="1">
        <v>535</v>
      </c>
      <c r="B536" s="7" t="s">
        <v>14</v>
      </c>
      <c r="C536" s="8">
        <v>45785</v>
      </c>
      <c r="D536" s="9"/>
      <c r="E536" s="10"/>
      <c r="F536" s="11"/>
      <c r="G536" s="12"/>
      <c r="H536" s="11"/>
      <c r="I536" s="12"/>
      <c r="J536" s="11"/>
      <c r="K536" s="12"/>
    </row>
    <row r="537" spans="1:11" x14ac:dyDescent="0.25">
      <c r="A537" s="1">
        <v>536</v>
      </c>
      <c r="B537" s="7" t="s">
        <v>15</v>
      </c>
      <c r="C537" s="8">
        <v>45786</v>
      </c>
      <c r="D537" s="9"/>
      <c r="E537" s="10"/>
      <c r="F537" s="11"/>
      <c r="G537" s="12"/>
      <c r="H537" s="11"/>
      <c r="I537" s="12"/>
      <c r="J537" s="11"/>
      <c r="K537" s="12"/>
    </row>
    <row r="538" spans="1:11" x14ac:dyDescent="0.25">
      <c r="A538" s="1">
        <v>537</v>
      </c>
      <c r="B538" s="7" t="s">
        <v>16</v>
      </c>
      <c r="C538" s="8">
        <v>45787</v>
      </c>
      <c r="D538" s="9"/>
      <c r="E538" s="10"/>
      <c r="F538" s="11"/>
      <c r="G538" s="12"/>
      <c r="H538" s="11"/>
      <c r="I538" s="12"/>
      <c r="J538" s="11"/>
      <c r="K538" s="12"/>
    </row>
    <row r="539" spans="1:11" x14ac:dyDescent="0.25">
      <c r="A539" s="1">
        <v>538</v>
      </c>
      <c r="B539" s="7" t="s">
        <v>17</v>
      </c>
      <c r="C539" s="8">
        <v>45788</v>
      </c>
      <c r="D539" s="9"/>
      <c r="E539" s="10"/>
      <c r="F539" s="11"/>
      <c r="G539" s="12"/>
      <c r="H539" s="11"/>
      <c r="I539" s="12"/>
      <c r="J539" s="11"/>
      <c r="K539" s="12"/>
    </row>
    <row r="540" spans="1:11" x14ac:dyDescent="0.25">
      <c r="A540" s="1">
        <v>539</v>
      </c>
      <c r="B540" s="7" t="s">
        <v>18</v>
      </c>
      <c r="C540" s="8">
        <v>45789</v>
      </c>
      <c r="D540" s="9"/>
      <c r="E540" s="10"/>
      <c r="F540" s="11"/>
      <c r="G540" s="12"/>
      <c r="H540" s="11"/>
      <c r="I540" s="12"/>
      <c r="J540" s="11"/>
      <c r="K540" s="12"/>
    </row>
    <row r="541" spans="1:11" x14ac:dyDescent="0.25">
      <c r="A541" s="1">
        <v>540</v>
      </c>
      <c r="B541" s="7" t="s">
        <v>19</v>
      </c>
      <c r="C541" s="8">
        <v>45790</v>
      </c>
      <c r="D541" s="9">
        <v>5700</v>
      </c>
      <c r="E541" s="10" t="s">
        <v>12</v>
      </c>
      <c r="F541" s="11">
        <v>4100</v>
      </c>
      <c r="G541" s="12" t="s">
        <v>12</v>
      </c>
      <c r="H541" s="11">
        <v>900</v>
      </c>
      <c r="I541" s="12" t="s">
        <v>12</v>
      </c>
      <c r="J541" s="11">
        <v>3700</v>
      </c>
      <c r="K541" s="12" t="s">
        <v>12</v>
      </c>
    </row>
    <row r="542" spans="1:11" x14ac:dyDescent="0.25">
      <c r="A542" s="1">
        <v>541</v>
      </c>
      <c r="B542" s="7" t="s">
        <v>20</v>
      </c>
      <c r="C542" s="8">
        <v>45791</v>
      </c>
      <c r="D542" s="9"/>
      <c r="E542" s="10"/>
      <c r="F542" s="11"/>
      <c r="G542" s="12"/>
      <c r="H542" s="11"/>
      <c r="I542" s="12"/>
      <c r="J542" s="11"/>
      <c r="K542" s="12"/>
    </row>
    <row r="543" spans="1:11" x14ac:dyDescent="0.25">
      <c r="A543" s="1">
        <v>542</v>
      </c>
      <c r="B543" s="7" t="s">
        <v>14</v>
      </c>
      <c r="C543" s="8">
        <v>45792</v>
      </c>
      <c r="D543" s="9">
        <v>2300</v>
      </c>
      <c r="E543" s="10" t="s">
        <v>12</v>
      </c>
      <c r="F543" s="11">
        <v>1700</v>
      </c>
      <c r="G543" s="12" t="s">
        <v>12</v>
      </c>
      <c r="H543" s="11"/>
      <c r="I543" s="12"/>
      <c r="J543" s="11"/>
      <c r="K543" s="12"/>
    </row>
    <row r="544" spans="1:11" x14ac:dyDescent="0.25">
      <c r="A544" s="1">
        <v>543</v>
      </c>
      <c r="B544" s="7" t="s">
        <v>15</v>
      </c>
      <c r="C544" s="8">
        <v>45793</v>
      </c>
      <c r="D544" s="9"/>
      <c r="E544" s="10"/>
      <c r="F544" s="11"/>
      <c r="G544" s="12"/>
      <c r="H544" s="11"/>
      <c r="I544" s="12"/>
      <c r="J544" s="11"/>
      <c r="K544" s="12"/>
    </row>
    <row r="545" spans="1:11" x14ac:dyDescent="0.25">
      <c r="A545" s="1">
        <v>544</v>
      </c>
      <c r="B545" s="7" t="s">
        <v>16</v>
      </c>
      <c r="C545" s="8">
        <v>45794</v>
      </c>
      <c r="D545" s="9"/>
      <c r="E545" s="10"/>
      <c r="F545" s="11"/>
      <c r="G545" s="12"/>
      <c r="H545" s="11"/>
      <c r="I545" s="12"/>
      <c r="J545" s="11"/>
      <c r="K545" s="12"/>
    </row>
    <row r="546" spans="1:11" x14ac:dyDescent="0.25">
      <c r="A546" s="1">
        <v>545</v>
      </c>
      <c r="B546" s="7" t="s">
        <v>17</v>
      </c>
      <c r="C546" s="8">
        <v>45795</v>
      </c>
      <c r="D546" s="9"/>
      <c r="E546" s="10"/>
      <c r="F546" s="11"/>
      <c r="G546" s="12"/>
      <c r="H546" s="11"/>
      <c r="I546" s="12"/>
      <c r="J546" s="11"/>
      <c r="K546" s="12"/>
    </row>
    <row r="547" spans="1:11" x14ac:dyDescent="0.25">
      <c r="A547" s="1">
        <v>546</v>
      </c>
      <c r="B547" s="7" t="s">
        <v>18</v>
      </c>
      <c r="C547" s="8">
        <v>45796</v>
      </c>
      <c r="D547" s="9"/>
      <c r="E547" s="10"/>
      <c r="F547" s="11"/>
      <c r="G547" s="12"/>
      <c r="H547" s="11"/>
      <c r="I547" s="12"/>
      <c r="J547" s="11"/>
      <c r="K547" s="12"/>
    </row>
    <row r="548" spans="1:11" x14ac:dyDescent="0.25">
      <c r="A548" s="1">
        <v>547</v>
      </c>
      <c r="B548" s="7" t="s">
        <v>19</v>
      </c>
      <c r="C548" s="8">
        <v>45797</v>
      </c>
      <c r="D548" s="9">
        <v>3800</v>
      </c>
      <c r="E548" s="10" t="s">
        <v>12</v>
      </c>
      <c r="F548" s="11">
        <v>2300</v>
      </c>
      <c r="G548" s="12" t="s">
        <v>12</v>
      </c>
      <c r="H548" s="11">
        <v>2800</v>
      </c>
      <c r="I548" s="12" t="s">
        <v>12</v>
      </c>
      <c r="J548" s="11">
        <v>5600</v>
      </c>
      <c r="K548" s="12" t="s">
        <v>12</v>
      </c>
    </row>
    <row r="549" spans="1:11" x14ac:dyDescent="0.25">
      <c r="A549" s="1">
        <v>548</v>
      </c>
      <c r="B549" s="7" t="s">
        <v>20</v>
      </c>
      <c r="C549" s="8">
        <v>45798</v>
      </c>
      <c r="D549" s="9"/>
      <c r="E549" s="10"/>
      <c r="F549" s="11"/>
      <c r="G549" s="12"/>
      <c r="H549" s="11"/>
      <c r="I549" s="12"/>
      <c r="J549" s="11"/>
      <c r="K549" s="12"/>
    </row>
    <row r="550" spans="1:11" x14ac:dyDescent="0.25">
      <c r="A550" s="1">
        <v>549</v>
      </c>
      <c r="B550" s="7" t="s">
        <v>14</v>
      </c>
      <c r="C550" s="8">
        <v>45799</v>
      </c>
      <c r="D550" s="9">
        <v>2300</v>
      </c>
      <c r="E550" s="10" t="s">
        <v>12</v>
      </c>
      <c r="F550" s="11">
        <v>1300</v>
      </c>
      <c r="G550" s="12" t="s">
        <v>12</v>
      </c>
      <c r="H550" s="11"/>
      <c r="I550" s="12"/>
      <c r="J550" s="11">
        <v>3300</v>
      </c>
      <c r="K550" s="12" t="s">
        <v>12</v>
      </c>
    </row>
    <row r="551" spans="1:11" x14ac:dyDescent="0.25">
      <c r="A551" s="1">
        <v>550</v>
      </c>
      <c r="B551" s="7" t="s">
        <v>14</v>
      </c>
      <c r="C551" s="8">
        <v>45799</v>
      </c>
      <c r="D551" s="9">
        <v>300</v>
      </c>
      <c r="E551" s="10" t="s">
        <v>22</v>
      </c>
      <c r="F551" s="11">
        <v>200</v>
      </c>
      <c r="G551" s="12" t="s">
        <v>22</v>
      </c>
      <c r="H551" s="11">
        <v>100</v>
      </c>
      <c r="I551" s="12" t="s">
        <v>22</v>
      </c>
      <c r="J551" s="11">
        <v>100</v>
      </c>
      <c r="K551" s="12" t="s">
        <v>22</v>
      </c>
    </row>
    <row r="552" spans="1:11" x14ac:dyDescent="0.25">
      <c r="A552" s="1">
        <v>551</v>
      </c>
      <c r="B552" s="7" t="s">
        <v>14</v>
      </c>
      <c r="C552" s="8">
        <v>45799</v>
      </c>
      <c r="D552" s="9">
        <v>100</v>
      </c>
      <c r="E552" s="10" t="s">
        <v>21</v>
      </c>
      <c r="F552" s="11">
        <v>100</v>
      </c>
      <c r="G552" s="12" t="s">
        <v>21</v>
      </c>
      <c r="H552" s="11"/>
      <c r="I552" s="12"/>
      <c r="J552" s="11"/>
      <c r="K552" s="12"/>
    </row>
    <row r="553" spans="1:11" x14ac:dyDescent="0.25">
      <c r="A553" s="1">
        <v>552</v>
      </c>
      <c r="B553" s="7" t="s">
        <v>15</v>
      </c>
      <c r="C553" s="8">
        <v>45800</v>
      </c>
      <c r="D553" s="9"/>
      <c r="E553" s="10"/>
      <c r="F553" s="11"/>
      <c r="G553" s="12"/>
      <c r="H553" s="11"/>
      <c r="I553" s="12"/>
      <c r="J553" s="11"/>
      <c r="K553" s="12"/>
    </row>
    <row r="554" spans="1:11" x14ac:dyDescent="0.25">
      <c r="A554" s="1">
        <v>553</v>
      </c>
      <c r="B554" s="7" t="s">
        <v>16</v>
      </c>
      <c r="C554" s="8">
        <v>45801</v>
      </c>
      <c r="D554" s="9"/>
      <c r="E554" s="10"/>
      <c r="F554" s="11"/>
      <c r="G554" s="12"/>
      <c r="H554" s="11"/>
      <c r="I554" s="12"/>
      <c r="J554" s="11"/>
      <c r="K554" s="12"/>
    </row>
    <row r="555" spans="1:11" x14ac:dyDescent="0.25">
      <c r="A555" s="1">
        <v>554</v>
      </c>
      <c r="B555" s="7" t="s">
        <v>17</v>
      </c>
      <c r="C555" s="8">
        <v>45802</v>
      </c>
      <c r="D555" s="9"/>
      <c r="E555" s="10"/>
      <c r="F555" s="11"/>
      <c r="G555" s="12"/>
      <c r="H555" s="11"/>
      <c r="I555" s="12"/>
      <c r="J555" s="11"/>
      <c r="K555" s="12"/>
    </row>
    <row r="556" spans="1:11" x14ac:dyDescent="0.25">
      <c r="A556" s="1">
        <v>555</v>
      </c>
      <c r="B556" s="7" t="s">
        <v>18</v>
      </c>
      <c r="C556" s="8">
        <v>45803</v>
      </c>
      <c r="D556" s="9"/>
      <c r="E556" s="10"/>
      <c r="F556" s="11"/>
      <c r="G556" s="12"/>
      <c r="H556" s="11"/>
      <c r="I556" s="12"/>
      <c r="J556" s="11"/>
      <c r="K556" s="12"/>
    </row>
    <row r="557" spans="1:11" x14ac:dyDescent="0.25">
      <c r="A557" s="1">
        <v>556</v>
      </c>
      <c r="B557" s="7" t="s">
        <v>19</v>
      </c>
      <c r="C557" s="8">
        <v>45804</v>
      </c>
      <c r="D557" s="9">
        <v>4400</v>
      </c>
      <c r="E557" s="10" t="s">
        <v>12</v>
      </c>
      <c r="F557" s="11">
        <v>3800</v>
      </c>
      <c r="G557" s="12" t="s">
        <v>12</v>
      </c>
      <c r="H557" s="11">
        <v>2100</v>
      </c>
      <c r="I557" s="12" t="s">
        <v>12</v>
      </c>
      <c r="J557" s="11">
        <v>4400</v>
      </c>
      <c r="K557" s="12" t="s">
        <v>12</v>
      </c>
    </row>
    <row r="558" spans="1:11" x14ac:dyDescent="0.25">
      <c r="A558" s="1">
        <v>557</v>
      </c>
      <c r="B558" s="7" t="s">
        <v>20</v>
      </c>
      <c r="C558" s="8">
        <v>45805</v>
      </c>
      <c r="D558" s="9"/>
      <c r="E558" s="10"/>
      <c r="F558" s="11"/>
      <c r="G558" s="12"/>
      <c r="H558" s="11"/>
      <c r="I558" s="12"/>
      <c r="J558" s="11"/>
      <c r="K558" s="12"/>
    </row>
    <row r="559" spans="1:11" x14ac:dyDescent="0.25">
      <c r="A559" s="1">
        <v>558</v>
      </c>
      <c r="B559" s="7" t="s">
        <v>14</v>
      </c>
      <c r="C559" s="8">
        <v>45806</v>
      </c>
      <c r="D559" s="9">
        <f>3000+2500</f>
        <v>5500</v>
      </c>
      <c r="E559" s="10" t="s">
        <v>12</v>
      </c>
      <c r="F559" s="11">
        <f>2700+2300</f>
        <v>5000</v>
      </c>
      <c r="G559" s="12" t="s">
        <v>12</v>
      </c>
      <c r="H559" s="11"/>
      <c r="I559" s="12"/>
      <c r="J559" s="11">
        <f>3100+2600</f>
        <v>5700</v>
      </c>
      <c r="K559" s="12" t="s">
        <v>12</v>
      </c>
    </row>
    <row r="560" spans="1:11" x14ac:dyDescent="0.25">
      <c r="A560" s="1">
        <v>559</v>
      </c>
      <c r="B560" s="7" t="s">
        <v>14</v>
      </c>
      <c r="C560" s="8">
        <v>45806</v>
      </c>
      <c r="D560" s="9">
        <v>900</v>
      </c>
      <c r="E560" s="10" t="s">
        <v>22</v>
      </c>
      <c r="F560" s="11">
        <v>500</v>
      </c>
      <c r="G560" s="12" t="s">
        <v>22</v>
      </c>
      <c r="H560" s="11"/>
      <c r="I560" s="12"/>
      <c r="J560" s="11">
        <v>100</v>
      </c>
      <c r="K560" s="12" t="s">
        <v>22</v>
      </c>
    </row>
    <row r="561" spans="1:11" x14ac:dyDescent="0.25">
      <c r="A561" s="1">
        <v>560</v>
      </c>
      <c r="B561" s="7" t="s">
        <v>14</v>
      </c>
      <c r="C561" s="8">
        <v>45806</v>
      </c>
      <c r="D561" s="9">
        <v>300</v>
      </c>
      <c r="E561" s="10" t="s">
        <v>21</v>
      </c>
      <c r="F561" s="11">
        <v>200</v>
      </c>
      <c r="G561" s="12" t="s">
        <v>21</v>
      </c>
      <c r="H561" s="11"/>
      <c r="I561" s="12"/>
      <c r="J561" s="11">
        <v>40</v>
      </c>
      <c r="K561" s="12" t="s">
        <v>21</v>
      </c>
    </row>
    <row r="562" spans="1:11" x14ac:dyDescent="0.25">
      <c r="A562" s="1">
        <v>561</v>
      </c>
      <c r="B562" s="7" t="s">
        <v>15</v>
      </c>
      <c r="C562" s="8">
        <v>45807</v>
      </c>
      <c r="D562" s="9"/>
      <c r="E562" s="10"/>
      <c r="F562" s="11"/>
      <c r="G562" s="12"/>
      <c r="H562" s="11"/>
      <c r="I562" s="12"/>
      <c r="J562" s="11"/>
      <c r="K562" s="12"/>
    </row>
    <row r="563" spans="1:11" x14ac:dyDescent="0.25">
      <c r="A563" s="1">
        <v>562</v>
      </c>
      <c r="B563" s="7" t="s">
        <v>16</v>
      </c>
      <c r="C563" s="8">
        <v>45808</v>
      </c>
      <c r="D563" s="9"/>
      <c r="E563" s="10"/>
      <c r="F563" s="11"/>
      <c r="G563" s="12"/>
      <c r="H563" s="11"/>
      <c r="I563" s="12"/>
      <c r="J563" s="11"/>
      <c r="K563" s="12"/>
    </row>
    <row r="564" spans="1:11" x14ac:dyDescent="0.25">
      <c r="A564" s="1">
        <v>563</v>
      </c>
      <c r="B564" s="7" t="s">
        <v>17</v>
      </c>
      <c r="C564" s="8">
        <v>45809</v>
      </c>
      <c r="D564" s="9"/>
      <c r="E564" s="10"/>
      <c r="F564" s="11"/>
      <c r="G564" s="12"/>
      <c r="H564" s="11"/>
      <c r="I564" s="12"/>
      <c r="J564" s="11"/>
      <c r="K564" s="12"/>
    </row>
    <row r="565" spans="1:11" x14ac:dyDescent="0.25">
      <c r="A565" s="1">
        <v>564</v>
      </c>
      <c r="B565" s="7" t="s">
        <v>18</v>
      </c>
      <c r="C565" s="8">
        <v>45810</v>
      </c>
      <c r="D565" s="9"/>
      <c r="E565" s="10"/>
      <c r="F565" s="11"/>
      <c r="G565" s="12"/>
      <c r="H565" s="11"/>
      <c r="I565" s="12"/>
      <c r="J565" s="11"/>
      <c r="K565" s="12"/>
    </row>
    <row r="566" spans="1:11" x14ac:dyDescent="0.25">
      <c r="A566" s="1">
        <v>565</v>
      </c>
      <c r="B566" s="7" t="s">
        <v>19</v>
      </c>
      <c r="C566" s="8">
        <v>45811</v>
      </c>
      <c r="D566" s="9">
        <v>5100</v>
      </c>
      <c r="E566" s="10" t="s">
        <v>12</v>
      </c>
      <c r="F566" s="11">
        <v>2900</v>
      </c>
      <c r="G566" s="12" t="s">
        <v>12</v>
      </c>
      <c r="H566" s="11"/>
      <c r="I566" s="12"/>
      <c r="J566" s="11">
        <v>4600</v>
      </c>
      <c r="K566" s="12" t="s">
        <v>12</v>
      </c>
    </row>
    <row r="567" spans="1:11" x14ac:dyDescent="0.25">
      <c r="A567" s="1">
        <v>566</v>
      </c>
      <c r="B567" s="7" t="s">
        <v>20</v>
      </c>
      <c r="C567" s="8">
        <v>45812</v>
      </c>
      <c r="D567" s="9"/>
      <c r="E567" s="10"/>
      <c r="F567" s="11"/>
      <c r="G567" s="12"/>
      <c r="H567" s="11"/>
      <c r="I567" s="12"/>
      <c r="J567" s="11"/>
      <c r="K567" s="12"/>
    </row>
    <row r="568" spans="1:11" x14ac:dyDescent="0.25">
      <c r="A568" s="1">
        <v>567</v>
      </c>
      <c r="B568" s="7" t="s">
        <v>14</v>
      </c>
      <c r="C568" s="8">
        <v>45813</v>
      </c>
      <c r="D568" s="9">
        <v>5000</v>
      </c>
      <c r="E568" s="10" t="s">
        <v>12</v>
      </c>
      <c r="F568" s="11"/>
      <c r="G568" s="12"/>
      <c r="H568" s="11">
        <v>1300</v>
      </c>
      <c r="I568" s="12" t="s">
        <v>12</v>
      </c>
      <c r="J568" s="11">
        <v>4600</v>
      </c>
      <c r="K568" s="12" t="s">
        <v>12</v>
      </c>
    </row>
    <row r="569" spans="1:11" x14ac:dyDescent="0.25">
      <c r="A569" s="1">
        <v>568</v>
      </c>
      <c r="B569" s="7" t="s">
        <v>14</v>
      </c>
      <c r="C569" s="8">
        <v>45813</v>
      </c>
      <c r="D569" s="9">
        <v>1300</v>
      </c>
      <c r="E569" s="10" t="s">
        <v>22</v>
      </c>
      <c r="F569" s="11">
        <v>600</v>
      </c>
      <c r="G569" s="12" t="s">
        <v>22</v>
      </c>
      <c r="H569" s="11"/>
      <c r="I569" s="12"/>
      <c r="J569" s="11">
        <v>200</v>
      </c>
      <c r="K569" s="12" t="s">
        <v>22</v>
      </c>
    </row>
    <row r="570" spans="1:11" x14ac:dyDescent="0.25">
      <c r="A570" s="1">
        <v>569</v>
      </c>
      <c r="B570" s="7" t="s">
        <v>14</v>
      </c>
      <c r="C570" s="8">
        <v>45813</v>
      </c>
      <c r="D570" s="9">
        <v>500</v>
      </c>
      <c r="E570" s="10" t="s">
        <v>21</v>
      </c>
      <c r="F570" s="11">
        <v>200</v>
      </c>
      <c r="G570" s="12" t="s">
        <v>21</v>
      </c>
      <c r="H570" s="11"/>
      <c r="I570" s="12"/>
      <c r="J570" s="11"/>
      <c r="K570" s="12"/>
    </row>
    <row r="571" spans="1:11" x14ac:dyDescent="0.25">
      <c r="A571" s="1">
        <v>570</v>
      </c>
      <c r="B571" s="7" t="s">
        <v>15</v>
      </c>
      <c r="C571" s="8">
        <v>45814</v>
      </c>
      <c r="D571" s="9"/>
      <c r="E571" s="10"/>
      <c r="F571" s="11"/>
      <c r="G571" s="12"/>
      <c r="H571" s="11"/>
      <c r="I571" s="12"/>
      <c r="J571" s="11"/>
      <c r="K571" s="12"/>
    </row>
    <row r="572" spans="1:11" x14ac:dyDescent="0.25">
      <c r="A572" s="1">
        <v>571</v>
      </c>
      <c r="B572" s="7" t="s">
        <v>16</v>
      </c>
      <c r="C572" s="8">
        <v>45815</v>
      </c>
      <c r="D572" s="9"/>
      <c r="E572" s="10"/>
      <c r="F572" s="11"/>
      <c r="G572" s="12"/>
      <c r="H572" s="11"/>
      <c r="I572" s="12"/>
      <c r="J572" s="11"/>
      <c r="K572" s="12"/>
    </row>
    <row r="573" spans="1:11" x14ac:dyDescent="0.25">
      <c r="A573" s="1">
        <v>572</v>
      </c>
      <c r="B573" s="7" t="s">
        <v>17</v>
      </c>
      <c r="C573" s="8">
        <v>45816</v>
      </c>
      <c r="D573" s="9"/>
      <c r="E573" s="10"/>
      <c r="F573" s="11"/>
      <c r="G573" s="12"/>
      <c r="H573" s="11"/>
      <c r="I573" s="12"/>
      <c r="J573" s="11"/>
      <c r="K573" s="12"/>
    </row>
    <row r="574" spans="1:11" x14ac:dyDescent="0.25">
      <c r="A574" s="1">
        <v>573</v>
      </c>
      <c r="B574" s="7" t="s">
        <v>18</v>
      </c>
      <c r="C574" s="8">
        <v>45817</v>
      </c>
      <c r="D574" s="9"/>
      <c r="E574" s="10"/>
      <c r="F574" s="11"/>
      <c r="G574" s="12"/>
      <c r="H574" s="11"/>
      <c r="I574" s="12"/>
      <c r="J574" s="11"/>
      <c r="K574" s="12"/>
    </row>
    <row r="575" spans="1:11" x14ac:dyDescent="0.25">
      <c r="A575" s="1">
        <v>574</v>
      </c>
      <c r="B575" s="7" t="s">
        <v>19</v>
      </c>
      <c r="C575" s="8">
        <v>45818</v>
      </c>
      <c r="D575" s="9">
        <v>3600</v>
      </c>
      <c r="E575" s="10"/>
      <c r="F575" s="11">
        <v>3500</v>
      </c>
      <c r="G575" s="12" t="s">
        <v>12</v>
      </c>
      <c r="H575" s="11">
        <v>2100</v>
      </c>
      <c r="I575" s="12" t="s">
        <v>12</v>
      </c>
      <c r="J575" s="11">
        <v>6000</v>
      </c>
      <c r="K575" s="12" t="s">
        <v>12</v>
      </c>
    </row>
    <row r="576" spans="1:11" x14ac:dyDescent="0.25">
      <c r="A576" s="1">
        <v>575</v>
      </c>
      <c r="B576" s="7" t="s">
        <v>20</v>
      </c>
      <c r="C576" s="8">
        <v>45819</v>
      </c>
      <c r="D576" s="9"/>
      <c r="E576" s="10"/>
      <c r="F576" s="11"/>
      <c r="G576" s="12"/>
      <c r="H576" s="11"/>
      <c r="I576" s="12"/>
      <c r="J576" s="11"/>
      <c r="K576" s="12"/>
    </row>
    <row r="577" spans="1:14" x14ac:dyDescent="0.25">
      <c r="A577" s="1">
        <v>576</v>
      </c>
      <c r="B577" s="7" t="s">
        <v>14</v>
      </c>
      <c r="C577" s="8">
        <v>45820</v>
      </c>
      <c r="D577" s="9">
        <v>1900</v>
      </c>
      <c r="E577" s="10" t="s">
        <v>12</v>
      </c>
      <c r="F577" s="11">
        <v>1900</v>
      </c>
      <c r="G577" s="12" t="s">
        <v>12</v>
      </c>
      <c r="H577" s="11"/>
      <c r="I577" s="12"/>
      <c r="J577" s="11">
        <v>3200</v>
      </c>
      <c r="K577" s="12" t="s">
        <v>12</v>
      </c>
    </row>
    <row r="578" spans="1:14" x14ac:dyDescent="0.25">
      <c r="A578" s="1">
        <v>577</v>
      </c>
      <c r="B578" s="7" t="s">
        <v>14</v>
      </c>
      <c r="C578" s="8">
        <v>45820</v>
      </c>
      <c r="D578" s="9">
        <v>0</v>
      </c>
      <c r="E578" s="10" t="s">
        <v>22</v>
      </c>
      <c r="F578" s="11">
        <v>0</v>
      </c>
      <c r="G578" s="12" t="s">
        <v>22</v>
      </c>
      <c r="H578" s="11">
        <v>0</v>
      </c>
      <c r="I578" s="12" t="s">
        <v>22</v>
      </c>
      <c r="J578" s="11">
        <v>0</v>
      </c>
      <c r="K578" s="12" t="s">
        <v>22</v>
      </c>
      <c r="N578" s="26" t="s">
        <v>30</v>
      </c>
    </row>
    <row r="579" spans="1:14" x14ac:dyDescent="0.25">
      <c r="A579" s="1">
        <v>578</v>
      </c>
      <c r="B579" s="7" t="s">
        <v>14</v>
      </c>
      <c r="C579" s="8">
        <v>45820</v>
      </c>
      <c r="D579" s="9">
        <v>0</v>
      </c>
      <c r="E579" s="10" t="s">
        <v>21</v>
      </c>
      <c r="F579" s="11">
        <v>0</v>
      </c>
      <c r="G579" s="12" t="s">
        <v>21</v>
      </c>
      <c r="H579" s="11"/>
      <c r="I579" s="12"/>
      <c r="J579" s="11"/>
      <c r="K579" s="12"/>
      <c r="N579" s="26" t="s">
        <v>30</v>
      </c>
    </row>
    <row r="580" spans="1:14" x14ac:dyDescent="0.25">
      <c r="A580" s="1">
        <v>579</v>
      </c>
      <c r="B580" s="7" t="s">
        <v>15</v>
      </c>
      <c r="C580" s="8">
        <v>45821</v>
      </c>
      <c r="D580" s="9"/>
      <c r="E580" s="10"/>
      <c r="F580" s="11"/>
      <c r="G580" s="12"/>
      <c r="H580" s="11"/>
      <c r="I580" s="12"/>
      <c r="J580" s="11"/>
      <c r="K580" s="12"/>
    </row>
    <row r="581" spans="1:14" x14ac:dyDescent="0.25">
      <c r="A581" s="1">
        <v>580</v>
      </c>
      <c r="B581" s="7" t="s">
        <v>16</v>
      </c>
      <c r="C581" s="8">
        <v>45822</v>
      </c>
      <c r="D581" s="9"/>
      <c r="E581" s="10"/>
      <c r="F581" s="11"/>
      <c r="G581" s="12"/>
      <c r="H581" s="11"/>
      <c r="I581" s="12"/>
      <c r="J581" s="11"/>
      <c r="K581" s="12"/>
    </row>
    <row r="582" spans="1:14" x14ac:dyDescent="0.25">
      <c r="A582" s="1">
        <v>581</v>
      </c>
      <c r="B582" s="7" t="s">
        <v>17</v>
      </c>
      <c r="C582" s="8">
        <v>45823</v>
      </c>
      <c r="D582" s="9"/>
      <c r="E582" s="10"/>
      <c r="F582" s="11"/>
      <c r="G582" s="12"/>
      <c r="H582" s="11"/>
      <c r="I582" s="12"/>
      <c r="J582" s="11"/>
      <c r="K582" s="12"/>
    </row>
    <row r="583" spans="1:14" x14ac:dyDescent="0.25">
      <c r="A583" s="1">
        <v>582</v>
      </c>
      <c r="B583" s="7" t="s">
        <v>18</v>
      </c>
      <c r="C583" s="8">
        <v>45824</v>
      </c>
      <c r="D583" s="9"/>
      <c r="E583" s="10"/>
      <c r="F583" s="11"/>
      <c r="G583" s="12"/>
      <c r="H583" s="11"/>
      <c r="I583" s="12"/>
      <c r="J583" s="11"/>
      <c r="K583" s="12"/>
    </row>
    <row r="584" spans="1:14" x14ac:dyDescent="0.25">
      <c r="A584" s="1">
        <v>583</v>
      </c>
      <c r="B584" s="7" t="s">
        <v>19</v>
      </c>
      <c r="C584" s="8">
        <v>45825</v>
      </c>
      <c r="D584" s="9">
        <v>5100</v>
      </c>
      <c r="E584" s="10" t="s">
        <v>12</v>
      </c>
      <c r="F584" s="11">
        <v>3500</v>
      </c>
      <c r="G584" s="12" t="s">
        <v>12</v>
      </c>
      <c r="H584" s="11">
        <v>800</v>
      </c>
      <c r="I584" s="12" t="s">
        <v>12</v>
      </c>
      <c r="J584" s="11">
        <v>6000</v>
      </c>
      <c r="K584" s="12" t="s">
        <v>12</v>
      </c>
    </row>
    <row r="585" spans="1:14" x14ac:dyDescent="0.25">
      <c r="A585" s="1">
        <v>584</v>
      </c>
      <c r="B585" s="7" t="s">
        <v>20</v>
      </c>
      <c r="C585" s="8">
        <v>45826</v>
      </c>
      <c r="D585" s="9"/>
      <c r="E585" s="10"/>
      <c r="F585" s="11"/>
      <c r="G585" s="12"/>
      <c r="H585" s="11"/>
      <c r="I585" s="12"/>
      <c r="J585" s="11"/>
      <c r="K585" s="12"/>
    </row>
    <row r="586" spans="1:14" x14ac:dyDescent="0.25">
      <c r="A586" s="1">
        <v>585</v>
      </c>
      <c r="B586" s="7" t="s">
        <v>14</v>
      </c>
      <c r="C586" s="8">
        <v>45827</v>
      </c>
      <c r="D586" s="9">
        <v>1000</v>
      </c>
      <c r="E586" s="10" t="s">
        <v>12</v>
      </c>
      <c r="F586" s="11"/>
      <c r="G586" s="12"/>
      <c r="H586" s="11"/>
      <c r="I586" s="12"/>
      <c r="J586" s="11">
        <v>1200</v>
      </c>
      <c r="K586" s="12" t="s">
        <v>12</v>
      </c>
    </row>
    <row r="587" spans="1:14" x14ac:dyDescent="0.25">
      <c r="A587" s="1">
        <v>586</v>
      </c>
      <c r="B587" s="7" t="s">
        <v>14</v>
      </c>
      <c r="C587" s="8">
        <v>45827</v>
      </c>
      <c r="D587" s="9">
        <v>1800</v>
      </c>
      <c r="E587" s="10" t="s">
        <v>22</v>
      </c>
      <c r="F587" s="11">
        <v>700</v>
      </c>
      <c r="G587" s="12" t="s">
        <v>22</v>
      </c>
      <c r="H587" s="11">
        <v>150</v>
      </c>
      <c r="I587" s="12" t="s">
        <v>22</v>
      </c>
      <c r="J587" s="11">
        <v>600</v>
      </c>
      <c r="K587" s="12" t="s">
        <v>22</v>
      </c>
    </row>
    <row r="588" spans="1:14" x14ac:dyDescent="0.25">
      <c r="A588" s="1">
        <v>587</v>
      </c>
      <c r="B588" s="7" t="s">
        <v>14</v>
      </c>
      <c r="C588" s="8">
        <v>45827</v>
      </c>
      <c r="D588" s="9">
        <v>450</v>
      </c>
      <c r="E588" s="10" t="s">
        <v>21</v>
      </c>
      <c r="F588" s="11">
        <v>250</v>
      </c>
      <c r="G588" s="12" t="s">
        <v>21</v>
      </c>
      <c r="H588" s="11"/>
      <c r="I588" s="12"/>
      <c r="J588" s="11">
        <v>50</v>
      </c>
      <c r="K588" s="12" t="s">
        <v>21</v>
      </c>
    </row>
    <row r="589" spans="1:14" x14ac:dyDescent="0.25">
      <c r="A589" s="1">
        <v>588</v>
      </c>
      <c r="B589" s="7" t="s">
        <v>15</v>
      </c>
      <c r="C589" s="8">
        <v>45828</v>
      </c>
      <c r="D589" s="9"/>
      <c r="E589" s="10"/>
      <c r="F589" s="11"/>
      <c r="G589" s="12"/>
      <c r="H589" s="11"/>
      <c r="I589" s="12"/>
      <c r="J589" s="11"/>
      <c r="K589" s="12"/>
    </row>
    <row r="590" spans="1:14" x14ac:dyDescent="0.25">
      <c r="A590" s="1">
        <v>589</v>
      </c>
      <c r="B590" s="7" t="s">
        <v>16</v>
      </c>
      <c r="C590" s="8">
        <v>45829</v>
      </c>
      <c r="D590" s="9"/>
      <c r="E590" s="10"/>
      <c r="F590" s="11"/>
      <c r="G590" s="12"/>
      <c r="H590" s="11"/>
      <c r="I590" s="12"/>
      <c r="J590" s="11"/>
      <c r="K590" s="12"/>
    </row>
    <row r="591" spans="1:14" x14ac:dyDescent="0.25">
      <c r="A591" s="1">
        <v>590</v>
      </c>
      <c r="B591" s="7" t="s">
        <v>17</v>
      </c>
      <c r="C591" s="8">
        <v>45830</v>
      </c>
      <c r="D591" s="9"/>
      <c r="E591" s="10"/>
      <c r="F591" s="11"/>
      <c r="G591" s="12"/>
      <c r="H591" s="11"/>
      <c r="I591" s="12"/>
      <c r="J591" s="11"/>
      <c r="K591" s="12"/>
    </row>
    <row r="592" spans="1:14" x14ac:dyDescent="0.25">
      <c r="A592" s="1">
        <v>591</v>
      </c>
      <c r="B592" s="7" t="s">
        <v>18</v>
      </c>
      <c r="C592" s="8">
        <v>45831</v>
      </c>
      <c r="D592" s="9"/>
      <c r="E592" s="10"/>
      <c r="F592" s="11"/>
      <c r="G592" s="12"/>
      <c r="H592" s="11"/>
      <c r="I592" s="12"/>
      <c r="J592" s="11"/>
      <c r="K592" s="12"/>
    </row>
    <row r="593" spans="1:11" x14ac:dyDescent="0.25">
      <c r="A593" s="1">
        <v>592</v>
      </c>
      <c r="B593" s="7" t="s">
        <v>19</v>
      </c>
      <c r="C593" s="8">
        <v>45832</v>
      </c>
      <c r="D593" s="9">
        <f>4000+5900</f>
        <v>9900</v>
      </c>
      <c r="E593" s="10" t="s">
        <v>12</v>
      </c>
      <c r="F593" s="11">
        <f>3100+4600</f>
        <v>7700</v>
      </c>
      <c r="G593" s="12" t="s">
        <v>12</v>
      </c>
      <c r="H593" s="11">
        <v>3000</v>
      </c>
      <c r="I593" s="12" t="s">
        <v>12</v>
      </c>
      <c r="J593" s="11">
        <f>4400+6600</f>
        <v>11000</v>
      </c>
      <c r="K593" s="12" t="s">
        <v>12</v>
      </c>
    </row>
    <row r="594" spans="1:11" x14ac:dyDescent="0.25">
      <c r="A594" s="1">
        <v>593</v>
      </c>
      <c r="B594" s="7" t="s">
        <v>20</v>
      </c>
      <c r="C594" s="8">
        <v>45833</v>
      </c>
      <c r="D594" s="9"/>
      <c r="E594" s="10"/>
      <c r="F594" s="11"/>
      <c r="G594" s="12"/>
      <c r="H594" s="11"/>
      <c r="I594" s="12"/>
      <c r="J594" s="11"/>
      <c r="K594" s="12"/>
    </row>
    <row r="595" spans="1:11" x14ac:dyDescent="0.25">
      <c r="A595" s="1">
        <v>594</v>
      </c>
      <c r="B595" s="7" t="s">
        <v>14</v>
      </c>
      <c r="C595" s="8">
        <v>45834</v>
      </c>
      <c r="D595" s="9">
        <v>2600</v>
      </c>
      <c r="E595" s="10" t="s">
        <v>12</v>
      </c>
      <c r="F595" s="11">
        <v>2000</v>
      </c>
      <c r="G595" s="12" t="s">
        <v>12</v>
      </c>
      <c r="H595" s="11"/>
      <c r="I595" s="12"/>
      <c r="J595" s="11">
        <v>2900</v>
      </c>
      <c r="K595" s="12" t="s">
        <v>12</v>
      </c>
    </row>
    <row r="596" spans="1:11" x14ac:dyDescent="0.25">
      <c r="A596" s="1">
        <v>595</v>
      </c>
      <c r="B596" s="7" t="s">
        <v>14</v>
      </c>
      <c r="C596" s="8">
        <v>45834</v>
      </c>
      <c r="D596" s="9">
        <v>1500</v>
      </c>
      <c r="E596" s="10" t="s">
        <v>22</v>
      </c>
      <c r="F596" s="11">
        <v>800</v>
      </c>
      <c r="G596" s="12" t="s">
        <v>22</v>
      </c>
      <c r="H596" s="11"/>
      <c r="I596" s="12"/>
      <c r="J596" s="11">
        <v>100</v>
      </c>
      <c r="K596" s="12" t="s">
        <v>22</v>
      </c>
    </row>
    <row r="597" spans="1:11" x14ac:dyDescent="0.25">
      <c r="A597" s="1">
        <v>596</v>
      </c>
      <c r="B597" s="7" t="s">
        <v>14</v>
      </c>
      <c r="C597" s="8">
        <v>45834</v>
      </c>
      <c r="D597" s="9">
        <v>200</v>
      </c>
      <c r="E597" s="10" t="s">
        <v>21</v>
      </c>
      <c r="F597" s="11"/>
      <c r="G597" s="12"/>
      <c r="H597" s="11"/>
      <c r="I597" s="12"/>
      <c r="J597" s="11"/>
      <c r="K597" s="12"/>
    </row>
    <row r="598" spans="1:11" x14ac:dyDescent="0.25">
      <c r="A598" s="1">
        <v>597</v>
      </c>
      <c r="B598" s="7" t="s">
        <v>15</v>
      </c>
      <c r="C598" s="8">
        <v>45835</v>
      </c>
      <c r="D598" s="9"/>
      <c r="E598" s="10"/>
      <c r="F598" s="11"/>
      <c r="G598" s="12"/>
      <c r="H598" s="11"/>
      <c r="I598" s="12"/>
      <c r="J598" s="11"/>
      <c r="K598" s="12"/>
    </row>
    <row r="599" spans="1:11" x14ac:dyDescent="0.25">
      <c r="A599" s="1">
        <v>598</v>
      </c>
      <c r="B599" s="7" t="s">
        <v>16</v>
      </c>
      <c r="C599" s="8">
        <v>45836</v>
      </c>
      <c r="D599" s="9"/>
      <c r="E599" s="10"/>
      <c r="F599" s="11"/>
      <c r="G599" s="12"/>
      <c r="H599" s="11"/>
      <c r="I599" s="12"/>
      <c r="J599" s="11"/>
      <c r="K599" s="12"/>
    </row>
    <row r="600" spans="1:11" x14ac:dyDescent="0.25">
      <c r="A600" s="1">
        <v>599</v>
      </c>
      <c r="B600" s="7" t="s">
        <v>17</v>
      </c>
      <c r="C600" s="8">
        <v>45837</v>
      </c>
      <c r="D600" s="9"/>
      <c r="E600" s="10"/>
      <c r="F600" s="11"/>
      <c r="G600" s="12"/>
      <c r="H600" s="11"/>
      <c r="I600" s="12"/>
      <c r="J600" s="11"/>
      <c r="K600" s="12"/>
    </row>
    <row r="601" spans="1:11" x14ac:dyDescent="0.25">
      <c r="A601" s="1">
        <v>600</v>
      </c>
      <c r="B601" s="7" t="s">
        <v>18</v>
      </c>
      <c r="C601" s="8">
        <v>45838</v>
      </c>
      <c r="D601" s="9"/>
      <c r="E601" s="10"/>
      <c r="F601" s="11"/>
      <c r="G601" s="12"/>
      <c r="H601" s="11"/>
      <c r="I601" s="12"/>
      <c r="J601" s="11"/>
      <c r="K601" s="12"/>
    </row>
    <row r="602" spans="1:11" x14ac:dyDescent="0.25">
      <c r="A602" s="1">
        <v>601</v>
      </c>
      <c r="B602" s="7" t="s">
        <v>19</v>
      </c>
      <c r="C602" s="8">
        <v>45839</v>
      </c>
      <c r="D602" s="9">
        <v>3400</v>
      </c>
      <c r="E602" s="10" t="s">
        <v>12</v>
      </c>
      <c r="F602" s="11">
        <v>3700</v>
      </c>
      <c r="G602" s="12" t="s">
        <v>12</v>
      </c>
      <c r="H602" s="11"/>
      <c r="I602" s="12"/>
      <c r="J602" s="11">
        <v>4000</v>
      </c>
      <c r="K602" s="12" t="s">
        <v>12</v>
      </c>
    </row>
    <row r="603" spans="1:11" x14ac:dyDescent="0.25">
      <c r="A603" s="1">
        <v>602</v>
      </c>
      <c r="B603" s="7" t="s">
        <v>20</v>
      </c>
      <c r="C603" s="8">
        <v>45840</v>
      </c>
      <c r="D603" s="9"/>
      <c r="E603" s="10"/>
      <c r="F603" s="11"/>
      <c r="G603" s="12"/>
      <c r="H603" s="11"/>
      <c r="I603" s="12"/>
      <c r="J603" s="11"/>
      <c r="K603" s="12"/>
    </row>
    <row r="604" spans="1:11" x14ac:dyDescent="0.25">
      <c r="A604" s="1">
        <v>603</v>
      </c>
      <c r="B604" s="7" t="s">
        <v>14</v>
      </c>
      <c r="C604" s="8">
        <v>45841</v>
      </c>
      <c r="D604" s="9">
        <v>2100</v>
      </c>
      <c r="E604" s="10" t="s">
        <v>12</v>
      </c>
      <c r="F604" s="11">
        <v>2300</v>
      </c>
      <c r="G604" s="12" t="s">
        <v>12</v>
      </c>
      <c r="H604" s="11">
        <v>2900</v>
      </c>
      <c r="I604" s="12" t="s">
        <v>12</v>
      </c>
      <c r="J604" s="11">
        <v>2500</v>
      </c>
      <c r="K604" s="12" t="s">
        <v>12</v>
      </c>
    </row>
    <row r="605" spans="1:11" x14ac:dyDescent="0.25">
      <c r="A605" s="1">
        <v>604</v>
      </c>
      <c r="B605" s="7" t="s">
        <v>14</v>
      </c>
      <c r="C605" s="8">
        <v>45841</v>
      </c>
      <c r="D605" s="9">
        <v>1700</v>
      </c>
      <c r="E605" s="10" t="s">
        <v>22</v>
      </c>
      <c r="F605" s="11">
        <v>300</v>
      </c>
      <c r="G605" s="12" t="s">
        <v>22</v>
      </c>
      <c r="H605" s="11"/>
      <c r="I605" s="12"/>
      <c r="J605" s="11">
        <v>100</v>
      </c>
      <c r="K605" s="12" t="s">
        <v>22</v>
      </c>
    </row>
    <row r="606" spans="1:11" x14ac:dyDescent="0.25">
      <c r="A606" s="1">
        <v>605</v>
      </c>
      <c r="B606" s="7" t="s">
        <v>14</v>
      </c>
      <c r="C606" s="8">
        <v>45841</v>
      </c>
      <c r="D606" s="9">
        <v>900</v>
      </c>
      <c r="E606" s="10" t="s">
        <v>21</v>
      </c>
      <c r="F606" s="11">
        <v>500</v>
      </c>
      <c r="G606" s="12" t="s">
        <v>21</v>
      </c>
      <c r="H606" s="11"/>
      <c r="I606" s="12"/>
      <c r="J606" s="11">
        <v>20</v>
      </c>
      <c r="K606" s="12" t="s">
        <v>21</v>
      </c>
    </row>
    <row r="607" spans="1:11" x14ac:dyDescent="0.25">
      <c r="A607" s="1">
        <v>606</v>
      </c>
      <c r="B607" s="7" t="s">
        <v>15</v>
      </c>
      <c r="C607" s="8">
        <v>45842</v>
      </c>
      <c r="D607" s="9"/>
      <c r="E607" s="10"/>
      <c r="F607" s="11"/>
      <c r="G607" s="12"/>
      <c r="H607" s="11"/>
      <c r="I607" s="12"/>
      <c r="J607" s="11"/>
      <c r="K607" s="12"/>
    </row>
    <row r="608" spans="1:11" x14ac:dyDescent="0.25">
      <c r="A608" s="1">
        <v>607</v>
      </c>
      <c r="B608" s="7" t="s">
        <v>16</v>
      </c>
      <c r="C608" s="8">
        <v>45843</v>
      </c>
      <c r="D608" s="9"/>
      <c r="E608" s="10"/>
      <c r="F608" s="11"/>
      <c r="G608" s="12"/>
      <c r="H608" s="11"/>
      <c r="I608" s="12"/>
      <c r="J608" s="11"/>
      <c r="K608" s="12"/>
    </row>
    <row r="609" spans="1:11" x14ac:dyDescent="0.25">
      <c r="A609" s="1">
        <v>608</v>
      </c>
      <c r="B609" s="7" t="s">
        <v>17</v>
      </c>
      <c r="C609" s="8">
        <v>45844</v>
      </c>
      <c r="D609" s="9"/>
      <c r="E609" s="10"/>
      <c r="F609" s="11"/>
      <c r="G609" s="12"/>
      <c r="H609" s="11"/>
      <c r="I609" s="12"/>
      <c r="J609" s="11"/>
      <c r="K609" s="12"/>
    </row>
    <row r="610" spans="1:11" x14ac:dyDescent="0.25">
      <c r="A610" s="1">
        <v>609</v>
      </c>
      <c r="B610" s="7" t="s">
        <v>18</v>
      </c>
      <c r="C610" s="8">
        <v>45845</v>
      </c>
      <c r="D610" s="9"/>
      <c r="E610" s="10"/>
      <c r="F610" s="11"/>
      <c r="G610" s="12"/>
      <c r="H610" s="11"/>
      <c r="I610" s="12"/>
      <c r="J610" s="11"/>
      <c r="K610" s="12"/>
    </row>
    <row r="611" spans="1:11" x14ac:dyDescent="0.25">
      <c r="A611" s="1">
        <v>610</v>
      </c>
      <c r="B611" s="7" t="s">
        <v>19</v>
      </c>
      <c r="C611" s="8">
        <v>45846</v>
      </c>
      <c r="D611" s="9">
        <f>4600+4300</f>
        <v>8900</v>
      </c>
      <c r="E611" s="10" t="s">
        <v>12</v>
      </c>
      <c r="F611" s="11">
        <v>4000</v>
      </c>
      <c r="G611" s="12" t="s">
        <v>12</v>
      </c>
      <c r="H611" s="11">
        <v>2700</v>
      </c>
      <c r="I611" s="12" t="s">
        <v>12</v>
      </c>
      <c r="J611" s="11">
        <f>6200+5800</f>
        <v>12000</v>
      </c>
      <c r="K611" s="12" t="s">
        <v>12</v>
      </c>
    </row>
    <row r="612" spans="1:11" x14ac:dyDescent="0.25">
      <c r="A612" s="1">
        <v>611</v>
      </c>
      <c r="B612" s="7" t="s">
        <v>20</v>
      </c>
      <c r="C612" s="8">
        <v>45847</v>
      </c>
      <c r="D612" s="9"/>
      <c r="E612" s="10"/>
      <c r="F612" s="11"/>
      <c r="G612" s="12"/>
      <c r="H612" s="11"/>
      <c r="I612" s="12"/>
      <c r="J612" s="11"/>
      <c r="K612" s="12"/>
    </row>
    <row r="613" spans="1:11" x14ac:dyDescent="0.25">
      <c r="A613" s="1">
        <v>612</v>
      </c>
      <c r="B613" s="7" t="s">
        <v>14</v>
      </c>
      <c r="C613" s="8">
        <v>45848</v>
      </c>
      <c r="D613" s="9">
        <v>700</v>
      </c>
      <c r="E613" s="10" t="s">
        <v>12</v>
      </c>
      <c r="F613" s="11">
        <v>700</v>
      </c>
      <c r="G613" s="12" t="s">
        <v>12</v>
      </c>
      <c r="H613" s="11">
        <v>400</v>
      </c>
      <c r="I613" s="12" t="s">
        <v>12</v>
      </c>
      <c r="J613" s="11">
        <v>1000</v>
      </c>
      <c r="K613" s="12" t="s">
        <v>12</v>
      </c>
    </row>
    <row r="614" spans="1:11" x14ac:dyDescent="0.25">
      <c r="A614" s="1">
        <v>613</v>
      </c>
      <c r="B614" s="7" t="s">
        <v>14</v>
      </c>
      <c r="C614" s="8">
        <v>45848</v>
      </c>
      <c r="D614" s="9">
        <v>1200</v>
      </c>
      <c r="E614" s="10" t="s">
        <v>22</v>
      </c>
      <c r="F614" s="11">
        <v>900</v>
      </c>
      <c r="G614" s="12" t="s">
        <v>22</v>
      </c>
      <c r="H614" s="11">
        <v>200</v>
      </c>
      <c r="I614" s="12" t="s">
        <v>22</v>
      </c>
      <c r="J614" s="11">
        <v>700</v>
      </c>
      <c r="K614" s="12" t="s">
        <v>22</v>
      </c>
    </row>
    <row r="615" spans="1:11" x14ac:dyDescent="0.25">
      <c r="A615" s="1">
        <v>614</v>
      </c>
      <c r="B615" s="7" t="s">
        <v>14</v>
      </c>
      <c r="C615" s="8">
        <v>45848</v>
      </c>
      <c r="D615" s="9">
        <v>500</v>
      </c>
      <c r="E615" s="10" t="s">
        <v>21</v>
      </c>
      <c r="F615" s="11">
        <v>500</v>
      </c>
      <c r="G615" s="12" t="s">
        <v>21</v>
      </c>
      <c r="H615" s="11"/>
      <c r="I615" s="12"/>
      <c r="J615" s="11">
        <v>100</v>
      </c>
      <c r="K615" s="12" t="s">
        <v>21</v>
      </c>
    </row>
    <row r="616" spans="1:11" x14ac:dyDescent="0.25">
      <c r="A616" s="1">
        <v>615</v>
      </c>
      <c r="B616" s="7" t="s">
        <v>15</v>
      </c>
      <c r="C616" s="8">
        <v>45849</v>
      </c>
      <c r="D616" s="9"/>
      <c r="E616" s="10"/>
      <c r="F616" s="11"/>
      <c r="G616" s="12"/>
      <c r="H616" s="11"/>
      <c r="I616" s="12"/>
      <c r="J616" s="11"/>
      <c r="K616" s="12"/>
    </row>
    <row r="617" spans="1:11" x14ac:dyDescent="0.25">
      <c r="A617" s="1">
        <v>616</v>
      </c>
      <c r="B617" s="7" t="s">
        <v>16</v>
      </c>
      <c r="C617" s="8">
        <v>45850</v>
      </c>
      <c r="D617" s="9"/>
      <c r="E617" s="10"/>
      <c r="F617" s="11"/>
      <c r="G617" s="12"/>
      <c r="H617" s="11"/>
      <c r="I617" s="12"/>
      <c r="J617" s="11"/>
      <c r="K617" s="12"/>
    </row>
    <row r="618" spans="1:11" x14ac:dyDescent="0.25">
      <c r="A618" s="1">
        <v>617</v>
      </c>
      <c r="B618" s="7" t="s">
        <v>17</v>
      </c>
      <c r="C618" s="8">
        <v>45851</v>
      </c>
      <c r="D618" s="9"/>
      <c r="E618" s="10"/>
      <c r="F618" s="11"/>
      <c r="G618" s="12"/>
      <c r="H618" s="11"/>
      <c r="I618" s="12"/>
      <c r="J618" s="11"/>
      <c r="K618" s="12"/>
    </row>
    <row r="619" spans="1:11" x14ac:dyDescent="0.25">
      <c r="A619" s="1">
        <v>618</v>
      </c>
      <c r="B619" s="7" t="s">
        <v>18</v>
      </c>
      <c r="C619" s="8">
        <v>45852</v>
      </c>
      <c r="D619" s="9"/>
      <c r="E619" s="10"/>
      <c r="F619" s="11"/>
      <c r="G619" s="12"/>
      <c r="H619" s="11"/>
      <c r="I619" s="12"/>
      <c r="J619" s="11"/>
      <c r="K619" s="12"/>
    </row>
    <row r="620" spans="1:11" x14ac:dyDescent="0.25">
      <c r="A620" s="1">
        <v>619</v>
      </c>
      <c r="B620" s="7" t="s">
        <v>19</v>
      </c>
      <c r="C620" s="8">
        <v>45853</v>
      </c>
      <c r="D620" s="9">
        <v>6400</v>
      </c>
      <c r="E620" s="10" t="s">
        <v>12</v>
      </c>
      <c r="F620" s="11">
        <v>2700</v>
      </c>
      <c r="G620" s="12" t="s">
        <v>12</v>
      </c>
      <c r="H620" s="11"/>
      <c r="I620" s="12"/>
      <c r="J620" s="11">
        <v>2900</v>
      </c>
      <c r="K620" s="12" t="s">
        <v>12</v>
      </c>
    </row>
    <row r="621" spans="1:11" x14ac:dyDescent="0.25">
      <c r="A621" s="1">
        <v>620</v>
      </c>
      <c r="B621" s="7" t="s">
        <v>20</v>
      </c>
      <c r="C621" s="8">
        <v>45854</v>
      </c>
      <c r="D621" s="9"/>
      <c r="E621" s="10"/>
      <c r="F621" s="11"/>
      <c r="G621" s="12"/>
      <c r="H621" s="11"/>
      <c r="I621" s="12"/>
      <c r="J621" s="11"/>
      <c r="K621" s="12"/>
    </row>
    <row r="622" spans="1:11" x14ac:dyDescent="0.25">
      <c r="A622" s="1">
        <v>621</v>
      </c>
      <c r="B622" s="7" t="s">
        <v>14</v>
      </c>
      <c r="C622" s="8">
        <v>45855</v>
      </c>
      <c r="D622" s="9">
        <v>2400</v>
      </c>
      <c r="E622" s="10" t="s">
        <v>12</v>
      </c>
      <c r="F622" s="11">
        <v>1000</v>
      </c>
      <c r="G622" s="12" t="s">
        <v>12</v>
      </c>
      <c r="H622" s="11">
        <v>1900</v>
      </c>
      <c r="I622" s="12" t="s">
        <v>12</v>
      </c>
      <c r="J622" s="11">
        <v>1100</v>
      </c>
      <c r="K622" s="12" t="s">
        <v>12</v>
      </c>
    </row>
    <row r="623" spans="1:11" x14ac:dyDescent="0.25">
      <c r="A623" s="1">
        <v>622</v>
      </c>
      <c r="B623" s="7" t="s">
        <v>14</v>
      </c>
      <c r="C623" s="8">
        <v>45855</v>
      </c>
      <c r="D623" s="9">
        <v>2500</v>
      </c>
      <c r="E623" s="10" t="s">
        <v>22</v>
      </c>
      <c r="F623" s="11">
        <v>700</v>
      </c>
      <c r="G623" s="12" t="s">
        <v>22</v>
      </c>
      <c r="H623" s="11">
        <v>100</v>
      </c>
      <c r="I623" s="12" t="s">
        <v>22</v>
      </c>
      <c r="J623" s="11">
        <v>100</v>
      </c>
      <c r="K623" s="12" t="s">
        <v>22</v>
      </c>
    </row>
    <row r="624" spans="1:11" x14ac:dyDescent="0.25">
      <c r="A624" s="1">
        <v>623</v>
      </c>
      <c r="B624" s="7" t="s">
        <v>14</v>
      </c>
      <c r="C624" s="8">
        <v>45855</v>
      </c>
      <c r="D624" s="9">
        <v>500</v>
      </c>
      <c r="E624" s="10" t="s">
        <v>21</v>
      </c>
      <c r="F624" s="11">
        <v>100</v>
      </c>
      <c r="G624" s="12" t="s">
        <v>21</v>
      </c>
      <c r="H624" s="11"/>
      <c r="I624" s="12"/>
      <c r="J624" s="11"/>
      <c r="K624" s="12"/>
    </row>
    <row r="625" spans="1:11" x14ac:dyDescent="0.25">
      <c r="A625" s="1">
        <v>624</v>
      </c>
      <c r="B625" s="7" t="s">
        <v>15</v>
      </c>
      <c r="C625" s="8">
        <v>45856</v>
      </c>
      <c r="D625" s="9"/>
      <c r="E625" s="10"/>
      <c r="F625" s="11"/>
      <c r="G625" s="12"/>
      <c r="H625" s="11"/>
      <c r="I625" s="12"/>
      <c r="J625" s="11"/>
      <c r="K625" s="12"/>
    </row>
    <row r="626" spans="1:11" x14ac:dyDescent="0.25">
      <c r="A626" s="1">
        <v>625</v>
      </c>
      <c r="B626" s="7" t="s">
        <v>16</v>
      </c>
      <c r="C626" s="8">
        <v>45857</v>
      </c>
      <c r="D626" s="9"/>
      <c r="E626" s="10"/>
      <c r="F626" s="11"/>
      <c r="G626" s="12"/>
      <c r="H626" s="11"/>
      <c r="I626" s="12"/>
      <c r="J626" s="11"/>
      <c r="K626" s="12"/>
    </row>
    <row r="627" spans="1:11" x14ac:dyDescent="0.25">
      <c r="A627" s="1">
        <v>626</v>
      </c>
      <c r="B627" s="7" t="s">
        <v>17</v>
      </c>
      <c r="C627" s="8">
        <v>45858</v>
      </c>
      <c r="D627" s="9"/>
      <c r="E627" s="10"/>
      <c r="F627" s="11"/>
      <c r="G627" s="12"/>
      <c r="H627" s="11"/>
      <c r="I627" s="12"/>
      <c r="J627" s="11"/>
      <c r="K627" s="12"/>
    </row>
    <row r="628" spans="1:11" x14ac:dyDescent="0.25">
      <c r="A628" s="1">
        <v>627</v>
      </c>
      <c r="B628" s="7" t="s">
        <v>18</v>
      </c>
      <c r="C628" s="8">
        <v>45859</v>
      </c>
      <c r="D628" s="9"/>
      <c r="E628" s="10"/>
      <c r="F628" s="11"/>
      <c r="G628" s="12"/>
      <c r="H628" s="11"/>
      <c r="I628" s="12"/>
      <c r="J628" s="11"/>
      <c r="K628" s="12"/>
    </row>
    <row r="629" spans="1:11" x14ac:dyDescent="0.25">
      <c r="A629" s="1">
        <v>628</v>
      </c>
      <c r="B629" s="7" t="s">
        <v>19</v>
      </c>
      <c r="C629" s="8">
        <v>45860</v>
      </c>
      <c r="D629" s="9">
        <v>3300</v>
      </c>
      <c r="E629" s="10" t="s">
        <v>12</v>
      </c>
      <c r="F629" s="11">
        <v>4600</v>
      </c>
      <c r="G629" s="12" t="s">
        <v>12</v>
      </c>
      <c r="H629" s="11">
        <v>2100</v>
      </c>
      <c r="I629" s="12" t="s">
        <v>12</v>
      </c>
      <c r="J629" s="11">
        <v>2900</v>
      </c>
      <c r="K629" s="12" t="s">
        <v>12</v>
      </c>
    </row>
    <row r="630" spans="1:11" x14ac:dyDescent="0.25">
      <c r="A630" s="1">
        <v>629</v>
      </c>
      <c r="B630" s="7" t="s">
        <v>20</v>
      </c>
      <c r="C630" s="8">
        <v>45861</v>
      </c>
      <c r="D630" s="9"/>
      <c r="E630" s="10"/>
      <c r="F630" s="11"/>
      <c r="G630" s="12"/>
      <c r="H630" s="11"/>
      <c r="I630" s="12"/>
      <c r="J630" s="11"/>
      <c r="K630" s="12"/>
    </row>
    <row r="631" spans="1:11" x14ac:dyDescent="0.25">
      <c r="A631" s="1">
        <v>630</v>
      </c>
      <c r="B631" s="7" t="s">
        <v>14</v>
      </c>
      <c r="C631" s="8">
        <v>45862</v>
      </c>
      <c r="D631" s="9">
        <v>1900</v>
      </c>
      <c r="E631" s="10" t="s">
        <v>12</v>
      </c>
      <c r="F631" s="11">
        <v>2700</v>
      </c>
      <c r="G631" s="12" t="s">
        <v>12</v>
      </c>
      <c r="H631" s="11"/>
      <c r="I631" s="12"/>
      <c r="J631" s="11">
        <v>1700</v>
      </c>
      <c r="K631" s="12" t="s">
        <v>12</v>
      </c>
    </row>
    <row r="632" spans="1:11" x14ac:dyDescent="0.25">
      <c r="A632" s="1">
        <v>631</v>
      </c>
      <c r="B632" s="7" t="s">
        <v>14</v>
      </c>
      <c r="C632" s="8">
        <v>45862</v>
      </c>
      <c r="D632" s="9">
        <v>800</v>
      </c>
      <c r="E632" s="10" t="s">
        <v>22</v>
      </c>
      <c r="F632" s="11">
        <v>700</v>
      </c>
      <c r="G632" s="12" t="s">
        <v>22</v>
      </c>
      <c r="H632" s="11"/>
      <c r="I632" s="12"/>
      <c r="J632" s="11">
        <v>400</v>
      </c>
      <c r="K632" s="12" t="s">
        <v>22</v>
      </c>
    </row>
    <row r="633" spans="1:11" x14ac:dyDescent="0.25">
      <c r="A633" s="1">
        <v>632</v>
      </c>
      <c r="B633" s="7" t="s">
        <v>14</v>
      </c>
      <c r="C633" s="8">
        <v>45862</v>
      </c>
      <c r="D633" s="9"/>
      <c r="E633" s="10"/>
      <c r="F633" s="11">
        <v>200</v>
      </c>
      <c r="G633" s="12" t="s">
        <v>21</v>
      </c>
      <c r="H633" s="11"/>
      <c r="I633" s="12"/>
      <c r="J633" s="11"/>
      <c r="K633" s="12"/>
    </row>
    <row r="634" spans="1:11" x14ac:dyDescent="0.25">
      <c r="A634" s="1">
        <v>633</v>
      </c>
      <c r="B634" s="7" t="s">
        <v>15</v>
      </c>
      <c r="C634" s="8">
        <v>45863</v>
      </c>
      <c r="D634" s="9"/>
      <c r="E634" s="10"/>
      <c r="F634" s="11"/>
      <c r="G634" s="12"/>
      <c r="H634" s="11"/>
      <c r="I634" s="12"/>
      <c r="J634" s="11"/>
      <c r="K634" s="12"/>
    </row>
    <row r="635" spans="1:11" x14ac:dyDescent="0.25">
      <c r="A635" s="1">
        <v>634</v>
      </c>
      <c r="B635" s="7" t="s">
        <v>16</v>
      </c>
      <c r="C635" s="8">
        <v>45864</v>
      </c>
      <c r="D635" s="9"/>
      <c r="E635" s="10"/>
      <c r="F635" s="11"/>
      <c r="G635" s="12"/>
      <c r="H635" s="11"/>
      <c r="I635" s="12"/>
      <c r="J635" s="11"/>
      <c r="K635" s="12"/>
    </row>
    <row r="636" spans="1:11" x14ac:dyDescent="0.25">
      <c r="A636" s="1">
        <v>635</v>
      </c>
      <c r="B636" s="7" t="s">
        <v>17</v>
      </c>
      <c r="C636" s="8">
        <v>45865</v>
      </c>
      <c r="D636" s="9"/>
      <c r="E636" s="10"/>
      <c r="F636" s="11"/>
      <c r="G636" s="12"/>
      <c r="H636" s="11"/>
      <c r="I636" s="12"/>
      <c r="J636" s="11"/>
      <c r="K636" s="12"/>
    </row>
    <row r="637" spans="1:11" x14ac:dyDescent="0.25">
      <c r="A637" s="1">
        <v>636</v>
      </c>
      <c r="B637" s="7" t="s">
        <v>18</v>
      </c>
      <c r="C637" s="8">
        <v>45866</v>
      </c>
      <c r="D637" s="9"/>
      <c r="E637" s="10"/>
      <c r="F637" s="11"/>
      <c r="G637" s="12"/>
      <c r="H637" s="11"/>
      <c r="I637" s="12"/>
      <c r="J637" s="11"/>
      <c r="K637" s="12"/>
    </row>
    <row r="638" spans="1:11" x14ac:dyDescent="0.25">
      <c r="A638" s="1">
        <v>637</v>
      </c>
      <c r="B638" s="7" t="s">
        <v>19</v>
      </c>
      <c r="C638" s="8">
        <v>45867</v>
      </c>
      <c r="D638" s="9">
        <v>9700</v>
      </c>
      <c r="E638" s="10" t="s">
        <v>12</v>
      </c>
      <c r="F638" s="11">
        <f>5500+5800</f>
        <v>11300</v>
      </c>
      <c r="G638" s="12" t="s">
        <v>12</v>
      </c>
      <c r="H638" s="11"/>
      <c r="I638" s="12"/>
      <c r="J638" s="11">
        <v>7800</v>
      </c>
      <c r="K638" s="12" t="s">
        <v>12</v>
      </c>
    </row>
    <row r="639" spans="1:11" x14ac:dyDescent="0.25">
      <c r="A639" s="1">
        <v>638</v>
      </c>
      <c r="B639" s="7" t="s">
        <v>20</v>
      </c>
      <c r="C639" s="8">
        <v>45868</v>
      </c>
      <c r="D639" s="9"/>
      <c r="E639" s="10"/>
      <c r="F639" s="11"/>
      <c r="G639" s="12"/>
      <c r="H639" s="11"/>
      <c r="I639" s="12"/>
      <c r="J639" s="11"/>
      <c r="K639" s="12"/>
    </row>
    <row r="640" spans="1:11" x14ac:dyDescent="0.25">
      <c r="A640" s="1">
        <v>639</v>
      </c>
      <c r="B640" s="7" t="s">
        <v>14</v>
      </c>
      <c r="C640" s="8">
        <v>45869</v>
      </c>
      <c r="D640" s="9">
        <v>1300</v>
      </c>
      <c r="E640" s="10" t="s">
        <v>12</v>
      </c>
      <c r="F640" s="11">
        <v>1500</v>
      </c>
      <c r="G640" s="12" t="s">
        <v>12</v>
      </c>
      <c r="H640" s="11">
        <v>2000</v>
      </c>
      <c r="I640" s="12" t="s">
        <v>12</v>
      </c>
      <c r="J640" s="11">
        <v>1000</v>
      </c>
      <c r="K640" s="12" t="s">
        <v>12</v>
      </c>
    </row>
    <row r="641" spans="1:11" x14ac:dyDescent="0.25">
      <c r="A641" s="1">
        <v>640</v>
      </c>
      <c r="B641" s="7" t="s">
        <v>14</v>
      </c>
      <c r="C641" s="8">
        <v>45869</v>
      </c>
      <c r="D641" s="9">
        <v>500</v>
      </c>
      <c r="E641" s="10" t="s">
        <v>22</v>
      </c>
      <c r="F641" s="11">
        <v>900</v>
      </c>
      <c r="G641" s="12" t="s">
        <v>22</v>
      </c>
      <c r="H641" s="11">
        <v>50</v>
      </c>
      <c r="I641" s="12" t="s">
        <v>22</v>
      </c>
      <c r="J641" s="11">
        <v>250</v>
      </c>
      <c r="K641" s="12" t="s">
        <v>22</v>
      </c>
    </row>
    <row r="642" spans="1:11" x14ac:dyDescent="0.25">
      <c r="A642" s="1">
        <v>641</v>
      </c>
      <c r="B642" s="7" t="s">
        <v>14</v>
      </c>
      <c r="C642" s="8">
        <v>45869</v>
      </c>
      <c r="D642" s="9">
        <v>600</v>
      </c>
      <c r="E642" s="10" t="s">
        <v>21</v>
      </c>
      <c r="F642" s="11">
        <v>200</v>
      </c>
      <c r="G642" s="12" t="s">
        <v>21</v>
      </c>
      <c r="H642" s="11"/>
      <c r="I642" s="12"/>
      <c r="J642" s="11">
        <v>40</v>
      </c>
      <c r="K642" s="12" t="s">
        <v>21</v>
      </c>
    </row>
    <row r="643" spans="1:11" x14ac:dyDescent="0.25">
      <c r="A643" s="1">
        <v>642</v>
      </c>
      <c r="B643" s="7" t="s">
        <v>15</v>
      </c>
      <c r="C643" s="8">
        <v>45870</v>
      </c>
      <c r="D643" s="9"/>
      <c r="E643" s="10"/>
      <c r="F643" s="11"/>
      <c r="G643" s="12"/>
      <c r="H643" s="11"/>
      <c r="I643" s="12"/>
      <c r="J643" s="11"/>
      <c r="K643" s="12"/>
    </row>
    <row r="644" spans="1:11" x14ac:dyDescent="0.25">
      <c r="A644" s="1">
        <v>643</v>
      </c>
      <c r="B644" s="7" t="s">
        <v>16</v>
      </c>
      <c r="C644" s="8">
        <v>45871</v>
      </c>
      <c r="D644" s="9"/>
      <c r="E644" s="10"/>
      <c r="F644" s="11"/>
      <c r="G644" s="12"/>
      <c r="H644" s="11"/>
      <c r="I644" s="12"/>
      <c r="J644" s="11"/>
      <c r="K644" s="12"/>
    </row>
    <row r="645" spans="1:11" x14ac:dyDescent="0.25">
      <c r="A645" s="1">
        <v>644</v>
      </c>
      <c r="B645" s="7" t="s">
        <v>17</v>
      </c>
      <c r="C645" s="8">
        <v>45872</v>
      </c>
      <c r="D645" s="9"/>
      <c r="E645" s="10"/>
      <c r="F645" s="11"/>
      <c r="G645" s="12"/>
      <c r="H645" s="11"/>
      <c r="I645" s="12"/>
      <c r="J645" s="11"/>
      <c r="K645" s="12"/>
    </row>
    <row r="646" spans="1:11" x14ac:dyDescent="0.25">
      <c r="A646" s="1">
        <v>645</v>
      </c>
      <c r="B646" s="7" t="s">
        <v>18</v>
      </c>
      <c r="C646" s="8">
        <v>45873</v>
      </c>
      <c r="D646" s="9"/>
      <c r="E646" s="10"/>
      <c r="F646" s="11"/>
      <c r="G646" s="12"/>
      <c r="H646" s="11"/>
      <c r="I646" s="12"/>
      <c r="J646" s="11"/>
      <c r="K646" s="12"/>
    </row>
    <row r="647" spans="1:11" x14ac:dyDescent="0.25">
      <c r="A647" s="1">
        <v>646</v>
      </c>
      <c r="B647" s="7" t="s">
        <v>19</v>
      </c>
      <c r="C647" s="8">
        <v>45874</v>
      </c>
      <c r="D647" s="9">
        <v>5200</v>
      </c>
      <c r="E647" s="10" t="s">
        <v>12</v>
      </c>
      <c r="F647" s="11">
        <v>1700</v>
      </c>
      <c r="G647" s="12" t="s">
        <v>12</v>
      </c>
      <c r="H647" s="11">
        <v>2900</v>
      </c>
      <c r="I647" s="12" t="s">
        <v>12</v>
      </c>
      <c r="J647" s="11">
        <v>3200</v>
      </c>
      <c r="K647" s="12" t="s">
        <v>12</v>
      </c>
    </row>
    <row r="648" spans="1:11" x14ac:dyDescent="0.25">
      <c r="A648" s="1">
        <v>647</v>
      </c>
      <c r="B648" s="7" t="s">
        <v>20</v>
      </c>
      <c r="C648" s="8">
        <v>45875</v>
      </c>
      <c r="D648" s="9"/>
      <c r="E648" s="10"/>
      <c r="F648" s="11"/>
      <c r="G648" s="12"/>
      <c r="H648" s="11"/>
      <c r="I648" s="12"/>
      <c r="J648" s="11"/>
      <c r="K648" s="12"/>
    </row>
    <row r="649" spans="1:11" x14ac:dyDescent="0.25">
      <c r="A649" s="1">
        <v>648</v>
      </c>
      <c r="B649" s="7" t="s">
        <v>14</v>
      </c>
      <c r="C649" s="8">
        <v>45876</v>
      </c>
      <c r="D649" s="9">
        <v>2600</v>
      </c>
      <c r="E649" s="10" t="s">
        <v>12</v>
      </c>
      <c r="F649" s="11"/>
      <c r="G649" s="12"/>
      <c r="H649" s="11"/>
      <c r="I649" s="12"/>
      <c r="J649" s="11">
        <v>1600</v>
      </c>
      <c r="K649" s="12" t="s">
        <v>12</v>
      </c>
    </row>
    <row r="650" spans="1:11" x14ac:dyDescent="0.25">
      <c r="A650" s="1">
        <v>649</v>
      </c>
      <c r="B650" s="7" t="s">
        <v>14</v>
      </c>
      <c r="C650" s="8">
        <v>45876</v>
      </c>
      <c r="D650" s="9">
        <v>1600</v>
      </c>
      <c r="E650" s="10" t="s">
        <v>22</v>
      </c>
      <c r="F650" s="11">
        <v>800</v>
      </c>
      <c r="G650" s="12" t="s">
        <v>22</v>
      </c>
      <c r="H650" s="11"/>
      <c r="I650" s="12"/>
      <c r="J650" s="11"/>
      <c r="K650" s="12"/>
    </row>
    <row r="651" spans="1:11" x14ac:dyDescent="0.25">
      <c r="A651" s="1">
        <v>650</v>
      </c>
      <c r="B651" s="7" t="s">
        <v>14</v>
      </c>
      <c r="C651" s="8">
        <v>45876</v>
      </c>
      <c r="D651" s="9">
        <v>300</v>
      </c>
      <c r="E651" s="10" t="s">
        <v>21</v>
      </c>
      <c r="F651" s="11">
        <v>200</v>
      </c>
      <c r="G651" s="12" t="s">
        <v>21</v>
      </c>
      <c r="H651" s="11"/>
      <c r="I651" s="12"/>
      <c r="J651" s="11"/>
      <c r="K651" s="12"/>
    </row>
    <row r="652" spans="1:11" x14ac:dyDescent="0.25">
      <c r="A652" s="1">
        <v>651</v>
      </c>
      <c r="B652" s="7" t="s">
        <v>15</v>
      </c>
      <c r="C652" s="8">
        <v>45877</v>
      </c>
      <c r="D652" s="9"/>
      <c r="E652" s="10"/>
      <c r="F652" s="11"/>
      <c r="G652" s="12"/>
      <c r="H652" s="11"/>
      <c r="I652" s="12"/>
      <c r="J652" s="11"/>
      <c r="K652" s="12"/>
    </row>
    <row r="653" spans="1:11" x14ac:dyDescent="0.25">
      <c r="A653" s="1">
        <v>652</v>
      </c>
      <c r="B653" s="7" t="s">
        <v>16</v>
      </c>
      <c r="C653" s="8">
        <v>45878</v>
      </c>
      <c r="D653" s="9"/>
      <c r="E653" s="10"/>
      <c r="F653" s="11"/>
      <c r="G653" s="12"/>
      <c r="H653" s="11"/>
      <c r="I653" s="12"/>
      <c r="J653" s="11"/>
      <c r="K653" s="12"/>
    </row>
    <row r="654" spans="1:11" x14ac:dyDescent="0.25">
      <c r="A654" s="1">
        <v>653</v>
      </c>
      <c r="B654" s="7" t="s">
        <v>17</v>
      </c>
      <c r="C654" s="8">
        <v>45879</v>
      </c>
      <c r="D654" s="9"/>
      <c r="E654" s="10"/>
      <c r="F654" s="11"/>
      <c r="G654" s="12"/>
      <c r="H654" s="11"/>
      <c r="I654" s="12"/>
      <c r="J654" s="11"/>
      <c r="K654" s="12"/>
    </row>
    <row r="655" spans="1:11" x14ac:dyDescent="0.25">
      <c r="A655" s="1">
        <v>654</v>
      </c>
      <c r="B655" s="7" t="s">
        <v>18</v>
      </c>
      <c r="C655" s="8">
        <v>45880</v>
      </c>
      <c r="D655" s="9"/>
      <c r="E655" s="10"/>
      <c r="F655" s="11"/>
      <c r="G655" s="12"/>
      <c r="H655" s="11"/>
      <c r="I655" s="12"/>
      <c r="J655" s="11"/>
      <c r="K655" s="12"/>
    </row>
    <row r="656" spans="1:11" x14ac:dyDescent="0.25">
      <c r="A656" s="1">
        <v>655</v>
      </c>
      <c r="B656" s="7" t="s">
        <v>19</v>
      </c>
      <c r="C656" s="8">
        <v>45881</v>
      </c>
      <c r="D656" s="9">
        <v>4900</v>
      </c>
      <c r="E656" s="10" t="s">
        <v>12</v>
      </c>
      <c r="F656" s="11">
        <v>3000</v>
      </c>
      <c r="G656" s="12" t="s">
        <v>12</v>
      </c>
      <c r="H656" s="11"/>
      <c r="I656" s="12"/>
      <c r="J656" s="11">
        <v>4200</v>
      </c>
      <c r="K656" s="12" t="s">
        <v>12</v>
      </c>
    </row>
    <row r="657" spans="1:11" x14ac:dyDescent="0.25">
      <c r="A657" s="1">
        <v>656</v>
      </c>
      <c r="B657" s="7" t="s">
        <v>20</v>
      </c>
      <c r="C657" s="8">
        <v>45882</v>
      </c>
      <c r="D657" s="9"/>
      <c r="E657" s="10"/>
      <c r="F657" s="11"/>
      <c r="G657" s="12"/>
      <c r="H657" s="11"/>
      <c r="I657" s="12"/>
      <c r="J657" s="11"/>
      <c r="K657" s="12"/>
    </row>
    <row r="658" spans="1:11" x14ac:dyDescent="0.25">
      <c r="A658" s="1">
        <v>657</v>
      </c>
      <c r="B658" s="7" t="s">
        <v>14</v>
      </c>
      <c r="C658" s="8">
        <v>45883</v>
      </c>
      <c r="D658" s="9">
        <v>3100</v>
      </c>
      <c r="E658" s="10" t="s">
        <v>12</v>
      </c>
      <c r="F658" s="11"/>
      <c r="G658" s="12"/>
      <c r="H658" s="11">
        <v>1000</v>
      </c>
      <c r="I658" s="12" t="s">
        <v>12</v>
      </c>
      <c r="J658" s="11">
        <v>2700</v>
      </c>
      <c r="K658" s="12" t="s">
        <v>12</v>
      </c>
    </row>
    <row r="659" spans="1:11" x14ac:dyDescent="0.25">
      <c r="A659" s="1">
        <v>658</v>
      </c>
      <c r="B659" s="7" t="s">
        <v>14</v>
      </c>
      <c r="C659" s="8">
        <v>45883</v>
      </c>
      <c r="D659" s="9">
        <v>1700</v>
      </c>
      <c r="E659" s="10" t="s">
        <v>22</v>
      </c>
      <c r="F659" s="11">
        <v>400</v>
      </c>
      <c r="G659" s="12" t="s">
        <v>22</v>
      </c>
      <c r="H659" s="11">
        <v>40</v>
      </c>
      <c r="I659" s="12" t="s">
        <v>22</v>
      </c>
      <c r="J659" s="11">
        <v>300</v>
      </c>
      <c r="K659" s="12" t="s">
        <v>22</v>
      </c>
    </row>
    <row r="660" spans="1:11" x14ac:dyDescent="0.25">
      <c r="A660" s="1">
        <v>659</v>
      </c>
      <c r="B660" s="7" t="s">
        <v>14</v>
      </c>
      <c r="C660" s="8">
        <v>45883</v>
      </c>
      <c r="D660" s="9">
        <v>500</v>
      </c>
      <c r="E660" s="10" t="s">
        <v>21</v>
      </c>
      <c r="F660" s="11">
        <v>30</v>
      </c>
      <c r="G660" s="12" t="s">
        <v>21</v>
      </c>
      <c r="H660" s="11"/>
      <c r="I660" s="12"/>
      <c r="J660" s="11">
        <v>20</v>
      </c>
      <c r="K660" s="12" t="s">
        <v>21</v>
      </c>
    </row>
    <row r="661" spans="1:11" x14ac:dyDescent="0.25">
      <c r="A661" s="1">
        <v>660</v>
      </c>
      <c r="B661" s="7" t="s">
        <v>15</v>
      </c>
      <c r="C661" s="8">
        <v>45884</v>
      </c>
      <c r="D661" s="9"/>
      <c r="E661" s="10"/>
      <c r="F661" s="11"/>
      <c r="G661" s="12"/>
      <c r="H661" s="11"/>
      <c r="I661" s="12"/>
      <c r="J661" s="11"/>
      <c r="K661" s="12"/>
    </row>
    <row r="662" spans="1:11" x14ac:dyDescent="0.25">
      <c r="A662" s="1">
        <v>661</v>
      </c>
      <c r="B662" s="7" t="s">
        <v>16</v>
      </c>
      <c r="C662" s="8">
        <v>45885</v>
      </c>
      <c r="D662" s="9"/>
      <c r="E662" s="10"/>
      <c r="F662" s="11"/>
      <c r="G662" s="12"/>
      <c r="H662" s="11"/>
      <c r="I662" s="12"/>
      <c r="J662" s="11"/>
      <c r="K662" s="12"/>
    </row>
    <row r="663" spans="1:11" x14ac:dyDescent="0.25">
      <c r="A663" s="1">
        <v>662</v>
      </c>
      <c r="B663" s="7" t="s">
        <v>17</v>
      </c>
      <c r="C663" s="8">
        <v>45886</v>
      </c>
      <c r="D663" s="9"/>
      <c r="E663" s="10"/>
      <c r="F663" s="11"/>
      <c r="G663" s="12"/>
      <c r="H663" s="11"/>
      <c r="I663" s="12"/>
      <c r="J663" s="11"/>
      <c r="K663" s="12"/>
    </row>
    <row r="664" spans="1:11" x14ac:dyDescent="0.25">
      <c r="A664" s="1">
        <v>663</v>
      </c>
      <c r="B664" s="7" t="s">
        <v>18</v>
      </c>
      <c r="C664" s="8">
        <v>45887</v>
      </c>
      <c r="D664" s="9"/>
      <c r="E664" s="10"/>
      <c r="F664" s="11"/>
      <c r="G664" s="12"/>
      <c r="H664" s="11"/>
      <c r="I664" s="12"/>
      <c r="J664" s="11"/>
      <c r="K664" s="12"/>
    </row>
    <row r="665" spans="1:11" x14ac:dyDescent="0.25">
      <c r="A665" s="1">
        <v>664</v>
      </c>
      <c r="B665" s="7" t="s">
        <v>19</v>
      </c>
      <c r="C665" s="8">
        <v>45888</v>
      </c>
      <c r="D665" s="9">
        <v>10100</v>
      </c>
      <c r="E665" s="10" t="s">
        <v>12</v>
      </c>
      <c r="F665" s="11">
        <v>6900</v>
      </c>
      <c r="G665" s="12" t="s">
        <v>12</v>
      </c>
      <c r="H665" s="11">
        <v>4000</v>
      </c>
      <c r="I665" s="12" t="s">
        <v>12</v>
      </c>
      <c r="J665" s="11">
        <v>8300</v>
      </c>
      <c r="K665" s="12" t="s">
        <v>12</v>
      </c>
    </row>
    <row r="666" spans="1:11" x14ac:dyDescent="0.25">
      <c r="A666" s="1">
        <v>665</v>
      </c>
      <c r="B666" s="7" t="s">
        <v>20</v>
      </c>
      <c r="C666" s="8">
        <v>45889</v>
      </c>
      <c r="D666" s="9"/>
      <c r="E666" s="10"/>
      <c r="F666" s="11"/>
      <c r="G666" s="12"/>
      <c r="H666" s="11"/>
      <c r="I666" s="12"/>
      <c r="J666" s="11"/>
      <c r="K666" s="12"/>
    </row>
    <row r="667" spans="1:11" x14ac:dyDescent="0.25">
      <c r="A667" s="1">
        <v>666</v>
      </c>
      <c r="B667" s="7" t="s">
        <v>14</v>
      </c>
      <c r="C667" s="8">
        <v>45890</v>
      </c>
      <c r="D667" s="9"/>
      <c r="E667" s="10"/>
      <c r="F667" s="11">
        <v>2500</v>
      </c>
      <c r="G667" s="12" t="s">
        <v>12</v>
      </c>
      <c r="H667" s="11">
        <v>1000</v>
      </c>
      <c r="I667" s="12" t="s">
        <v>12</v>
      </c>
      <c r="J667" s="11"/>
      <c r="K667" s="12"/>
    </row>
    <row r="668" spans="1:11" x14ac:dyDescent="0.25">
      <c r="A668" s="1">
        <v>667</v>
      </c>
      <c r="B668" s="7" t="s">
        <v>14</v>
      </c>
      <c r="C668" s="8">
        <v>45890</v>
      </c>
      <c r="D668" s="9">
        <v>1400</v>
      </c>
      <c r="E668" s="10" t="s">
        <v>22</v>
      </c>
      <c r="F668" s="11">
        <v>1700</v>
      </c>
      <c r="G668" s="12" t="s">
        <v>22</v>
      </c>
      <c r="H668" s="11">
        <v>100</v>
      </c>
      <c r="I668" s="12" t="s">
        <v>22</v>
      </c>
      <c r="J668" s="11">
        <v>800</v>
      </c>
      <c r="K668" s="12" t="s">
        <v>22</v>
      </c>
    </row>
    <row r="669" spans="1:11" x14ac:dyDescent="0.25">
      <c r="A669" s="1">
        <v>668</v>
      </c>
      <c r="B669" s="7" t="s">
        <v>14</v>
      </c>
      <c r="C669" s="8">
        <v>45890</v>
      </c>
      <c r="D669" s="9">
        <v>600</v>
      </c>
      <c r="E669" s="10" t="s">
        <v>21</v>
      </c>
      <c r="F669" s="11">
        <v>400</v>
      </c>
      <c r="G669" s="12" t="s">
        <v>21</v>
      </c>
      <c r="H669" s="11">
        <v>10</v>
      </c>
      <c r="I669" s="12" t="s">
        <v>21</v>
      </c>
      <c r="J669" s="11">
        <v>100</v>
      </c>
      <c r="K669" s="12" t="s">
        <v>21</v>
      </c>
    </row>
    <row r="670" spans="1:11" x14ac:dyDescent="0.25">
      <c r="A670" s="1">
        <v>669</v>
      </c>
      <c r="B670" s="7" t="s">
        <v>15</v>
      </c>
      <c r="C670" s="8">
        <v>45891</v>
      </c>
      <c r="D670" s="9"/>
      <c r="E670" s="10"/>
      <c r="F670" s="11"/>
      <c r="G670" s="12"/>
      <c r="H670" s="11"/>
      <c r="I670" s="12"/>
      <c r="J670" s="11"/>
      <c r="K670" s="12"/>
    </row>
    <row r="671" spans="1:11" x14ac:dyDescent="0.25">
      <c r="A671" s="1">
        <v>670</v>
      </c>
      <c r="B671" s="7" t="s">
        <v>16</v>
      </c>
      <c r="C671" s="8">
        <v>45892</v>
      </c>
      <c r="D671" s="9"/>
      <c r="E671" s="10"/>
      <c r="F671" s="11"/>
      <c r="G671" s="12"/>
      <c r="H671" s="11"/>
      <c r="I671" s="12"/>
      <c r="J671" s="11"/>
      <c r="K671" s="12"/>
    </row>
    <row r="672" spans="1:11" x14ac:dyDescent="0.25">
      <c r="A672" s="1">
        <v>671</v>
      </c>
      <c r="B672" s="7" t="s">
        <v>17</v>
      </c>
      <c r="C672" s="8">
        <v>45893</v>
      </c>
      <c r="D672" s="9"/>
      <c r="E672" s="10"/>
      <c r="F672" s="11"/>
      <c r="G672" s="12"/>
      <c r="H672" s="11"/>
      <c r="I672" s="12"/>
      <c r="J672" s="11"/>
      <c r="K672" s="12"/>
    </row>
    <row r="673" spans="1:11" x14ac:dyDescent="0.25">
      <c r="A673" s="1">
        <v>672</v>
      </c>
      <c r="B673" s="7" t="s">
        <v>18</v>
      </c>
      <c r="C673" s="8">
        <v>45894</v>
      </c>
      <c r="D673" s="9"/>
      <c r="E673" s="10"/>
      <c r="F673" s="11"/>
      <c r="G673" s="12"/>
      <c r="H673" s="11"/>
      <c r="I673" s="12"/>
      <c r="J673" s="11"/>
      <c r="K673" s="12"/>
    </row>
    <row r="674" spans="1:11" x14ac:dyDescent="0.25">
      <c r="A674" s="1">
        <v>673</v>
      </c>
      <c r="B674" s="7" t="s">
        <v>19</v>
      </c>
      <c r="C674" s="8">
        <v>45895</v>
      </c>
      <c r="D674" s="9">
        <v>8800</v>
      </c>
      <c r="E674" s="12" t="s">
        <v>12</v>
      </c>
      <c r="F674" s="12">
        <v>4800</v>
      </c>
      <c r="G674" s="12" t="s">
        <v>12</v>
      </c>
      <c r="H674" s="11"/>
      <c r="I674" s="12"/>
      <c r="J674" s="11">
        <v>9900</v>
      </c>
      <c r="K674" s="12" t="s">
        <v>12</v>
      </c>
    </row>
    <row r="675" spans="1:11" x14ac:dyDescent="0.25">
      <c r="A675" s="1">
        <v>674</v>
      </c>
      <c r="B675" s="7" t="s">
        <v>20</v>
      </c>
      <c r="C675" s="8">
        <v>45896</v>
      </c>
      <c r="D675" s="9"/>
      <c r="E675" s="10"/>
      <c r="F675" s="11"/>
      <c r="G675" s="12"/>
      <c r="H675" s="11"/>
      <c r="I675" s="12"/>
      <c r="J675" s="11"/>
      <c r="K675" s="12"/>
    </row>
    <row r="676" spans="1:11" x14ac:dyDescent="0.25">
      <c r="A676" s="1">
        <v>675</v>
      </c>
      <c r="B676" s="7" t="s">
        <v>14</v>
      </c>
      <c r="C676" s="8">
        <v>45897</v>
      </c>
      <c r="D676" s="9">
        <v>1500</v>
      </c>
      <c r="E676" s="12" t="s">
        <v>12</v>
      </c>
      <c r="F676" s="11"/>
      <c r="G676" s="12"/>
      <c r="H676" s="11">
        <v>1100</v>
      </c>
      <c r="I676" s="12" t="s">
        <v>12</v>
      </c>
      <c r="J676" s="11"/>
      <c r="K676" s="12"/>
    </row>
    <row r="677" spans="1:11" x14ac:dyDescent="0.25">
      <c r="A677" s="1">
        <v>676</v>
      </c>
      <c r="B677" s="7" t="s">
        <v>14</v>
      </c>
      <c r="C677" s="8">
        <v>45897</v>
      </c>
      <c r="D677" s="9">
        <v>1100</v>
      </c>
      <c r="E677" s="12" t="s">
        <v>22</v>
      </c>
      <c r="F677" s="11">
        <v>700</v>
      </c>
      <c r="G677" s="12" t="s">
        <v>22</v>
      </c>
      <c r="H677" s="11">
        <v>100</v>
      </c>
      <c r="I677" s="12" t="s">
        <v>22</v>
      </c>
      <c r="J677" s="11"/>
      <c r="K677" s="12"/>
    </row>
    <row r="678" spans="1:11" x14ac:dyDescent="0.25">
      <c r="A678" s="1">
        <v>677</v>
      </c>
      <c r="B678" s="7" t="s">
        <v>14</v>
      </c>
      <c r="C678" s="8">
        <v>45897</v>
      </c>
      <c r="D678" s="9">
        <v>300</v>
      </c>
      <c r="E678" s="12" t="s">
        <v>21</v>
      </c>
      <c r="F678" s="11">
        <v>100</v>
      </c>
      <c r="G678" s="12" t="s">
        <v>21</v>
      </c>
      <c r="H678" s="11"/>
      <c r="I678" s="12"/>
      <c r="J678" s="11"/>
      <c r="K678" s="12"/>
    </row>
    <row r="679" spans="1:11" x14ac:dyDescent="0.25">
      <c r="A679" s="1">
        <v>678</v>
      </c>
      <c r="B679" s="7" t="s">
        <v>15</v>
      </c>
      <c r="C679" s="8">
        <v>45898</v>
      </c>
      <c r="D679" s="9"/>
      <c r="E679" s="10"/>
      <c r="F679" s="11"/>
      <c r="G679" s="12"/>
      <c r="H679" s="11"/>
      <c r="I679" s="12"/>
      <c r="J679" s="11"/>
      <c r="K679" s="12"/>
    </row>
    <row r="680" spans="1:11" x14ac:dyDescent="0.25">
      <c r="A680" s="1">
        <v>679</v>
      </c>
      <c r="B680" s="7" t="s">
        <v>16</v>
      </c>
      <c r="C680" s="8">
        <v>45899</v>
      </c>
      <c r="D680" s="9"/>
      <c r="E680" s="10"/>
      <c r="F680" s="11"/>
      <c r="G680" s="12"/>
      <c r="H680" s="11"/>
      <c r="I680" s="12"/>
      <c r="J680" s="11"/>
      <c r="K680" s="12"/>
    </row>
    <row r="681" spans="1:11" x14ac:dyDescent="0.25">
      <c r="A681" s="1">
        <v>680</v>
      </c>
      <c r="B681" s="7" t="s">
        <v>17</v>
      </c>
      <c r="C681" s="8">
        <v>45900</v>
      </c>
      <c r="D681" s="9"/>
      <c r="E681" s="10"/>
      <c r="F681" s="11"/>
      <c r="G681" s="12"/>
      <c r="H681" s="11"/>
      <c r="I681" s="12"/>
      <c r="J681" s="11"/>
      <c r="K681" s="12"/>
    </row>
    <row r="682" spans="1:11" x14ac:dyDescent="0.25">
      <c r="A682" s="1">
        <v>681</v>
      </c>
      <c r="B682" s="7" t="s">
        <v>18</v>
      </c>
      <c r="C682" s="8">
        <v>45901</v>
      </c>
      <c r="D682" s="9"/>
      <c r="E682" s="10"/>
      <c r="F682" s="11"/>
      <c r="G682" s="12"/>
      <c r="H682" s="11"/>
      <c r="I682" s="12"/>
      <c r="J682" s="11"/>
      <c r="K682" s="12"/>
    </row>
    <row r="683" spans="1:11" x14ac:dyDescent="0.25">
      <c r="A683" s="1">
        <v>682</v>
      </c>
      <c r="B683" s="7" t="s">
        <v>19</v>
      </c>
      <c r="C683" s="8">
        <v>45902</v>
      </c>
      <c r="D683" s="9">
        <v>4500</v>
      </c>
      <c r="E683" s="12" t="s">
        <v>12</v>
      </c>
      <c r="F683" s="11">
        <v>2400</v>
      </c>
      <c r="G683" s="12" t="s">
        <v>12</v>
      </c>
      <c r="H683" s="11">
        <v>2500</v>
      </c>
      <c r="I683" s="12" t="s">
        <v>12</v>
      </c>
      <c r="J683" s="11">
        <v>4100</v>
      </c>
      <c r="K683" s="12" t="s">
        <v>12</v>
      </c>
    </row>
    <row r="684" spans="1:11" x14ac:dyDescent="0.25">
      <c r="A684" s="1">
        <v>683</v>
      </c>
      <c r="B684" s="7" t="s">
        <v>20</v>
      </c>
      <c r="C684" s="8">
        <v>45903</v>
      </c>
      <c r="D684" s="9"/>
      <c r="E684" s="10"/>
      <c r="F684" s="11"/>
      <c r="G684" s="12"/>
      <c r="H684" s="11"/>
      <c r="I684" s="12"/>
      <c r="J684" s="11"/>
      <c r="K684" s="12"/>
    </row>
    <row r="685" spans="1:11" x14ac:dyDescent="0.25">
      <c r="A685" s="1">
        <v>684</v>
      </c>
      <c r="B685" s="7" t="s">
        <v>14</v>
      </c>
      <c r="C685" s="8">
        <v>45904</v>
      </c>
      <c r="D685" s="9">
        <v>4200</v>
      </c>
      <c r="E685" s="12" t="s">
        <v>12</v>
      </c>
      <c r="F685" s="11">
        <v>2200</v>
      </c>
      <c r="G685" s="12" t="s">
        <v>12</v>
      </c>
      <c r="H685" s="11">
        <v>2300</v>
      </c>
      <c r="I685" s="12" t="s">
        <v>12</v>
      </c>
      <c r="J685" s="11">
        <v>3800</v>
      </c>
      <c r="K685" s="12" t="s">
        <v>12</v>
      </c>
    </row>
    <row r="686" spans="1:11" x14ac:dyDescent="0.25">
      <c r="A686" s="1">
        <v>685</v>
      </c>
      <c r="B686" s="7" t="s">
        <v>14</v>
      </c>
      <c r="C686" s="8">
        <v>45904</v>
      </c>
      <c r="D686" s="9">
        <v>1500</v>
      </c>
      <c r="E686" s="12" t="s">
        <v>22</v>
      </c>
      <c r="F686" s="11">
        <v>500</v>
      </c>
      <c r="G686" s="12" t="s">
        <v>22</v>
      </c>
      <c r="H686" s="11">
        <v>100</v>
      </c>
      <c r="I686" s="12" t="s">
        <v>22</v>
      </c>
      <c r="J686" s="11">
        <v>200</v>
      </c>
      <c r="K686" s="12" t="s">
        <v>22</v>
      </c>
    </row>
    <row r="687" spans="1:11" x14ac:dyDescent="0.25">
      <c r="A687" s="1">
        <v>686</v>
      </c>
      <c r="B687" s="7" t="s">
        <v>14</v>
      </c>
      <c r="C687" s="8">
        <v>45904</v>
      </c>
      <c r="D687" s="9">
        <v>700</v>
      </c>
      <c r="E687" s="10" t="s">
        <v>21</v>
      </c>
      <c r="F687" s="11">
        <v>300</v>
      </c>
      <c r="G687" s="12" t="s">
        <v>21</v>
      </c>
      <c r="H687" s="11"/>
      <c r="I687" s="12"/>
      <c r="J687" s="11"/>
      <c r="K687" s="12"/>
    </row>
    <row r="688" spans="1:11" x14ac:dyDescent="0.25">
      <c r="A688" s="1">
        <v>687</v>
      </c>
      <c r="B688" s="7" t="s">
        <v>15</v>
      </c>
      <c r="C688" s="8">
        <v>45905</v>
      </c>
      <c r="D688" s="9"/>
      <c r="E688" s="10"/>
      <c r="F688" s="11"/>
      <c r="G688" s="12"/>
      <c r="H688" s="11"/>
      <c r="I688" s="12"/>
      <c r="J688" s="11"/>
      <c r="K688" s="12"/>
    </row>
    <row r="689" spans="1:11" x14ac:dyDescent="0.25">
      <c r="A689" s="1">
        <v>688</v>
      </c>
      <c r="B689" s="7" t="s">
        <v>16</v>
      </c>
      <c r="C689" s="8">
        <v>45906</v>
      </c>
      <c r="D689" s="9"/>
      <c r="E689" s="10"/>
      <c r="F689" s="11"/>
      <c r="G689" s="12"/>
      <c r="H689" s="11"/>
      <c r="I689" s="12"/>
      <c r="J689" s="11"/>
      <c r="K689" s="12"/>
    </row>
    <row r="690" spans="1:11" x14ac:dyDescent="0.25">
      <c r="A690" s="1">
        <v>689</v>
      </c>
      <c r="B690" s="7" t="s">
        <v>17</v>
      </c>
      <c r="C690" s="8">
        <v>45907</v>
      </c>
      <c r="D690" s="9"/>
      <c r="E690" s="10"/>
      <c r="F690" s="11"/>
      <c r="G690" s="12"/>
      <c r="H690" s="11"/>
      <c r="I690" s="12"/>
      <c r="J690" s="11"/>
      <c r="K690" s="12"/>
    </row>
    <row r="691" spans="1:11" x14ac:dyDescent="0.25">
      <c r="A691" s="1">
        <v>690</v>
      </c>
      <c r="B691" s="7" t="s">
        <v>18</v>
      </c>
      <c r="C691" s="8">
        <v>45908</v>
      </c>
      <c r="D691" s="9"/>
      <c r="E691" s="10"/>
      <c r="F691" s="11"/>
      <c r="G691" s="12"/>
      <c r="H691" s="11"/>
      <c r="I691" s="12"/>
      <c r="J691" s="11"/>
      <c r="K691" s="12"/>
    </row>
    <row r="692" spans="1:11" x14ac:dyDescent="0.25">
      <c r="A692" s="1">
        <v>691</v>
      </c>
      <c r="B692" s="7" t="s">
        <v>19</v>
      </c>
      <c r="C692" s="8">
        <v>45909</v>
      </c>
      <c r="D692" s="9">
        <v>3000</v>
      </c>
      <c r="E692" s="12" t="s">
        <v>12</v>
      </c>
      <c r="F692" s="11">
        <v>4100</v>
      </c>
      <c r="G692" s="12" t="s">
        <v>12</v>
      </c>
      <c r="H692" s="11"/>
      <c r="I692" s="12"/>
      <c r="J692" s="11">
        <v>5400</v>
      </c>
      <c r="K692" s="12" t="s">
        <v>12</v>
      </c>
    </row>
    <row r="693" spans="1:11" x14ac:dyDescent="0.25">
      <c r="A693" s="1">
        <v>692</v>
      </c>
      <c r="B693" s="7" t="s">
        <v>20</v>
      </c>
      <c r="C693" s="8">
        <v>45910</v>
      </c>
      <c r="D693" s="9"/>
      <c r="E693" s="10"/>
      <c r="F693" s="11"/>
      <c r="G693" s="12"/>
      <c r="H693" s="11"/>
      <c r="I693" s="12"/>
      <c r="J693" s="11"/>
      <c r="K693" s="12"/>
    </row>
    <row r="694" spans="1:11" x14ac:dyDescent="0.25">
      <c r="A694" s="1">
        <v>693</v>
      </c>
      <c r="B694" s="7" t="s">
        <v>14</v>
      </c>
      <c r="C694" s="8">
        <v>45911</v>
      </c>
      <c r="D694" s="9">
        <v>3200</v>
      </c>
      <c r="E694" s="12" t="s">
        <v>12</v>
      </c>
      <c r="F694" s="11"/>
      <c r="G694" s="12"/>
      <c r="H694" s="11">
        <v>500</v>
      </c>
      <c r="I694" s="12" t="s">
        <v>12</v>
      </c>
      <c r="J694" s="11">
        <v>5600</v>
      </c>
      <c r="K694" s="12" t="s">
        <v>12</v>
      </c>
    </row>
    <row r="695" spans="1:11" x14ac:dyDescent="0.25">
      <c r="A695" s="1">
        <v>694</v>
      </c>
      <c r="B695" s="7" t="s">
        <v>14</v>
      </c>
      <c r="C695" s="8">
        <v>45911</v>
      </c>
      <c r="D695" s="9">
        <v>1500</v>
      </c>
      <c r="E695" s="10" t="s">
        <v>22</v>
      </c>
      <c r="F695" s="11">
        <v>600</v>
      </c>
      <c r="G695" s="10" t="s">
        <v>22</v>
      </c>
      <c r="H695" s="11">
        <v>200</v>
      </c>
      <c r="I695" s="10" t="s">
        <v>22</v>
      </c>
      <c r="J695" s="11">
        <v>400</v>
      </c>
      <c r="K695" s="10" t="s">
        <v>22</v>
      </c>
    </row>
    <row r="696" spans="1:11" x14ac:dyDescent="0.25">
      <c r="A696" s="1">
        <v>695</v>
      </c>
      <c r="B696" s="7" t="s">
        <v>14</v>
      </c>
      <c r="C696" s="8">
        <v>45911</v>
      </c>
      <c r="D696" s="9">
        <v>300</v>
      </c>
      <c r="E696" s="12" t="s">
        <v>21</v>
      </c>
      <c r="F696" s="11">
        <v>300</v>
      </c>
      <c r="G696" s="12" t="s">
        <v>21</v>
      </c>
      <c r="H696" s="11">
        <v>20</v>
      </c>
      <c r="I696" s="12" t="s">
        <v>21</v>
      </c>
      <c r="J696" s="11">
        <v>60</v>
      </c>
      <c r="K696" s="12" t="s">
        <v>21</v>
      </c>
    </row>
    <row r="697" spans="1:11" x14ac:dyDescent="0.25">
      <c r="A697" s="1">
        <v>696</v>
      </c>
      <c r="B697" s="7" t="s">
        <v>15</v>
      </c>
      <c r="C697" s="8">
        <v>45912</v>
      </c>
      <c r="D697" s="9"/>
      <c r="E697" s="10"/>
      <c r="F697" s="11"/>
      <c r="G697" s="12"/>
      <c r="H697" s="11"/>
      <c r="I697" s="12"/>
      <c r="J697" s="11"/>
      <c r="K697" s="12"/>
    </row>
    <row r="698" spans="1:11" x14ac:dyDescent="0.25">
      <c r="A698" s="1">
        <v>697</v>
      </c>
      <c r="B698" s="7" t="s">
        <v>16</v>
      </c>
      <c r="C698" s="8">
        <v>45913</v>
      </c>
      <c r="D698" s="9"/>
      <c r="E698" s="10"/>
      <c r="F698" s="11"/>
      <c r="G698" s="12"/>
      <c r="H698" s="11"/>
      <c r="I698" s="12"/>
      <c r="J698" s="11"/>
      <c r="K698" s="12"/>
    </row>
    <row r="699" spans="1:11" x14ac:dyDescent="0.25">
      <c r="A699" s="1">
        <v>698</v>
      </c>
      <c r="B699" s="7" t="s">
        <v>17</v>
      </c>
      <c r="C699" s="8">
        <v>45914</v>
      </c>
      <c r="D699" s="9"/>
      <c r="E699" s="10"/>
      <c r="F699" s="11"/>
      <c r="G699" s="12"/>
      <c r="H699" s="11"/>
      <c r="I699" s="12"/>
      <c r="J699" s="11"/>
      <c r="K699" s="12"/>
    </row>
    <row r="700" spans="1:11" x14ac:dyDescent="0.25">
      <c r="A700" s="1">
        <v>699</v>
      </c>
      <c r="B700" s="7" t="s">
        <v>18</v>
      </c>
      <c r="C700" s="8">
        <v>45915</v>
      </c>
      <c r="D700" s="9"/>
      <c r="E700" s="10"/>
      <c r="F700" s="11"/>
      <c r="G700" s="12"/>
      <c r="H700" s="11"/>
      <c r="I700" s="12"/>
      <c r="J700" s="11"/>
      <c r="K700" s="12"/>
    </row>
    <row r="701" spans="1:11" x14ac:dyDescent="0.25">
      <c r="A701" s="1">
        <v>700</v>
      </c>
      <c r="B701" s="7" t="s">
        <v>19</v>
      </c>
      <c r="C701" s="8">
        <v>45916</v>
      </c>
      <c r="D701" s="9">
        <v>5100</v>
      </c>
      <c r="E701" s="12" t="s">
        <v>12</v>
      </c>
      <c r="F701" s="11">
        <v>2700</v>
      </c>
      <c r="G701" s="12" t="s">
        <v>12</v>
      </c>
      <c r="H701" s="11"/>
      <c r="I701" s="12"/>
      <c r="J701" s="11">
        <v>3200</v>
      </c>
      <c r="K701" s="12" t="s">
        <v>12</v>
      </c>
    </row>
    <row r="702" spans="1:11" x14ac:dyDescent="0.25">
      <c r="A702" s="1">
        <v>701</v>
      </c>
      <c r="B702" s="7" t="s">
        <v>20</v>
      </c>
      <c r="C702" s="8">
        <v>45917</v>
      </c>
      <c r="D702" s="9"/>
      <c r="E702" s="10"/>
      <c r="F702" s="11"/>
      <c r="G702" s="12"/>
      <c r="H702" s="11"/>
      <c r="I702" s="12"/>
      <c r="J702" s="11"/>
      <c r="K702" s="12"/>
    </row>
    <row r="703" spans="1:11" x14ac:dyDescent="0.25">
      <c r="A703" s="1">
        <v>702</v>
      </c>
      <c r="B703" s="7" t="s">
        <v>14</v>
      </c>
      <c r="C703" s="8">
        <v>45918</v>
      </c>
      <c r="D703" s="9">
        <v>3300</v>
      </c>
      <c r="E703" s="12" t="s">
        <v>12</v>
      </c>
      <c r="F703" s="11"/>
      <c r="G703" s="12"/>
      <c r="H703" s="11">
        <v>3300</v>
      </c>
      <c r="I703" s="12" t="s">
        <v>12</v>
      </c>
      <c r="J703" s="11">
        <v>2000</v>
      </c>
      <c r="K703" s="12" t="s">
        <v>12</v>
      </c>
    </row>
    <row r="704" spans="1:11" x14ac:dyDescent="0.25">
      <c r="A704" s="1">
        <v>703</v>
      </c>
      <c r="B704" s="7" t="s">
        <v>14</v>
      </c>
      <c r="C704" s="8">
        <v>45918</v>
      </c>
      <c r="D704" s="9">
        <v>1500</v>
      </c>
      <c r="E704" s="10" t="s">
        <v>22</v>
      </c>
      <c r="F704" s="11">
        <v>1000</v>
      </c>
      <c r="G704" s="10" t="s">
        <v>22</v>
      </c>
      <c r="H704" s="11">
        <v>50</v>
      </c>
      <c r="I704" s="10" t="s">
        <v>22</v>
      </c>
      <c r="J704" s="11">
        <v>300</v>
      </c>
      <c r="K704" s="10" t="s">
        <v>22</v>
      </c>
    </row>
    <row r="705" spans="1:11" x14ac:dyDescent="0.25">
      <c r="A705" s="1">
        <v>704</v>
      </c>
      <c r="B705" s="7" t="s">
        <v>14</v>
      </c>
      <c r="C705" s="8">
        <v>45918</v>
      </c>
      <c r="D705" s="9">
        <v>700</v>
      </c>
      <c r="E705" s="12" t="s">
        <v>21</v>
      </c>
      <c r="F705" s="11">
        <v>100</v>
      </c>
      <c r="G705" s="12" t="s">
        <v>21</v>
      </c>
      <c r="H705" s="11"/>
      <c r="I705" s="12"/>
      <c r="J705" s="11">
        <v>50</v>
      </c>
      <c r="K705" s="12" t="s">
        <v>21</v>
      </c>
    </row>
    <row r="706" spans="1:11" x14ac:dyDescent="0.25">
      <c r="A706" s="1">
        <v>705</v>
      </c>
      <c r="B706" s="7" t="s">
        <v>15</v>
      </c>
      <c r="C706" s="8">
        <v>45919</v>
      </c>
      <c r="D706" s="9"/>
      <c r="E706" s="10"/>
      <c r="F706" s="11"/>
      <c r="G706" s="12"/>
      <c r="H706" s="11"/>
      <c r="I706" s="12"/>
      <c r="J706" s="11"/>
      <c r="K706" s="12"/>
    </row>
    <row r="707" spans="1:11" x14ac:dyDescent="0.25">
      <c r="A707" s="1">
        <v>706</v>
      </c>
      <c r="B707" s="7" t="s">
        <v>16</v>
      </c>
      <c r="C707" s="8">
        <v>45920</v>
      </c>
      <c r="D707" s="9"/>
      <c r="E707" s="10"/>
      <c r="F707" s="11"/>
      <c r="G707" s="12"/>
      <c r="H707" s="11"/>
      <c r="I707" s="12"/>
      <c r="J707" s="11"/>
      <c r="K707" s="12"/>
    </row>
    <row r="708" spans="1:11" x14ac:dyDescent="0.25">
      <c r="A708" s="1">
        <v>707</v>
      </c>
      <c r="B708" s="7" t="s">
        <v>17</v>
      </c>
      <c r="C708" s="8">
        <v>45921</v>
      </c>
      <c r="D708" s="9"/>
      <c r="E708" s="10"/>
      <c r="F708" s="11"/>
      <c r="G708" s="12"/>
      <c r="H708" s="11"/>
      <c r="I708" s="12"/>
      <c r="J708" s="11"/>
      <c r="K708" s="12"/>
    </row>
    <row r="709" spans="1:11" x14ac:dyDescent="0.25">
      <c r="A709" s="1">
        <v>708</v>
      </c>
      <c r="B709" s="7" t="s">
        <v>18</v>
      </c>
      <c r="C709" s="8">
        <v>45922</v>
      </c>
      <c r="D709" s="9"/>
      <c r="E709" s="10"/>
      <c r="F709" s="11"/>
      <c r="G709" s="12"/>
      <c r="H709" s="11"/>
      <c r="I709" s="12"/>
      <c r="J709" s="11"/>
      <c r="K709" s="12"/>
    </row>
    <row r="710" spans="1:11" x14ac:dyDescent="0.25">
      <c r="A710" s="1">
        <v>709</v>
      </c>
      <c r="B710" s="7" t="s">
        <v>19</v>
      </c>
      <c r="C710" s="8">
        <v>45923</v>
      </c>
      <c r="D710" s="9">
        <v>2600</v>
      </c>
      <c r="E710" s="12" t="s">
        <v>12</v>
      </c>
      <c r="F710" s="11">
        <v>3300</v>
      </c>
      <c r="G710" s="12" t="s">
        <v>12</v>
      </c>
      <c r="H710" s="11"/>
      <c r="I710" s="12"/>
      <c r="J710" s="11">
        <v>4200</v>
      </c>
      <c r="K710" s="12" t="s">
        <v>12</v>
      </c>
    </row>
    <row r="711" spans="1:11" x14ac:dyDescent="0.25">
      <c r="A711" s="1">
        <v>710</v>
      </c>
      <c r="B711" s="7" t="s">
        <v>20</v>
      </c>
      <c r="C711" s="8">
        <v>45924</v>
      </c>
      <c r="D711" s="9"/>
      <c r="E711" s="10"/>
      <c r="F711" s="11"/>
      <c r="G711" s="12"/>
      <c r="H711" s="11"/>
      <c r="I711" s="12"/>
      <c r="J711" s="11"/>
      <c r="K711" s="12"/>
    </row>
    <row r="712" spans="1:11" x14ac:dyDescent="0.25">
      <c r="A712" s="1">
        <v>711</v>
      </c>
      <c r="B712" s="7" t="s">
        <v>14</v>
      </c>
      <c r="C712" s="8">
        <v>45925</v>
      </c>
      <c r="D712" s="9">
        <v>2400</v>
      </c>
      <c r="E712" s="12" t="s">
        <v>12</v>
      </c>
      <c r="F712" s="11">
        <v>3100</v>
      </c>
      <c r="G712" s="12" t="s">
        <v>12</v>
      </c>
      <c r="H712" s="11">
        <v>4000</v>
      </c>
      <c r="I712" s="12" t="s">
        <v>12</v>
      </c>
      <c r="J712" s="11">
        <v>3600</v>
      </c>
      <c r="K712" s="12" t="s">
        <v>12</v>
      </c>
    </row>
    <row r="713" spans="1:11" x14ac:dyDescent="0.25">
      <c r="A713" s="1">
        <v>712</v>
      </c>
      <c r="B713" s="7" t="s">
        <v>14</v>
      </c>
      <c r="C713" s="8">
        <v>45925</v>
      </c>
      <c r="D713" s="9">
        <v>800</v>
      </c>
      <c r="E713" s="10" t="s">
        <v>22</v>
      </c>
      <c r="F713" s="11">
        <v>600</v>
      </c>
      <c r="G713" s="10" t="s">
        <v>22</v>
      </c>
      <c r="H713" s="11">
        <v>200</v>
      </c>
      <c r="I713" s="10" t="s">
        <v>22</v>
      </c>
      <c r="J713" s="11">
        <v>300</v>
      </c>
      <c r="K713" s="10" t="s">
        <v>22</v>
      </c>
    </row>
    <row r="714" spans="1:11" x14ac:dyDescent="0.25">
      <c r="A714" s="1">
        <v>713</v>
      </c>
      <c r="B714" s="7" t="s">
        <v>14</v>
      </c>
      <c r="C714" s="8">
        <v>45925</v>
      </c>
      <c r="D714" s="9">
        <v>200</v>
      </c>
      <c r="E714" s="12" t="s">
        <v>21</v>
      </c>
      <c r="F714" s="11">
        <v>300</v>
      </c>
      <c r="G714" s="12" t="s">
        <v>21</v>
      </c>
      <c r="H714" s="11">
        <v>10</v>
      </c>
      <c r="I714" s="12" t="s">
        <v>21</v>
      </c>
      <c r="J714" s="11">
        <v>10</v>
      </c>
      <c r="K714" s="12" t="s">
        <v>21</v>
      </c>
    </row>
    <row r="715" spans="1:11" x14ac:dyDescent="0.25">
      <c r="A715" s="1">
        <v>714</v>
      </c>
      <c r="B715" s="7" t="s">
        <v>15</v>
      </c>
      <c r="C715" s="8">
        <v>45926</v>
      </c>
      <c r="D715" s="9"/>
      <c r="E715" s="10"/>
      <c r="F715" s="11"/>
      <c r="G715" s="12"/>
      <c r="H715" s="11"/>
      <c r="I715" s="12"/>
      <c r="J715" s="11"/>
      <c r="K715" s="12"/>
    </row>
    <row r="716" spans="1:11" x14ac:dyDescent="0.25">
      <c r="A716" s="1">
        <v>715</v>
      </c>
      <c r="B716" s="7" t="s">
        <v>16</v>
      </c>
      <c r="C716" s="8">
        <v>45927</v>
      </c>
      <c r="D716" s="9"/>
      <c r="E716" s="10"/>
      <c r="F716" s="11"/>
      <c r="G716" s="12"/>
      <c r="H716" s="11"/>
      <c r="I716" s="12"/>
      <c r="J716" s="11"/>
      <c r="K716" s="12"/>
    </row>
    <row r="717" spans="1:11" x14ac:dyDescent="0.25">
      <c r="A717" s="1">
        <v>716</v>
      </c>
      <c r="B717" s="7" t="s">
        <v>17</v>
      </c>
      <c r="C717" s="8">
        <v>45928</v>
      </c>
      <c r="D717" s="9"/>
      <c r="E717" s="10"/>
      <c r="F717" s="11"/>
      <c r="G717" s="12"/>
      <c r="H717" s="11"/>
      <c r="I717" s="12"/>
      <c r="J717" s="11"/>
      <c r="K717" s="12"/>
    </row>
    <row r="718" spans="1:11" x14ac:dyDescent="0.25">
      <c r="A718" s="1">
        <v>717</v>
      </c>
      <c r="B718" s="7" t="s">
        <v>18</v>
      </c>
      <c r="C718" s="8">
        <v>45929</v>
      </c>
      <c r="D718" s="9"/>
      <c r="E718" s="10"/>
      <c r="F718" s="11"/>
      <c r="G718" s="12"/>
      <c r="H718" s="11"/>
      <c r="I718" s="12"/>
      <c r="J718" s="11"/>
      <c r="K718" s="12"/>
    </row>
    <row r="719" spans="1:11" x14ac:dyDescent="0.25">
      <c r="A719" s="1">
        <v>718</v>
      </c>
      <c r="B719" s="7" t="s">
        <v>19</v>
      </c>
      <c r="C719" s="8">
        <v>45930</v>
      </c>
      <c r="D719" s="9">
        <v>4600</v>
      </c>
      <c r="E719" s="12" t="s">
        <v>12</v>
      </c>
      <c r="F719" s="11">
        <v>2400</v>
      </c>
      <c r="G719" s="12" t="s">
        <v>12</v>
      </c>
      <c r="H719" s="11"/>
      <c r="I719" s="12"/>
      <c r="J719" s="11">
        <v>4000</v>
      </c>
      <c r="K719" s="12" t="s">
        <v>12</v>
      </c>
    </row>
    <row r="720" spans="1:11" x14ac:dyDescent="0.25">
      <c r="A720" s="1">
        <v>719</v>
      </c>
      <c r="B720" s="7" t="s">
        <v>20</v>
      </c>
      <c r="C720" s="8">
        <v>45931</v>
      </c>
      <c r="D720" s="9"/>
      <c r="E720" s="10"/>
      <c r="F720" s="11"/>
      <c r="G720" s="12"/>
      <c r="H720" s="11"/>
      <c r="I720" s="12"/>
      <c r="J720" s="11"/>
      <c r="K720" s="12"/>
    </row>
    <row r="721" spans="1:11" x14ac:dyDescent="0.25">
      <c r="A721" s="1">
        <v>720</v>
      </c>
      <c r="B721" s="7" t="s">
        <v>14</v>
      </c>
      <c r="C721" s="8">
        <v>45932</v>
      </c>
      <c r="D721" s="9">
        <v>4300</v>
      </c>
      <c r="E721" s="12" t="s">
        <v>12</v>
      </c>
      <c r="F721" s="11">
        <v>1900</v>
      </c>
      <c r="G721" s="12" t="s">
        <v>12</v>
      </c>
      <c r="H721" s="11">
        <v>4300</v>
      </c>
      <c r="I721" s="12" t="s">
        <v>12</v>
      </c>
      <c r="J721" s="11">
        <v>3700</v>
      </c>
      <c r="K721" s="12" t="s">
        <v>12</v>
      </c>
    </row>
    <row r="722" spans="1:11" x14ac:dyDescent="0.25">
      <c r="A722" s="1">
        <v>721</v>
      </c>
      <c r="B722" s="7" t="s">
        <v>14</v>
      </c>
      <c r="C722" s="8">
        <v>45932</v>
      </c>
      <c r="D722" s="9">
        <v>1100</v>
      </c>
      <c r="E722" s="10" t="s">
        <v>22</v>
      </c>
      <c r="F722" s="11">
        <v>400</v>
      </c>
      <c r="G722" s="10" t="s">
        <v>22</v>
      </c>
      <c r="H722" s="11">
        <v>300</v>
      </c>
      <c r="I722" s="10" t="s">
        <v>22</v>
      </c>
      <c r="J722" s="11">
        <v>600</v>
      </c>
      <c r="K722" s="10" t="s">
        <v>22</v>
      </c>
    </row>
    <row r="723" spans="1:11" x14ac:dyDescent="0.25">
      <c r="A723" s="1">
        <v>722</v>
      </c>
      <c r="B723" s="7" t="s">
        <v>14</v>
      </c>
      <c r="C723" s="8">
        <v>45932</v>
      </c>
      <c r="D723" s="9"/>
      <c r="E723" s="12"/>
      <c r="F723" s="11">
        <v>200</v>
      </c>
      <c r="G723" s="12" t="s">
        <v>21</v>
      </c>
      <c r="H723" s="11">
        <v>30</v>
      </c>
      <c r="I723" s="12" t="s">
        <v>21</v>
      </c>
      <c r="J723" s="11">
        <v>20</v>
      </c>
      <c r="K723" s="12" t="s">
        <v>21</v>
      </c>
    </row>
    <row r="724" spans="1:11" x14ac:dyDescent="0.25">
      <c r="A724" s="1">
        <v>723</v>
      </c>
      <c r="B724" s="7" t="s">
        <v>15</v>
      </c>
      <c r="C724" s="8">
        <v>45933</v>
      </c>
      <c r="D724" s="9"/>
      <c r="E724" s="10"/>
      <c r="F724" s="11"/>
      <c r="G724" s="12"/>
      <c r="H724" s="11"/>
      <c r="I724" s="12"/>
      <c r="J724" s="11"/>
      <c r="K724" s="12"/>
    </row>
    <row r="725" spans="1:11" x14ac:dyDescent="0.25">
      <c r="A725" s="1">
        <v>724</v>
      </c>
      <c r="B725" s="7" t="s">
        <v>16</v>
      </c>
      <c r="C725" s="8">
        <v>45934</v>
      </c>
      <c r="D725" s="9"/>
      <c r="E725" s="10"/>
      <c r="F725" s="11"/>
      <c r="G725" s="12"/>
      <c r="H725" s="11"/>
      <c r="I725" s="12"/>
      <c r="J725" s="11"/>
      <c r="K725" s="12"/>
    </row>
    <row r="726" spans="1:11" x14ac:dyDescent="0.25">
      <c r="A726" s="1">
        <v>725</v>
      </c>
      <c r="B726" s="7" t="s">
        <v>17</v>
      </c>
      <c r="C726" s="8">
        <v>45935</v>
      </c>
      <c r="D726" s="9"/>
      <c r="E726" s="10"/>
      <c r="F726" s="11"/>
      <c r="G726" s="12"/>
      <c r="H726" s="11"/>
      <c r="I726" s="12"/>
      <c r="J726" s="11"/>
      <c r="K726" s="12"/>
    </row>
    <row r="727" spans="1:11" x14ac:dyDescent="0.25">
      <c r="A727" s="1">
        <v>726</v>
      </c>
      <c r="B727" s="7" t="s">
        <v>18</v>
      </c>
      <c r="C727" s="8">
        <v>45936</v>
      </c>
      <c r="D727" s="9"/>
      <c r="E727" s="10"/>
      <c r="F727" s="11"/>
      <c r="G727" s="12"/>
      <c r="H727" s="11"/>
      <c r="I727" s="12"/>
      <c r="J727" s="11"/>
      <c r="K727" s="12"/>
    </row>
    <row r="728" spans="1:11" x14ac:dyDescent="0.25">
      <c r="A728" s="1">
        <v>727</v>
      </c>
      <c r="B728" s="7" t="s">
        <v>19</v>
      </c>
      <c r="C728" s="8">
        <v>45937</v>
      </c>
      <c r="D728" s="9">
        <v>4100</v>
      </c>
      <c r="E728" s="12" t="s">
        <v>12</v>
      </c>
      <c r="F728" s="11">
        <v>2400</v>
      </c>
      <c r="G728" s="12" t="s">
        <v>12</v>
      </c>
      <c r="H728" s="11"/>
      <c r="I728" s="12"/>
      <c r="J728" s="11">
        <v>4700</v>
      </c>
      <c r="K728" s="12" t="s">
        <v>12</v>
      </c>
    </row>
    <row r="729" spans="1:11" x14ac:dyDescent="0.25">
      <c r="A729" s="1">
        <v>728</v>
      </c>
      <c r="B729" s="7" t="s">
        <v>20</v>
      </c>
      <c r="C729" s="8">
        <v>45938</v>
      </c>
      <c r="D729" s="9"/>
      <c r="E729" s="10"/>
      <c r="F729" s="11"/>
      <c r="G729" s="12"/>
      <c r="H729" s="11"/>
      <c r="I729" s="12"/>
      <c r="J729" s="11"/>
      <c r="K729" s="12"/>
    </row>
    <row r="730" spans="1:11" x14ac:dyDescent="0.25">
      <c r="A730" s="1">
        <v>729</v>
      </c>
      <c r="B730" s="7" t="s">
        <v>14</v>
      </c>
      <c r="C730" s="8">
        <v>45939</v>
      </c>
      <c r="D730" s="9">
        <v>3650</v>
      </c>
      <c r="E730" s="12" t="s">
        <v>12</v>
      </c>
      <c r="F730" s="11">
        <v>1400</v>
      </c>
      <c r="G730" s="12" t="s">
        <v>12</v>
      </c>
      <c r="H730" s="11">
        <v>4250</v>
      </c>
      <c r="I730" s="12" t="s">
        <v>12</v>
      </c>
      <c r="J730" s="11">
        <v>4150</v>
      </c>
      <c r="K730" s="12" t="s">
        <v>12</v>
      </c>
    </row>
    <row r="731" spans="1:11" x14ac:dyDescent="0.25">
      <c r="A731" s="1">
        <v>730</v>
      </c>
      <c r="B731" s="7" t="s">
        <v>14</v>
      </c>
      <c r="C731" s="8">
        <v>45939</v>
      </c>
      <c r="D731" s="9">
        <v>1390</v>
      </c>
      <c r="E731" s="10" t="s">
        <v>22</v>
      </c>
      <c r="F731" s="11">
        <v>500</v>
      </c>
      <c r="G731" s="10" t="s">
        <v>22</v>
      </c>
      <c r="H731" s="11">
        <v>70</v>
      </c>
      <c r="I731" s="10" t="s">
        <v>22</v>
      </c>
      <c r="J731" s="11">
        <v>210</v>
      </c>
      <c r="K731" s="10" t="s">
        <v>22</v>
      </c>
    </row>
    <row r="732" spans="1:11" x14ac:dyDescent="0.25">
      <c r="A732" s="1">
        <v>731</v>
      </c>
      <c r="B732" s="7" t="s">
        <v>14</v>
      </c>
      <c r="C732" s="8">
        <v>45939</v>
      </c>
      <c r="D732" s="9">
        <v>600</v>
      </c>
      <c r="E732" s="12" t="s">
        <v>21</v>
      </c>
      <c r="F732" s="11">
        <v>90</v>
      </c>
      <c r="G732" s="12" t="s">
        <v>21</v>
      </c>
      <c r="H732" s="11"/>
      <c r="I732" s="12"/>
      <c r="J732" s="11">
        <v>40</v>
      </c>
      <c r="K732" s="12" t="s">
        <v>21</v>
      </c>
    </row>
    <row r="733" spans="1:11" x14ac:dyDescent="0.25">
      <c r="A733" s="1">
        <v>732</v>
      </c>
      <c r="B733" s="7" t="s">
        <v>15</v>
      </c>
      <c r="C733" s="8">
        <v>45940</v>
      </c>
      <c r="D733" s="9"/>
      <c r="E733" s="10"/>
      <c r="F733" s="11"/>
      <c r="G733" s="12"/>
      <c r="H733" s="11"/>
      <c r="I733" s="12"/>
      <c r="J733" s="11"/>
      <c r="K733" s="12"/>
    </row>
    <row r="734" spans="1:11" x14ac:dyDescent="0.25">
      <c r="A734" s="1">
        <v>733</v>
      </c>
      <c r="B734" s="7" t="s">
        <v>16</v>
      </c>
      <c r="C734" s="8">
        <v>45941</v>
      </c>
      <c r="D734" s="9"/>
      <c r="E734" s="10"/>
      <c r="F734" s="11"/>
      <c r="G734" s="12"/>
      <c r="H734" s="11"/>
      <c r="I734" s="12"/>
      <c r="J734" s="11"/>
      <c r="K734" s="12"/>
    </row>
    <row r="735" spans="1:11" x14ac:dyDescent="0.25">
      <c r="A735" s="1">
        <v>734</v>
      </c>
      <c r="B735" s="7" t="s">
        <v>17</v>
      </c>
      <c r="C735" s="8">
        <v>45942</v>
      </c>
      <c r="D735" s="9"/>
      <c r="E735" s="10"/>
      <c r="F735" s="11"/>
      <c r="G735" s="12"/>
      <c r="H735" s="11"/>
      <c r="I735" s="12"/>
      <c r="J735" s="11"/>
      <c r="K735" s="12"/>
    </row>
    <row r="736" spans="1:11" x14ac:dyDescent="0.25">
      <c r="A736" s="1">
        <v>735</v>
      </c>
      <c r="B736" s="7" t="s">
        <v>18</v>
      </c>
      <c r="C736" s="8">
        <v>45943</v>
      </c>
      <c r="D736" s="9"/>
      <c r="E736" s="10"/>
      <c r="F736" s="11"/>
      <c r="G736" s="12"/>
      <c r="H736" s="11"/>
      <c r="I736" s="12"/>
      <c r="J736" s="11"/>
      <c r="K736" s="12"/>
    </row>
    <row r="737" spans="1:11" x14ac:dyDescent="0.25">
      <c r="A737" s="1">
        <v>736</v>
      </c>
      <c r="B737" s="7" t="s">
        <v>19</v>
      </c>
      <c r="C737" s="8">
        <v>45944</v>
      </c>
      <c r="D737" s="9">
        <v>3700</v>
      </c>
      <c r="E737" s="12" t="s">
        <v>12</v>
      </c>
      <c r="F737" s="11">
        <v>3400</v>
      </c>
      <c r="G737" s="12" t="s">
        <v>12</v>
      </c>
      <c r="H737" s="11"/>
      <c r="I737" s="12"/>
      <c r="J737" s="11">
        <v>4200</v>
      </c>
      <c r="K737" s="12" t="s">
        <v>12</v>
      </c>
    </row>
    <row r="738" spans="1:11" x14ac:dyDescent="0.25">
      <c r="A738" s="1">
        <v>737</v>
      </c>
      <c r="B738" s="7" t="s">
        <v>20</v>
      </c>
      <c r="C738" s="8">
        <v>45945</v>
      </c>
      <c r="D738" s="9"/>
      <c r="E738" s="10"/>
      <c r="F738" s="11"/>
      <c r="G738" s="12"/>
      <c r="H738" s="11"/>
      <c r="I738" s="12"/>
      <c r="J738" s="11"/>
      <c r="K738" s="12"/>
    </row>
    <row r="739" spans="1:11" x14ac:dyDescent="0.25">
      <c r="A739" s="1">
        <v>738</v>
      </c>
      <c r="B739" s="7" t="s">
        <v>14</v>
      </c>
      <c r="C739" s="8">
        <v>45946</v>
      </c>
      <c r="D739" s="9">
        <v>3300</v>
      </c>
      <c r="E739" s="12" t="s">
        <v>12</v>
      </c>
      <c r="F739" s="11">
        <v>2900</v>
      </c>
      <c r="G739" s="12" t="s">
        <v>12</v>
      </c>
      <c r="H739" s="11">
        <v>4300</v>
      </c>
      <c r="I739" s="12" t="s">
        <v>12</v>
      </c>
      <c r="J739" s="11">
        <v>3700</v>
      </c>
      <c r="K739" s="12" t="s">
        <v>12</v>
      </c>
    </row>
    <row r="740" spans="1:11" x14ac:dyDescent="0.25">
      <c r="A740" s="1">
        <v>739</v>
      </c>
      <c r="B740" s="7" t="s">
        <v>14</v>
      </c>
      <c r="C740" s="8">
        <v>45946</v>
      </c>
      <c r="D740" s="9">
        <v>1400</v>
      </c>
      <c r="E740" s="10" t="s">
        <v>22</v>
      </c>
      <c r="F740" s="11">
        <v>1200</v>
      </c>
      <c r="G740" s="10" t="s">
        <v>22</v>
      </c>
      <c r="H740" s="11">
        <v>300</v>
      </c>
      <c r="I740" s="10" t="s">
        <v>22</v>
      </c>
      <c r="J740" s="11">
        <v>200</v>
      </c>
      <c r="K740" s="10" t="s">
        <v>22</v>
      </c>
    </row>
    <row r="741" spans="1:11" x14ac:dyDescent="0.25">
      <c r="A741" s="1">
        <v>739</v>
      </c>
      <c r="B741" s="7" t="s">
        <v>14</v>
      </c>
      <c r="C741" s="8">
        <v>45946</v>
      </c>
      <c r="D741" s="9">
        <v>400</v>
      </c>
      <c r="E741" s="12" t="s">
        <v>21</v>
      </c>
      <c r="F741" s="11">
        <v>200</v>
      </c>
      <c r="G741" s="12" t="s">
        <v>21</v>
      </c>
      <c r="H741" s="11">
        <v>30</v>
      </c>
      <c r="I741" s="12" t="s">
        <v>21</v>
      </c>
      <c r="J741" s="11">
        <v>50</v>
      </c>
      <c r="K741" s="12" t="s">
        <v>21</v>
      </c>
    </row>
    <row r="742" spans="1:11" x14ac:dyDescent="0.25">
      <c r="A742" s="1">
        <v>741</v>
      </c>
      <c r="B742" s="7" t="s">
        <v>15</v>
      </c>
      <c r="C742" s="8">
        <v>45947</v>
      </c>
      <c r="D742" s="9"/>
      <c r="E742" s="10"/>
      <c r="F742" s="11"/>
      <c r="G742" s="12"/>
      <c r="H742" s="11"/>
      <c r="I742" s="12"/>
      <c r="J742" s="11"/>
      <c r="K742" s="12"/>
    </row>
    <row r="743" spans="1:11" x14ac:dyDescent="0.25">
      <c r="A743" s="1">
        <v>742</v>
      </c>
      <c r="B743" s="7" t="s">
        <v>16</v>
      </c>
      <c r="C743" s="8">
        <v>45948</v>
      </c>
      <c r="D743" s="9"/>
      <c r="E743" s="10"/>
      <c r="F743" s="11"/>
      <c r="G743" s="12"/>
      <c r="H743" s="11"/>
      <c r="I743" s="12"/>
      <c r="J743" s="11"/>
      <c r="K743" s="12"/>
    </row>
    <row r="744" spans="1:11" x14ac:dyDescent="0.25">
      <c r="A744" s="1">
        <v>743</v>
      </c>
      <c r="B744" s="7" t="s">
        <v>17</v>
      </c>
      <c r="C744" s="8">
        <v>45949</v>
      </c>
      <c r="D744" s="9"/>
      <c r="E744" s="10"/>
      <c r="F744" s="11"/>
      <c r="G744" s="12"/>
      <c r="H744" s="11"/>
      <c r="I744" s="12"/>
      <c r="J744" s="11"/>
      <c r="K744" s="12"/>
    </row>
    <row r="745" spans="1:11" x14ac:dyDescent="0.25">
      <c r="A745" s="1">
        <v>744</v>
      </c>
      <c r="B745" s="7" t="s">
        <v>18</v>
      </c>
      <c r="C745" s="8">
        <v>45950</v>
      </c>
      <c r="D745" s="9"/>
      <c r="E745" s="10"/>
      <c r="F745" s="11"/>
      <c r="G745" s="12"/>
      <c r="H745" s="11"/>
      <c r="I745" s="12"/>
      <c r="J745" s="11"/>
      <c r="K745" s="12"/>
    </row>
    <row r="746" spans="1:11" x14ac:dyDescent="0.25">
      <c r="A746" s="1">
        <v>745</v>
      </c>
      <c r="B746" s="7" t="s">
        <v>19</v>
      </c>
      <c r="C746" s="8">
        <v>45951</v>
      </c>
      <c r="D746" s="9">
        <v>5200</v>
      </c>
      <c r="E746" s="12" t="s">
        <v>12</v>
      </c>
      <c r="F746" s="11">
        <v>3000</v>
      </c>
      <c r="G746" s="12" t="s">
        <v>12</v>
      </c>
      <c r="H746" s="11"/>
      <c r="I746" s="12"/>
      <c r="J746" s="11">
        <v>4500</v>
      </c>
      <c r="K746" s="12" t="s">
        <v>12</v>
      </c>
    </row>
    <row r="747" spans="1:11" x14ac:dyDescent="0.25">
      <c r="A747" s="1">
        <v>746</v>
      </c>
      <c r="B747" s="7" t="s">
        <v>20</v>
      </c>
      <c r="C747" s="8">
        <v>45952</v>
      </c>
      <c r="D747" s="9"/>
      <c r="E747" s="10"/>
      <c r="F747" s="11"/>
      <c r="G747" s="12"/>
      <c r="H747" s="11"/>
      <c r="I747" s="12"/>
      <c r="J747" s="11"/>
      <c r="K747" s="12"/>
    </row>
    <row r="748" spans="1:11" x14ac:dyDescent="0.25">
      <c r="A748" s="1">
        <v>747</v>
      </c>
      <c r="B748" s="7" t="s">
        <v>14</v>
      </c>
      <c r="C748" s="8">
        <v>45953</v>
      </c>
      <c r="D748" s="9">
        <v>4700</v>
      </c>
      <c r="E748" s="12" t="s">
        <v>12</v>
      </c>
      <c r="F748" s="11"/>
      <c r="G748" s="12"/>
      <c r="H748" s="11">
        <v>4200</v>
      </c>
      <c r="I748" s="12" t="s">
        <v>12</v>
      </c>
      <c r="J748" s="11">
        <v>4100</v>
      </c>
      <c r="K748" s="12" t="s">
        <v>12</v>
      </c>
    </row>
    <row r="749" spans="1:11" x14ac:dyDescent="0.25">
      <c r="A749" s="1">
        <v>748</v>
      </c>
      <c r="B749" s="7" t="s">
        <v>14</v>
      </c>
      <c r="C749" s="8">
        <v>45953</v>
      </c>
      <c r="D749" s="9">
        <v>1500</v>
      </c>
      <c r="E749" s="10" t="s">
        <v>22</v>
      </c>
      <c r="F749" s="11">
        <v>1300</v>
      </c>
      <c r="G749" s="10" t="s">
        <v>22</v>
      </c>
      <c r="H749" s="11">
        <v>100</v>
      </c>
      <c r="I749" s="10" t="s">
        <v>22</v>
      </c>
      <c r="J749" s="11">
        <v>600</v>
      </c>
      <c r="K749" s="10" t="s">
        <v>22</v>
      </c>
    </row>
    <row r="750" spans="1:11" x14ac:dyDescent="0.25">
      <c r="A750" s="1">
        <v>749</v>
      </c>
      <c r="B750" s="7" t="s">
        <v>14</v>
      </c>
      <c r="C750" s="8">
        <v>45953</v>
      </c>
      <c r="D750" s="9">
        <v>300</v>
      </c>
      <c r="E750" s="12" t="s">
        <v>21</v>
      </c>
      <c r="F750" s="11">
        <v>100</v>
      </c>
      <c r="G750" s="12" t="s">
        <v>21</v>
      </c>
      <c r="H750" s="11"/>
      <c r="I750" s="12"/>
      <c r="J750" s="11">
        <v>20</v>
      </c>
      <c r="K750" s="12" t="s">
        <v>21</v>
      </c>
    </row>
    <row r="751" spans="1:11" x14ac:dyDescent="0.25">
      <c r="A751" s="1">
        <v>750</v>
      </c>
      <c r="B751" s="7" t="s">
        <v>15</v>
      </c>
      <c r="C751" s="8">
        <v>45954</v>
      </c>
      <c r="D751" s="9"/>
      <c r="E751" s="10"/>
      <c r="F751" s="11"/>
      <c r="G751" s="12"/>
      <c r="H751" s="11"/>
      <c r="I751" s="12"/>
      <c r="J751" s="11"/>
      <c r="K751" s="12"/>
    </row>
    <row r="752" spans="1:11" x14ac:dyDescent="0.25">
      <c r="A752" s="1">
        <v>751</v>
      </c>
      <c r="B752" s="7" t="s">
        <v>16</v>
      </c>
      <c r="C752" s="8">
        <v>45955</v>
      </c>
      <c r="D752" s="9"/>
      <c r="E752" s="10"/>
      <c r="F752" s="11"/>
      <c r="G752" s="12"/>
      <c r="H752" s="11"/>
      <c r="I752" s="12"/>
      <c r="J752" s="11"/>
      <c r="K752" s="12"/>
    </row>
    <row r="753" spans="1:11" x14ac:dyDescent="0.25">
      <c r="A753" s="1">
        <v>752</v>
      </c>
      <c r="B753" s="7" t="s">
        <v>17</v>
      </c>
      <c r="C753" s="8">
        <v>45956</v>
      </c>
      <c r="D753" s="9"/>
      <c r="E753" s="10"/>
      <c r="F753" s="11"/>
      <c r="G753" s="12"/>
      <c r="H753" s="11"/>
      <c r="I753" s="12"/>
      <c r="J753" s="11"/>
      <c r="K753" s="12"/>
    </row>
    <row r="754" spans="1:11" x14ac:dyDescent="0.25">
      <c r="A754" s="1">
        <v>753</v>
      </c>
      <c r="B754" s="7" t="s">
        <v>18</v>
      </c>
      <c r="C754" s="8">
        <v>45957</v>
      </c>
      <c r="D754" s="9"/>
      <c r="E754" s="10"/>
      <c r="F754" s="11"/>
      <c r="G754" s="12"/>
      <c r="H754" s="11"/>
      <c r="I754" s="12"/>
      <c r="J754" s="11"/>
      <c r="K754" s="12"/>
    </row>
    <row r="755" spans="1:11" x14ac:dyDescent="0.25">
      <c r="A755" s="1">
        <v>754</v>
      </c>
      <c r="B755" s="7" t="s">
        <v>19</v>
      </c>
      <c r="C755" s="8">
        <v>45958</v>
      </c>
      <c r="D755" s="9">
        <v>3900</v>
      </c>
      <c r="E755" s="12" t="s">
        <v>12</v>
      </c>
      <c r="F755" s="11">
        <v>2800</v>
      </c>
      <c r="G755" s="12" t="s">
        <v>12</v>
      </c>
      <c r="H755" s="11"/>
      <c r="I755" s="12"/>
      <c r="J755" s="11">
        <v>3900</v>
      </c>
      <c r="K755" s="12" t="s">
        <v>12</v>
      </c>
    </row>
    <row r="756" spans="1:11" x14ac:dyDescent="0.25">
      <c r="A756" s="1">
        <v>755</v>
      </c>
      <c r="B756" s="7" t="s">
        <v>20</v>
      </c>
      <c r="C756" s="8">
        <v>45959</v>
      </c>
      <c r="D756" s="9"/>
      <c r="E756" s="10"/>
      <c r="F756" s="11"/>
      <c r="G756" s="12"/>
      <c r="H756" s="11"/>
      <c r="I756" s="12"/>
      <c r="J756" s="11"/>
      <c r="K756" s="12"/>
    </row>
    <row r="757" spans="1:11" x14ac:dyDescent="0.25">
      <c r="A757" s="1">
        <v>756</v>
      </c>
      <c r="B757" s="7" t="s">
        <v>14</v>
      </c>
      <c r="C757" s="8">
        <v>45960</v>
      </c>
      <c r="D757" s="9">
        <v>3200</v>
      </c>
      <c r="E757" s="12" t="s">
        <v>12</v>
      </c>
      <c r="F757" s="11">
        <v>2200</v>
      </c>
      <c r="G757" s="12" t="s">
        <v>12</v>
      </c>
      <c r="H757" s="11">
        <v>5300</v>
      </c>
      <c r="I757" s="12" t="s">
        <v>12</v>
      </c>
      <c r="J757" s="11">
        <v>3200</v>
      </c>
      <c r="K757" s="12" t="s">
        <v>12</v>
      </c>
    </row>
    <row r="758" spans="1:11" x14ac:dyDescent="0.25">
      <c r="A758" s="1">
        <v>757</v>
      </c>
      <c r="B758" s="7" t="s">
        <v>14</v>
      </c>
      <c r="C758" s="8">
        <v>45960</v>
      </c>
      <c r="D758" s="9">
        <v>1300</v>
      </c>
      <c r="E758" s="10" t="s">
        <v>22</v>
      </c>
      <c r="F758" s="11">
        <v>1000</v>
      </c>
      <c r="G758" s="10" t="s">
        <v>22</v>
      </c>
      <c r="H758" s="11">
        <v>100</v>
      </c>
      <c r="I758" s="10" t="s">
        <v>22</v>
      </c>
      <c r="J758" s="11">
        <v>400</v>
      </c>
      <c r="K758" s="10" t="s">
        <v>22</v>
      </c>
    </row>
    <row r="759" spans="1:11" x14ac:dyDescent="0.25">
      <c r="A759" s="1">
        <v>758</v>
      </c>
      <c r="B759" s="7" t="s">
        <v>14</v>
      </c>
      <c r="C759" s="8">
        <v>45960</v>
      </c>
      <c r="D759" s="9">
        <v>300</v>
      </c>
      <c r="E759" s="12" t="s">
        <v>21</v>
      </c>
      <c r="F759" s="11">
        <v>400</v>
      </c>
      <c r="G759" s="12" t="s">
        <v>21</v>
      </c>
      <c r="H759" s="11"/>
      <c r="I759" s="12"/>
      <c r="J759" s="11"/>
      <c r="K759" s="12"/>
    </row>
    <row r="760" spans="1:11" x14ac:dyDescent="0.25">
      <c r="A760" s="1">
        <v>759</v>
      </c>
      <c r="B760" s="7" t="s">
        <v>15</v>
      </c>
      <c r="C760" s="8">
        <v>45961</v>
      </c>
      <c r="D760" s="9"/>
      <c r="E760" s="10"/>
      <c r="F760" s="11"/>
      <c r="G760" s="12"/>
      <c r="H760" s="11"/>
      <c r="I760" s="12"/>
      <c r="J760" s="11"/>
      <c r="K760" s="12"/>
    </row>
    <row r="761" spans="1:11" x14ac:dyDescent="0.25">
      <c r="A761" s="1">
        <v>760</v>
      </c>
      <c r="B761" s="7" t="s">
        <v>16</v>
      </c>
      <c r="C761" s="8">
        <v>45962</v>
      </c>
      <c r="D761" s="9"/>
      <c r="E761" s="10"/>
      <c r="F761" s="11"/>
      <c r="G761" s="12"/>
      <c r="H761" s="11"/>
      <c r="I761" s="12"/>
      <c r="J761" s="11"/>
      <c r="K761" s="12"/>
    </row>
    <row r="762" spans="1:11" x14ac:dyDescent="0.25">
      <c r="A762" s="1">
        <v>761</v>
      </c>
      <c r="B762" s="7" t="s">
        <v>17</v>
      </c>
      <c r="C762" s="8">
        <v>45963</v>
      </c>
      <c r="D762" s="9"/>
      <c r="E762" s="10"/>
      <c r="F762" s="11"/>
      <c r="G762" s="12"/>
      <c r="H762" s="11"/>
      <c r="I762" s="12"/>
      <c r="J762" s="11"/>
      <c r="K762" s="12"/>
    </row>
    <row r="763" spans="1:11" x14ac:dyDescent="0.25">
      <c r="A763" s="1">
        <v>762</v>
      </c>
      <c r="B763" s="7" t="s">
        <v>18</v>
      </c>
      <c r="C763" s="8">
        <v>45964</v>
      </c>
      <c r="D763" s="9"/>
      <c r="E763" s="10"/>
      <c r="F763" s="11"/>
      <c r="G763" s="12"/>
      <c r="H763" s="11"/>
      <c r="I763" s="12"/>
      <c r="J763" s="11"/>
      <c r="K763" s="12"/>
    </row>
    <row r="764" spans="1:11" x14ac:dyDescent="0.25">
      <c r="A764" s="1">
        <v>763</v>
      </c>
      <c r="B764" s="7" t="s">
        <v>19</v>
      </c>
      <c r="C764" s="8">
        <v>45965</v>
      </c>
      <c r="D764" s="9">
        <v>3200</v>
      </c>
      <c r="E764" s="12" t="s">
        <v>12</v>
      </c>
      <c r="F764" s="11">
        <v>4000</v>
      </c>
      <c r="G764" s="12" t="s">
        <v>12</v>
      </c>
      <c r="H764" s="11"/>
      <c r="I764" s="12"/>
      <c r="J764" s="11">
        <v>4800</v>
      </c>
      <c r="K764" s="12" t="s">
        <v>12</v>
      </c>
    </row>
    <row r="765" spans="1:11" x14ac:dyDescent="0.25">
      <c r="A765" s="1">
        <v>764</v>
      </c>
      <c r="B765" s="7" t="s">
        <v>20</v>
      </c>
      <c r="C765" s="8">
        <v>45966</v>
      </c>
      <c r="D765" s="9"/>
      <c r="E765" s="10"/>
      <c r="F765" s="11"/>
      <c r="G765" s="12"/>
      <c r="H765" s="11"/>
      <c r="I765" s="12"/>
      <c r="J765" s="11"/>
      <c r="K765" s="12"/>
    </row>
    <row r="766" spans="1:11" x14ac:dyDescent="0.25">
      <c r="A766" s="1">
        <v>765</v>
      </c>
      <c r="B766" s="7" t="s">
        <v>14</v>
      </c>
      <c r="C766" s="8">
        <v>45967</v>
      </c>
      <c r="D766" s="9">
        <v>2700</v>
      </c>
      <c r="E766" s="12" t="s">
        <v>12</v>
      </c>
      <c r="F766" s="11">
        <v>3300</v>
      </c>
      <c r="G766" s="12" t="s">
        <v>12</v>
      </c>
      <c r="H766" s="11">
        <v>3700</v>
      </c>
      <c r="I766" s="12" t="s">
        <v>12</v>
      </c>
      <c r="J766" s="11">
        <v>4100</v>
      </c>
      <c r="K766" s="12" t="s">
        <v>12</v>
      </c>
    </row>
    <row r="767" spans="1:11" x14ac:dyDescent="0.25">
      <c r="A767" s="1">
        <v>766</v>
      </c>
      <c r="B767" s="7" t="s">
        <v>14</v>
      </c>
      <c r="C767" s="8">
        <v>45967</v>
      </c>
      <c r="D767" s="9">
        <v>2100</v>
      </c>
      <c r="E767" s="10" t="s">
        <v>22</v>
      </c>
      <c r="F767" s="11">
        <v>800</v>
      </c>
      <c r="G767" s="10" t="s">
        <v>22</v>
      </c>
      <c r="H767" s="11">
        <v>200</v>
      </c>
      <c r="I767" s="10" t="s">
        <v>22</v>
      </c>
      <c r="J767" s="11">
        <v>200</v>
      </c>
      <c r="K767" s="10" t="s">
        <v>22</v>
      </c>
    </row>
    <row r="768" spans="1:11" x14ac:dyDescent="0.25">
      <c r="A768" s="1">
        <v>767</v>
      </c>
      <c r="B768" s="7" t="s">
        <v>14</v>
      </c>
      <c r="C768" s="8">
        <v>45967</v>
      </c>
      <c r="D768" s="9">
        <v>500</v>
      </c>
      <c r="E768" s="12" t="s">
        <v>21</v>
      </c>
      <c r="F768" s="11">
        <v>100</v>
      </c>
      <c r="G768" s="12" t="s">
        <v>21</v>
      </c>
      <c r="H768" s="11">
        <v>10</v>
      </c>
      <c r="I768" s="12" t="s">
        <v>21</v>
      </c>
      <c r="J768" s="11"/>
      <c r="K768" s="12"/>
    </row>
    <row r="769" spans="1:11" x14ac:dyDescent="0.25">
      <c r="A769" s="1">
        <v>768</v>
      </c>
      <c r="B769" s="7" t="s">
        <v>15</v>
      </c>
      <c r="C769" s="8">
        <v>45968</v>
      </c>
      <c r="D769" s="9"/>
      <c r="E769" s="10"/>
      <c r="F769" s="11"/>
      <c r="G769" s="12"/>
      <c r="H769" s="11"/>
      <c r="I769" s="12"/>
      <c r="J769" s="11"/>
      <c r="K769" s="12"/>
    </row>
    <row r="770" spans="1:11" x14ac:dyDescent="0.25">
      <c r="A770" s="1">
        <v>769</v>
      </c>
      <c r="B770" s="7" t="s">
        <v>16</v>
      </c>
      <c r="C770" s="8">
        <v>45969</v>
      </c>
      <c r="D770" s="9"/>
      <c r="E770" s="10"/>
      <c r="F770" s="11"/>
      <c r="G770" s="12"/>
      <c r="H770" s="11"/>
      <c r="I770" s="12"/>
      <c r="J770" s="11"/>
      <c r="K770" s="12"/>
    </row>
    <row r="771" spans="1:11" x14ac:dyDescent="0.25">
      <c r="A771" s="1">
        <v>770</v>
      </c>
      <c r="B771" s="7" t="s">
        <v>17</v>
      </c>
      <c r="C771" s="8">
        <v>45970</v>
      </c>
      <c r="D771" s="9"/>
      <c r="E771" s="10"/>
      <c r="F771" s="11"/>
      <c r="G771" s="12"/>
      <c r="H771" s="11"/>
      <c r="I771" s="12"/>
      <c r="J771" s="11"/>
      <c r="K771" s="12"/>
    </row>
    <row r="772" spans="1:11" x14ac:dyDescent="0.25">
      <c r="A772" s="1">
        <v>771</v>
      </c>
      <c r="B772" s="7" t="s">
        <v>18</v>
      </c>
      <c r="C772" s="8">
        <v>45971</v>
      </c>
      <c r="D772" s="9"/>
      <c r="E772" s="10"/>
      <c r="F772" s="11"/>
      <c r="G772" s="12"/>
      <c r="H772" s="11"/>
      <c r="I772" s="12"/>
      <c r="J772" s="11"/>
      <c r="K772" s="12"/>
    </row>
    <row r="773" spans="1:11" x14ac:dyDescent="0.25">
      <c r="A773" s="1">
        <v>772</v>
      </c>
      <c r="B773" s="7" t="s">
        <v>19</v>
      </c>
      <c r="C773" s="8">
        <v>45972</v>
      </c>
      <c r="D773" s="9">
        <v>3400</v>
      </c>
      <c r="E773" s="12" t="s">
        <v>12</v>
      </c>
      <c r="F773" s="11">
        <v>1500</v>
      </c>
      <c r="G773" s="12" t="s">
        <v>12</v>
      </c>
      <c r="H773" s="11">
        <v>2200</v>
      </c>
      <c r="I773" s="12" t="s">
        <v>12</v>
      </c>
      <c r="J773" s="11">
        <v>5000</v>
      </c>
      <c r="K773" s="12" t="s">
        <v>12</v>
      </c>
    </row>
    <row r="774" spans="1:11" x14ac:dyDescent="0.25">
      <c r="A774" s="1">
        <v>773</v>
      </c>
      <c r="B774" s="7" t="s">
        <v>20</v>
      </c>
      <c r="C774" s="8">
        <v>45973</v>
      </c>
      <c r="D774" s="9"/>
      <c r="E774" s="10"/>
      <c r="F774" s="11"/>
      <c r="G774" s="12"/>
      <c r="H774" s="11"/>
      <c r="I774" s="12"/>
      <c r="J774" s="11"/>
      <c r="K774" s="12"/>
    </row>
    <row r="775" spans="1:11" x14ac:dyDescent="0.25">
      <c r="A775" s="1">
        <v>774</v>
      </c>
      <c r="B775" s="7" t="s">
        <v>14</v>
      </c>
      <c r="C775" s="8">
        <v>45974</v>
      </c>
      <c r="D775" s="9">
        <v>3800</v>
      </c>
      <c r="E775" s="12" t="s">
        <v>12</v>
      </c>
      <c r="F775" s="11">
        <v>1700</v>
      </c>
      <c r="G775" s="12" t="s">
        <v>12</v>
      </c>
      <c r="H775" s="11">
        <v>2300</v>
      </c>
      <c r="I775" s="12" t="s">
        <v>12</v>
      </c>
      <c r="J775" s="11">
        <v>5400</v>
      </c>
      <c r="K775" s="12" t="s">
        <v>12</v>
      </c>
    </row>
    <row r="776" spans="1:11" x14ac:dyDescent="0.25">
      <c r="A776" s="1">
        <v>775</v>
      </c>
      <c r="B776" s="7" t="s">
        <v>14</v>
      </c>
      <c r="C776" s="8">
        <v>45974</v>
      </c>
      <c r="D776" s="9">
        <v>900</v>
      </c>
      <c r="E776" s="10" t="s">
        <v>22</v>
      </c>
      <c r="F776" s="11">
        <v>100</v>
      </c>
      <c r="G776" s="10" t="s">
        <v>22</v>
      </c>
      <c r="H776" s="11">
        <v>100</v>
      </c>
      <c r="I776" s="10" t="s">
        <v>22</v>
      </c>
      <c r="J776" s="11">
        <v>500</v>
      </c>
      <c r="K776" s="10" t="s">
        <v>22</v>
      </c>
    </row>
    <row r="777" spans="1:11" x14ac:dyDescent="0.25">
      <c r="A777" s="1">
        <v>776</v>
      </c>
      <c r="B777" s="7" t="s">
        <v>14</v>
      </c>
      <c r="C777" s="8">
        <v>45974</v>
      </c>
      <c r="D777" s="9">
        <v>200</v>
      </c>
      <c r="E777" s="12" t="s">
        <v>21</v>
      </c>
      <c r="F777" s="11"/>
      <c r="G777" s="12"/>
      <c r="H777" s="11"/>
      <c r="I777" s="12"/>
      <c r="J777" s="11">
        <v>50</v>
      </c>
      <c r="K777" s="12" t="s">
        <v>21</v>
      </c>
    </row>
    <row r="778" spans="1:11" x14ac:dyDescent="0.25">
      <c r="A778" s="1">
        <v>777</v>
      </c>
      <c r="B778" s="7" t="s">
        <v>15</v>
      </c>
      <c r="C778" s="8">
        <v>45975</v>
      </c>
      <c r="D778" s="9"/>
      <c r="E778" s="10"/>
      <c r="F778" s="11"/>
      <c r="G778" s="12"/>
      <c r="H778" s="11"/>
      <c r="I778" s="12"/>
      <c r="J778" s="11"/>
      <c r="K778" s="12"/>
    </row>
    <row r="779" spans="1:11" x14ac:dyDescent="0.25">
      <c r="A779" s="1">
        <v>778</v>
      </c>
      <c r="B779" s="7" t="s">
        <v>16</v>
      </c>
      <c r="C779" s="8">
        <v>45976</v>
      </c>
      <c r="D779" s="9"/>
      <c r="E779" s="10"/>
      <c r="F779" s="11"/>
      <c r="G779" s="12"/>
      <c r="H779" s="11"/>
      <c r="I779" s="12"/>
      <c r="J779" s="11"/>
      <c r="K779" s="12"/>
    </row>
    <row r="780" spans="1:11" x14ac:dyDescent="0.25">
      <c r="A780" s="1">
        <v>779</v>
      </c>
      <c r="B780" s="7" t="s">
        <v>17</v>
      </c>
      <c r="C780" s="8">
        <v>45977</v>
      </c>
      <c r="D780" s="9"/>
      <c r="E780" s="10"/>
      <c r="F780" s="11"/>
      <c r="G780" s="12"/>
      <c r="H780" s="11"/>
      <c r="I780" s="12"/>
      <c r="J780" s="11"/>
      <c r="K780" s="12"/>
    </row>
    <row r="781" spans="1:11" x14ac:dyDescent="0.25">
      <c r="A781" s="1">
        <v>780</v>
      </c>
      <c r="B781" s="7" t="s">
        <v>18</v>
      </c>
      <c r="C781" s="8">
        <v>45978</v>
      </c>
      <c r="D781" s="9"/>
      <c r="E781" s="10"/>
      <c r="F781" s="11"/>
      <c r="G781" s="12"/>
      <c r="H781" s="11"/>
      <c r="I781" s="12"/>
      <c r="J781" s="11"/>
      <c r="K781" s="12"/>
    </row>
    <row r="782" spans="1:11" x14ac:dyDescent="0.25">
      <c r="A782" s="1">
        <v>781</v>
      </c>
      <c r="B782" s="7" t="s">
        <v>19</v>
      </c>
      <c r="C782" s="8">
        <v>45979</v>
      </c>
      <c r="D782" s="9">
        <v>2800</v>
      </c>
      <c r="E782" s="12" t="s">
        <v>12</v>
      </c>
      <c r="F782" s="11">
        <v>2000</v>
      </c>
      <c r="G782" s="12" t="s">
        <v>12</v>
      </c>
      <c r="H782" s="11">
        <v>1800</v>
      </c>
      <c r="I782" s="12" t="s">
        <v>12</v>
      </c>
      <c r="J782" s="11">
        <v>4500</v>
      </c>
      <c r="K782" s="12" t="s">
        <v>12</v>
      </c>
    </row>
    <row r="783" spans="1:11" x14ac:dyDescent="0.25">
      <c r="A783" s="1">
        <v>782</v>
      </c>
      <c r="B783" s="7" t="s">
        <v>20</v>
      </c>
      <c r="C783" s="8">
        <v>45980</v>
      </c>
      <c r="D783" s="9"/>
      <c r="E783" s="10"/>
      <c r="F783" s="11"/>
      <c r="G783" s="12"/>
      <c r="H783" s="11"/>
      <c r="I783" s="12"/>
      <c r="J783" s="11"/>
      <c r="K783" s="12"/>
    </row>
    <row r="784" spans="1:11" x14ac:dyDescent="0.25">
      <c r="A784" s="1">
        <v>783</v>
      </c>
      <c r="B784" s="7" t="s">
        <v>14</v>
      </c>
      <c r="C784" s="8">
        <v>45981</v>
      </c>
      <c r="D784" s="9">
        <v>1800</v>
      </c>
      <c r="E784" s="12" t="s">
        <v>12</v>
      </c>
      <c r="F784" s="11">
        <v>1300</v>
      </c>
      <c r="G784" s="12" t="s">
        <v>12</v>
      </c>
      <c r="H784" s="11">
        <v>1100</v>
      </c>
      <c r="I784" s="12" t="s">
        <v>12</v>
      </c>
      <c r="J784" s="11">
        <v>2700</v>
      </c>
      <c r="K784" s="12" t="s">
        <v>12</v>
      </c>
    </row>
    <row r="785" spans="1:11" x14ac:dyDescent="0.25">
      <c r="A785" s="1">
        <v>784</v>
      </c>
      <c r="B785" s="7" t="s">
        <v>14</v>
      </c>
      <c r="C785" s="8">
        <v>45981</v>
      </c>
      <c r="D785" s="9">
        <v>700</v>
      </c>
      <c r="E785" s="10" t="s">
        <v>22</v>
      </c>
      <c r="F785" s="11">
        <v>400</v>
      </c>
      <c r="G785" s="10" t="s">
        <v>22</v>
      </c>
      <c r="H785" s="11">
        <v>200</v>
      </c>
      <c r="I785" s="10" t="s">
        <v>22</v>
      </c>
      <c r="J785" s="11">
        <v>600</v>
      </c>
      <c r="K785" s="10" t="s">
        <v>22</v>
      </c>
    </row>
    <row r="786" spans="1:11" x14ac:dyDescent="0.25">
      <c r="A786" s="1">
        <v>785</v>
      </c>
      <c r="B786" s="7" t="s">
        <v>14</v>
      </c>
      <c r="C786" s="8">
        <v>45981</v>
      </c>
      <c r="D786" s="9">
        <v>300</v>
      </c>
      <c r="E786" s="12" t="s">
        <v>21</v>
      </c>
      <c r="F786" s="11">
        <v>200</v>
      </c>
      <c r="G786" s="12" t="s">
        <v>21</v>
      </c>
      <c r="H786" s="11"/>
      <c r="I786" s="12"/>
      <c r="J786" s="11">
        <v>40</v>
      </c>
      <c r="K786" s="12" t="s">
        <v>21</v>
      </c>
    </row>
    <row r="787" spans="1:11" x14ac:dyDescent="0.25">
      <c r="A787" s="1">
        <v>786</v>
      </c>
      <c r="B787" s="7" t="s">
        <v>15</v>
      </c>
      <c r="C787" s="8">
        <v>45982</v>
      </c>
      <c r="D787" s="9"/>
      <c r="E787" s="10"/>
      <c r="F787" s="11"/>
      <c r="G787" s="12"/>
      <c r="H787" s="11"/>
      <c r="I787" s="12"/>
      <c r="J787" s="11"/>
      <c r="K787" s="12"/>
    </row>
    <row r="788" spans="1:11" x14ac:dyDescent="0.25">
      <c r="A788" s="1">
        <v>787</v>
      </c>
      <c r="B788" s="7" t="s">
        <v>16</v>
      </c>
      <c r="C788" s="8">
        <v>45983</v>
      </c>
      <c r="D788" s="9"/>
      <c r="E788" s="10"/>
      <c r="F788" s="11"/>
      <c r="G788" s="12"/>
      <c r="H788" s="11"/>
      <c r="I788" s="12"/>
      <c r="J788" s="11"/>
      <c r="K788" s="12"/>
    </row>
    <row r="789" spans="1:11" x14ac:dyDescent="0.25">
      <c r="A789" s="1">
        <v>788</v>
      </c>
      <c r="B789" s="7" t="s">
        <v>17</v>
      </c>
      <c r="C789" s="8">
        <v>45984</v>
      </c>
      <c r="D789" s="9"/>
      <c r="E789" s="10"/>
      <c r="F789" s="11"/>
      <c r="G789" s="12"/>
      <c r="H789" s="11"/>
      <c r="I789" s="12"/>
      <c r="J789" s="11"/>
      <c r="K789" s="12"/>
    </row>
    <row r="790" spans="1:11" x14ac:dyDescent="0.25">
      <c r="A790" s="1">
        <v>789</v>
      </c>
      <c r="B790" s="7" t="s">
        <v>18</v>
      </c>
      <c r="C790" s="8">
        <v>45985</v>
      </c>
      <c r="D790" s="9"/>
      <c r="E790" s="10"/>
      <c r="F790" s="11"/>
      <c r="G790" s="12"/>
      <c r="H790" s="11"/>
      <c r="I790" s="12"/>
      <c r="J790" s="11"/>
      <c r="K790" s="12"/>
    </row>
    <row r="791" spans="1:11" x14ac:dyDescent="0.25">
      <c r="A791" s="1">
        <v>790</v>
      </c>
      <c r="B791" s="7" t="s">
        <v>19</v>
      </c>
      <c r="C791" s="8">
        <v>45986</v>
      </c>
      <c r="D791" s="9"/>
      <c r="E791" s="10"/>
      <c r="F791" s="11"/>
      <c r="G791" s="12"/>
      <c r="H791" s="11"/>
      <c r="I791" s="12"/>
      <c r="J791" s="11"/>
      <c r="K791" s="12"/>
    </row>
    <row r="792" spans="1:11" x14ac:dyDescent="0.25">
      <c r="A792" s="1">
        <v>791</v>
      </c>
      <c r="B792" s="7" t="s">
        <v>20</v>
      </c>
      <c r="C792" s="8">
        <v>45987</v>
      </c>
      <c r="D792" s="9">
        <v>4400</v>
      </c>
      <c r="E792" s="12" t="s">
        <v>12</v>
      </c>
      <c r="F792" s="11">
        <v>2400</v>
      </c>
      <c r="G792" s="12" t="s">
        <v>12</v>
      </c>
      <c r="H792" s="11">
        <v>2300</v>
      </c>
      <c r="I792" s="12" t="s">
        <v>12</v>
      </c>
      <c r="J792" s="11">
        <v>4300</v>
      </c>
      <c r="K792" s="12" t="s">
        <v>12</v>
      </c>
    </row>
    <row r="793" spans="1:11" x14ac:dyDescent="0.25">
      <c r="A793" s="1">
        <v>792</v>
      </c>
      <c r="B793" s="7" t="s">
        <v>14</v>
      </c>
      <c r="C793" s="8">
        <v>45988</v>
      </c>
      <c r="D793" s="9">
        <v>4300</v>
      </c>
      <c r="E793" s="12" t="s">
        <v>12</v>
      </c>
      <c r="F793" s="11">
        <v>2400</v>
      </c>
      <c r="G793" s="12" t="s">
        <v>12</v>
      </c>
      <c r="H793" s="11">
        <v>2300</v>
      </c>
      <c r="I793" s="12" t="s">
        <v>12</v>
      </c>
      <c r="J793" s="11">
        <v>4200</v>
      </c>
      <c r="K793" s="12" t="s">
        <v>12</v>
      </c>
    </row>
    <row r="794" spans="1:11" x14ac:dyDescent="0.25">
      <c r="A794" s="1">
        <v>793</v>
      </c>
      <c r="B794" s="7" t="s">
        <v>14</v>
      </c>
      <c r="C794" s="8">
        <v>45988</v>
      </c>
      <c r="D794" s="9">
        <v>1100</v>
      </c>
      <c r="E794" s="10" t="s">
        <v>22</v>
      </c>
      <c r="F794" s="11">
        <v>1300</v>
      </c>
      <c r="G794" s="10" t="s">
        <v>22</v>
      </c>
      <c r="H794" s="11">
        <v>300</v>
      </c>
      <c r="I794" s="10" t="s">
        <v>22</v>
      </c>
      <c r="J794" s="11">
        <v>500</v>
      </c>
      <c r="K794" s="10" t="s">
        <v>22</v>
      </c>
    </row>
    <row r="795" spans="1:11" x14ac:dyDescent="0.25">
      <c r="A795" s="1">
        <v>794</v>
      </c>
      <c r="B795" s="7" t="s">
        <v>14</v>
      </c>
      <c r="C795" s="8">
        <v>45988</v>
      </c>
      <c r="D795" s="9">
        <v>300</v>
      </c>
      <c r="E795" s="12" t="s">
        <v>21</v>
      </c>
      <c r="F795" s="11">
        <v>100</v>
      </c>
      <c r="G795" s="12" t="s">
        <v>21</v>
      </c>
      <c r="H795" s="11">
        <v>10</v>
      </c>
      <c r="I795" s="12" t="s">
        <v>21</v>
      </c>
      <c r="J795" s="11">
        <v>30</v>
      </c>
      <c r="K795" s="12" t="s">
        <v>21</v>
      </c>
    </row>
    <row r="796" spans="1:11" x14ac:dyDescent="0.25">
      <c r="A796" s="1">
        <v>795</v>
      </c>
      <c r="B796" s="7" t="s">
        <v>15</v>
      </c>
      <c r="C796" s="8">
        <v>45989</v>
      </c>
      <c r="D796" s="9"/>
      <c r="E796" s="10"/>
      <c r="F796" s="11"/>
      <c r="G796" s="12"/>
      <c r="H796" s="11"/>
      <c r="I796" s="12"/>
      <c r="J796" s="11"/>
      <c r="K796" s="12"/>
    </row>
    <row r="797" spans="1:11" x14ac:dyDescent="0.25">
      <c r="A797" s="1">
        <v>796</v>
      </c>
      <c r="B797" s="7" t="s">
        <v>16</v>
      </c>
      <c r="C797" s="8">
        <v>45990</v>
      </c>
      <c r="D797" s="9"/>
      <c r="E797" s="10"/>
      <c r="F797" s="11"/>
      <c r="G797" s="12"/>
      <c r="H797" s="11"/>
      <c r="I797" s="12"/>
      <c r="J797" s="11"/>
      <c r="K797" s="12"/>
    </row>
    <row r="798" spans="1:11" x14ac:dyDescent="0.25">
      <c r="A798" s="1">
        <v>797</v>
      </c>
      <c r="B798" s="7" t="s">
        <v>17</v>
      </c>
      <c r="C798" s="8">
        <v>45991</v>
      </c>
      <c r="D798" s="9"/>
      <c r="E798" s="10"/>
      <c r="F798" s="11"/>
      <c r="G798" s="12"/>
      <c r="H798" s="11"/>
      <c r="I798" s="12"/>
      <c r="J798" s="11"/>
      <c r="K798" s="12"/>
    </row>
    <row r="799" spans="1:11" x14ac:dyDescent="0.25">
      <c r="A799" s="1">
        <v>798</v>
      </c>
      <c r="B799" s="7" t="s">
        <v>18</v>
      </c>
      <c r="C799" s="8">
        <v>45992</v>
      </c>
      <c r="D799" s="9"/>
      <c r="E799" s="10"/>
      <c r="F799" s="11"/>
      <c r="G799" s="12"/>
      <c r="H799" s="11"/>
      <c r="I799" s="12"/>
      <c r="J799" s="11"/>
      <c r="K799" s="12"/>
    </row>
    <row r="800" spans="1:11" x14ac:dyDescent="0.25">
      <c r="A800" s="1">
        <v>799</v>
      </c>
      <c r="B800" s="7" t="s">
        <v>19</v>
      </c>
      <c r="C800" s="8">
        <v>45993</v>
      </c>
      <c r="D800" s="9"/>
      <c r="E800" s="10"/>
      <c r="F800" s="11"/>
      <c r="G800" s="12"/>
      <c r="H800" s="11"/>
      <c r="I800" s="12"/>
      <c r="J800" s="11"/>
      <c r="K800" s="12"/>
    </row>
    <row r="801" spans="1:11" x14ac:dyDescent="0.25">
      <c r="A801" s="1">
        <v>800</v>
      </c>
      <c r="B801" s="7" t="s">
        <v>20</v>
      </c>
      <c r="C801" s="8">
        <v>45994</v>
      </c>
      <c r="D801" s="9">
        <v>3200</v>
      </c>
      <c r="E801" s="12" t="s">
        <v>12</v>
      </c>
      <c r="F801" s="11">
        <v>1800</v>
      </c>
      <c r="G801" s="12" t="s">
        <v>12</v>
      </c>
      <c r="H801" s="11">
        <v>2800</v>
      </c>
      <c r="I801" s="12" t="s">
        <v>12</v>
      </c>
      <c r="J801" s="11">
        <v>3900</v>
      </c>
      <c r="K801" s="12" t="s">
        <v>12</v>
      </c>
    </row>
    <row r="802" spans="1:11" x14ac:dyDescent="0.25">
      <c r="A802" s="1">
        <v>801</v>
      </c>
      <c r="B802" s="7" t="s">
        <v>14</v>
      </c>
      <c r="C802" s="8">
        <v>45995</v>
      </c>
      <c r="D802" s="9">
        <v>2700</v>
      </c>
      <c r="E802" s="12" t="s">
        <v>12</v>
      </c>
      <c r="F802" s="11">
        <v>1500</v>
      </c>
      <c r="G802" s="12" t="s">
        <v>12</v>
      </c>
      <c r="H802" s="11">
        <v>2400</v>
      </c>
      <c r="I802" s="12" t="s">
        <v>12</v>
      </c>
      <c r="J802" s="11">
        <v>3200</v>
      </c>
      <c r="K802" s="12" t="s">
        <v>12</v>
      </c>
    </row>
    <row r="803" spans="1:11" x14ac:dyDescent="0.25">
      <c r="A803" s="1">
        <v>802</v>
      </c>
      <c r="B803" s="7" t="s">
        <v>15</v>
      </c>
      <c r="C803" s="8">
        <v>45996</v>
      </c>
      <c r="D803" s="9">
        <v>700</v>
      </c>
      <c r="E803" s="10" t="s">
        <v>22</v>
      </c>
      <c r="F803" s="11">
        <v>700</v>
      </c>
      <c r="G803" s="10" t="s">
        <v>22</v>
      </c>
      <c r="H803" s="11">
        <v>200</v>
      </c>
      <c r="I803" s="10" t="s">
        <v>22</v>
      </c>
      <c r="J803" s="11">
        <v>500</v>
      </c>
      <c r="K803" s="10" t="s">
        <v>22</v>
      </c>
    </row>
    <row r="804" spans="1:11" x14ac:dyDescent="0.25">
      <c r="A804" s="1">
        <v>803</v>
      </c>
      <c r="B804" s="7" t="s">
        <v>15</v>
      </c>
      <c r="C804" s="8">
        <v>45996</v>
      </c>
      <c r="D804" s="9">
        <v>200</v>
      </c>
      <c r="E804" s="12" t="s">
        <v>21</v>
      </c>
      <c r="F804" s="11">
        <v>100</v>
      </c>
      <c r="G804" s="12" t="s">
        <v>21</v>
      </c>
      <c r="H804" s="11">
        <v>10</v>
      </c>
      <c r="I804" s="12" t="s">
        <v>21</v>
      </c>
      <c r="J804" s="11">
        <v>40</v>
      </c>
      <c r="K804" s="12" t="s">
        <v>21</v>
      </c>
    </row>
    <row r="805" spans="1:11" x14ac:dyDescent="0.25">
      <c r="A805" s="1">
        <v>804</v>
      </c>
      <c r="B805" s="7" t="s">
        <v>16</v>
      </c>
      <c r="C805" s="8">
        <v>45997</v>
      </c>
      <c r="D805" s="9"/>
      <c r="E805" s="12"/>
      <c r="F805" s="11"/>
      <c r="G805" s="12"/>
      <c r="H805" s="11"/>
      <c r="I805" s="12"/>
      <c r="J805" s="11"/>
      <c r="K805" s="12"/>
    </row>
    <row r="806" spans="1:11" x14ac:dyDescent="0.25">
      <c r="A806" s="1">
        <v>805</v>
      </c>
      <c r="B806" s="7" t="s">
        <v>17</v>
      </c>
      <c r="C806" s="8">
        <v>45998</v>
      </c>
      <c r="D806" s="9"/>
      <c r="E806" s="10"/>
      <c r="F806" s="11"/>
      <c r="G806" s="12"/>
      <c r="H806" s="11"/>
      <c r="I806" s="12"/>
      <c r="J806" s="11"/>
      <c r="K806" s="12"/>
    </row>
    <row r="807" spans="1:11" x14ac:dyDescent="0.25">
      <c r="A807" s="1">
        <v>806</v>
      </c>
      <c r="B807" s="7" t="s">
        <v>18</v>
      </c>
      <c r="C807" s="8">
        <v>45999</v>
      </c>
      <c r="D807" s="9"/>
      <c r="E807" s="10"/>
      <c r="F807" s="11"/>
      <c r="G807" s="12"/>
      <c r="H807" s="11"/>
      <c r="I807" s="12"/>
      <c r="J807" s="11"/>
      <c r="K807" s="12"/>
    </row>
    <row r="808" spans="1:11" x14ac:dyDescent="0.25">
      <c r="A808" s="1">
        <v>807</v>
      </c>
      <c r="B808" s="7" t="s">
        <v>19</v>
      </c>
      <c r="C808" s="8">
        <v>46000</v>
      </c>
      <c r="D808" s="9"/>
      <c r="E808" s="10"/>
      <c r="F808" s="11"/>
      <c r="G808" s="12"/>
      <c r="H808" s="11"/>
      <c r="I808" s="12"/>
      <c r="J808" s="11"/>
      <c r="K808" s="12"/>
    </row>
    <row r="809" spans="1:11" x14ac:dyDescent="0.25">
      <c r="A809" s="1">
        <v>808</v>
      </c>
      <c r="B809" s="7" t="s">
        <v>20</v>
      </c>
      <c r="C809" s="8">
        <v>46001</v>
      </c>
      <c r="D809" s="9">
        <v>4000</v>
      </c>
      <c r="E809" s="12" t="s">
        <v>12</v>
      </c>
      <c r="F809" s="11">
        <v>3900</v>
      </c>
      <c r="G809" s="12" t="s">
        <v>12</v>
      </c>
      <c r="H809" s="11">
        <v>1900</v>
      </c>
      <c r="I809" s="12" t="s">
        <v>12</v>
      </c>
      <c r="J809" s="11">
        <v>3700</v>
      </c>
      <c r="K809" s="12" t="s">
        <v>12</v>
      </c>
    </row>
    <row r="810" spans="1:11" x14ac:dyDescent="0.25">
      <c r="A810" s="1">
        <v>809</v>
      </c>
      <c r="B810" s="7" t="s">
        <v>14</v>
      </c>
      <c r="C810" s="8">
        <v>46002</v>
      </c>
      <c r="D810" s="9">
        <v>3500</v>
      </c>
      <c r="E810" s="12" t="s">
        <v>12</v>
      </c>
      <c r="F810" s="11">
        <v>3400</v>
      </c>
      <c r="G810" s="12" t="s">
        <v>12</v>
      </c>
      <c r="H810" s="11">
        <v>1700</v>
      </c>
      <c r="I810" s="12" t="s">
        <v>12</v>
      </c>
      <c r="J810" s="11">
        <v>3200</v>
      </c>
      <c r="K810" s="12" t="s">
        <v>12</v>
      </c>
    </row>
    <row r="811" spans="1:11" x14ac:dyDescent="0.25">
      <c r="A811" s="1">
        <v>810</v>
      </c>
      <c r="B811" s="7" t="s">
        <v>14</v>
      </c>
      <c r="C811" s="8">
        <v>46002</v>
      </c>
      <c r="D811" s="9">
        <v>500</v>
      </c>
      <c r="E811" s="10" t="s">
        <v>22</v>
      </c>
      <c r="F811" s="11">
        <v>600</v>
      </c>
      <c r="G811" s="10" t="s">
        <v>22</v>
      </c>
      <c r="H811" s="11">
        <v>200</v>
      </c>
      <c r="I811" s="10" t="s">
        <v>22</v>
      </c>
      <c r="J811" s="11">
        <v>600</v>
      </c>
      <c r="K811" s="10" t="s">
        <v>22</v>
      </c>
    </row>
    <row r="812" spans="1:11" x14ac:dyDescent="0.25">
      <c r="A812" s="1">
        <v>811</v>
      </c>
      <c r="B812" s="7" t="s">
        <v>14</v>
      </c>
      <c r="C812" s="8">
        <v>46002</v>
      </c>
      <c r="D812" s="9">
        <v>300</v>
      </c>
      <c r="E812" s="12" t="s">
        <v>21</v>
      </c>
      <c r="F812" s="11">
        <v>40</v>
      </c>
      <c r="G812" s="12" t="s">
        <v>21</v>
      </c>
      <c r="H812" s="11"/>
      <c r="I812" s="12"/>
      <c r="J812" s="11">
        <v>10</v>
      </c>
      <c r="K812" s="12" t="s">
        <v>21</v>
      </c>
    </row>
    <row r="813" spans="1:11" x14ac:dyDescent="0.25">
      <c r="A813" s="1">
        <v>812</v>
      </c>
      <c r="B813" s="7" t="s">
        <v>15</v>
      </c>
      <c r="C813" s="8">
        <v>46003</v>
      </c>
      <c r="D813" s="9"/>
      <c r="E813" s="10"/>
      <c r="F813" s="11"/>
      <c r="G813" s="12"/>
      <c r="H813" s="11"/>
      <c r="I813" s="12"/>
      <c r="J813" s="11"/>
      <c r="K813" s="12"/>
    </row>
    <row r="814" spans="1:11" x14ac:dyDescent="0.25">
      <c r="A814" s="1">
        <v>813</v>
      </c>
      <c r="B814" s="7" t="s">
        <v>16</v>
      </c>
      <c r="C814" s="8">
        <v>46004</v>
      </c>
      <c r="D814" s="9"/>
      <c r="E814" s="10"/>
      <c r="F814" s="11"/>
      <c r="G814" s="12"/>
      <c r="H814" s="11"/>
      <c r="I814" s="12"/>
      <c r="J814" s="11"/>
      <c r="K814" s="12"/>
    </row>
    <row r="815" spans="1:11" x14ac:dyDescent="0.25">
      <c r="A815" s="1">
        <v>814</v>
      </c>
      <c r="B815" s="7" t="s">
        <v>17</v>
      </c>
      <c r="C815" s="8">
        <v>46005</v>
      </c>
      <c r="D815" s="9"/>
      <c r="E815" s="10"/>
      <c r="F815" s="11"/>
      <c r="G815" s="12"/>
      <c r="H815" s="11"/>
      <c r="I815" s="12"/>
      <c r="J815" s="11"/>
      <c r="K815" s="12"/>
    </row>
    <row r="816" spans="1:11" x14ac:dyDescent="0.25">
      <c r="A816" s="1">
        <v>815</v>
      </c>
      <c r="B816" s="7" t="s">
        <v>18</v>
      </c>
      <c r="C816" s="8">
        <v>46006</v>
      </c>
      <c r="D816" s="9"/>
      <c r="E816" s="10"/>
      <c r="F816" s="11"/>
      <c r="G816" s="12"/>
      <c r="H816" s="11"/>
      <c r="I816" s="12"/>
      <c r="J816" s="11"/>
      <c r="K816" s="12"/>
    </row>
    <row r="817" spans="1:11" x14ac:dyDescent="0.25">
      <c r="A817" s="1">
        <v>816</v>
      </c>
      <c r="B817" s="7" t="s">
        <v>19</v>
      </c>
      <c r="C817" s="8">
        <v>46007</v>
      </c>
      <c r="D817" s="9"/>
      <c r="E817" s="10"/>
      <c r="F817" s="11"/>
      <c r="G817" s="12"/>
      <c r="H817" s="11"/>
      <c r="I817" s="12"/>
      <c r="J817" s="11"/>
      <c r="K817" s="12"/>
    </row>
    <row r="818" spans="1:11" x14ac:dyDescent="0.25">
      <c r="A818" s="1">
        <v>817</v>
      </c>
      <c r="B818" s="7" t="s">
        <v>20</v>
      </c>
      <c r="C818" s="8">
        <v>46008</v>
      </c>
      <c r="D818" s="9">
        <v>3300</v>
      </c>
      <c r="E818" s="12" t="s">
        <v>12</v>
      </c>
      <c r="F818" s="11">
        <v>2700</v>
      </c>
      <c r="G818" s="12" t="s">
        <v>12</v>
      </c>
      <c r="H818" s="11">
        <v>3700</v>
      </c>
      <c r="I818" s="12" t="s">
        <v>12</v>
      </c>
      <c r="J818" s="11">
        <v>4000</v>
      </c>
      <c r="K818" s="12" t="s">
        <v>12</v>
      </c>
    </row>
    <row r="819" spans="1:11" x14ac:dyDescent="0.25">
      <c r="A819" s="1">
        <v>818</v>
      </c>
      <c r="B819" s="7" t="s">
        <v>14</v>
      </c>
      <c r="C819" s="8">
        <v>46009</v>
      </c>
      <c r="D819" s="9">
        <v>3400</v>
      </c>
      <c r="E819" s="12" t="s">
        <v>12</v>
      </c>
      <c r="F819" s="11">
        <v>2800</v>
      </c>
      <c r="G819" s="12" t="s">
        <v>12</v>
      </c>
      <c r="H819" s="11">
        <v>3900</v>
      </c>
      <c r="I819" s="12" t="s">
        <v>12</v>
      </c>
      <c r="J819" s="11">
        <v>4200</v>
      </c>
      <c r="K819" s="12" t="s">
        <v>12</v>
      </c>
    </row>
    <row r="820" spans="1:11" x14ac:dyDescent="0.25">
      <c r="A820" s="1">
        <v>819</v>
      </c>
      <c r="B820" s="7" t="s">
        <v>14</v>
      </c>
      <c r="C820" s="8">
        <v>46009</v>
      </c>
      <c r="D820" s="9">
        <v>2000</v>
      </c>
      <c r="E820" s="10" t="s">
        <v>22</v>
      </c>
      <c r="F820" s="11">
        <v>400</v>
      </c>
      <c r="G820" s="10" t="s">
        <v>22</v>
      </c>
      <c r="H820" s="11"/>
      <c r="I820" s="12"/>
      <c r="J820" s="11">
        <v>200</v>
      </c>
      <c r="K820" s="10" t="s">
        <v>22</v>
      </c>
    </row>
    <row r="821" spans="1:11" x14ac:dyDescent="0.25">
      <c r="A821" s="1">
        <v>820</v>
      </c>
      <c r="B821" s="7" t="s">
        <v>14</v>
      </c>
      <c r="C821" s="8">
        <v>46009</v>
      </c>
      <c r="D821" s="9">
        <v>300</v>
      </c>
      <c r="E821" s="12" t="s">
        <v>21</v>
      </c>
      <c r="F821" s="11">
        <v>100</v>
      </c>
      <c r="G821" s="12" t="s">
        <v>21</v>
      </c>
      <c r="H821" s="11"/>
      <c r="I821" s="12"/>
      <c r="J821" s="11">
        <v>100</v>
      </c>
      <c r="K821" s="12" t="s">
        <v>21</v>
      </c>
    </row>
    <row r="822" spans="1:11" x14ac:dyDescent="0.25">
      <c r="A822" s="1">
        <v>821</v>
      </c>
      <c r="B822" s="7" t="s">
        <v>14</v>
      </c>
      <c r="C822" s="8">
        <v>46009</v>
      </c>
      <c r="D822" s="9">
        <v>1100</v>
      </c>
      <c r="E822" s="12" t="s">
        <v>31</v>
      </c>
      <c r="F822" s="11">
        <v>800</v>
      </c>
      <c r="G822" s="12" t="s">
        <v>31</v>
      </c>
      <c r="H822" s="11">
        <v>800</v>
      </c>
      <c r="I822" s="12" t="s">
        <v>31</v>
      </c>
      <c r="J822" s="11">
        <v>800</v>
      </c>
      <c r="K822" s="12" t="s">
        <v>31</v>
      </c>
    </row>
    <row r="823" spans="1:11" x14ac:dyDescent="0.25">
      <c r="A823" s="1">
        <v>822</v>
      </c>
      <c r="B823" s="7" t="s">
        <v>15</v>
      </c>
      <c r="C823" s="8">
        <v>46010</v>
      </c>
      <c r="D823" s="9"/>
      <c r="E823" s="10"/>
      <c r="F823" s="11"/>
      <c r="G823" s="12"/>
      <c r="H823" s="11"/>
      <c r="I823" s="12"/>
      <c r="J823" s="11"/>
      <c r="K823" s="12"/>
    </row>
    <row r="824" spans="1:11" x14ac:dyDescent="0.25">
      <c r="A824" s="1">
        <v>823</v>
      </c>
      <c r="B824" s="7" t="s">
        <v>16</v>
      </c>
      <c r="C824" s="8">
        <v>46011</v>
      </c>
      <c r="D824" s="9"/>
      <c r="E824" s="10"/>
      <c r="F824" s="11"/>
      <c r="G824" s="12"/>
      <c r="H824" s="11"/>
      <c r="I824" s="12"/>
      <c r="J824" s="11"/>
      <c r="K824" s="12"/>
    </row>
    <row r="825" spans="1:11" x14ac:dyDescent="0.25">
      <c r="A825" s="1">
        <v>824</v>
      </c>
      <c r="B825" s="7" t="s">
        <v>17</v>
      </c>
      <c r="C825" s="8">
        <v>46012</v>
      </c>
      <c r="D825" s="9"/>
      <c r="E825" s="10"/>
      <c r="F825" s="11"/>
      <c r="G825" s="12"/>
      <c r="H825" s="11"/>
      <c r="I825" s="12"/>
      <c r="J825" s="11"/>
      <c r="K825" s="12"/>
    </row>
    <row r="826" spans="1:11" x14ac:dyDescent="0.25">
      <c r="A826" s="1">
        <v>825</v>
      </c>
      <c r="B826" s="7" t="s">
        <v>18</v>
      </c>
      <c r="C826" s="8">
        <v>46013</v>
      </c>
      <c r="D826" s="9"/>
      <c r="E826" s="10"/>
      <c r="F826" s="11"/>
      <c r="G826" s="12"/>
      <c r="H826" s="11"/>
      <c r="I826" s="12"/>
      <c r="J826" s="11"/>
      <c r="K826" s="12"/>
    </row>
    <row r="827" spans="1:11" x14ac:dyDescent="0.25">
      <c r="A827" s="1">
        <v>826</v>
      </c>
      <c r="B827" s="7" t="s">
        <v>19</v>
      </c>
      <c r="C827" s="8">
        <v>46014</v>
      </c>
      <c r="D827" s="9"/>
      <c r="E827" s="10"/>
      <c r="F827" s="11"/>
      <c r="G827" s="12"/>
      <c r="H827" s="11"/>
      <c r="I827" s="12"/>
      <c r="J827" s="11"/>
      <c r="K827" s="12"/>
    </row>
    <row r="828" spans="1:11" x14ac:dyDescent="0.25">
      <c r="A828" s="1">
        <v>827</v>
      </c>
      <c r="B828" s="7" t="s">
        <v>20</v>
      </c>
      <c r="C828" s="8">
        <v>46015</v>
      </c>
      <c r="D828" s="9">
        <v>4800</v>
      </c>
      <c r="E828" s="12" t="s">
        <v>12</v>
      </c>
      <c r="F828" s="11">
        <v>3200</v>
      </c>
      <c r="G828" s="12" t="s">
        <v>12</v>
      </c>
      <c r="H828" s="11">
        <v>1700</v>
      </c>
      <c r="I828" s="12" t="s">
        <v>12</v>
      </c>
      <c r="J828" s="11">
        <v>6600</v>
      </c>
      <c r="K828" s="12" t="s">
        <v>12</v>
      </c>
    </row>
    <row r="829" spans="1:11" x14ac:dyDescent="0.25">
      <c r="A829" s="1">
        <v>828</v>
      </c>
      <c r="B829" s="7" t="s">
        <v>14</v>
      </c>
      <c r="C829" s="8">
        <v>46016</v>
      </c>
      <c r="D829" s="9">
        <v>4500</v>
      </c>
      <c r="E829" s="12" t="s">
        <v>12</v>
      </c>
      <c r="F829" s="11">
        <v>2900</v>
      </c>
      <c r="G829" s="12" t="s">
        <v>12</v>
      </c>
      <c r="H829" s="11">
        <v>1600</v>
      </c>
      <c r="I829" s="12" t="s">
        <v>12</v>
      </c>
      <c r="J829" s="11">
        <v>6100</v>
      </c>
      <c r="K829" s="12" t="s">
        <v>12</v>
      </c>
    </row>
    <row r="830" spans="1:11" x14ac:dyDescent="0.25">
      <c r="A830" s="1">
        <v>829</v>
      </c>
      <c r="B830" s="7" t="s">
        <v>14</v>
      </c>
      <c r="C830" s="8">
        <v>46016</v>
      </c>
      <c r="D830" s="9">
        <v>3300</v>
      </c>
      <c r="E830" s="10" t="s">
        <v>22</v>
      </c>
      <c r="F830" s="11">
        <v>800</v>
      </c>
      <c r="G830" s="10" t="s">
        <v>22</v>
      </c>
      <c r="H830" s="11">
        <v>100</v>
      </c>
      <c r="I830" s="10" t="s">
        <v>22</v>
      </c>
      <c r="J830" s="11">
        <v>800</v>
      </c>
      <c r="K830" s="10" t="s">
        <v>22</v>
      </c>
    </row>
    <row r="831" spans="1:11" x14ac:dyDescent="0.25">
      <c r="A831" s="1">
        <v>830</v>
      </c>
      <c r="B831" s="7" t="s">
        <v>14</v>
      </c>
      <c r="C831" s="8">
        <v>46016</v>
      </c>
      <c r="D831" s="9">
        <v>500</v>
      </c>
      <c r="E831" s="12" t="s">
        <v>21</v>
      </c>
      <c r="F831" s="11">
        <v>200</v>
      </c>
      <c r="G831" s="12" t="s">
        <v>21</v>
      </c>
      <c r="H831" s="11">
        <v>10</v>
      </c>
      <c r="I831" s="12" t="s">
        <v>21</v>
      </c>
      <c r="J831" s="11">
        <v>100</v>
      </c>
      <c r="K831" s="12" t="s">
        <v>21</v>
      </c>
    </row>
    <row r="832" spans="1:11" x14ac:dyDescent="0.25">
      <c r="A832" s="1">
        <v>831</v>
      </c>
      <c r="B832" s="7" t="s">
        <v>15</v>
      </c>
      <c r="C832" s="8">
        <v>46017</v>
      </c>
      <c r="D832" s="9"/>
      <c r="E832" s="10"/>
      <c r="F832" s="11"/>
      <c r="G832" s="12"/>
      <c r="H832" s="11"/>
      <c r="I832" s="12"/>
      <c r="J832" s="11"/>
      <c r="K832" s="12"/>
    </row>
    <row r="833" spans="1:11" x14ac:dyDescent="0.25">
      <c r="A833" s="1">
        <v>832</v>
      </c>
      <c r="B833" s="7" t="s">
        <v>16</v>
      </c>
      <c r="C833" s="8">
        <v>46018</v>
      </c>
      <c r="D833" s="9"/>
      <c r="E833" s="10"/>
      <c r="F833" s="11"/>
      <c r="G833" s="12"/>
      <c r="H833" s="11"/>
      <c r="I833" s="12"/>
      <c r="J833" s="11"/>
      <c r="K833" s="12"/>
    </row>
    <row r="834" spans="1:11" x14ac:dyDescent="0.25">
      <c r="A834" s="1">
        <v>833</v>
      </c>
      <c r="B834" s="7" t="s">
        <v>17</v>
      </c>
      <c r="C834" s="8">
        <v>46019</v>
      </c>
      <c r="D834" s="9"/>
      <c r="E834" s="10"/>
      <c r="F834" s="11"/>
      <c r="G834" s="12"/>
      <c r="H834" s="11"/>
      <c r="I834" s="12"/>
      <c r="J834" s="11"/>
      <c r="K834" s="12"/>
    </row>
    <row r="835" spans="1:11" x14ac:dyDescent="0.25">
      <c r="A835" s="1">
        <v>834</v>
      </c>
      <c r="B835" s="7" t="s">
        <v>18</v>
      </c>
      <c r="C835" s="8">
        <v>46020</v>
      </c>
      <c r="D835" s="9"/>
      <c r="E835" s="10"/>
      <c r="F835" s="11"/>
      <c r="G835" s="12"/>
      <c r="H835" s="11"/>
      <c r="I835" s="12"/>
      <c r="J835" s="11"/>
      <c r="K835" s="12"/>
    </row>
    <row r="836" spans="1:11" x14ac:dyDescent="0.25">
      <c r="A836" s="1">
        <v>835</v>
      </c>
      <c r="B836" s="7" t="s">
        <v>19</v>
      </c>
      <c r="C836" s="8">
        <v>46021</v>
      </c>
      <c r="D836" s="9">
        <v>2500</v>
      </c>
      <c r="E836" s="12" t="s">
        <v>12</v>
      </c>
      <c r="F836" s="11">
        <v>1700</v>
      </c>
      <c r="G836" s="12" t="s">
        <v>12</v>
      </c>
      <c r="H836" s="11">
        <v>2700</v>
      </c>
      <c r="I836" s="12" t="s">
        <v>12</v>
      </c>
      <c r="J836" s="11">
        <v>4500</v>
      </c>
      <c r="K836" s="12" t="s">
        <v>12</v>
      </c>
    </row>
    <row r="837" spans="1:11" x14ac:dyDescent="0.25">
      <c r="A837" s="1">
        <v>836</v>
      </c>
      <c r="B837" s="7" t="s">
        <v>20</v>
      </c>
      <c r="C837" s="8">
        <v>46022</v>
      </c>
      <c r="D837" s="9"/>
      <c r="E837" s="12"/>
      <c r="F837" s="11"/>
      <c r="G837" s="12"/>
      <c r="H837" s="11"/>
      <c r="I837" s="12"/>
      <c r="J837" s="11"/>
      <c r="K837" s="12"/>
    </row>
    <row r="838" spans="1:11" x14ac:dyDescent="0.25">
      <c r="A838" s="1">
        <v>837</v>
      </c>
      <c r="B838" s="7" t="s">
        <v>14</v>
      </c>
      <c r="C838" s="8">
        <v>46023</v>
      </c>
      <c r="D838" s="9"/>
      <c r="E838" s="10"/>
      <c r="F838" s="11"/>
      <c r="G838" s="12"/>
      <c r="H838" s="11"/>
      <c r="I838" s="12"/>
      <c r="J838" s="11"/>
      <c r="K838" s="12"/>
    </row>
    <row r="839" spans="1:11" x14ac:dyDescent="0.25">
      <c r="A839" s="1">
        <v>838</v>
      </c>
      <c r="B839" s="7" t="s">
        <v>15</v>
      </c>
      <c r="C839" s="8">
        <v>46024</v>
      </c>
      <c r="D839" s="9"/>
      <c r="E839" s="10"/>
      <c r="F839" s="11"/>
      <c r="G839" s="12"/>
      <c r="H839" s="11"/>
      <c r="I839" s="12"/>
      <c r="J839" s="11"/>
      <c r="K839" s="12"/>
    </row>
    <row r="840" spans="1:11" x14ac:dyDescent="0.25">
      <c r="A840" s="1">
        <v>839</v>
      </c>
      <c r="B840" s="7" t="s">
        <v>16</v>
      </c>
      <c r="C840" s="8">
        <v>46025</v>
      </c>
      <c r="D840" s="9"/>
      <c r="E840" s="10"/>
      <c r="F840" s="11"/>
      <c r="G840" s="12"/>
      <c r="H840" s="11"/>
      <c r="I840" s="12"/>
      <c r="J840" s="11"/>
      <c r="K840" s="12"/>
    </row>
    <row r="841" spans="1:11" x14ac:dyDescent="0.25">
      <c r="A841" s="1">
        <v>840</v>
      </c>
      <c r="B841" s="7" t="s">
        <v>17</v>
      </c>
      <c r="C841" s="8">
        <v>46026</v>
      </c>
      <c r="D841" s="9"/>
      <c r="E841" s="10"/>
      <c r="F841" s="11"/>
      <c r="G841" s="12"/>
      <c r="H841" s="11"/>
      <c r="I841" s="12"/>
      <c r="J841" s="11"/>
      <c r="K841" s="12"/>
    </row>
    <row r="842" spans="1:11" x14ac:dyDescent="0.25">
      <c r="A842" s="1">
        <v>841</v>
      </c>
      <c r="B842" s="7" t="s">
        <v>18</v>
      </c>
      <c r="C842" s="8">
        <v>46027</v>
      </c>
      <c r="D842" s="9"/>
      <c r="E842" s="10"/>
      <c r="F842" s="11"/>
      <c r="G842" s="12"/>
      <c r="H842" s="11"/>
      <c r="I842" s="12"/>
      <c r="J842" s="11"/>
      <c r="K842" s="12"/>
    </row>
    <row r="843" spans="1:11" x14ac:dyDescent="0.25">
      <c r="A843" s="1">
        <v>842</v>
      </c>
      <c r="B843" s="7" t="s">
        <v>19</v>
      </c>
      <c r="C843" s="8">
        <v>46028</v>
      </c>
      <c r="D843" s="9"/>
      <c r="E843" s="10"/>
      <c r="F843" s="11"/>
      <c r="G843" s="12"/>
      <c r="H843" s="11"/>
      <c r="I843" s="12"/>
      <c r="J843" s="11"/>
      <c r="K843" s="12"/>
    </row>
    <row r="844" spans="1:11" x14ac:dyDescent="0.25">
      <c r="A844" s="1">
        <v>843</v>
      </c>
      <c r="B844" s="7" t="s">
        <v>20</v>
      </c>
      <c r="C844" s="8">
        <v>46029</v>
      </c>
      <c r="D844" s="9"/>
      <c r="E844" s="10"/>
      <c r="F844" s="11"/>
      <c r="G844" s="12"/>
      <c r="H844" s="11"/>
      <c r="I844" s="12"/>
      <c r="J844" s="11"/>
      <c r="K844" s="12"/>
    </row>
    <row r="845" spans="1:11" x14ac:dyDescent="0.25">
      <c r="A845" s="1">
        <v>844</v>
      </c>
      <c r="B845" s="7" t="s">
        <v>14</v>
      </c>
      <c r="C845" s="8">
        <v>46030</v>
      </c>
      <c r="D845" s="9">
        <v>3100</v>
      </c>
      <c r="E845" s="12" t="s">
        <v>12</v>
      </c>
      <c r="F845" s="11">
        <v>2200</v>
      </c>
      <c r="G845" s="12" t="s">
        <v>12</v>
      </c>
      <c r="H845" s="11">
        <v>3200</v>
      </c>
      <c r="I845" s="12" t="s">
        <v>12</v>
      </c>
      <c r="J845" s="11">
        <v>4400</v>
      </c>
      <c r="K845" s="12" t="s">
        <v>12</v>
      </c>
    </row>
    <row r="846" spans="1:11" ht="30" x14ac:dyDescent="0.25">
      <c r="A846" s="1">
        <v>845</v>
      </c>
      <c r="B846" s="7" t="s">
        <v>14</v>
      </c>
      <c r="C846" s="8">
        <v>46030</v>
      </c>
      <c r="D846" s="9">
        <v>2900</v>
      </c>
      <c r="E846" s="10" t="s">
        <v>32</v>
      </c>
      <c r="F846" s="11">
        <v>1600</v>
      </c>
      <c r="G846" s="10" t="s">
        <v>32</v>
      </c>
      <c r="H846" s="11">
        <v>900</v>
      </c>
      <c r="I846" s="10" t="s">
        <v>32</v>
      </c>
      <c r="J846" s="11">
        <v>1500</v>
      </c>
      <c r="K846" s="10" t="s">
        <v>32</v>
      </c>
    </row>
    <row r="847" spans="1:11" x14ac:dyDescent="0.25">
      <c r="A847" s="1">
        <v>846</v>
      </c>
      <c r="B847" s="7" t="s">
        <v>14</v>
      </c>
      <c r="C847" s="8">
        <v>46030</v>
      </c>
      <c r="D847" s="9">
        <v>300</v>
      </c>
      <c r="E847" s="12" t="s">
        <v>21</v>
      </c>
      <c r="F847" s="11">
        <v>200</v>
      </c>
      <c r="G847" s="12" t="s">
        <v>21</v>
      </c>
      <c r="H847" s="11"/>
      <c r="I847" s="12"/>
      <c r="J847" s="11"/>
      <c r="K847" s="12"/>
    </row>
    <row r="848" spans="1:11" x14ac:dyDescent="0.25">
      <c r="A848" s="1">
        <v>847</v>
      </c>
      <c r="B848" s="7" t="s">
        <v>15</v>
      </c>
      <c r="C848" s="8">
        <v>46031</v>
      </c>
      <c r="D848" s="9"/>
      <c r="E848" s="10"/>
      <c r="F848" s="11"/>
      <c r="G848" s="12"/>
      <c r="H848" s="11"/>
      <c r="I848" s="12"/>
      <c r="J848" s="11"/>
      <c r="K848" s="12"/>
    </row>
  </sheetData>
  <mergeCells count="2">
    <mergeCell ref="A1:M1"/>
    <mergeCell ref="A2:M2"/>
  </mergeCells>
  <phoneticPr fontId="14" type="noConversion"/>
  <conditionalFormatting sqref="B4:E848">
    <cfRule type="expression" dxfId="195" priority="373">
      <formula>$C4=TODAY()</formula>
    </cfRule>
  </conditionalFormatting>
  <conditionalFormatting sqref="C4:G17 J4:M43 B4:B373 C18:C373 D48:K739 B374:C739 B740:K848">
    <cfRule type="expression" dxfId="194" priority="374">
      <formula>$B4=TEXT(TODAY(),"ДДД")</formula>
    </cfRule>
  </conditionalFormatting>
  <conditionalFormatting sqref="D18:G47 J44:K47">
    <cfRule type="expression" dxfId="193" priority="383">
      <formula>$B18=TEXT(TODAY(),"ДДД")</formula>
    </cfRule>
  </conditionalFormatting>
  <conditionalFormatting sqref="E692">
    <cfRule type="expression" dxfId="192" priority="367">
      <formula>$C692=TODAY()</formula>
    </cfRule>
  </conditionalFormatting>
  <conditionalFormatting sqref="E694">
    <cfRule type="expression" dxfId="191" priority="365">
      <formula>$C694=TODAY()</formula>
    </cfRule>
  </conditionalFormatting>
  <conditionalFormatting sqref="E701">
    <cfRule type="expression" dxfId="190" priority="355">
      <formula>$C701=TODAY()</formula>
    </cfRule>
  </conditionalFormatting>
  <conditionalFormatting sqref="E703">
    <cfRule type="expression" dxfId="189" priority="350">
      <formula>$C703=TODAY()</formula>
    </cfRule>
  </conditionalFormatting>
  <conditionalFormatting sqref="E710">
    <cfRule type="expression" dxfId="188" priority="340">
      <formula>$C710=TODAY()</formula>
    </cfRule>
  </conditionalFormatting>
  <conditionalFormatting sqref="E712:E714">
    <cfRule type="expression" dxfId="187" priority="335">
      <formula>$C712=TODAY()</formula>
    </cfRule>
  </conditionalFormatting>
  <conditionalFormatting sqref="E719">
    <cfRule type="expression" dxfId="186" priority="325">
      <formula>$C719=TODAY()</formula>
    </cfRule>
  </conditionalFormatting>
  <conditionalFormatting sqref="E721:E723">
    <cfRule type="expression" dxfId="185" priority="320">
      <formula>$C721=TODAY()</formula>
    </cfRule>
  </conditionalFormatting>
  <conditionalFormatting sqref="E728">
    <cfRule type="expression" dxfId="184" priority="313">
      <formula>$C728=TODAY()</formula>
    </cfRule>
  </conditionalFormatting>
  <conditionalFormatting sqref="E730:E732">
    <cfRule type="expression" dxfId="183" priority="300">
      <formula>$C730=TODAY()</formula>
    </cfRule>
  </conditionalFormatting>
  <conditionalFormatting sqref="E737">
    <cfRule type="expression" dxfId="182" priority="293">
      <formula>$C737=TODAY()</formula>
    </cfRule>
  </conditionalFormatting>
  <conditionalFormatting sqref="E739:E741">
    <cfRule type="expression" dxfId="181" priority="280">
      <formula>$C739=TODAY()</formula>
    </cfRule>
  </conditionalFormatting>
  <conditionalFormatting sqref="E746">
    <cfRule type="expression" dxfId="180" priority="270">
      <formula>$C746=TODAY()</formula>
    </cfRule>
  </conditionalFormatting>
  <conditionalFormatting sqref="E748:E750">
    <cfRule type="expression" dxfId="179" priority="248">
      <formula>$C748=TODAY()</formula>
    </cfRule>
  </conditionalFormatting>
  <conditionalFormatting sqref="E755">
    <cfRule type="expression" dxfId="178" priority="241">
      <formula>$C755=TODAY()</formula>
    </cfRule>
  </conditionalFormatting>
  <conditionalFormatting sqref="E757:E759">
    <cfRule type="expression" dxfId="177" priority="214">
      <formula>$C757=TODAY()</formula>
    </cfRule>
  </conditionalFormatting>
  <conditionalFormatting sqref="E764">
    <cfRule type="expression" dxfId="176" priority="210">
      <formula>$C764=TODAY()</formula>
    </cfRule>
  </conditionalFormatting>
  <conditionalFormatting sqref="E766:E768">
    <cfRule type="expression" dxfId="175" priority="185">
      <formula>$C766=TODAY()</formula>
    </cfRule>
  </conditionalFormatting>
  <conditionalFormatting sqref="E773">
    <cfRule type="expression" dxfId="174" priority="175">
      <formula>$C773=TODAY()</formula>
    </cfRule>
  </conditionalFormatting>
  <conditionalFormatting sqref="E775:E777">
    <cfRule type="expression" dxfId="173" priority="163">
      <formula>$C775=TODAY()</formula>
    </cfRule>
  </conditionalFormatting>
  <conditionalFormatting sqref="E782">
    <cfRule type="expression" dxfId="172" priority="141">
      <formula>$C782=TODAY()</formula>
    </cfRule>
  </conditionalFormatting>
  <conditionalFormatting sqref="E784:E786">
    <cfRule type="expression" dxfId="171" priority="123">
      <formula>$C784=TODAY()</formula>
    </cfRule>
  </conditionalFormatting>
  <conditionalFormatting sqref="G13">
    <cfRule type="expression" dxfId="170" priority="386">
      <formula>$C13=TODAY()</formula>
    </cfRule>
  </conditionalFormatting>
  <conditionalFormatting sqref="G70">
    <cfRule type="expression" dxfId="169" priority="395">
      <formula>$C70=TODAY()</formula>
    </cfRule>
  </conditionalFormatting>
  <conditionalFormatting sqref="G685">
    <cfRule type="expression" dxfId="168" priority="371">
      <formula>$C685=TODAY()</formula>
    </cfRule>
  </conditionalFormatting>
  <conditionalFormatting sqref="G692">
    <cfRule type="expression" dxfId="167" priority="368">
      <formula>$C692=TODAY()</formula>
    </cfRule>
  </conditionalFormatting>
  <conditionalFormatting sqref="G695">
    <cfRule type="expression" dxfId="166" priority="358">
      <formula>$C695=TODAY()</formula>
    </cfRule>
  </conditionalFormatting>
  <conditionalFormatting sqref="G701">
    <cfRule type="expression" dxfId="165" priority="353">
      <formula>$C701=TODAY()</formula>
    </cfRule>
  </conditionalFormatting>
  <conditionalFormatting sqref="G704:G705">
    <cfRule type="expression" dxfId="164" priority="342">
      <formula>$C704=TODAY()</formula>
    </cfRule>
  </conditionalFormatting>
  <conditionalFormatting sqref="G710">
    <cfRule type="expression" dxfId="163" priority="338">
      <formula>$C710=TODAY()</formula>
    </cfRule>
  </conditionalFormatting>
  <conditionalFormatting sqref="G712:G714">
    <cfRule type="expression" dxfId="162" priority="328">
      <formula>$C712=TODAY()</formula>
    </cfRule>
  </conditionalFormatting>
  <conditionalFormatting sqref="G719">
    <cfRule type="expression" dxfId="161" priority="323">
      <formula>$C719=TODAY()</formula>
    </cfRule>
  </conditionalFormatting>
  <conditionalFormatting sqref="G721:G723">
    <cfRule type="expression" dxfId="160" priority="318">
      <formula>$C721=TODAY()</formula>
    </cfRule>
  </conditionalFormatting>
  <conditionalFormatting sqref="G728">
    <cfRule type="expression" dxfId="159" priority="311">
      <formula>$C728=TODAY()</formula>
    </cfRule>
  </conditionalFormatting>
  <conditionalFormatting sqref="G730:G732">
    <cfRule type="expression" dxfId="158" priority="298">
      <formula>$C730=TODAY()</formula>
    </cfRule>
  </conditionalFormatting>
  <conditionalFormatting sqref="G737">
    <cfRule type="expression" dxfId="157" priority="291">
      <formula>$C737=TODAY()</formula>
    </cfRule>
  </conditionalFormatting>
  <conditionalFormatting sqref="G739:G741">
    <cfRule type="expression" dxfId="156" priority="277">
      <formula>$C739=TODAY()</formula>
    </cfRule>
  </conditionalFormatting>
  <conditionalFormatting sqref="G746">
    <cfRule type="expression" dxfId="155" priority="268">
      <formula>$C746=TODAY()</formula>
    </cfRule>
  </conditionalFormatting>
  <conditionalFormatting sqref="G749:G750">
    <cfRule type="expression" dxfId="154" priority="245">
      <formula>$C749=TODAY()</formula>
    </cfRule>
  </conditionalFormatting>
  <conditionalFormatting sqref="G755">
    <cfRule type="expression" dxfId="153" priority="239">
      <formula>$C755=TODAY()</formula>
    </cfRule>
  </conditionalFormatting>
  <conditionalFormatting sqref="G757:G759">
    <cfRule type="expression" dxfId="152" priority="211">
      <formula>$C757=TODAY()</formula>
    </cfRule>
  </conditionalFormatting>
  <conditionalFormatting sqref="G764">
    <cfRule type="expression" dxfId="151" priority="208">
      <formula>$C764=TODAY()</formula>
    </cfRule>
  </conditionalFormatting>
  <conditionalFormatting sqref="G766:G768">
    <cfRule type="expression" dxfId="150" priority="181">
      <formula>$C766=TODAY()</formula>
    </cfRule>
  </conditionalFormatting>
  <conditionalFormatting sqref="G773">
    <cfRule type="expression" dxfId="149" priority="173">
      <formula>$C773=TODAY()</formula>
    </cfRule>
  </conditionalFormatting>
  <conditionalFormatting sqref="G775:G777">
    <cfRule type="expression" dxfId="148" priority="156">
      <formula>$C775=TODAY()</formula>
    </cfRule>
  </conditionalFormatting>
  <conditionalFormatting sqref="G782">
    <cfRule type="expression" dxfId="147" priority="139">
      <formula>$C782=TODAY()</formula>
    </cfRule>
  </conditionalFormatting>
  <conditionalFormatting sqref="G784:G786">
    <cfRule type="expression" dxfId="146" priority="117">
      <formula>$C784=TODAY()</formula>
    </cfRule>
  </conditionalFormatting>
  <conditionalFormatting sqref="H4:I47">
    <cfRule type="expression" dxfId="145" priority="408">
      <formula>$B4=TEXT(TODAY(),"ДДД")</formula>
    </cfRule>
  </conditionalFormatting>
  <conditionalFormatting sqref="I13">
    <cfRule type="expression" dxfId="144" priority="412">
      <formula>$C13=TODAY()</formula>
    </cfRule>
  </conditionalFormatting>
  <conditionalFormatting sqref="I685">
    <cfRule type="expression" dxfId="143" priority="370">
      <formula>$C685=TODAY()</formula>
    </cfRule>
  </conditionalFormatting>
  <conditionalFormatting sqref="I694:I695">
    <cfRule type="expression" dxfId="142" priority="357">
      <formula>$C694=TODAY()</formula>
    </cfRule>
  </conditionalFormatting>
  <conditionalFormatting sqref="I703:I704">
    <cfRule type="expression" dxfId="141" priority="344">
      <formula>$C703=TODAY()</formula>
    </cfRule>
  </conditionalFormatting>
  <conditionalFormatting sqref="I712:I714">
    <cfRule type="expression" dxfId="140" priority="327">
      <formula>$C712=TODAY()</formula>
    </cfRule>
  </conditionalFormatting>
  <conditionalFormatting sqref="I721:I723">
    <cfRule type="expression" dxfId="139" priority="316">
      <formula>$C721=TODAY()</formula>
    </cfRule>
  </conditionalFormatting>
  <conditionalFormatting sqref="I730:I732">
    <cfRule type="expression" dxfId="138" priority="294">
      <formula>$C730=TODAY()</formula>
    </cfRule>
  </conditionalFormatting>
  <conditionalFormatting sqref="I739:I741">
    <cfRule type="expression" dxfId="137" priority="274">
      <formula>$C739=TODAY()</formula>
    </cfRule>
  </conditionalFormatting>
  <conditionalFormatting sqref="I748:I749">
    <cfRule type="expression" dxfId="136" priority="253">
      <formula>$C748=TODAY()</formula>
    </cfRule>
  </conditionalFormatting>
  <conditionalFormatting sqref="I755">
    <cfRule type="expression" dxfId="135" priority="237">
      <formula>$C755=TODAY()</formula>
    </cfRule>
  </conditionalFormatting>
  <conditionalFormatting sqref="I757:I758">
    <cfRule type="expression" dxfId="134" priority="220">
      <formula>$C757=TODAY()</formula>
    </cfRule>
  </conditionalFormatting>
  <conditionalFormatting sqref="I766:I768">
    <cfRule type="expression" dxfId="133" priority="177">
      <formula>$C766=TODAY()</formula>
    </cfRule>
  </conditionalFormatting>
  <conditionalFormatting sqref="I773">
    <cfRule type="expression" dxfId="132" priority="171">
      <formula>$C773=TODAY()</formula>
    </cfRule>
  </conditionalFormatting>
  <conditionalFormatting sqref="I775:I777">
    <cfRule type="expression" dxfId="131" priority="149">
      <formula>$C775=TODAY()</formula>
    </cfRule>
  </conditionalFormatting>
  <conditionalFormatting sqref="I782">
    <cfRule type="expression" dxfId="130" priority="137">
      <formula>$C782=TODAY()</formula>
    </cfRule>
  </conditionalFormatting>
  <conditionalFormatting sqref="I784:I786">
    <cfRule type="expression" dxfId="129" priority="111">
      <formula>$C784=TODAY()</formula>
    </cfRule>
  </conditionalFormatting>
  <conditionalFormatting sqref="K13">
    <cfRule type="expression" dxfId="128" priority="387">
      <formula>$C13=TODAY()</formula>
    </cfRule>
  </conditionalFormatting>
  <conditionalFormatting sqref="K685">
    <cfRule type="expression" dxfId="127" priority="369">
      <formula>$C685=TODAY()</formula>
    </cfRule>
  </conditionalFormatting>
  <conditionalFormatting sqref="K692">
    <cfRule type="expression" dxfId="126" priority="366">
      <formula>$C692=TODAY()</formula>
    </cfRule>
  </conditionalFormatting>
  <conditionalFormatting sqref="K694:K695">
    <cfRule type="expression" dxfId="125" priority="356">
      <formula>$C694=TODAY()</formula>
    </cfRule>
  </conditionalFormatting>
  <conditionalFormatting sqref="K701">
    <cfRule type="expression" dxfId="124" priority="351">
      <formula>$C701=TODAY()</formula>
    </cfRule>
  </conditionalFormatting>
  <conditionalFormatting sqref="K703:K705">
    <cfRule type="expression" dxfId="123" priority="341">
      <formula>$C703=TODAY()</formula>
    </cfRule>
  </conditionalFormatting>
  <conditionalFormatting sqref="K710">
    <cfRule type="expression" dxfId="122" priority="336">
      <formula>$C710=TODAY()</formula>
    </cfRule>
  </conditionalFormatting>
  <conditionalFormatting sqref="K712:K714">
    <cfRule type="expression" dxfId="121" priority="326">
      <formula>$C712=TODAY()</formula>
    </cfRule>
  </conditionalFormatting>
  <conditionalFormatting sqref="K719">
    <cfRule type="expression" dxfId="120" priority="321">
      <formula>$C719=TODAY()</formula>
    </cfRule>
  </conditionalFormatting>
  <conditionalFormatting sqref="K721:K723">
    <cfRule type="expression" dxfId="119" priority="314">
      <formula>$C721=TODAY()</formula>
    </cfRule>
  </conditionalFormatting>
  <conditionalFormatting sqref="K728">
    <cfRule type="expression" dxfId="118" priority="309">
      <formula>$C728=TODAY()</formula>
    </cfRule>
  </conditionalFormatting>
  <conditionalFormatting sqref="K730:K732">
    <cfRule type="expression" dxfId="117" priority="296">
      <formula>$C730=TODAY()</formula>
    </cfRule>
  </conditionalFormatting>
  <conditionalFormatting sqref="K737">
    <cfRule type="expression" dxfId="116" priority="289">
      <formula>$C737=TODAY()</formula>
    </cfRule>
  </conditionalFormatting>
  <conditionalFormatting sqref="K739:K741">
    <cfRule type="expression" dxfId="115" priority="271">
      <formula>$C739=TODAY()</formula>
    </cfRule>
  </conditionalFormatting>
  <conditionalFormatting sqref="K746">
    <cfRule type="expression" dxfId="114" priority="266">
      <formula>$C746=TODAY()</formula>
    </cfRule>
  </conditionalFormatting>
  <conditionalFormatting sqref="K748:K750">
    <cfRule type="expression" dxfId="113" priority="242">
      <formula>$C748=TODAY()</formula>
    </cfRule>
  </conditionalFormatting>
  <conditionalFormatting sqref="K755">
    <cfRule type="expression" dxfId="112" priority="235">
      <formula>$C755=TODAY()</formula>
    </cfRule>
  </conditionalFormatting>
  <conditionalFormatting sqref="K757:K758">
    <cfRule type="expression" dxfId="111" priority="217">
      <formula>$C757=TODAY()</formula>
    </cfRule>
  </conditionalFormatting>
  <conditionalFormatting sqref="K764">
    <cfRule type="expression" dxfId="110" priority="206">
      <formula>$C764=TODAY()</formula>
    </cfRule>
  </conditionalFormatting>
  <conditionalFormatting sqref="K766:K767">
    <cfRule type="expression" dxfId="109" priority="188">
      <formula>$C766=TODAY()</formula>
    </cfRule>
  </conditionalFormatting>
  <conditionalFormatting sqref="K773">
    <cfRule type="expression" dxfId="108" priority="169">
      <formula>$C773=TODAY()</formula>
    </cfRule>
  </conditionalFormatting>
  <conditionalFormatting sqref="K775:K777">
    <cfRule type="expression" dxfId="107" priority="142">
      <formula>$C775=TODAY()</formula>
    </cfRule>
  </conditionalFormatting>
  <conditionalFormatting sqref="K782">
    <cfRule type="expression" dxfId="106" priority="135">
      <formula>$C782=TODAY()</formula>
    </cfRule>
  </conditionalFormatting>
  <conditionalFormatting sqref="K784:K786">
    <cfRule type="expression" dxfId="105" priority="105">
      <formula>$C784=TODAY()</formula>
    </cfRule>
  </conditionalFormatting>
  <conditionalFormatting sqref="E792:E793">
    <cfRule type="expression" dxfId="104" priority="104">
      <formula>$C792=TODAY()</formula>
    </cfRule>
  </conditionalFormatting>
  <conditionalFormatting sqref="G792:G793">
    <cfRule type="expression" dxfId="103" priority="103">
      <formula>$C792=TODAY()</formula>
    </cfRule>
  </conditionalFormatting>
  <conditionalFormatting sqref="G792:G793">
    <cfRule type="expression" dxfId="102" priority="102">
      <formula>$C792=TODAY()</formula>
    </cfRule>
  </conditionalFormatting>
  <conditionalFormatting sqref="I792:I793">
    <cfRule type="expression" dxfId="101" priority="101">
      <formula>$C792=TODAY()</formula>
    </cfRule>
  </conditionalFormatting>
  <conditionalFormatting sqref="I792:I793">
    <cfRule type="expression" dxfId="100" priority="100">
      <formula>$C792=TODAY()</formula>
    </cfRule>
  </conditionalFormatting>
  <conditionalFormatting sqref="K792:K793">
    <cfRule type="expression" dxfId="99" priority="99">
      <formula>$C792=TODAY()</formula>
    </cfRule>
  </conditionalFormatting>
  <conditionalFormatting sqref="K792:K793">
    <cfRule type="expression" dxfId="98" priority="98">
      <formula>$C792=TODAY()</formula>
    </cfRule>
  </conditionalFormatting>
  <conditionalFormatting sqref="E794:E795">
    <cfRule type="expression" dxfId="97" priority="97">
      <formula>$C794=TODAY()</formula>
    </cfRule>
  </conditionalFormatting>
  <conditionalFormatting sqref="G794:G795">
    <cfRule type="expression" dxfId="96" priority="96">
      <formula>$C794=TODAY()</formula>
    </cfRule>
  </conditionalFormatting>
  <conditionalFormatting sqref="G794:G795">
    <cfRule type="expression" dxfId="95" priority="95">
      <formula>$C794=TODAY()</formula>
    </cfRule>
  </conditionalFormatting>
  <conditionalFormatting sqref="I794:I795">
    <cfRule type="expression" dxfId="94" priority="94">
      <formula>$C794=TODAY()</formula>
    </cfRule>
  </conditionalFormatting>
  <conditionalFormatting sqref="I794:I795">
    <cfRule type="expression" dxfId="93" priority="93">
      <formula>$C794=TODAY()</formula>
    </cfRule>
  </conditionalFormatting>
  <conditionalFormatting sqref="K794:K795">
    <cfRule type="expression" dxfId="92" priority="92">
      <formula>$C794=TODAY()</formula>
    </cfRule>
  </conditionalFormatting>
  <conditionalFormatting sqref="K794:K795">
    <cfRule type="expression" dxfId="91" priority="91">
      <formula>$C794=TODAY()</formula>
    </cfRule>
  </conditionalFormatting>
  <conditionalFormatting sqref="E801:E802">
    <cfRule type="expression" dxfId="90" priority="90">
      <formula>$C801=TODAY()</formula>
    </cfRule>
  </conditionalFormatting>
  <conditionalFormatting sqref="E803:E805">
    <cfRule type="expression" dxfId="89" priority="89">
      <formula>$C803=TODAY()</formula>
    </cfRule>
  </conditionalFormatting>
  <conditionalFormatting sqref="G801:G805">
    <cfRule type="expression" dxfId="88" priority="88">
      <formula>$C801=TODAY()</formula>
    </cfRule>
  </conditionalFormatting>
  <conditionalFormatting sqref="G801:G802">
    <cfRule type="expression" dxfId="87" priority="87">
      <formula>$C801=TODAY()</formula>
    </cfRule>
  </conditionalFormatting>
  <conditionalFormatting sqref="G803:G805">
    <cfRule type="expression" dxfId="86" priority="86">
      <formula>$C803=TODAY()</formula>
    </cfRule>
  </conditionalFormatting>
  <conditionalFormatting sqref="I801:I805">
    <cfRule type="expression" dxfId="85" priority="85">
      <formula>$C801=TODAY()</formula>
    </cfRule>
  </conditionalFormatting>
  <conditionalFormatting sqref="I801:I802">
    <cfRule type="expression" dxfId="84" priority="84">
      <formula>$C801=TODAY()</formula>
    </cfRule>
  </conditionalFormatting>
  <conditionalFormatting sqref="I803:I805">
    <cfRule type="expression" dxfId="83" priority="83">
      <formula>$C803=TODAY()</formula>
    </cfRule>
  </conditionalFormatting>
  <conditionalFormatting sqref="K801:K805">
    <cfRule type="expression" dxfId="82" priority="82">
      <formula>$C801=TODAY()</formula>
    </cfRule>
  </conditionalFormatting>
  <conditionalFormatting sqref="K801:K802">
    <cfRule type="expression" dxfId="81" priority="81">
      <formula>$C801=TODAY()</formula>
    </cfRule>
  </conditionalFormatting>
  <conditionalFormatting sqref="K803:K805">
    <cfRule type="expression" dxfId="80" priority="80">
      <formula>$C803=TODAY()</formula>
    </cfRule>
  </conditionalFormatting>
  <conditionalFormatting sqref="E809:E810">
    <cfRule type="expression" dxfId="79" priority="79">
      <formula>$C809=TODAY()</formula>
    </cfRule>
  </conditionalFormatting>
  <conditionalFormatting sqref="E811:E812">
    <cfRule type="expression" dxfId="78" priority="78">
      <formula>$C811=TODAY()</formula>
    </cfRule>
  </conditionalFormatting>
  <conditionalFormatting sqref="G809:G812">
    <cfRule type="expression" dxfId="77" priority="77">
      <formula>$C809=TODAY()</formula>
    </cfRule>
  </conditionalFormatting>
  <conditionalFormatting sqref="G809:G810">
    <cfRule type="expression" dxfId="76" priority="76">
      <formula>$C809=TODAY()</formula>
    </cfRule>
  </conditionalFormatting>
  <conditionalFormatting sqref="G811:G812">
    <cfRule type="expression" dxfId="75" priority="75">
      <formula>$C811=TODAY()</formula>
    </cfRule>
  </conditionalFormatting>
  <conditionalFormatting sqref="I809:I812">
    <cfRule type="expression" dxfId="74" priority="74">
      <formula>$C809=TODAY()</formula>
    </cfRule>
  </conditionalFormatting>
  <conditionalFormatting sqref="I809:I810">
    <cfRule type="expression" dxfId="73" priority="73">
      <formula>$C809=TODAY()</formula>
    </cfRule>
  </conditionalFormatting>
  <conditionalFormatting sqref="I811:I812">
    <cfRule type="expression" dxfId="72" priority="72">
      <formula>$C811=TODAY()</formula>
    </cfRule>
  </conditionalFormatting>
  <conditionalFormatting sqref="K809:K812">
    <cfRule type="expression" dxfId="71" priority="71">
      <formula>$C809=TODAY()</formula>
    </cfRule>
  </conditionalFormatting>
  <conditionalFormatting sqref="K809:K810">
    <cfRule type="expression" dxfId="70" priority="70">
      <formula>$C809=TODAY()</formula>
    </cfRule>
  </conditionalFormatting>
  <conditionalFormatting sqref="K811:K812">
    <cfRule type="expression" dxfId="69" priority="69">
      <formula>$C811=TODAY()</formula>
    </cfRule>
  </conditionalFormatting>
  <conditionalFormatting sqref="E818:E822 G818:G822 K818:K822 I818:I822">
    <cfRule type="expression" dxfId="68" priority="68">
      <formula>$C818=TODAY()</formula>
    </cfRule>
  </conditionalFormatting>
  <conditionalFormatting sqref="K818:K822 G818:G822 I818:I822">
    <cfRule type="expression" dxfId="67" priority="67">
      <formula>$C818=TODAY()</formula>
    </cfRule>
  </conditionalFormatting>
  <conditionalFormatting sqref="E820:E821">
    <cfRule type="expression" dxfId="66" priority="66">
      <formula>$C820=TODAY()</formula>
    </cfRule>
  </conditionalFormatting>
  <conditionalFormatting sqref="G820:G821">
    <cfRule type="expression" dxfId="65" priority="65">
      <formula>$C820=TODAY()</formula>
    </cfRule>
  </conditionalFormatting>
  <conditionalFormatting sqref="G820:G821">
    <cfRule type="expression" dxfId="64" priority="64">
      <formula>$C820=TODAY()</formula>
    </cfRule>
  </conditionalFormatting>
  <conditionalFormatting sqref="K820:K821">
    <cfRule type="expression" dxfId="63" priority="63">
      <formula>$C820=TODAY()</formula>
    </cfRule>
  </conditionalFormatting>
  <conditionalFormatting sqref="K820:K821">
    <cfRule type="expression" dxfId="62" priority="62">
      <formula>$C820=TODAY()</formula>
    </cfRule>
  </conditionalFormatting>
  <conditionalFormatting sqref="K822 G822">
    <cfRule type="expression" dxfId="61" priority="61">
      <formula>$C822=TODAY()</formula>
    </cfRule>
  </conditionalFormatting>
  <conditionalFormatting sqref="I822">
    <cfRule type="expression" dxfId="60" priority="60">
      <formula>$C822=TODAY()</formula>
    </cfRule>
  </conditionalFormatting>
  <conditionalFormatting sqref="E828:E831">
    <cfRule type="expression" dxfId="59" priority="59">
      <formula>$C828=TODAY()</formula>
    </cfRule>
  </conditionalFormatting>
  <conditionalFormatting sqref="K828:K831 I828:I831 G828:G831">
    <cfRule type="expression" dxfId="58" priority="58">
      <formula>$C828=TODAY()</formula>
    </cfRule>
  </conditionalFormatting>
  <conditionalFormatting sqref="K828:K831 I828:I831 G828:G831">
    <cfRule type="expression" dxfId="57" priority="57">
      <formula>$C828=TODAY()</formula>
    </cfRule>
  </conditionalFormatting>
  <conditionalFormatting sqref="E830:E831">
    <cfRule type="expression" dxfId="56" priority="56">
      <formula>$C830=TODAY()</formula>
    </cfRule>
  </conditionalFormatting>
  <conditionalFormatting sqref="E830:E831">
    <cfRule type="expression" dxfId="55" priority="55">
      <formula>$C830=TODAY()</formula>
    </cfRule>
  </conditionalFormatting>
  <conditionalFormatting sqref="G830:G831">
    <cfRule type="expression" dxfId="54" priority="54">
      <formula>$C830=TODAY()</formula>
    </cfRule>
  </conditionalFormatting>
  <conditionalFormatting sqref="G830:G831">
    <cfRule type="expression" dxfId="53" priority="53">
      <formula>$C830=TODAY()</formula>
    </cfRule>
  </conditionalFormatting>
  <conditionalFormatting sqref="G830:G831">
    <cfRule type="expression" dxfId="52" priority="52">
      <formula>$C830=TODAY()</formula>
    </cfRule>
  </conditionalFormatting>
  <conditionalFormatting sqref="I830:I831">
    <cfRule type="expression" dxfId="51" priority="51">
      <formula>$C830=TODAY()</formula>
    </cfRule>
  </conditionalFormatting>
  <conditionalFormatting sqref="I830:I831">
    <cfRule type="expression" dxfId="50" priority="50">
      <formula>$C830=TODAY()</formula>
    </cfRule>
  </conditionalFormatting>
  <conditionalFormatting sqref="I830:I831">
    <cfRule type="expression" dxfId="49" priority="49">
      <formula>$C830=TODAY()</formula>
    </cfRule>
  </conditionalFormatting>
  <conditionalFormatting sqref="K830:K831">
    <cfRule type="expression" dxfId="48" priority="48">
      <formula>$C830=TODAY()</formula>
    </cfRule>
  </conditionalFormatting>
  <conditionalFormatting sqref="K830:K831">
    <cfRule type="expression" dxfId="47" priority="47">
      <formula>$C830=TODAY()</formula>
    </cfRule>
  </conditionalFormatting>
  <conditionalFormatting sqref="K830:K831">
    <cfRule type="expression" dxfId="46" priority="46">
      <formula>$C830=TODAY()</formula>
    </cfRule>
  </conditionalFormatting>
  <conditionalFormatting sqref="E837">
    <cfRule type="expression" dxfId="45" priority="45">
      <formula>$C837=TODAY()</formula>
    </cfRule>
  </conditionalFormatting>
  <conditionalFormatting sqref="G837">
    <cfRule type="expression" dxfId="44" priority="44">
      <formula>$C837=TODAY()</formula>
    </cfRule>
  </conditionalFormatting>
  <conditionalFormatting sqref="G837">
    <cfRule type="expression" dxfId="43" priority="43">
      <formula>$C837=TODAY()</formula>
    </cfRule>
  </conditionalFormatting>
  <conditionalFormatting sqref="I837">
    <cfRule type="expression" dxfId="42" priority="42">
      <formula>$C837=TODAY()</formula>
    </cfRule>
  </conditionalFormatting>
  <conditionalFormatting sqref="I837">
    <cfRule type="expression" dxfId="41" priority="41">
      <formula>$C837=TODAY()</formula>
    </cfRule>
  </conditionalFormatting>
  <conditionalFormatting sqref="K837">
    <cfRule type="expression" dxfId="40" priority="40">
      <formula>$C837=TODAY()</formula>
    </cfRule>
  </conditionalFormatting>
  <conditionalFormatting sqref="K837">
    <cfRule type="expression" dxfId="39" priority="39">
      <formula>$C837=TODAY()</formula>
    </cfRule>
  </conditionalFormatting>
  <conditionalFormatting sqref="E845:E847">
    <cfRule type="expression" dxfId="38" priority="38">
      <formula>$C845=TODAY()</formula>
    </cfRule>
  </conditionalFormatting>
  <conditionalFormatting sqref="E846:E847">
    <cfRule type="expression" dxfId="37" priority="37">
      <formula>$C846=TODAY()</formula>
    </cfRule>
  </conditionalFormatting>
  <conditionalFormatting sqref="E846:E847">
    <cfRule type="expression" dxfId="36" priority="36">
      <formula>$C846=TODAY()</formula>
    </cfRule>
  </conditionalFormatting>
  <conditionalFormatting sqref="G845:G847">
    <cfRule type="expression" dxfId="35" priority="35">
      <formula>$C845=TODAY()</formula>
    </cfRule>
  </conditionalFormatting>
  <conditionalFormatting sqref="G845:G847">
    <cfRule type="expression" dxfId="34" priority="34">
      <formula>$C845=TODAY()</formula>
    </cfRule>
  </conditionalFormatting>
  <conditionalFormatting sqref="G846:G847">
    <cfRule type="expression" dxfId="33" priority="33">
      <formula>$C846=TODAY()</formula>
    </cfRule>
  </conditionalFormatting>
  <conditionalFormatting sqref="G846:G847">
    <cfRule type="expression" dxfId="32" priority="32">
      <formula>$C846=TODAY()</formula>
    </cfRule>
  </conditionalFormatting>
  <conditionalFormatting sqref="I845:I847">
    <cfRule type="expression" dxfId="31" priority="31">
      <formula>$C845=TODAY()</formula>
    </cfRule>
  </conditionalFormatting>
  <conditionalFormatting sqref="I845:I847">
    <cfRule type="expression" dxfId="30" priority="30">
      <formula>$C845=TODAY()</formula>
    </cfRule>
  </conditionalFormatting>
  <conditionalFormatting sqref="I846:I847">
    <cfRule type="expression" dxfId="29" priority="29">
      <formula>$C846=TODAY()</formula>
    </cfRule>
  </conditionalFormatting>
  <conditionalFormatting sqref="I846:I847">
    <cfRule type="expression" dxfId="28" priority="28">
      <formula>$C846=TODAY()</formula>
    </cfRule>
  </conditionalFormatting>
  <conditionalFormatting sqref="K845:K847">
    <cfRule type="expression" dxfId="27" priority="27">
      <formula>$C845=TODAY()</formula>
    </cfRule>
  </conditionalFormatting>
  <conditionalFormatting sqref="K845:K847">
    <cfRule type="expression" dxfId="26" priority="26">
      <formula>$C845=TODAY()</formula>
    </cfRule>
  </conditionalFormatting>
  <conditionalFormatting sqref="K846:K847">
    <cfRule type="expression" dxfId="25" priority="25">
      <formula>$C846=TODAY()</formula>
    </cfRule>
  </conditionalFormatting>
  <conditionalFormatting sqref="K846:K847">
    <cfRule type="expression" dxfId="24" priority="24">
      <formula>$C846=TODAY()</formula>
    </cfRule>
  </conditionalFormatting>
  <conditionalFormatting sqref="K845:K847">
    <cfRule type="expression" dxfId="23" priority="23">
      <formula>$C845=TODAY()</formula>
    </cfRule>
  </conditionalFormatting>
  <conditionalFormatting sqref="K845:K847">
    <cfRule type="expression" dxfId="22" priority="22">
      <formula>$C845=TODAY()</formula>
    </cfRule>
  </conditionalFormatting>
  <conditionalFormatting sqref="K846:K847">
    <cfRule type="expression" dxfId="21" priority="21">
      <formula>$C846=TODAY()</formula>
    </cfRule>
  </conditionalFormatting>
  <conditionalFormatting sqref="K846:K847">
    <cfRule type="expression" dxfId="20" priority="20">
      <formula>$C846=TODAY()</formula>
    </cfRule>
  </conditionalFormatting>
  <conditionalFormatting sqref="G846">
    <cfRule type="expression" dxfId="19" priority="19">
      <formula>$C846=TODAY()</formula>
    </cfRule>
  </conditionalFormatting>
  <conditionalFormatting sqref="G846">
    <cfRule type="expression" dxfId="18" priority="18">
      <formula>$C846=TODAY()</formula>
    </cfRule>
  </conditionalFormatting>
  <conditionalFormatting sqref="G846">
    <cfRule type="expression" dxfId="17" priority="17">
      <formula>$C846=TODAY()</formula>
    </cfRule>
  </conditionalFormatting>
  <conditionalFormatting sqref="G846">
    <cfRule type="expression" dxfId="16" priority="16">
      <formula>$C846=TODAY()</formula>
    </cfRule>
  </conditionalFormatting>
  <conditionalFormatting sqref="I846">
    <cfRule type="expression" dxfId="15" priority="15">
      <formula>$C846=TODAY()</formula>
    </cfRule>
  </conditionalFormatting>
  <conditionalFormatting sqref="I846">
    <cfRule type="expression" dxfId="14" priority="14">
      <formula>$C846=TODAY()</formula>
    </cfRule>
  </conditionalFormatting>
  <conditionalFormatting sqref="I846">
    <cfRule type="expression" dxfId="13" priority="13">
      <formula>$C846=TODAY()</formula>
    </cfRule>
  </conditionalFormatting>
  <conditionalFormatting sqref="I846">
    <cfRule type="expression" dxfId="12" priority="12">
      <formula>$C846=TODAY()</formula>
    </cfRule>
  </conditionalFormatting>
  <conditionalFormatting sqref="K846">
    <cfRule type="expression" dxfId="11" priority="11">
      <formula>$C846=TODAY()</formula>
    </cfRule>
  </conditionalFormatting>
  <conditionalFormatting sqref="K846">
    <cfRule type="expression" dxfId="10" priority="10">
      <formula>$C846=TODAY()</formula>
    </cfRule>
  </conditionalFormatting>
  <conditionalFormatting sqref="K846">
    <cfRule type="expression" dxfId="9" priority="9">
      <formula>$C846=TODAY()</formula>
    </cfRule>
  </conditionalFormatting>
  <conditionalFormatting sqref="K846">
    <cfRule type="expression" dxfId="8" priority="8">
      <formula>$C846=TODAY()</formula>
    </cfRule>
  </conditionalFormatting>
  <conditionalFormatting sqref="E836">
    <cfRule type="expression" dxfId="7" priority="7">
      <formula>$C836=TODAY()</formula>
    </cfRule>
  </conditionalFormatting>
  <conditionalFormatting sqref="G836">
    <cfRule type="expression" dxfId="6" priority="6">
      <formula>$C836=TODAY()</formula>
    </cfRule>
  </conditionalFormatting>
  <conditionalFormatting sqref="G836">
    <cfRule type="expression" dxfId="5" priority="5">
      <formula>$C836=TODAY()</formula>
    </cfRule>
  </conditionalFormatting>
  <conditionalFormatting sqref="I836">
    <cfRule type="expression" dxfId="4" priority="4">
      <formula>$C836=TODAY()</formula>
    </cfRule>
  </conditionalFormatting>
  <conditionalFormatting sqref="I836">
    <cfRule type="expression" dxfId="3" priority="3">
      <formula>$C836=TODAY()</formula>
    </cfRule>
  </conditionalFormatting>
  <conditionalFormatting sqref="K836">
    <cfRule type="expression" dxfId="2" priority="2">
      <formula>$C836=TODAY()</formula>
    </cfRule>
  </conditionalFormatting>
  <conditionalFormatting sqref="K836">
    <cfRule type="expression" dxfId="1" priority="1">
      <formula>$C836=TODAY()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ПОКОМ</vt:lpstr>
      <vt:lpstr>Останкино</vt:lpstr>
      <vt:lpstr>ПОКОМ!Область_печати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Uaer4</dc:creator>
  <dc:description/>
  <cp:lastModifiedBy>Uaer4</cp:lastModifiedBy>
  <cp:revision>42</cp:revision>
  <cp:lastPrinted>2023-05-26T13:32:13Z</cp:lastPrinted>
  <dcterms:created xsi:type="dcterms:W3CDTF">2015-06-05T18:19:34Z</dcterms:created>
  <dcterms:modified xsi:type="dcterms:W3CDTF">2026-01-07T11:01:37Z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