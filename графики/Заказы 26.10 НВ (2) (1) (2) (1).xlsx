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33F255EF-1834-4E4D-8165-178BF837AD27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ЗПФ" sheetId="6" r:id="rId1"/>
    <sheet name="КИ" sheetId="8" r:id="rId2"/>
    <sheet name="Лист2" sheetId="9" r:id="rId3"/>
  </sheets>
  <externalReferences>
    <externalReference r:id="rId4"/>
  </externalReferences>
  <definedNames>
    <definedName name="_xlnm._FilterDatabase" localSheetId="1" hidden="1">КИ!$A$1:$L$1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8" l="1"/>
  <c r="D14" i="8" l="1"/>
  <c r="O15" i="8" l="1"/>
  <c r="D17" i="8"/>
  <c r="D36" i="8"/>
  <c r="D29" i="8"/>
  <c r="D26" i="8"/>
  <c r="Q35" i="8"/>
  <c r="Q34" i="8"/>
  <c r="Q31" i="8"/>
  <c r="Q30" i="8"/>
  <c r="Q28" i="8"/>
  <c r="Q16" i="8"/>
  <c r="Q22" i="8"/>
  <c r="Q18" i="8"/>
  <c r="Q24" i="8"/>
  <c r="Q15" i="8"/>
  <c r="Q12" i="8"/>
  <c r="Q11" i="8"/>
  <c r="Q8" i="8"/>
  <c r="Q7" i="8"/>
  <c r="Q6" i="8"/>
  <c r="Q3" i="8"/>
  <c r="Q2" i="8"/>
  <c r="D15" i="8"/>
  <c r="D4" i="8" l="1"/>
  <c r="O12" i="8"/>
  <c r="P12" i="8" s="1"/>
  <c r="N31" i="8"/>
  <c r="N24" i="8"/>
  <c r="N7" i="8"/>
  <c r="N3" i="8"/>
  <c r="M16" i="8"/>
  <c r="M18" i="8"/>
  <c r="M12" i="8"/>
  <c r="N8" i="8"/>
  <c r="O8" i="8"/>
  <c r="P8" i="8" s="1"/>
  <c r="M11" i="8"/>
  <c r="O11" i="8"/>
  <c r="P11" i="8" s="1"/>
  <c r="N11" i="8"/>
  <c r="N12" i="8"/>
  <c r="O2" i="8"/>
  <c r="P2" i="8" s="1"/>
  <c r="N2" i="8"/>
  <c r="M3" i="8"/>
  <c r="O3" i="8"/>
  <c r="P3" i="8" s="1"/>
  <c r="M6" i="8"/>
  <c r="O6" i="8"/>
  <c r="P6" i="8" s="1"/>
  <c r="N6" i="8"/>
  <c r="M7" i="8"/>
  <c r="O7" i="8"/>
  <c r="P7" i="8" s="1"/>
  <c r="N22" i="8"/>
  <c r="O22" i="8"/>
  <c r="P22" i="8" s="1"/>
  <c r="M22" i="8"/>
  <c r="M35" i="8"/>
  <c r="M30" i="8"/>
  <c r="M28" i="8"/>
  <c r="M15" i="8"/>
  <c r="M24" i="8"/>
  <c r="O35" i="8"/>
  <c r="P35" i="8" s="1"/>
  <c r="O34" i="8"/>
  <c r="P34" i="8" s="1"/>
  <c r="O30" i="8"/>
  <c r="P30" i="8" s="1"/>
  <c r="O31" i="8"/>
  <c r="P31" i="8" s="1"/>
  <c r="O28" i="8"/>
  <c r="P28" i="8" s="1"/>
  <c r="O24" i="8"/>
  <c r="P24" i="8" s="1"/>
  <c r="O16" i="8"/>
  <c r="P16" i="8" s="1"/>
  <c r="P15" i="8"/>
  <c r="O18" i="8"/>
  <c r="P18" i="8" s="1"/>
  <c r="P20" i="8" s="1"/>
  <c r="N35" i="8"/>
  <c r="N34" i="8"/>
  <c r="N30" i="8"/>
  <c r="N28" i="8"/>
  <c r="N16" i="8"/>
  <c r="N15" i="8"/>
  <c r="N18" i="8"/>
  <c r="P26" i="8" l="1"/>
  <c r="P32" i="8"/>
  <c r="P14" i="8"/>
  <c r="P10" i="8"/>
  <c r="K15" i="9"/>
  <c r="K14" i="9"/>
  <c r="K13" i="9"/>
  <c r="K12" i="9"/>
  <c r="K11" i="9"/>
  <c r="K10" i="9"/>
  <c r="K9" i="9"/>
  <c r="K8" i="9"/>
  <c r="K7" i="9"/>
  <c r="K6" i="9"/>
  <c r="K5" i="9"/>
  <c r="K4" i="9"/>
  <c r="K3" i="9"/>
  <c r="K1" i="9"/>
  <c r="E9" i="6" l="1"/>
  <c r="D9" i="6"/>
  <c r="E7" i="6"/>
  <c r="D7" i="6"/>
  <c r="E5" i="6"/>
  <c r="D5" i="6"/>
  <c r="D20" i="8"/>
  <c r="D32" i="8"/>
</calcChain>
</file>

<file path=xl/sharedStrings.xml><?xml version="1.0" encoding="utf-8"?>
<sst xmlns="http://schemas.openxmlformats.org/spreadsheetml/2006/main" count="348" uniqueCount="93">
  <si>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</si>
  <si>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</si>
  <si>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</si>
  <si>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</si>
  <si>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</si>
  <si>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</si>
  <si>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</si>
  <si>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</si>
  <si>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</si>
  <si>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</si>
  <si>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</si>
  <si>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</si>
  <si>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Нет</t>
  </si>
  <si>
    <t>НВТрояны</t>
  </si>
  <si>
    <t>Фин.контроль пройден</t>
  </si>
  <si>
    <t>00:10:00</t>
  </si>
  <si>
    <t>Мариуполь</t>
  </si>
  <si>
    <t>Мелитополь</t>
  </si>
  <si>
    <t>Донецк</t>
  </si>
  <si>
    <t>Луганск</t>
  </si>
  <si>
    <t>10:00:00</t>
  </si>
  <si>
    <t>Итого:</t>
  </si>
  <si>
    <t>Бердянск</t>
  </si>
  <si>
    <t>6339221</t>
  </si>
  <si>
    <t>6339273</t>
  </si>
  <si>
    <t>6339276</t>
  </si>
  <si>
    <t>6339303</t>
  </si>
  <si>
    <t>6339353</t>
  </si>
  <si>
    <t>6339354</t>
  </si>
  <si>
    <t>6339355</t>
  </si>
  <si>
    <t>6340048</t>
  </si>
  <si>
    <t>16:00:00</t>
  </si>
  <si>
    <t>6340144</t>
  </si>
  <si>
    <t>6340174</t>
  </si>
  <si>
    <t>6340194</t>
  </si>
  <si>
    <t>6340213</t>
  </si>
  <si>
    <t>6340223</t>
  </si>
  <si>
    <t>6340224</t>
  </si>
  <si>
    <t>6340381</t>
  </si>
  <si>
    <t>6340383</t>
  </si>
  <si>
    <t>6340384</t>
  </si>
  <si>
    <t>6340435</t>
  </si>
  <si>
    <t>6340436</t>
  </si>
  <si>
    <t>6340437</t>
  </si>
  <si>
    <t>6340439</t>
  </si>
  <si>
    <t>12:00:00</t>
  </si>
  <si>
    <t>6340442</t>
  </si>
  <si>
    <t>11:00:00</t>
  </si>
  <si>
    <t>КИ</t>
  </si>
  <si>
    <t>26,10,26</t>
  </si>
  <si>
    <t>НВ</t>
  </si>
  <si>
    <t>ЗПФ</t>
  </si>
  <si>
    <t>27,10,26</t>
  </si>
  <si>
    <t>TSO001141577</t>
  </si>
  <si>
    <t>TSO001140851</t>
  </si>
  <si>
    <t>TSO001140852</t>
  </si>
  <si>
    <t>НВМелСемен</t>
  </si>
  <si>
    <t>TSO001140871</t>
  </si>
  <si>
    <t>TSO001140859</t>
  </si>
  <si>
    <t>НВДонецЧаа</t>
  </si>
  <si>
    <t>TSO001140858</t>
  </si>
  <si>
    <t>TSO001140860</t>
  </si>
  <si>
    <t>TSO001141584</t>
  </si>
  <si>
    <t>TSO001141576</t>
  </si>
  <si>
    <t>TSO001141596</t>
  </si>
  <si>
    <t>НВЛугРабоч</t>
  </si>
  <si>
    <t>TSO001141581</t>
  </si>
  <si>
    <t>НВМарКупр</t>
  </si>
  <si>
    <t>TSO001141615</t>
  </si>
  <si>
    <t>TSO001141618</t>
  </si>
  <si>
    <t>TSO001141626</t>
  </si>
  <si>
    <t>TSO001141631</t>
  </si>
  <si>
    <t>TSO001141614</t>
  </si>
  <si>
    <t>TSO001140853</t>
  </si>
  <si>
    <t>-</t>
  </si>
  <si>
    <t>TSO001141671</t>
  </si>
  <si>
    <t>TSO001141667</t>
  </si>
  <si>
    <t>TSO001141676</t>
  </si>
  <si>
    <t>TSO001141681</t>
  </si>
  <si>
    <t>TSO001141686</t>
  </si>
  <si>
    <t>ОПТ</t>
  </si>
  <si>
    <t>недогруз</t>
  </si>
  <si>
    <t>TSO001140870</t>
  </si>
  <si>
    <t>КСК</t>
  </si>
  <si>
    <t>урезание</t>
  </si>
  <si>
    <t>TSO001141585</t>
  </si>
  <si>
    <t>дозаказ</t>
  </si>
  <si>
    <t>ЛП</t>
  </si>
  <si>
    <t>TSO001141619</t>
  </si>
  <si>
    <t>TSO001141623</t>
  </si>
  <si>
    <t>30 паллет / будет догруз</t>
  </si>
  <si>
    <t>31 паллет / будет догруз</t>
  </si>
  <si>
    <t>не забрали - ОТМЕНИТЬ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</si>
</sst>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0.0_ ;[Red]\-0.0\ 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name val="Arial"/>
      <family val="2"/>
    </font>
    <font>
      <sz val="14"/>
      <color rgb="FF000000"/>
      <name val="Calibri"/>
      <family val="2"/>
      <charset val="1"/>
    </font>
    <font>
      <b/>
      <sz val="11"/>
      <color rgb="FFFF0000"/>
      <name val="Calibri"/>
      <family val="2"/>
      <charset val="20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</cellStyleXfs>
  <cellXfs count="103">
    <xf numFmtId="0" fontId="0" fillId="0" borderId="0" xfId="0"/>
    <xf numFmtId="164" fontId="0" fillId="0" borderId="0" xfId="0" applyNumberFormat="1"/>
    <xf numFmtId="0" fontId="21" fillId="34" borderId="12" xfId="0" applyFont="1" applyFill="1" applyBorder="1" applyAlignment="1">
      <alignment horizontal="center" vertical="center"/>
    </xf>
    <xf numFmtId="20" fontId="21" fillId="33" borderId="15" xfId="0" applyNumberFormat="1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vertical="center"/>
    </xf>
    <xf numFmtId="20" fontId="21" fillId="33" borderId="23" xfId="0" applyNumberFormat="1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4" borderId="19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vertical="center"/>
    </xf>
    <xf numFmtId="20" fontId="21" fillId="33" borderId="14" xfId="0" applyNumberFormat="1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vertical="center"/>
    </xf>
    <xf numFmtId="0" fontId="21" fillId="33" borderId="24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20" fontId="21" fillId="34" borderId="14" xfId="0" applyNumberFormat="1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vertical="center"/>
    </xf>
    <xf numFmtId="0" fontId="18" fillId="0" borderId="22" xfId="42" applyBorder="1"/>
    <xf numFmtId="14" fontId="18" fillId="0" borderId="22" xfId="42" applyNumberFormat="1" applyBorder="1"/>
    <xf numFmtId="0" fontId="21" fillId="34" borderId="11" xfId="0" applyFont="1" applyFill="1" applyBorder="1" applyAlignment="1">
      <alignment vertical="center"/>
    </xf>
    <xf numFmtId="0" fontId="21" fillId="34" borderId="11" xfId="0" applyFont="1" applyFill="1" applyBorder="1" applyAlignment="1">
      <alignment horizontal="center" vertical="center"/>
    </xf>
    <xf numFmtId="20" fontId="21" fillId="34" borderId="23" xfId="0" applyNumberFormat="1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vertical="center"/>
    </xf>
    <xf numFmtId="0" fontId="21" fillId="33" borderId="13" xfId="0" applyFont="1" applyFill="1" applyBorder="1" applyAlignment="1">
      <alignment horizontal="center" vertical="center"/>
    </xf>
    <xf numFmtId="20" fontId="21" fillId="33" borderId="17" xfId="0" applyNumberFormat="1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 vertical="center"/>
    </xf>
    <xf numFmtId="164" fontId="18" fillId="0" borderId="22" xfId="42" applyNumberFormat="1" applyBorder="1"/>
    <xf numFmtId="0" fontId="18" fillId="0" borderId="21" xfId="42" applyBorder="1"/>
    <xf numFmtId="164" fontId="18" fillId="0" borderId="21" xfId="42" applyNumberFormat="1" applyBorder="1"/>
    <xf numFmtId="14" fontId="18" fillId="0" borderId="21" xfId="42" applyNumberFormat="1" applyBorder="1"/>
    <xf numFmtId="0" fontId="0" fillId="0" borderId="21" xfId="0" applyBorder="1"/>
    <xf numFmtId="0" fontId="19" fillId="0" borderId="21" xfId="42" applyFont="1" applyBorder="1" applyAlignment="1">
      <alignment horizontal="center" vertical="center" wrapText="1"/>
    </xf>
    <xf numFmtId="0" fontId="19" fillId="0" borderId="21" xfId="42" quotePrefix="1" applyFont="1" applyBorder="1" applyAlignment="1">
      <alignment horizontal="center" vertical="center" wrapText="1"/>
    </xf>
    <xf numFmtId="164" fontId="19" fillId="0" borderId="21" xfId="42" applyNumberFormat="1" applyFont="1" applyFill="1" applyBorder="1" applyAlignment="1">
      <alignment horizontal="center" vertical="center" wrapText="1"/>
    </xf>
    <xf numFmtId="0" fontId="19" fillId="0" borderId="21" xfId="42" applyFont="1" applyFill="1" applyBorder="1" applyAlignment="1">
      <alignment horizontal="center" vertical="center" wrapText="1"/>
    </xf>
    <xf numFmtId="165" fontId="0" fillId="0" borderId="0" xfId="0" applyNumberFormat="1"/>
    <xf numFmtId="0" fontId="0" fillId="35" borderId="0" xfId="0" applyFill="1"/>
    <xf numFmtId="0" fontId="0" fillId="36" borderId="0" xfId="0" applyFill="1"/>
    <xf numFmtId="0" fontId="19" fillId="0" borderId="25" xfId="42" applyFont="1" applyBorder="1" applyAlignment="1">
      <alignment horizontal="center" vertical="center" wrapText="1"/>
    </xf>
    <xf numFmtId="0" fontId="19" fillId="0" borderId="25" xfId="42" quotePrefix="1" applyFont="1" applyBorder="1" applyAlignment="1">
      <alignment horizontal="center" vertical="center" wrapText="1"/>
    </xf>
    <xf numFmtId="164" fontId="19" fillId="0" borderId="25" xfId="42" applyNumberFormat="1" applyFont="1" applyFill="1" applyBorder="1" applyAlignment="1">
      <alignment horizontal="center" vertical="center" wrapText="1"/>
    </xf>
    <xf numFmtId="0" fontId="19" fillId="0" borderId="25" xfId="42" applyFont="1" applyFill="1" applyBorder="1" applyAlignment="1">
      <alignment horizontal="center" vertical="center" wrapText="1"/>
    </xf>
    <xf numFmtId="0" fontId="18" fillId="0" borderId="26" xfId="42" applyBorder="1"/>
    <xf numFmtId="0" fontId="18" fillId="0" borderId="13" xfId="42" applyBorder="1"/>
    <xf numFmtId="164" fontId="18" fillId="0" borderId="13" xfId="42" applyNumberFormat="1" applyBorder="1"/>
    <xf numFmtId="14" fontId="18" fillId="0" borderId="13" xfId="42" applyNumberFormat="1" applyBorder="1"/>
    <xf numFmtId="0" fontId="0" fillId="0" borderId="27" xfId="0" applyBorder="1"/>
    <xf numFmtId="165" fontId="0" fillId="0" borderId="27" xfId="0" applyNumberFormat="1" applyBorder="1"/>
    <xf numFmtId="0" fontId="0" fillId="0" borderId="28" xfId="0" applyBorder="1"/>
    <xf numFmtId="0" fontId="18" fillId="0" borderId="29" xfId="42" applyBorder="1"/>
    <xf numFmtId="0" fontId="18" fillId="0" borderId="30" xfId="42" applyBorder="1"/>
    <xf numFmtId="164" fontId="18" fillId="0" borderId="30" xfId="42" applyNumberFormat="1" applyBorder="1"/>
    <xf numFmtId="14" fontId="18" fillId="0" borderId="30" xfId="42" applyNumberFormat="1" applyBorder="1"/>
    <xf numFmtId="0" fontId="0" fillId="0" borderId="31" xfId="0" applyBorder="1"/>
    <xf numFmtId="165" fontId="0" fillId="0" borderId="31" xfId="0" applyNumberFormat="1" applyBorder="1"/>
    <xf numFmtId="0" fontId="0" fillId="0" borderId="32" xfId="0" applyBorder="1"/>
    <xf numFmtId="0" fontId="18" fillId="0" borderId="34" xfId="42" applyBorder="1"/>
    <xf numFmtId="164" fontId="18" fillId="0" borderId="34" xfId="42" applyNumberFormat="1" applyBorder="1"/>
    <xf numFmtId="14" fontId="18" fillId="0" borderId="34" xfId="42" applyNumberFormat="1" applyBorder="1"/>
    <xf numFmtId="0" fontId="18" fillId="0" borderId="35" xfId="42" applyBorder="1"/>
    <xf numFmtId="0" fontId="0" fillId="0" borderId="0" xfId="0" applyBorder="1"/>
    <xf numFmtId="165" fontId="0" fillId="0" borderId="0" xfId="0" applyNumberFormat="1" applyBorder="1"/>
    <xf numFmtId="0" fontId="0" fillId="0" borderId="36" xfId="0" applyBorder="1"/>
    <xf numFmtId="0" fontId="18" fillId="35" borderId="26" xfId="42" applyFill="1" applyBorder="1"/>
    <xf numFmtId="0" fontId="18" fillId="35" borderId="13" xfId="42" applyFill="1" applyBorder="1"/>
    <xf numFmtId="164" fontId="18" fillId="35" borderId="13" xfId="42" applyNumberFormat="1" applyFill="1" applyBorder="1"/>
    <xf numFmtId="14" fontId="18" fillId="35" borderId="13" xfId="42" applyNumberFormat="1" applyFill="1" applyBorder="1"/>
    <xf numFmtId="0" fontId="0" fillId="35" borderId="27" xfId="0" applyFill="1" applyBorder="1"/>
    <xf numFmtId="165" fontId="0" fillId="35" borderId="27" xfId="0" applyNumberFormat="1" applyFill="1" applyBorder="1"/>
    <xf numFmtId="0" fontId="0" fillId="35" borderId="28" xfId="0" applyFill="1" applyBorder="1"/>
    <xf numFmtId="0" fontId="18" fillId="0" borderId="34" xfId="42" applyFill="1" applyBorder="1"/>
    <xf numFmtId="164" fontId="18" fillId="0" borderId="34" xfId="42" applyNumberFormat="1" applyFill="1" applyBorder="1"/>
    <xf numFmtId="14" fontId="18" fillId="0" borderId="34" xfId="42" applyNumberFormat="1" applyFill="1" applyBorder="1"/>
    <xf numFmtId="0" fontId="18" fillId="36" borderId="29" xfId="42" applyFill="1" applyBorder="1"/>
    <xf numFmtId="0" fontId="18" fillId="36" borderId="30" xfId="42" applyFill="1" applyBorder="1"/>
    <xf numFmtId="164" fontId="18" fillId="36" borderId="30" xfId="42" applyNumberFormat="1" applyFill="1" applyBorder="1"/>
    <xf numFmtId="14" fontId="18" fillId="36" borderId="30" xfId="42" applyNumberFormat="1" applyFill="1" applyBorder="1"/>
    <xf numFmtId="0" fontId="0" fillId="36" borderId="31" xfId="0" applyFill="1" applyBorder="1"/>
    <xf numFmtId="165" fontId="0" fillId="36" borderId="31" xfId="0" applyNumberFormat="1" applyFill="1" applyBorder="1"/>
    <xf numFmtId="0" fontId="0" fillId="36" borderId="32" xfId="0" applyFill="1" applyBorder="1"/>
    <xf numFmtId="0" fontId="0" fillId="0" borderId="11" xfId="0" applyBorder="1"/>
    <xf numFmtId="164" fontId="0" fillId="0" borderId="11" xfId="0" applyNumberFormat="1" applyBorder="1"/>
    <xf numFmtId="0" fontId="18" fillId="37" borderId="34" xfId="42" applyFill="1" applyBorder="1"/>
    <xf numFmtId="0" fontId="18" fillId="38" borderId="34" xfId="42" applyFill="1" applyBorder="1"/>
    <xf numFmtId="0" fontId="18" fillId="36" borderId="35" xfId="42" applyFill="1" applyBorder="1"/>
    <xf numFmtId="0" fontId="18" fillId="36" borderId="22" xfId="42" applyFill="1" applyBorder="1"/>
    <xf numFmtId="164" fontId="18" fillId="36" borderId="22" xfId="42" applyNumberFormat="1" applyFill="1" applyBorder="1"/>
    <xf numFmtId="14" fontId="18" fillId="36" borderId="22" xfId="42" applyNumberFormat="1" applyFill="1" applyBorder="1"/>
    <xf numFmtId="0" fontId="0" fillId="36" borderId="0" xfId="0" applyFill="1" applyBorder="1"/>
    <xf numFmtId="165" fontId="0" fillId="36" borderId="0" xfId="0" applyNumberFormat="1" applyFill="1" applyBorder="1"/>
    <xf numFmtId="0" fontId="0" fillId="36" borderId="36" xfId="0" applyFill="1" applyBorder="1"/>
    <xf numFmtId="0" fontId="18" fillId="0" borderId="21" xfId="42" applyBorder="1" applyAlignment="1">
      <alignment horizontal="center"/>
    </xf>
    <xf numFmtId="0" fontId="0" fillId="0" borderId="0" xfId="0" applyAlignment="1">
      <alignment horizontal="left" vertical="center"/>
    </xf>
    <xf numFmtId="0" fontId="18" fillId="0" borderId="20" xfId="42" applyFill="1" applyBorder="1" applyAlignment="1">
      <alignment horizontal="center"/>
    </xf>
    <xf numFmtId="0" fontId="18" fillId="0" borderId="33" xfId="42" applyFill="1" applyBorder="1" applyAlignment="1">
      <alignment horizontal="center"/>
    </xf>
    <xf numFmtId="0" fontId="18" fillId="0" borderId="11" xfId="42" applyFill="1" applyBorder="1" applyAlignment="1">
      <alignment horizontal="center"/>
    </xf>
    <xf numFmtId="0" fontId="18" fillId="0" borderId="34" xfId="42" applyFill="1" applyBorder="1" applyAlignment="1">
      <alignment horizontal="center"/>
    </xf>
    <xf numFmtId="0" fontId="21" fillId="33" borderId="18" xfId="0" applyFont="1" applyFill="1" applyBorder="1" applyAlignment="1">
      <alignment horizontal="center" vertical="center"/>
    </xf>
    <xf numFmtId="0" fontId="21" fillId="33" borderId="19" xfId="0" applyFont="1" applyFill="1" applyBorder="1" applyAlignment="1">
      <alignment horizontal="center" vertical="center"/>
    </xf>
    <xf numFmtId="0" fontId="21" fillId="34" borderId="18" xfId="0" applyFont="1" applyFill="1" applyBorder="1" applyAlignment="1">
      <alignment horizontal="center" vertical="center"/>
    </xf>
    <xf numFmtId="0" fontId="21" fillId="34" borderId="19" xfId="0" applyFont="1" applyFill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vertical="center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Обычный 3" xfId="43" xr:uid="{00000000-0005-0000-0000-000025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5;&#1088;&#1072;&#1092;&#1080;&#1082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O2" t="str">
            <v>TS</v>
          </cell>
          <cell r="P2" t="str">
            <v>накладные</v>
          </cell>
          <cell r="Q2" t="str">
            <v>накладные</v>
          </cell>
          <cell r="R2" t="str">
            <v>накладные</v>
          </cell>
        </row>
        <row r="6525">
          <cell r="P6525" t="str">
            <v>ООО ЛП Тс130781-26 26.06.2026 Пенза 18132кг (Абраменко)</v>
          </cell>
        </row>
        <row r="6528">
          <cell r="P6528" t="str">
            <v>ООО КСК ТРЕЙД Тс132931-26 27.06.2026 Крым 17111кг (Исаков)</v>
          </cell>
        </row>
        <row r="6529">
          <cell r="P6529" t="str">
            <v>ООО КСК ТРЕЙД Тс132923-26 27.06.2026 Крым 16829кг (Мазур)</v>
          </cell>
        </row>
        <row r="6530">
          <cell r="P6530" t="str">
            <v>ООО ЛП Тс132192-26 27.06.2026 Коныгин 10218кг (Галкин)</v>
          </cell>
        </row>
        <row r="6531">
          <cell r="P6531" t="str">
            <v>ООО ЛП Тс132218-26 27.06.2026 Обрыньба 7718кг (Галкин)</v>
          </cell>
        </row>
        <row r="6532">
          <cell r="P6532" t="str">
            <v>ООО КСК ТРЕЙД Тс132187-26 26.06.2026 Крым 13075кг (Монаков)</v>
          </cell>
        </row>
        <row r="6533">
          <cell r="P6533" t="str">
            <v>ООО КСК ТРЕЙД Тс133000-26 27.06.2026 Крым 17825кг (Ковальчук)</v>
          </cell>
        </row>
        <row r="6534">
          <cell r="P6534" t="str">
            <v>ООО КСК ТРЕЙД Тс133033-26 28.06.2026 Крым 17816кг (Хохлов)</v>
          </cell>
        </row>
        <row r="6535">
          <cell r="P6535" t="str">
            <v>ООО НВ Тс132451-26 29.06.2026 Мелитополь 7689кг (Максимов)</v>
          </cell>
        </row>
        <row r="6536">
          <cell r="P6536" t="str">
            <v>ООО НВ Тс132465-26 29.06.2026 Павленко 5870кг (Максимов)</v>
          </cell>
        </row>
        <row r="6537">
          <cell r="P6537" t="str">
            <v>ООО НВ Тс132463-26 29.06.2026 Бердянск 17371кг (Акшонин)</v>
          </cell>
        </row>
        <row r="6538">
          <cell r="P6538" t="str">
            <v>ООО НВ Тс132437-26 27.06.2026 Донецк 17285кг (Медведь)</v>
          </cell>
        </row>
        <row r="6539">
          <cell r="P6539" t="str">
            <v>ООО ЛП Тс132774-26 27.06.2026 Малахутин 15350кг (Рева)</v>
          </cell>
        </row>
        <row r="6540">
          <cell r="P6540" t="str">
            <v>ООО ЛП Тс132954-26 28.06.2026 СПБ 9461кг (Хинько)</v>
          </cell>
        </row>
        <row r="6541">
          <cell r="P6541" t="str">
            <v>ООО КСК ТРЕЙД Тс132974-26 28.06.2026 Крым 16250кг (Гусев)</v>
          </cell>
        </row>
        <row r="6542">
          <cell r="P6542" t="str">
            <v>ООО КСК ТРЕЙД Тс132959-26 28.06.2026 Николаенко 1297кг (Гусев)</v>
          </cell>
        </row>
        <row r="6543">
          <cell r="P6543" t="str">
            <v>ООО НВ Тс134374-26 29.06.2026 Луганск 8218кг (Решетников)</v>
          </cell>
        </row>
        <row r="6544">
          <cell r="P6544" t="str">
            <v>ООО НВ Тс134369-26 29.06.2026 Горняк-Горловка 1502кг (Решетников)</v>
          </cell>
        </row>
        <row r="6545">
          <cell r="P6545" t="str">
            <v>ООО НВ Тс134371-26 29.06.2026 Горняк-Луганск 8012кг (Решетников)</v>
          </cell>
        </row>
        <row r="6546">
          <cell r="P6546" t="str">
            <v>ООО НВ Тс134372-26 29.06.2026 Донецк 12428кг (Жабкин)</v>
          </cell>
        </row>
        <row r="6547">
          <cell r="P6547" t="str">
            <v>ООО НВ Тс134373-26 29.06.2026 Бутырин 1694кг (Жабкин)</v>
          </cell>
        </row>
        <row r="6548">
          <cell r="P6548" t="str">
            <v>ООО ЛП Тс132961-26 29.06.2026 ПРС 2870кг (Жабкин)</v>
          </cell>
        </row>
        <row r="6549">
          <cell r="P6549" t="str">
            <v>ООО КСК ТРЕЙД Тс134009-26 29.06.2026 Крым 17522кг (Евсеев)</v>
          </cell>
        </row>
        <row r="6550">
          <cell r="P6550" t="str">
            <v>ООО КСК ТРЕЙД Тс134012-26 30.06.2026 Крым 17192кг (Хинько)</v>
          </cell>
        </row>
        <row r="6551">
          <cell r="P6551" t="str">
            <v>ООО ЛП Тс133563-26 28.06.2026 ПРС 10284кг (Голубев)</v>
          </cell>
        </row>
        <row r="6552">
          <cell r="P6552" t="str">
            <v>ООО ЛП Тс133981-26 30.06.2026 Орёл 4608кг (Шолев)</v>
          </cell>
        </row>
        <row r="6553">
          <cell r="P6553" t="str">
            <v>ООО ЛП Тс133978-26 30.06.2026 Орёл 4380кг (Шолев)</v>
          </cell>
        </row>
        <row r="6554">
          <cell r="P6554" t="str">
            <v>ООО ЛП Тс133975-26 30.06.2026 Орёл 3981кг (Шолев)</v>
          </cell>
        </row>
        <row r="6555">
          <cell r="P6555" t="str">
            <v>ООО НВ Тс133623-26 30.06.2026 Луганск 10358кг (Ступак)</v>
          </cell>
        </row>
        <row r="6556">
          <cell r="P6556" t="str">
            <v>ООО ЛП Тс133696-26 30.06.2026 Коныгин 2163кг (Ступак)</v>
          </cell>
        </row>
        <row r="6557">
          <cell r="P6557" t="str">
            <v>отмена</v>
          </cell>
        </row>
        <row r="6558">
          <cell r="P6558" t="str">
            <v>ООО НВ Тс133689-26 29.06.2026 Донецк 11482кг (Милов)</v>
          </cell>
        </row>
        <row r="6559">
          <cell r="P6559" t="str">
            <v>отмена</v>
          </cell>
        </row>
        <row r="6560">
          <cell r="P6560" t="str">
            <v>ООО НВ Тс134370-26 03.07.2026 Бердянск 7253кг (Дьяченков)</v>
          </cell>
        </row>
        <row r="6561">
          <cell r="P6561" t="str">
            <v>ООО НВ Тс134368-26 03.07.2026 Аист 4942кг (Дьяченков)</v>
          </cell>
        </row>
        <row r="6562">
          <cell r="P6562" t="str">
            <v>ООО НВ Тс134087-26 30.06.2026 Горняк-Донецк 11669кг (Бедик)</v>
          </cell>
        </row>
        <row r="6563">
          <cell r="P6563" t="str">
            <v>ООО НВ Тс134124-26 29.06.2026 Бердянск 15346кг (Сарва)</v>
          </cell>
        </row>
        <row r="6564">
          <cell r="P6564" t="str">
            <v>ООО НВ Тс134123-26 30.06.2026 Донецк 16415кг (Новожилов)</v>
          </cell>
        </row>
        <row r="6565">
          <cell r="P6565" t="str">
            <v>ООО НВ Тс134153-26 30.06.2026 Донецк 14520кг (Кокшин)</v>
          </cell>
        </row>
        <row r="6566">
          <cell r="P6566" t="str">
            <v>ООО НВ Тс134140-26 01.07.2026 Мелитополь 13209кг (Ацапкин)</v>
          </cell>
        </row>
        <row r="6567">
          <cell r="P6567" t="str">
            <v>ООО НВ Тс134126-26 02.07.2026 Донецк 9014кг (Юдин)</v>
          </cell>
        </row>
        <row r="6568">
          <cell r="P6568" t="str">
            <v>ООО ЛП Тс134037-26 02.07.2026 НПК 7638кг (Юдин)</v>
          </cell>
        </row>
        <row r="6569">
          <cell r="P6569" t="str">
            <v>ООО НВ Тс134167-26 03.07.2026 Луганск 17557кг (Шилкин)</v>
          </cell>
        </row>
        <row r="6570">
          <cell r="P6570" t="str">
            <v>ООО ЛП Тс134337-26 05.07.2026 Кочевой 17875кг (Фролов)</v>
          </cell>
        </row>
        <row r="6571">
          <cell r="P6571" t="str">
            <v>ООО ЛП Тс135079-26 02.07.2026 Бычков№2 1278кг (Клишнев)</v>
          </cell>
        </row>
        <row r="6572">
          <cell r="P6572" t="str">
            <v>ООО ЛП Тс135124-26 02.07.2026 Бычков№1 10353кг (Клишнев)</v>
          </cell>
        </row>
        <row r="6573">
          <cell r="P6573" t="str">
            <v>ООО ЛП Тс138025-26 02.07.2026 Пушкарный 16638кг (Резанов)</v>
          </cell>
        </row>
        <row r="6574">
          <cell r="P6574" t="str">
            <v>ООО ЛП Тс138077-26 02.07.2026 Пушкарный 18173кг (Терещенко)</v>
          </cell>
        </row>
        <row r="6575">
          <cell r="P6575" t="str">
            <v>ООО ЛП Тс136865-26 02.07.2026 Сочи 18013кг (Хохлов)</v>
          </cell>
        </row>
        <row r="6576">
          <cell r="P6576" t="str">
            <v>ООО ЛП Тс138036-26 03.07.2026 Пушкарный 17011кг (Агафонов)</v>
          </cell>
        </row>
        <row r="6577">
          <cell r="P6577" t="str">
            <v>ООО ЛП Тс138050-26 02.07.2026 Пенза 18033кг (Абраменко)</v>
          </cell>
        </row>
        <row r="6578">
          <cell r="P6578" t="str">
            <v>ООО КСК ТРЕЙД Тс138100-26 03.07.2026 ПУД 9969кг (Дворядкин)</v>
          </cell>
        </row>
        <row r="6579">
          <cell r="P6579" t="str">
            <v>ООО КСК ТРЕЙД Тс138830-26 03.07.2026 Крым2 1719кг (Дворядкин)</v>
          </cell>
        </row>
        <row r="6580">
          <cell r="P6580" t="str">
            <v>ООО КСК ТРЕЙД Тс138068-26 03.07.2026 Крым 5313кг (Дворядкин)</v>
          </cell>
        </row>
        <row r="6581">
          <cell r="P6581" t="str">
            <v>ООО КСК ТРЕЙД Тс138049-26 04.07.2026 Крым 11982кг (Амелин)</v>
          </cell>
        </row>
        <row r="6582">
          <cell r="P6582" t="str">
            <v>ООО КСК ТРЕЙД Тс138831-26 04.07.2026 Крым2 3519кг (Амелин)</v>
          </cell>
        </row>
        <row r="6583">
          <cell r="P6583" t="str">
            <v>ООО КСК ТРЕЙД Тс138053-26 04.07.2026 Крым-торг 1369кг (Амелин)</v>
          </cell>
        </row>
        <row r="6584">
          <cell r="P6584" t="str">
            <v>ООО КСК ТРЕЙД Тс138088-26 05.07.2026 Крым 16876кг (Лихобабин)</v>
          </cell>
        </row>
        <row r="6585">
          <cell r="P6585" t="str">
            <v>ООО ЛП Тс137827-26 04.07.2026 Пушкарный 3869кг (Грушецкий)</v>
          </cell>
        </row>
        <row r="6586">
          <cell r="P6586" t="str">
            <v>ООО ЛП Тс138063-26 04.07.2026 Коныгин 9060кг (Грушецкий)</v>
          </cell>
        </row>
        <row r="6587">
          <cell r="P6587" t="str">
            <v>ООО НВ ЮТс-03100-26 08.07.2026 Павленко 9582кг (Воронов)</v>
          </cell>
        </row>
        <row r="6588">
          <cell r="P6588" t="str">
            <v>ООО КСК ТРЕЙД ЮТс-03081-26 04.07.2026 Крым 11917кг (Митин)</v>
          </cell>
        </row>
        <row r="6589">
          <cell r="P6589" t="str">
            <v>ООО НВ Тс138042-26 04.07.2026 Донецк 17404кг (Медведь)</v>
          </cell>
        </row>
        <row r="6590">
          <cell r="P6590" t="str">
            <v>ООО НВ Тс138070-26 04.07.2026 Донецк2 240кг (Медведь)</v>
          </cell>
        </row>
        <row r="6591">
          <cell r="P6591" t="str">
            <v>ООО НВ Тс138054-26 04.07.2026 Луганск 16954кг (Васильченко)</v>
          </cell>
        </row>
        <row r="6592">
          <cell r="P6592" t="str">
            <v>ООО КСК ТРЕЙД Тс139047-26 05.07.2026 Николаенко 1045кг (Ислюков)</v>
          </cell>
        </row>
        <row r="6593">
          <cell r="P6593" t="str">
            <v>ООО КСК ТРЕЙД Тс139046-26 05.07.2026 Крым 15515кг (Ислюков)</v>
          </cell>
        </row>
        <row r="6594">
          <cell r="P6594" t="str">
            <v>ООО НВ Тс138941-26 05.07.2026 Мелитополь 17443кг (Смолёв)</v>
          </cell>
        </row>
        <row r="6595">
          <cell r="P6595" t="str">
            <v>ООО ЛП Тс138841-26 05.07.2026 Кочевой 6201кг (Жабкин)</v>
          </cell>
        </row>
        <row r="6596">
          <cell r="P6596" t="str">
            <v>ООО ЛП Тс138865-26 05.07.2026 ПРС 1908кг (Жабкин)</v>
          </cell>
        </row>
        <row r="6597">
          <cell r="P6597" t="str">
            <v>ООО НВ Тс138927-26 05.07.2026 Бутырин 1551кг (Жабкин)</v>
          </cell>
        </row>
        <row r="6598">
          <cell r="P6598" t="str">
            <v>ООО НВ Тс138939-26 05.07.2026 Донецк 6992кг (Жабкин)</v>
          </cell>
        </row>
        <row r="6599">
          <cell r="P6599" t="str">
            <v>ООО НВ Тс138940-26 05.07.2026 Кочевой 666кг (Жабкин)</v>
          </cell>
        </row>
        <row r="6600">
          <cell r="P6600" t="str">
            <v>ООО КСК ТРЕЙД ЮТс-03112-26 05.07.2026 Крым 10966кг (Гулаков)</v>
          </cell>
        </row>
        <row r="6601">
          <cell r="P6601" t="str">
            <v>ООО КСК ТРЕЙД Тс139603-26 07.07.2026 Вердиева 2818кг (Хинько)</v>
          </cell>
        </row>
        <row r="6602">
          <cell r="P6602" t="str">
            <v>ООО КСК ТРЕЙД Тс139604-26 07.07.2026 Крым 14161кг (Хинько)</v>
          </cell>
        </row>
        <row r="6603">
          <cell r="P6603" t="str">
            <v>ООО КСК ТРЕЙД Тс139605-26 07.07.2026 Крым 17064кг (Исаев)</v>
          </cell>
        </row>
        <row r="6604">
          <cell r="P6604" t="str">
            <v>ООО НВ Тс139826-26 06.07.2026 Мелитополь 10178кг (Дубов)</v>
          </cell>
        </row>
        <row r="6605">
          <cell r="P6605" t="str">
            <v>ООО НВ Тс139782-26 06.07.2026 Бердянск 3315кг (Дубов)</v>
          </cell>
        </row>
        <row r="6606">
          <cell r="P6606" t="str">
            <v>ООО НВ Тс139673-26 06.07.2026 Донецк 14940кг (Решетов)</v>
          </cell>
        </row>
        <row r="6607">
          <cell r="P6607" t="str">
            <v>ООО НВ Тс139715-26 06.07.2026 Луганск 15048кг (Толстоусов)</v>
          </cell>
        </row>
        <row r="6608">
          <cell r="P6608" t="str">
            <v>ООО НВ Тс139665-26 06.07.2026 Луганск 6184кг (Решетников)</v>
          </cell>
        </row>
        <row r="6609">
          <cell r="P6609" t="str">
            <v>ООО НВ Тс139544-26 06.07.2026 Горняк-Луганск 5905кг (Решетников)</v>
          </cell>
        </row>
        <row r="6610">
          <cell r="P6610" t="str">
            <v>ООО НВ Тс139678-26 08.07.2026 Горняк-Донецк 9574кг (Ивасенко)</v>
          </cell>
        </row>
        <row r="6611">
          <cell r="P6611" t="str">
            <v>ООО НВ Тс139701-26 08.07.2026 Мелитополь 6432кг (Дворядкин)</v>
          </cell>
        </row>
        <row r="6612">
          <cell r="P6612" t="str">
            <v>ООО НВ Тс139724-26 08.07.2026 Бердянск 5321кг (Дворядкин)</v>
          </cell>
        </row>
        <row r="6613">
          <cell r="P6613" t="str">
            <v>ООО ЛП Тс139713-26 08.07.2026 Малахутин 13148кг (Рева)</v>
          </cell>
        </row>
        <row r="6614">
          <cell r="P6614" t="str">
            <v>ООО ЛП Тс139672-26 06.07.2026 Орёл№1 3213кг (Белокопытов)</v>
          </cell>
        </row>
        <row r="6615">
          <cell r="P6615" t="str">
            <v>ООО ЛП Тс139656-26 06.07.2026 Орёл№2 4294кг (Белокопытов)</v>
          </cell>
        </row>
        <row r="6616">
          <cell r="P6616" t="str">
            <v>ООО ЛП Тс139684-26 06.07.2026 Орёл№3 3794кг (Белокопытов)</v>
          </cell>
        </row>
        <row r="6617">
          <cell r="P6617" t="str">
            <v>ООО НВ Тс139738-26 07.07.2026 Луганск 8869кг (Ничипорук)</v>
          </cell>
        </row>
        <row r="6618">
          <cell r="P6618" t="str">
            <v>ООО НВ Тс139753-26 07.07.2026 Горняк-Луганск 8485кг (Ничипорук)</v>
          </cell>
        </row>
        <row r="6619">
          <cell r="P6619" t="str">
            <v>ООО НВ Тс139765-26 09.07.2026 Донецк 17296кг (Юдин)</v>
          </cell>
        </row>
        <row r="6620">
          <cell r="P6620" t="str">
            <v>ООО НВ Тс139737-26 07.07.2026 Донецк 11619кг (Бедику)</v>
          </cell>
        </row>
        <row r="6621">
          <cell r="P6621" t="str">
            <v>ООО ЛП Тс142255-26 09.07.2026 Пушкарный 18230кг (Павленко)</v>
          </cell>
        </row>
        <row r="6622">
          <cell r="P6622" t="str">
            <v>ООО ЛП Тс142321-26 09.07.2026 Пушкарный 18137кг (Ковальчук)</v>
          </cell>
        </row>
        <row r="6623">
          <cell r="P6623" t="str">
            <v>ООО ЛП Тс142304-26 09.07.2026 Пенза 18087кг (Грушецкий)</v>
          </cell>
        </row>
        <row r="6624">
          <cell r="P6624" t="str">
            <v>ООО КСК ТРЕЙД Тс143652-26 10.07.2026 Крым 14873кг (Кокшин)</v>
          </cell>
        </row>
        <row r="6625">
          <cell r="P6625" t="str">
            <v>ООО КСК ТРЕЙД Тс143651-26 10.07.2026 ПУД 1794кг (Кокшин)</v>
          </cell>
        </row>
        <row r="6626">
          <cell r="P6626" t="str">
            <v>ООО КСК ТРЕЙД Тс144290-26 10.07.2026 Крым 17003кг (Медведев)</v>
          </cell>
        </row>
        <row r="6627">
          <cell r="P6627" t="str">
            <v>ООО КСК ТРЕЙД Тс144291-26 12.07.2026 Крым 17705кг (Гусев)</v>
          </cell>
        </row>
        <row r="6628">
          <cell r="P6628" t="str">
            <v>ООО КСК ТРЕЙД Тс143298-26 11.07.2026 Крым 11744кг (Чиндин)</v>
          </cell>
        </row>
        <row r="6629">
          <cell r="P6629" t="str">
            <v>ООО НВ Тс143567-26 11.07.2026 Донецк 10996кг (Голубев)</v>
          </cell>
        </row>
        <row r="6630">
          <cell r="P6630" t="str">
            <v>ООО ЛП Тс143311-26 11.07.2026 Кочевой 3915кг (Голубев)</v>
          </cell>
        </row>
        <row r="6631">
          <cell r="P6631" t="str">
            <v>ООО ЛП Тс143315-26 11.07.2026 ПРС 2359кг (Голубев)</v>
          </cell>
        </row>
        <row r="6632">
          <cell r="P6632" t="str">
            <v>ООО НВ Тс143568-26 11.07.2026 Луганск 8759кг (Медведь)</v>
          </cell>
        </row>
        <row r="6633">
          <cell r="P6633" t="str">
            <v>ООО НВ Тс143558-26 11.07.2026 Горняк-Горловка 1492кг (Медведь)</v>
          </cell>
        </row>
        <row r="6634">
          <cell r="P6634" t="str">
            <v>ООО НВ Тс143563-26 11.07.2026 Горняк-Луганск 7138кг (Медведь)</v>
          </cell>
        </row>
        <row r="6635">
          <cell r="P6635" t="str">
            <v>ООО НВ Тс143552-26 12.07.2026 Луганск 5402кг (Латий)</v>
          </cell>
        </row>
        <row r="6636">
          <cell r="P6636" t="str">
            <v>ООО ЛП Тс143340-26 12.07.2026 Пушкарный 6316кг (Латий)</v>
          </cell>
        </row>
        <row r="6637">
          <cell r="P6637" t="str">
            <v>ООО ЛП Тс143355-26 12.07.2026 Обрыньба 5601кг (Латий)</v>
          </cell>
        </row>
        <row r="6638">
          <cell r="P6638" t="str">
            <v>ООО КСК ТРЕЙД Тс144176-26 12.07.2026 Николаенко 1257кг (Ислюков)</v>
          </cell>
        </row>
        <row r="6639">
          <cell r="P6639" t="str">
            <v>ООО КСК ТРЕЙД Тс144289-26 12.07.2026 Крым 16281кг (Ислюков)</v>
          </cell>
        </row>
        <row r="6640">
          <cell r="P6640" t="str">
            <v>ООО НВ Тс144278-26 13.07.2026 Бердянск 5192кг (Ковальчук)</v>
          </cell>
        </row>
        <row r="6641">
          <cell r="P6641" t="str">
            <v>ООО НВ Тс144275-26 12.07.2026 Мелитополь 3975кг (Ковальчук)</v>
          </cell>
        </row>
        <row r="6642">
          <cell r="P6642" t="str">
            <v>ООО НВ Тс144276-26 13.07.2026 Павленко 8203кг (Ковальчук)</v>
          </cell>
        </row>
        <row r="6643">
          <cell r="P6643" t="str">
            <v>ООО ЛП Тс144263-26 12.07.2026 Кочевой 18067кг (Жабкин)</v>
          </cell>
        </row>
        <row r="6644">
          <cell r="P6644" t="str">
            <v>ООО ЛП Тс144869-26 12.07.2026 Орёл№1 4034кг (Алябьев)</v>
          </cell>
        </row>
        <row r="6645">
          <cell r="P6645" t="str">
            <v>ООО ЛП Тс144833-26 12.07.2026 Орёл№2 3680кг (Алябьев)</v>
          </cell>
        </row>
        <row r="6646">
          <cell r="P6646" t="str">
            <v>ООО ЛП Тс144862-26 12.07.2026 Орёл№3 1374кг (Алябьев)</v>
          </cell>
        </row>
        <row r="6647">
          <cell r="P6647" t="str">
            <v>ООО ЛП Тс144877-26 12.07.2026 Орёл№4 1523кг (Алябьев)</v>
          </cell>
        </row>
        <row r="6648">
          <cell r="P6648" t="str">
            <v>ООО КСК ТРЕЙД Тс145262-26 13.07.2026 Крым 12226кг (Добрилко)</v>
          </cell>
        </row>
        <row r="6649">
          <cell r="P6649" t="str">
            <v>ООО КСК ТРЕЙД Тс145093-26 14.07.2026 Крым 14759кг (Грушецкий)</v>
          </cell>
        </row>
        <row r="6650">
          <cell r="P6650" t="str">
            <v>ООО КСК ТРЕЙД Тс145055-26 14.07.2026 Вердиева№1 510кг (Грушецкий)</v>
          </cell>
        </row>
        <row r="6651">
          <cell r="P6651" t="str">
            <v>ООО КСК ТРЕЙД Тс145085-26 14.07.2026 Вердиева№2 2388кг (Грушецкий)</v>
          </cell>
        </row>
        <row r="6652">
          <cell r="P6652" t="str">
            <v>ООО КСК ТРЕЙД Тс145096-26 14.07.2026 Крым 17689кг (Некрасов)</v>
          </cell>
        </row>
        <row r="6653">
          <cell r="P6653" t="str">
            <v>ООО НВ Тс145133-26 14.07.2026 Донецк 15614кг (Васильченко)</v>
          </cell>
        </row>
        <row r="6654">
          <cell r="P6654" t="str">
            <v>ООО НВ Тс145173-26 14.07.2026 Донецк 11098кг (Фролов)</v>
          </cell>
        </row>
        <row r="6655">
          <cell r="P6655" t="str">
            <v>ООО ЛП Тс145128-26 14.07.2026 НПК 5661кг (Фролов)</v>
          </cell>
        </row>
        <row r="6656">
          <cell r="P6656" t="str">
            <v>ООО НВ Тс145185-26 14.07.2026 Луганск 15680кг (Ничипорук)</v>
          </cell>
        </row>
        <row r="6657">
          <cell r="P6657" t="str">
            <v>ООО НВ Тс145246-26 13.07.2026 Донецк 9778кг (Бедик)</v>
          </cell>
        </row>
        <row r="6658">
          <cell r="P6658" t="str">
            <v>ООО НВ Тс145263-26 13.07.2026 Луганск 10842кг (Решетников)</v>
          </cell>
        </row>
        <row r="6659">
          <cell r="P6659" t="str">
            <v>ООО КСК ТРЕЙД Тс145090-26 15.07.2026 Крым 17635кг (Пыдык)</v>
          </cell>
        </row>
        <row r="6660">
          <cell r="P6660" t="str">
            <v>ООО НВ Тс145176-26 14.07.2026 Бердянск 8263кг (Штырков)</v>
          </cell>
        </row>
        <row r="6661">
          <cell r="P6661" t="str">
            <v>ООО НВ Тс145182-26 14.07.2026 Мелитополь 5426кг (Штырков)</v>
          </cell>
        </row>
        <row r="6662">
          <cell r="P6662" t="str">
            <v>ООО НВ Тс145137-26 14.07.2026 Донецк 17269кг (Толстоусов)</v>
          </cell>
        </row>
        <row r="6663">
          <cell r="P6663" t="str">
            <v>ООО ЛП Тс146572-26 15.07.2026 Бычков№1 2312кг (Абдрахимов)</v>
          </cell>
        </row>
        <row r="6664">
          <cell r="P6664" t="str">
            <v>ООО ЛП Тс146574-26 15.07.2026 Бычков№2 14675кг (Абдрахимов)</v>
          </cell>
        </row>
        <row r="6665">
          <cell r="P6665" t="str">
            <v>ООО ЛП Тс148260-26 16.07.2026 Пушкарный 16044кг (Юдин)</v>
          </cell>
        </row>
        <row r="6666">
          <cell r="P6666" t="str">
            <v>ООО ЛП Тс148394-26 16.07.2026 Пушкарный 16906кг (Ступак)</v>
          </cell>
        </row>
        <row r="6667">
          <cell r="P6667" t="str">
            <v>ООО ЛП Тс148444-26 17.07.2026 Пушкарный 18001кг (Хохлов)</v>
          </cell>
        </row>
        <row r="6668">
          <cell r="P6668" t="str">
            <v>ООО ЛП Тс148492-26 17.07.2026 Пенза 15804кг (Хинько)</v>
          </cell>
        </row>
        <row r="6669">
          <cell r="P6669" t="str">
            <v>ООО ЛП Тс149607-26 17.07.2026 Пенза(2) 2110кг (Хинько)</v>
          </cell>
        </row>
        <row r="6670">
          <cell r="P6670" t="str">
            <v>ООО КСК ТРЕЙД Тс149088-26 17.07.2026 Крым 14662кг (Гулаков)</v>
          </cell>
        </row>
        <row r="6671">
          <cell r="P6671" t="str">
            <v>ООО КСК ТРЕЙД Тс149087-26 17.07.2026 ПУД 1818кг (Гулаков)</v>
          </cell>
        </row>
        <row r="6672">
          <cell r="P6672" t="str">
            <v>ООО КСК ТРЕЙД Тс149920-26 17.07.2026 Крым(2) 1906кг (Гулаков)</v>
          </cell>
        </row>
        <row r="6673">
          <cell r="P6673" t="str">
            <v>ООО КСК ТРЕЙД Тс149089-26 17.07.2026 Крым 16323кг (Дворядкин)</v>
          </cell>
        </row>
        <row r="6674">
          <cell r="P6674" t="str">
            <v>ООО КСК ТРЕЙД Тс149921-26 17.07.2026 Крым(2) 1906кг (Дворядкин)</v>
          </cell>
        </row>
        <row r="6675">
          <cell r="P6675" t="str">
            <v>ООО ЛП Тс149173-26 19.07.2026 Обрыньба 7785кг (Латий)</v>
          </cell>
        </row>
        <row r="6676">
          <cell r="P6676" t="str">
            <v>ООО ЛП Тс149159-26 19.07.2026 Пушкарный 7227кг (Латий)</v>
          </cell>
        </row>
        <row r="6677">
          <cell r="P6677" t="str">
            <v>ООО КСК ТРЕЙД Тс149161-26 17.07.2026 Крым 11907кг (Монаков)</v>
          </cell>
        </row>
        <row r="6678">
          <cell r="P6678" t="str">
            <v>ООО НВ Тс149238-26 19.07.2026 Бердянск 10987кг (Пыдык)</v>
          </cell>
        </row>
        <row r="6679">
          <cell r="P6679" t="str">
            <v>ООО НВ Тс149189-26 19.07.2026 Мелитополь 1536кг (Пыдык)</v>
          </cell>
        </row>
        <row r="6680">
          <cell r="P6680" t="str">
            <v>ООО КСК ТРЕЙД Тс149090-26 18.07.2026 Крым 13651кг (Акшонин)</v>
          </cell>
          <cell r="Q6680" t="str">
            <v>ООО КСК ТРЕЙД Тс151108-26 18.07.2026 Крым(3) 302кг (Акшонин)</v>
          </cell>
          <cell r="R6680" t="str">
            <v>ООО КСК ТРЕЙД Тс151150-26 18.07.2026 Крым(4) 1502кг (Акшонин)</v>
          </cell>
        </row>
        <row r="6681">
          <cell r="P6681" t="str">
            <v>ООО КСК ТРЕЙД Тс150958-26 18.07.2026 Крым(2) 1813кг (Акшонин)</v>
          </cell>
        </row>
        <row r="6682">
          <cell r="P6682" t="str">
            <v>ООО КСК ТРЕЙД Тс149239-26 18.07.2026 Крым 13731кг (Ислюков)</v>
          </cell>
          <cell r="Q6682" t="str">
            <v>ООО КСК ТРЕЙД Тс151103-26 18.07.2026 Крым(3) 298кг (Ислюков)</v>
          </cell>
          <cell r="R6682" t="str">
            <v>ООО КСК ТРЕЙД Тс151151-26 18.07.2026 Крым(4) 1304кг (Ислюков)</v>
          </cell>
        </row>
        <row r="6683">
          <cell r="P6683" t="str">
            <v>ООО КСК ТРЕЙД Тс150959-26 18.07.2026 Крым(2) 1807кг (Ислюков)</v>
          </cell>
        </row>
        <row r="6684">
          <cell r="P6684" t="str">
            <v>ООО НВ Тс149432-26 21.07.2026 Бердянск 5228кг (Смолев)</v>
          </cell>
        </row>
        <row r="6685">
          <cell r="P6685" t="str">
            <v>ООО НВ Тс149445-26 21.07.2026 Мелитополь 10012кг (Смолев)</v>
          </cell>
        </row>
        <row r="6686">
          <cell r="P6686" t="str">
            <v>ООО НВ Тс151106-26 21.07.2026 Бердянск(2) 713кг (Смолев)</v>
          </cell>
        </row>
        <row r="6687">
          <cell r="P6687" t="str">
            <v>ООО НВ Тс151107-26 21.07.2026 Мелитополь(2) 1011кг (Смолев)</v>
          </cell>
        </row>
        <row r="6688">
          <cell r="P6688" t="str">
            <v>ООО НВ Тс149436-26 20.07.2026 Луганск 9706кг (Грушецкий)</v>
          </cell>
        </row>
        <row r="6689">
          <cell r="P6689" t="str">
            <v>ООО ЛП Тс149273-26 20.07.2026 Коныгин 4530кг (Грушецкий)</v>
          </cell>
        </row>
        <row r="6690">
          <cell r="P6690" t="str">
            <v>ООО НВ Тс151105-26 20.07.2026 Луганск(2) 2545кг (Грушецкий)</v>
          </cell>
        </row>
        <row r="6691">
          <cell r="P6691" t="str">
            <v>ООО НВ Тс149444-26 19.07.2026 Донецк 12947кг (Медведь)</v>
          </cell>
        </row>
        <row r="6692">
          <cell r="P6692" t="str">
            <v>ООО НВ Тс151104-26 19.07.2026 Донецк(2) 4021кг (Медведь)</v>
          </cell>
        </row>
        <row r="6693">
          <cell r="P6693" t="str">
            <v>ООО НВ Тс149446-26 18.07.2026 Луганск 14010кг (Решетников)</v>
          </cell>
        </row>
        <row r="6694">
          <cell r="P6694" t="str">
            <v>ООО НВ Тс151102-26 18.07.2026 Луганск(2) 2832кг (Решетников)</v>
          </cell>
        </row>
        <row r="6695">
          <cell r="P6695" t="str">
            <v>ООО КСК ТРЕЙД Тс149740-26 19.07.2026 Крым 14638кг (Стадниченко)</v>
          </cell>
        </row>
        <row r="6696">
          <cell r="P6696" t="str">
            <v>ООО КСК ТРЕЙД Тс150949-26 19.07.2026 Крым(2) 1801кг (Стадниченко)</v>
          </cell>
        </row>
        <row r="6697">
          <cell r="P6697" t="str">
            <v>ООО КСК ТРЕЙД Тс149733-26 19.07.2026 Николаенко 1061кг (Стадниченко)</v>
          </cell>
        </row>
        <row r="6698">
          <cell r="P6698" t="str">
            <v>ООО КСК ТРЕЙД Тс149743-26 20.07.2026 Крым 15852кг (Максимов)</v>
          </cell>
        </row>
        <row r="6699">
          <cell r="P6699" t="str">
            <v>ООО КСК ТРЕЙД Тс150993-26 20.07.2026 Крым(2) 1705кг (Максимов)</v>
          </cell>
        </row>
        <row r="6700">
          <cell r="P6700" t="str">
            <v>ООО ЛП Тс149734-26 19.07.2026 ПРС 2680кг (Жабкин)</v>
          </cell>
        </row>
        <row r="6701">
          <cell r="P6701" t="str">
            <v>ООО НВ Тс150981-26 19.07.2026 Донецк(2) 4044кг (Жабкин)</v>
          </cell>
        </row>
        <row r="6702">
          <cell r="P6702" t="str">
            <v>ООО НВ Тс150644-26 19.07.2026 Донецк 9443кг (Жабкин)</v>
          </cell>
        </row>
        <row r="6703">
          <cell r="P6703" t="str">
            <v>ООО НВ Тс149741-26 20.07.2026 Горняк-Горловка 213кг (Голубев)</v>
          </cell>
        </row>
        <row r="6704">
          <cell r="P6704" t="str">
            <v>ООО НВ Тс149838-26 20.07.2026 Горняк-Луганск 7118кг (Голубев)</v>
          </cell>
        </row>
        <row r="6705">
          <cell r="P6705" t="str">
            <v>ООО НВ Тс149730-26 20.07.2026 Луганск 5435кг (Голубев)</v>
          </cell>
        </row>
        <row r="6706">
          <cell r="P6706" t="str">
            <v>ОТМЕНА</v>
          </cell>
        </row>
        <row r="6707">
          <cell r="P6707" t="str">
            <v>ООО ЛП Тс150348-26 19.07.2026 Пушкарный 16515кг (Абдрахимов)</v>
          </cell>
        </row>
        <row r="6708">
          <cell r="P6708" t="str">
            <v>ООО КСК ТРЕЙД Тс150499-26 19.07.2026 Крым 12033кг (Некрасов)</v>
          </cell>
        </row>
        <row r="6709">
          <cell r="P6709" t="str">
            <v>ООО КСК ТРЕЙД Тс150992-26 21.07.2026 Крым 10610кг (Журавлев)</v>
          </cell>
          <cell r="Q6709" t="str">
            <v>ООО КСК ТРЕЙД Тс151680-26 21.07.2026 Крым(3) 300кг (Журавлев)</v>
          </cell>
        </row>
        <row r="6710">
          <cell r="P6710" t="str">
            <v>ООО КСК ТРЕЙД Тс150948-26 21.07.2026 Вердиева 2703кг (Журавлев)</v>
          </cell>
        </row>
        <row r="6711">
          <cell r="P6711" t="str">
            <v>ООО КСК ТРЕЙД Тс150995-26 20.07.2026 Вердиева(2) 1656кг (Журавлев)</v>
          </cell>
        </row>
        <row r="6712">
          <cell r="P6712" t="str">
            <v>ООО КСК ТРЕЙД Тс151153-26 21.07.2026 Крым(2) 2018кг (Журавлев)</v>
          </cell>
        </row>
        <row r="6713">
          <cell r="P6713" t="str">
            <v>ООО КСК ТРЕЙД Тс150947-26 21.07.2026 Крым 15074кг (Юдин)</v>
          </cell>
        </row>
        <row r="6714">
          <cell r="P6714" t="str">
            <v>ООО КСК ТРЕЙД Тс151165-26 21.07.2026 Крым(2) 2231кг (Юдин)</v>
          </cell>
        </row>
        <row r="6715">
          <cell r="P6715" t="str">
            <v>ООО НВ Тс150849-26 20.07.2026 Донецк 11225кг (Рева)</v>
          </cell>
        </row>
        <row r="6716">
          <cell r="P6716" t="str">
            <v>ООО НВ Тс150858-26 27.07.2026 Горняк-Донецк 11345кг (Рева)</v>
          </cell>
        </row>
        <row r="6717">
          <cell r="P6717" t="str">
            <v>ООО НВ ЮТс-03453-26 20.07.2026 Луганск 11465кг (Ивасенко)</v>
          </cell>
          <cell r="Q6717" t="str">
            <v>ООО НВ ЮТс-03457-26 20.07.2026 Луганск(2) 15кг (Ивасенко)</v>
          </cell>
        </row>
        <row r="6718">
          <cell r="P6718" t="str">
            <v>ООО НВ Тс150873-26 21.07.2026 Мелитополь 6391кг (Павленко)</v>
          </cell>
        </row>
        <row r="6719">
          <cell r="P6719" t="str">
            <v>ООО НВ Тс150854-26 21.07.2026 Бердянск 8162кг (Павленко)</v>
          </cell>
        </row>
        <row r="6720">
          <cell r="P6720" t="str">
            <v>ООО НВ Тс151981-26 21.07.2026 Мелитополь(2) 1525кг (Павленко)</v>
          </cell>
        </row>
        <row r="6721">
          <cell r="P6721" t="str">
            <v>ООО НВ Тс150933-26 21.07.2026 Луганск 14770кг (Толстоусов)</v>
          </cell>
        </row>
        <row r="6722">
          <cell r="P6722" t="str">
            <v>ООО НВ Тс151979-26 21.07.2026 Луганск(2) 924кг (Толстоусов)</v>
          </cell>
        </row>
        <row r="6723">
          <cell r="P6723" t="str">
            <v>ООО НВ Тс150915-26 21.07.2026 Донецк 14119кг (Васильченко)</v>
          </cell>
        </row>
        <row r="6724">
          <cell r="P6724" t="str">
            <v>ООО НВ Тс151984-26 21.07.2026 Донецк(2) 1722кг (Васильченко)</v>
          </cell>
        </row>
        <row r="6725">
          <cell r="P6725" t="str">
            <v>ООО КСК ТРЕЙД Тс150977-26 21.07.2026 Крым 15966кг (Галкин)</v>
          </cell>
        </row>
        <row r="6726">
          <cell r="P6726" t="str">
            <v>ООО КСК ТРЕЙД Тс152547-26 21.07.2026 Крым(2) 1307кг (Галкин)</v>
          </cell>
        </row>
        <row r="6727">
          <cell r="P6727" t="str">
            <v>ООО НВ Тс150917-26 21.07.2026 Луганск 3586кг (Надеин)</v>
          </cell>
        </row>
        <row r="6728">
          <cell r="P6728" t="str">
            <v>ООО НВ Тс150922-26 21.07.2026 Горняк-Луганск 6921кг (Надеин)</v>
          </cell>
        </row>
        <row r="6729">
          <cell r="P6729" t="str">
            <v>ООО НВ Тс153204-26 21.07.2026 Донецк 3742кг (Хохлов)</v>
          </cell>
        </row>
        <row r="6730">
          <cell r="P6730" t="str">
            <v>ООО ЛП Тс150862-26 21.07.2026 НПК 12404кг (Хохлов)</v>
          </cell>
        </row>
        <row r="6731">
          <cell r="P6731" t="str">
            <v>ООО НВ Тс150906-26 21.07.2026 Донецк 3409кг (Фролов)</v>
          </cell>
        </row>
        <row r="6732">
          <cell r="P6732" t="str">
            <v>ООО ЛП Тс150836-26 21.07.2026 Малахутин 13617кг (Фролов)</v>
          </cell>
        </row>
        <row r="6733">
          <cell r="P6733" t="str">
            <v>ООО КСК ТРЕЙД Тс150994-26 21.07.2026 Крым 16622кг (Ступак)</v>
          </cell>
        </row>
        <row r="6734">
          <cell r="P6734" t="str">
            <v>ООО КСК ТРЕЙД Тс152548-26 21.07.2026 Крым 825кг (Ступак)</v>
          </cell>
        </row>
        <row r="6735">
          <cell r="P6735" t="str">
            <v>ООО ЛП Тс153708-26 23.07.2026 Пушкарный 15075кг (Маятников)</v>
          </cell>
        </row>
        <row r="6736">
          <cell r="P6736" t="str">
            <v>ООО ЛП Тс155103-26 23.07.2026 Пушкарный(2) 2319кг (Маятников)</v>
          </cell>
        </row>
        <row r="6737">
          <cell r="P6737" t="str">
            <v>ООО ЛП Тс153719-26 23.07.2026 Пушкарный 17560кг (Абдрахимов)</v>
          </cell>
        </row>
        <row r="6738">
          <cell r="P6738" t="str">
            <v>ООО ЛП Тс153721-26 23.07.2026 Пушкарный 14471кг (Латий)</v>
          </cell>
        </row>
        <row r="6739">
          <cell r="P6739" t="str">
            <v>ООО ЛП Тс155102-26 23.07.2026 Пушкарный(2) 3520кг (Латий)</v>
          </cell>
        </row>
        <row r="6740">
          <cell r="P6740" t="str">
            <v>ООО ЛП Тс153723-26 24.07.2026 Пенза 17089кг (Хинько)</v>
          </cell>
        </row>
        <row r="6741">
          <cell r="P6741" t="str">
            <v>ООО КСК ТРЕЙД Тс154337-26 24.07.2026 Крым 15887кг (Елисеев)</v>
          </cell>
          <cell r="Q6741" t="str">
            <v>ООО КСК ТРЕЙД Тс155873-26 24.07.2026 Крым(4) 324кг (Елисеев)</v>
          </cell>
        </row>
        <row r="6742">
          <cell r="P6742" t="str">
            <v>ООО КСК ТРЕЙД Тс155507-26 24.07.2026 Крым(3) 209кг (Елисеев)</v>
          </cell>
        </row>
        <row r="6743">
          <cell r="P6743" t="str">
            <v>ООО КСК ТРЕЙД Тс155311-26 24.07.2026 Крым(2) 1222кг (Елисеев)</v>
          </cell>
        </row>
        <row r="6744">
          <cell r="P6744" t="str">
            <v>ООО КСК ТРЕЙД Тс154336-26 24.07.2026 Крым 15100кг (Клетченко)</v>
          </cell>
          <cell r="Q6744" t="str">
            <v>ООО КСК ТРЕЙД Тс155804-26 24.07.2026 Крым 520кг (Клетченко)</v>
          </cell>
        </row>
        <row r="6745">
          <cell r="P6745" t="str">
            <v>ООО КСК ТРЕЙД Тс155508-26 24.07.2026 Крым 507кг (Клетченко)</v>
          </cell>
        </row>
        <row r="6746">
          <cell r="P6746" t="str">
            <v>ООО КСК ТРЕЙД Тс155332-26 24.07.2026 Крым 1507кг (Клетченко)</v>
          </cell>
          <cell r="Q6746" t="str">
            <v>ООО КСК ТРЕЙД Тс155877-26 24.07.2026 Крым(4) 542кг (Костев)</v>
          </cell>
        </row>
        <row r="6747">
          <cell r="P6747" t="str">
            <v>ООО КСК ТРЕЙД Тс154335-26 24.07.2026 Крым 14537кг (Костев)</v>
          </cell>
        </row>
        <row r="6748">
          <cell r="P6748" t="str">
            <v>ООО КСК ТРЕЙД Тс155506-26 24.07.2026 Крым(3) 767кг (Костев)</v>
          </cell>
        </row>
        <row r="6749">
          <cell r="P6749" t="str">
            <v>ООО КСК ТРЕЙД Тс155331-26 24.07.2026 Крым(2) 1507кг (Костев)</v>
          </cell>
        </row>
        <row r="6750">
          <cell r="P6750" t="str">
            <v>ООО ЛП Тс154344-26 26.07.2026 Сочи 9124кг (Агафонов)</v>
          </cell>
        </row>
        <row r="6751">
          <cell r="P6751" t="str">
            <v>ООО ЛП Тс154345-26 26.07.2026 Сочи 4048кг (Агафонов)</v>
          </cell>
        </row>
        <row r="6752">
          <cell r="P6752" t="str">
            <v>ОТМЕНА</v>
          </cell>
        </row>
        <row r="6753">
          <cell r="P6753" t="str">
            <v>ООО КСК ТРЕЙД Тс154372-26 24.07.2026 Крым 13055кг (Некрасов)</v>
          </cell>
        </row>
        <row r="6754">
          <cell r="P6754" t="str">
            <v>ООО КСК ТРЕЙД Тс154338-26 25.07.2026 Крым 13136кг (Крамаренко)</v>
          </cell>
        </row>
        <row r="6755">
          <cell r="P6755" t="str">
            <v>ООО КСК ТРЕЙД Тс156366-26 25.07.2026 Крым 4422кг (Крамаренко)</v>
          </cell>
        </row>
        <row r="6756">
          <cell r="P6756" t="str">
            <v>ООО КСК ТРЕЙД Тс154334-26 25.07.2026 Крым 13191кг (Саяпин)</v>
          </cell>
        </row>
        <row r="6757">
          <cell r="P6757" t="str">
            <v>ООО КСК ТРЕЙД Тс156577-26 25.07.2026 Крым 299кг (Саяпин)</v>
          </cell>
        </row>
        <row r="6758">
          <cell r="P6758" t="str">
            <v>ООО КСК ТРЕЙД Тс156379-26 25.07.2026 Крым 4033кг (Саяпин)</v>
          </cell>
        </row>
        <row r="6759">
          <cell r="P6759" t="str">
            <v>ООО НВ Тс154597-26 25.07.2026 Бердянск 8147кг (Журавлев)</v>
          </cell>
        </row>
        <row r="6760">
          <cell r="P6760" t="str">
            <v>ООО НВ Тс154619-26 25.07.2026 Мелитополь 4037кг (Журавлев)</v>
          </cell>
        </row>
        <row r="6761">
          <cell r="P6761" t="str">
            <v>ООО НВ Тс155202-26 25.07.2026 Бердянск 2031кг (Журавлев)</v>
          </cell>
        </row>
        <row r="6762">
          <cell r="P6762" t="str">
            <v>ООО НВ Тс155203-26 25.07.2026 Мелитополь 3535кг (Журавлев)</v>
          </cell>
        </row>
        <row r="6763">
          <cell r="P6763" t="str">
            <v>ООО НВ Тс154608-26 25.07.2026 Мелитополь 2904кг (Дворядкин)</v>
          </cell>
        </row>
        <row r="6764">
          <cell r="P6764" t="str">
            <v>ООО НВ Тс154583-26 25.07.2026 Павленко 8176кг (Дворядкин)</v>
          </cell>
        </row>
        <row r="6765">
          <cell r="P6765" t="str">
            <v>ООО НВ Тс155206-26 25.07.2026 Павленко(2) 6232кг (Дворядкин)</v>
          </cell>
        </row>
        <row r="6766">
          <cell r="P6766" t="str">
            <v>ООО НВ Тс154615-26 25.07.2026 Луганск 14234кг (Толстоусов)</v>
          </cell>
        </row>
        <row r="6767">
          <cell r="P6767" t="str">
            <v>ООО НВ Тс155208-26 25.07.2026 Луганск 2915кг (Толстоусов)</v>
          </cell>
        </row>
        <row r="6768">
          <cell r="P6768" t="str">
            <v>ООО ЛП Тс155972-26 26.07.2026 Сочи 1496кг (Агафонов)</v>
          </cell>
        </row>
        <row r="6769">
          <cell r="P6769" t="str">
            <v>ООО НВ Тс155155-26 27.07.2026 Бердянск 8116кг (Павленко)</v>
          </cell>
        </row>
        <row r="6770">
          <cell r="P6770" t="str">
            <v>ООО НВ Тс155154-26 27.07.2026 Мелитополь 5020кг (Павленко)</v>
          </cell>
        </row>
        <row r="6771">
          <cell r="P6771" t="str">
            <v>ООО КСК ТРЕЙД Тс155144-26 26.07.2026 Крым 12041кг (Чиндин)</v>
          </cell>
        </row>
        <row r="6772">
          <cell r="P6772" t="str">
            <v>ООО КСК ТРЕЙД Тс155148-26 26.07.2026 Крым 804кг (Чиндин)</v>
          </cell>
        </row>
        <row r="6773">
          <cell r="P6773" t="str">
            <v>ООО КСК ТРЕЙД Тс155147-26 26.07.2026 Крым 1617кг (Чиндин)</v>
          </cell>
        </row>
        <row r="6774">
          <cell r="P6774" t="str">
            <v>ООО КСК ТРЕЙД Тс156681-26 26.07.2026 Крым 2913кг (Чиндин)</v>
          </cell>
        </row>
        <row r="6775">
          <cell r="P6775" t="str">
            <v>ООО ЛП Тс155140-26 26.07.2026 ПРС 2061кг (Сарва)</v>
          </cell>
        </row>
        <row r="6776">
          <cell r="P6776" t="str">
            <v>ООО НВ Тс155199-26 26.07.2026 Донецк 9550кг (Сарва)</v>
          </cell>
        </row>
        <row r="6777">
          <cell r="P6777" t="str">
            <v>ООО НВ Тс156671-26 26.07.2026 Донецк(2) 4709кг (Сарва).pdf</v>
          </cell>
        </row>
        <row r="6778">
          <cell r="P6778" t="str">
            <v>ООО ЛП Тс155848-26 26.07.2026 СПБ 9376кг (Ступак)</v>
          </cell>
        </row>
        <row r="6779">
          <cell r="P6779" t="str">
            <v>ООО КСК ТРЕЙД Тс155935-26 26.07.2026 Крым 12856кг (Дьяченков)</v>
          </cell>
        </row>
        <row r="6780">
          <cell r="P6780" t="str">
            <v>ООО КСК ТРЕЙД Тс156049-26 27.07.2026 Крым 15742кг (Галкин)</v>
          </cell>
        </row>
        <row r="6781">
          <cell r="P6781" t="str">
            <v>ООО КСК ТРЕЙД Тс156899-26 27.07.2026 Крым(2) 1843кг (Галкин)</v>
          </cell>
        </row>
        <row r="6782">
          <cell r="P6782" t="str">
            <v>ООО ЛП Тс156251-26 27.07.2026 НПК 8794кг (Голубев)</v>
          </cell>
        </row>
        <row r="6783">
          <cell r="P6783" t="str">
            <v>ООО НВ Тс156345-26 27.07.2026 Донецк 5520кг (Голубев)</v>
          </cell>
        </row>
        <row r="6784">
          <cell r="P6784" t="str">
            <v>ООО НВ Тс157166-26 27.07.2026 Донецк(2) 2425кг (Голубев)</v>
          </cell>
        </row>
        <row r="6785">
          <cell r="P6785" t="str">
            <v>ООО НВ Тс156377-26 27.07.2026 Луганск 13309кг (Надеин)</v>
          </cell>
        </row>
        <row r="6786">
          <cell r="P6786" t="str">
            <v>ООО НВ Тс157168-26 27.07.2026 Луганск 2538кг (Надеин)</v>
          </cell>
        </row>
        <row r="6787">
          <cell r="P6787" t="str">
            <v>ООО НВ Тс156380-26 29.07.2026 Мелитополь 11621кг (Хохлов)</v>
          </cell>
        </row>
        <row r="6788">
          <cell r="P6788" t="str">
            <v>ООО НВ Тс157167-26 29.07.2026 Мелитополь(2) 2112кг (Хохлов)</v>
          </cell>
        </row>
        <row r="6789">
          <cell r="P6789" t="str">
            <v>ООО НВ ЮТс-03594-26 27.07.2026 Горняк-Донецк 5919кг (Латий)</v>
          </cell>
        </row>
        <row r="6790">
          <cell r="P6790" t="str">
            <v>ООО НВ ЮТс-03601-26 27.07.2026 Луганск 5871кг (Латий)</v>
          </cell>
        </row>
        <row r="6791">
          <cell r="P6791" t="str">
            <v>ООО КСК ТРЕЙД Тс156061-26 28.07.2026 Крым 16215кг (Филиппов)</v>
          </cell>
        </row>
        <row r="6792">
          <cell r="P6792" t="str">
            <v>ОТМЕНА</v>
          </cell>
        </row>
        <row r="6793">
          <cell r="P6793" t="str">
            <v>ООО КСК ТРЕЙД Тс158190-26 28.07.2026 Крым(2) 1119кг (Филиппов)</v>
          </cell>
        </row>
        <row r="6794">
          <cell r="P6794" t="str">
            <v>ООО НВ Тс156381-26 29.07.2026 Бердянск 13256кг (Некрасов)</v>
          </cell>
        </row>
        <row r="6795">
          <cell r="P6795" t="str">
            <v>ООО НВ Тс156382-26 28.07.2026 Луганск 17136кг (Жабкин)</v>
          </cell>
        </row>
        <row r="6796">
          <cell r="P6796" t="str">
            <v>ООО ЛП Тс156266-26 30.07.2026 Кочевой 17997кг (Евсеев)</v>
          </cell>
        </row>
        <row r="6797">
          <cell r="P6797" t="str">
            <v>ООО КСК ТРЕЙД Тс156339-26 29.07.2026 Крым 14466кг (Лапшин)</v>
          </cell>
        </row>
        <row r="6798">
          <cell r="P6798" t="str">
            <v>ООО КСК ТРЕЙД Тс158188-26 29.07.2026 Крым(2) 1636кг (Лапшин)</v>
          </cell>
        </row>
        <row r="6799">
          <cell r="P6799" t="str">
            <v>ООО КСК ТРЕЙД Тс160980-26 29.07.2026 Крым(3) 207кг (Лапшин)</v>
          </cell>
        </row>
        <row r="6800">
          <cell r="P6800" t="str">
            <v>ООО КСК ТРЕЙД Тс157576-26 29.07.2026 Крым(1) 1197кг (Лапшин)</v>
          </cell>
        </row>
        <row r="6801">
          <cell r="P6801" t="str">
            <v>ООО ЛП Тс157969-26 30.07.2026 Бычков1 2013кг (Павленко)</v>
          </cell>
        </row>
        <row r="6802">
          <cell r="P6802" t="str">
            <v>ООО ЛП Тс157749-26 30.07.2026 Бычков 5819кг (Павленко)</v>
          </cell>
        </row>
        <row r="6803">
          <cell r="P6803" t="str">
            <v>ООО ЛП Тс159340-26 30.07.2026 Пушкарный 16587кг (Зубко)</v>
          </cell>
        </row>
        <row r="6804">
          <cell r="P6804" t="str">
            <v>ООО ЛП Тс160151-26 30.07.2026 Пушкарный 17865кг (Пыдык)</v>
          </cell>
        </row>
        <row r="6805">
          <cell r="P6805" t="str">
            <v>ООО ЛП Тс160148-26 03.08.2026 Пушкарный 2985кг (Уманский)</v>
          </cell>
        </row>
        <row r="6806">
          <cell r="P6806" t="str">
            <v>ООО ЛП Тс160153-26 31.07.2026 Пенза 15542кг (Агафонов)</v>
          </cell>
        </row>
        <row r="6807">
          <cell r="P6807" t="str">
            <v>ООО ЛП Тс160155-26 31.07.2026 Пенза 16604кг (Гаджиев)</v>
          </cell>
        </row>
        <row r="6808">
          <cell r="P6808" t="str">
            <v>ООО НВ Тс161851-26 30.07.2026 Горняк-Горловка 776кг (Должков)</v>
          </cell>
        </row>
        <row r="6809">
          <cell r="P6809" t="str">
            <v>ООО НВ Тс161853-26 30.07.2026 Горняк-Луганск 6176кг (Должков)</v>
          </cell>
        </row>
        <row r="6810">
          <cell r="P6810" t="str">
            <v>ООО НВ Тс161866-26 30.07.2026 Луганск 5475кг (Должков)</v>
          </cell>
        </row>
        <row r="6811">
          <cell r="P6811" t="str">
            <v>ООО НВ Тс161861-26 30.07.2026 Луганск(2) 5722кг (Должков)</v>
          </cell>
        </row>
        <row r="6812">
          <cell r="P6812" t="str">
            <v>ООО КСК ТРЕЙД Тс161759-26 31.07.2026 Крым 12020кг (Гусейнов)</v>
          </cell>
        </row>
        <row r="6813">
          <cell r="P6813" t="str">
            <v>ООО КСК ТРЕЙД Тс161761-26 31.07.2026 Вердиева 2523кг (Гусейнов)</v>
          </cell>
        </row>
        <row r="6814">
          <cell r="P6814" t="str">
            <v>ООО КСК ТРЕЙД Тс161760-26 31.07.2026 Вердиева(2) 1175кг (Гусейнов)</v>
          </cell>
        </row>
        <row r="6815">
          <cell r="P6815" t="str">
            <v>ООО КСК ТРЕЙД Тс162872-26 31.07.2026 Крым(2) 1827кг (Гусейнов)</v>
          </cell>
        </row>
        <row r="6816">
          <cell r="P6816" t="str">
            <v>ООО НВ ЮТс-03663-26 31.07.2026 Павленко 11136кг (Журавлев)</v>
          </cell>
        </row>
        <row r="6817">
          <cell r="P6817" t="str">
            <v>ООО ЛП Тс162099-26 03.08.2026 Коныгин 7519кг (Уманский)</v>
          </cell>
        </row>
        <row r="6818">
          <cell r="P6818" t="str">
            <v>ООО ЛП Тс162097-26 03.08.2026 Пушкарный(ВВ) 713кг (Уманский)</v>
          </cell>
        </row>
        <row r="6819">
          <cell r="P6819" t="str">
            <v>ООО ЛП Тс164266-26 03.08.2026 Коныгин(2) 1977кг (Уманский)</v>
          </cell>
        </row>
        <row r="6820">
          <cell r="P6820" t="str">
            <v>ООО ЛП Тс164267-26 02.08.2026 Пушкарный 6322кг (Елисеев)</v>
          </cell>
        </row>
        <row r="6821">
          <cell r="P6821" t="str">
            <v>ОТМЕНА</v>
          </cell>
        </row>
        <row r="6822">
          <cell r="P6822" t="str">
            <v>ООО НВ Тс161864-26 01.08.2026 Бердянск 3102кг (Ислюков)</v>
          </cell>
        </row>
        <row r="6823">
          <cell r="P6823" t="str">
            <v>ООО НВ Тс161856-26 01.08.2026 Бердянск(2) 2176кг (Ислюков)</v>
          </cell>
        </row>
        <row r="6824">
          <cell r="P6824" t="str">
            <v>ООО НВ Тс161849-26 01.08.2026 Мелитополь 3824кг (Ислюков)</v>
          </cell>
        </row>
        <row r="6825">
          <cell r="P6825" t="str">
            <v>ООО НВ Тс161862-26 01.08.2026 Мелитополь(2) 2784кг (Ислюков)</v>
          </cell>
        </row>
        <row r="6826">
          <cell r="P6826" t="str">
            <v>ООО НВ Тс164156-26 01.08.2026 Бердянск(3) 1382кг (Ислюков)</v>
          </cell>
        </row>
        <row r="6827">
          <cell r="P6827" t="str">
            <v>ООО НВ Тс164562-26 01.08.2026 Бердянск(4) 2000кг (Ислюков)</v>
          </cell>
        </row>
        <row r="6828">
          <cell r="P6828" t="str">
            <v>ООО НВ Тс164186-26 01.08.2026 Мелитополь(3) 2173кг (Ислюков)</v>
          </cell>
        </row>
        <row r="6829">
          <cell r="P6829" t="str">
            <v>ООО НВ Тс161859-26 02.08.2026 Луганск 8314кг (Медведь)</v>
          </cell>
        </row>
        <row r="6830">
          <cell r="P6830" t="str">
            <v>ООО НВ Тс161850-26 02.08.2026 Донецк 4819кг (Медведь)</v>
          </cell>
        </row>
        <row r="6831">
          <cell r="P6831" t="str">
            <v>ООО НВ Тс161863-26 02.08.2026 Луганск(2) 1777кг (Медведь)</v>
          </cell>
        </row>
        <row r="6832">
          <cell r="P6832" t="str">
            <v>ООО НВ Тс164563-26 02.08.2026 Луганск(3) 2530кг (Медведь)</v>
          </cell>
        </row>
        <row r="6833">
          <cell r="P6833" t="str">
            <v>ООО КСК ТРЕЙД Тс161758-26 01.08.2026 Крым 15560кг (Мазур)</v>
          </cell>
        </row>
        <row r="6834">
          <cell r="P6834" t="str">
            <v>ООО КСК ТРЕЙД Тс164441-26 01.08.2026 Крым(2) 1473кг (Мазур)</v>
          </cell>
        </row>
        <row r="6835">
          <cell r="P6835" t="str">
            <v>ООО КСК ТРЕЙД Тс164095-26 01.08.2026 Крым(3) 514кг (Мазур)</v>
          </cell>
        </row>
        <row r="6836">
          <cell r="P6836" t="str">
            <v>ООО НВ Тс162892-26 02.08.2026 Донецк 15394кг (Клетченко)</v>
          </cell>
        </row>
        <row r="6837">
          <cell r="P6837" t="str">
            <v>ООО НВ Тс161852-26 02.08.2026 Кочевой 1318кг (Клетченко)</v>
          </cell>
        </row>
        <row r="6838">
          <cell r="P6838" t="str">
            <v>ООО НВ Тс164564-26 02.08.2026 Донецк(2) 931кг (Клетченко)</v>
          </cell>
        </row>
        <row r="6839">
          <cell r="P6839" t="str">
            <v>ООО КСК ТРЕЙД Тс162672-26 01.08.2026 Крым 15580кг (Исаков)</v>
          </cell>
        </row>
        <row r="6840">
          <cell r="P6840" t="str">
            <v>ООО КСК ТРЕЙД Тс162603-26 02.08.2026 Крым 9972кг (Чиндин)</v>
          </cell>
        </row>
        <row r="6841">
          <cell r="P6841" t="str">
            <v>ООО КСК ТРЕЙД Тс162600-26 02.08.2026 Николаенко 1562кг (Чиндин)</v>
          </cell>
        </row>
        <row r="6842">
          <cell r="P6842" t="str">
            <v>ООО КСК ТРЕЙД Тс164685-26 02.08.2026 Крым(3) 1118кг (Чиндин)</v>
          </cell>
        </row>
        <row r="6843">
          <cell r="P6843" t="str">
            <v>ООО КСК ТРЕЙД Тс164557-26 02.08.2026 Крым(2) 4925кг (Чиндин)</v>
          </cell>
        </row>
        <row r="6844">
          <cell r="P6844" t="str">
            <v>ООО НВ Тс162891-26 02.08.2026 Горяк-Луганск 7572кг (Жабкин)</v>
          </cell>
        </row>
        <row r="6845">
          <cell r="P6845" t="str">
            <v>ООО НВ Тс162867-26 02.08.2026 Луганск 8377кг (Жабкин)</v>
          </cell>
        </row>
        <row r="6846">
          <cell r="P6846" t="str">
            <v>ООО НВ Тс164560-26 02.08.2026 Луганск(2) 1172кг (Жабкин)</v>
          </cell>
        </row>
        <row r="6847">
          <cell r="P6847" t="str">
            <v>ООО ЛП Тс162529-26 02.08.2026 Малахутин 9654кг (Елисеев)</v>
          </cell>
        </row>
        <row r="6848">
          <cell r="P6848" t="str">
            <v>ООО ЛП Тс162534-26 02.08.2026 ПРС 1521кг (Елисеев)</v>
          </cell>
        </row>
        <row r="6849">
          <cell r="P6849" t="str">
            <v>ООО НВ Тс162887-26 04.08.2026 Донецк 1614кг (Пыдык)</v>
          </cell>
        </row>
        <row r="6850">
          <cell r="P6850" t="str">
            <v>ООО НВ Тс164782-26 04.08.2026 Донецк(3) 3516кг (Пыдык)</v>
          </cell>
        </row>
        <row r="6851">
          <cell r="P6851" t="str">
            <v>ООО НВ Тс164559-26 03.08.2026 Донецк 4124кг (Уманский)</v>
          </cell>
        </row>
        <row r="6852">
          <cell r="P6852" t="str">
            <v>ООО НВ Тс162889-26 02.08.2026 Донецк 15649кг (Кокшин)</v>
          </cell>
          <cell r="Q6852">
            <v>15649</v>
          </cell>
        </row>
        <row r="6853">
          <cell r="P6853" t="str">
            <v>ООО НВ Тс164561-26 02.08.2026 Донецк(2) 1553кг (Кокшин)</v>
          </cell>
          <cell r="Q6853">
            <v>1553</v>
          </cell>
        </row>
        <row r="6854">
          <cell r="P6854" t="str">
            <v>ООО КСК ТРЕЙД Тс164332-26 03.08.2026 Крым 11956кг (Акшонин)</v>
          </cell>
          <cell r="Q6854" t="str">
            <v>ООО КСК ТРЕЙД Тс165181-26 03.08.2026 Крым(3) 513кг (Акшонин)</v>
          </cell>
        </row>
        <row r="6855">
          <cell r="P6855" t="str">
            <v>ООО КСК ТРЕЙД Тс164786-26 03.08.2026 Крым(2) 5121кг (Акшонин)</v>
          </cell>
        </row>
        <row r="6856">
          <cell r="P6856" t="str">
            <v>ООО КСК ТРЕЙД Тс164359-26 03.08.2026 Крым 8513кг (Воронов)</v>
          </cell>
          <cell r="Q6856" t="str">
            <v>ООО КСК ТРЕЙД Тс164942-26 03.08.2026 Крым 300кг (Воронов)</v>
          </cell>
        </row>
        <row r="6857">
          <cell r="P6857" t="str">
            <v>ООО КСК ТРЕЙД Тс164319-26 03.08.2026 Вердиева(2) 1518кг (Воронов)</v>
          </cell>
        </row>
        <row r="6858">
          <cell r="P6858" t="str">
            <v>ООО КСК ТРЕЙД Тс164292-26 03.08.2026 Вердиева 1284кг (Воронов)</v>
          </cell>
        </row>
        <row r="6859">
          <cell r="P6859" t="str">
            <v>ООО КСК ТРЕЙД Тс164787-26 03.08.2026 Крым 5882кг (Воронов)</v>
          </cell>
        </row>
        <row r="6860">
          <cell r="P6860" t="str">
            <v>ООО КСК ТРЕЙД ЮТс-03725-26 03.08.2026 Крым 14860кг (Попов)</v>
          </cell>
        </row>
        <row r="6861">
          <cell r="P6861" t="str">
            <v>ООО НВ Тс164098-26 03.08.2026 Бердянск 3686кг (Сарва)</v>
          </cell>
        </row>
        <row r="6862">
          <cell r="P6862" t="str">
            <v>ООО НВ Тс164309-26 03.08.2026 Мелитополь 9613кг (Сарва)</v>
          </cell>
          <cell r="Q6862" t="str">
            <v>ООО НВ Тс165413-26 03.08.2026 Мелитополь(3) 134кг (Сарва)</v>
          </cell>
        </row>
        <row r="6863">
          <cell r="P6863" t="str">
            <v>ООО НВ Тс165118-26 03.08.2026 Мелитополь(2) 3621кг (Сарва)</v>
          </cell>
        </row>
        <row r="6864">
          <cell r="P6864" t="str">
            <v>ООО НВ Тс164099-26 04.08.2026 Донецк(2) 10241кг (Пыдык)</v>
          </cell>
        </row>
        <row r="6865">
          <cell r="P6865" t="str">
            <v>ООО ЛП Тс163985-26 04.08.2026 НПК 2884кг (Пыдык)</v>
          </cell>
        </row>
        <row r="6866">
          <cell r="P6866" t="str">
            <v>ООО НВ ЮТс-03723-26 03.08.2026 Горняк-Донецк 7129кг (Хохлов)</v>
          </cell>
        </row>
        <row r="6867">
          <cell r="P6867" t="str">
            <v>ООО НВ Тс163951-26 03.08.2026 Донецк 6414кг (Хохлов)</v>
          </cell>
        </row>
        <row r="6868">
          <cell r="P6868" t="str">
            <v>ООО НВ ЮТс-03732-26 03.08.2026 Горняк-Луганск 10672кг (Решетов)</v>
          </cell>
        </row>
        <row r="6869">
          <cell r="P6869" t="str">
            <v>ООО НВ ЮТс-03733-26 03.08.2026 Луганск 12325кг (Лола)</v>
          </cell>
        </row>
        <row r="6870">
          <cell r="P6870" t="str">
            <v>ООО КСК ТРЕЙД Тс164304-26 04.08.2026 Крым 13709кг (Муждабаев)</v>
          </cell>
          <cell r="Q6870" t="str">
            <v>ООО КСК ТРЕЙД Тс164742-26 04.08.2026 Крым(2) 225кг (Муждабаев)</v>
          </cell>
          <cell r="R6870" t="str">
            <v>ООО КСК ТРЕЙД Тс166303-26 04.08.2026 Крым 135кг (Муждабаев)</v>
          </cell>
        </row>
        <row r="6871">
          <cell r="P6871" t="str">
            <v>ООО КСК ТРЕЙД Тс165867-26 04.08.2026 Крым(4) 753кг (Муждабаев)</v>
          </cell>
        </row>
        <row r="6872">
          <cell r="P6872" t="str">
            <v>ООО КСК ТРЕЙД Тс165428-26 04.08.2026 Крым(3) 2718кг (Муждабаев)</v>
          </cell>
        </row>
        <row r="6873">
          <cell r="P6873" t="str">
            <v>ООО КСК ТРЕЙД Тс164372-26 04.08.2026 Крым 13231кг (Гулаков)</v>
          </cell>
          <cell r="Q6873" t="str">
            <v>ООО КСК ТРЕЙД Тс166323-26 04.08.2026 Крым(4) 685кг (Гулаков)</v>
          </cell>
        </row>
        <row r="6874">
          <cell r="P6874" t="str">
            <v>ООО КСК ТРЕЙД Тс165866-26 04.08.2026 Крым(3) 539кг (Гулаков)</v>
          </cell>
        </row>
        <row r="6875">
          <cell r="P6875" t="str">
            <v>ООО КСК ТРЕЙД Тс165427-26 04.08.2026 Крым(2) 3107кг (Гулаков)</v>
          </cell>
        </row>
        <row r="6876">
          <cell r="P6876" t="str">
            <v>ООО НВ Тс165114-26 04.08.2026 Донецк 16503кг (Павленко)</v>
          </cell>
          <cell r="Q6876" t="str">
            <v>ООО НВ Тс166526-26 04.08.2026 Донецк(3) 139кг (Павленко)</v>
          </cell>
        </row>
        <row r="6877">
          <cell r="P6877" t="str">
            <v>ООО НВ Тс165310-26 04.08.2026 Донецк(2) 1012кг (Павленко)</v>
          </cell>
        </row>
        <row r="6878">
          <cell r="P6878" t="str">
            <v>ООО НВ Тс164295-26 04.08.2026 Луганск 14218кг (Должков)</v>
          </cell>
          <cell r="Q6878" t="str">
            <v>ООО НВ Тс166528-26 04.08.2026 Луганск(3) 235кг (Должков)</v>
          </cell>
        </row>
        <row r="6879">
          <cell r="P6879" t="str">
            <v>ООО НВ Тс165306-26 04.08.2026 Луганск(2) 2621кг (Должков)</v>
          </cell>
        </row>
        <row r="6880">
          <cell r="P6880" t="str">
            <v>ООО НВ Тс164313-26 04.08.2026 Донецк 12555кг (Ступак)</v>
          </cell>
          <cell r="Q6880" t="str">
            <v>ООО НВ Тс164161-26 04.08.2026 Донецк(2) 15кг (Ступак)</v>
          </cell>
        </row>
        <row r="6881">
          <cell r="P6881" t="str">
            <v>ООО НВ Тс164301-26 04.08.2026 Бердянск 9226кг (Исмаилов)</v>
          </cell>
          <cell r="Q6881" t="str">
            <v>ООО НВ Тс164151-26 04.08.2026 Бердянск(2) 15кг (Исмаилов)</v>
          </cell>
        </row>
        <row r="6882">
          <cell r="P6882" t="str">
            <v>ООО НВ Тс164298-26 04.08.2026 Мелитополь 5568кг (Исмаилов)</v>
          </cell>
        </row>
        <row r="6883">
          <cell r="P6883" t="str">
            <v>ОТМЕНА</v>
          </cell>
        </row>
        <row r="6884">
          <cell r="O6884" t="str">
            <v>TSO001079561</v>
          </cell>
          <cell r="P6884" t="str">
            <v>ООО ЛП Тс166492-26 06.08.2026 Пушкарный 14186кг (Шостак)</v>
          </cell>
        </row>
        <row r="6885">
          <cell r="O6885" t="str">
            <v>TSO001079587</v>
          </cell>
          <cell r="P6885" t="str">
            <v>ООО ЛП Тс166502-26 06.08.2026 Пушкарный 17205кг (Довгий)</v>
          </cell>
        </row>
        <row r="6886">
          <cell r="O6886" t="str">
            <v>TSO001079592</v>
          </cell>
          <cell r="P6886" t="str">
            <v>ООО ЛП Тс166452-26 06.08.2026 Пушкарный 14137кг (Бугаев)</v>
          </cell>
        </row>
        <row r="6887">
          <cell r="O6887" t="str">
            <v>TSO001079598</v>
          </cell>
          <cell r="P6887" t="str">
            <v>ООО ЛП Тс166505-26 06.08.2026 Пенза 15236кг (Писирханов)</v>
          </cell>
        </row>
        <row r="6888">
          <cell r="O6888" t="str">
            <v>TSO001080906</v>
          </cell>
          <cell r="P6888" t="str">
            <v>ООО ЛП Тс168017-26 06.08.2026 Пенза(2) 2515кг (Писирханов)</v>
          </cell>
        </row>
        <row r="6889">
          <cell r="O6889" t="str">
            <v>TSO001079599</v>
          </cell>
          <cell r="P6889" t="str">
            <v>ООО ЛП Тс166524-26 08.08.2026 Пенза 15128кг (Агафонов)</v>
          </cell>
        </row>
        <row r="6890">
          <cell r="O6890" t="str">
            <v>TSO001080907</v>
          </cell>
          <cell r="P6890" t="str">
            <v>ООО ЛП Тс168016-26 08.08.2026 Пенза(2) 2513кг (Агафонов)</v>
          </cell>
        </row>
        <row r="6891">
          <cell r="O6891" t="str">
            <v>TSO001079829</v>
          </cell>
          <cell r="P6891" t="str">
            <v>ООО КСК ТРЕЙД Тс167546-26 06.08.2026 Крым 16011кг (Журавлев)</v>
          </cell>
        </row>
        <row r="6892">
          <cell r="O6892" t="str">
            <v>TSO001080620</v>
          </cell>
          <cell r="P6892" t="str">
            <v>ООО КСК ТРЕЙД Тс167544-26 06.08.2026 Крым(2) 858кг (Журавлев)</v>
          </cell>
        </row>
        <row r="6893">
          <cell r="O6893" t="str">
            <v>TSO001080316</v>
          </cell>
          <cell r="P6893" t="str">
            <v>ООО КСК ТРЕЙД Тс167570-26 07.08.2026 Крым 13677кг (Воронов)</v>
          </cell>
        </row>
        <row r="6894">
          <cell r="O6894" t="str">
            <v>TSO001081611</v>
          </cell>
          <cell r="P6894" t="str">
            <v>ООО КСК ТРЕЙД Тс168691-26 07.08.2026 Крым(3) 449кг (Воронов)</v>
          </cell>
        </row>
        <row r="6895">
          <cell r="O6895" t="str">
            <v>TSO001081146</v>
          </cell>
          <cell r="P6895" t="str">
            <v>ООО КСК ТРЕЙД Тс168190-26 07.08.2026 Крым(2) 3093кг (Воронов)</v>
          </cell>
        </row>
        <row r="6896">
          <cell r="O6896" t="str">
            <v>TSO001080407</v>
          </cell>
          <cell r="P6896" t="str">
            <v>ООО КСК ТРЕЙД Тс167598-26 08.08.2026 Крым 13910кг (Крамаренко)</v>
          </cell>
          <cell r="Q6896" t="str">
            <v>ООО КСК ТРЕЙД Тс169739-26 08.08.2026 Крым(4) 239кг (Крамаренко)</v>
          </cell>
          <cell r="R6896" t="str">
            <v>ООО КСК ТРЕЙД Тс169748-26 08.08.2026 Крым(5) 135кг (Крамаренко)</v>
          </cell>
        </row>
        <row r="6897">
          <cell r="O6897" t="str">
            <v>TSO001082103</v>
          </cell>
          <cell r="P6897" t="str">
            <v>ООО КСК ТРЕЙД Тс169656-26 08.08.2026 Крым(3) 974кг (Крамаренко)</v>
          </cell>
        </row>
        <row r="6898">
          <cell r="O6898" t="str">
            <v>TSO001081966</v>
          </cell>
          <cell r="P6898" t="str">
            <v>ООО КСК ТРЕЙД Тс169490-26 08.08.2026 Крым(2) 2311кг (Крамаренко)</v>
          </cell>
        </row>
        <row r="6899">
          <cell r="O6899" t="str">
            <v>TSO001080408</v>
          </cell>
          <cell r="P6899" t="str">
            <v>ООО КСК ТРЕЙД Тс167505-26 08.08.2026 Крым 14103кг (Латышев)</v>
          </cell>
          <cell r="Q6899" t="str">
            <v>ООО КСК ТРЕЙД Тс169747-26 08.08.2026 Крым(4) 103кг (Латышев)</v>
          </cell>
        </row>
        <row r="6900">
          <cell r="O6900" t="str">
            <v>TSO001082104</v>
          </cell>
          <cell r="P6900" t="str">
            <v>ООО КСК ТРЕЙД Тс169653-26 08.08.2026 Крым(3) 1113кг (Латышев)</v>
          </cell>
        </row>
        <row r="6901">
          <cell r="O6901" t="str">
            <v>TSO001081973</v>
          </cell>
          <cell r="P6901" t="str">
            <v>ООО КСК ТРЕЙД Тс169471-26 08.08.2026 Крым(2) 2231кг (Латышев)</v>
          </cell>
        </row>
        <row r="6902">
          <cell r="O6902" t="str">
            <v>TSO001080422</v>
          </cell>
          <cell r="P6902" t="str">
            <v>ООО НВ Тс168157-26 09.08.2026 Горняк-Горловка 373кг (Решетников)</v>
          </cell>
        </row>
        <row r="6903">
          <cell r="O6903" t="str">
            <v>TSO001080423</v>
          </cell>
          <cell r="P6903" t="str">
            <v>ООО НВ Тс168179-26 09.08.2026 Горняк-Луганск 9270кг (Решетников)</v>
          </cell>
        </row>
        <row r="6904">
          <cell r="O6904" t="str">
            <v>TSO001080421</v>
          </cell>
          <cell r="P6904" t="str">
            <v>ООО НВ Тс168203-26 09.08.2026 Луганск 5101кг (Решетников)</v>
          </cell>
        </row>
        <row r="6905">
          <cell r="O6905" t="str">
            <v>TSO001082063</v>
          </cell>
          <cell r="P6905" t="str">
            <v>ООО НВ Тс169504-26 09.08.2026 Луганск(2) 3009кг (Решетников)</v>
          </cell>
        </row>
        <row r="6906">
          <cell r="O6906" t="str">
            <v>TSO001080777</v>
          </cell>
          <cell r="P6906" t="str">
            <v>ООО КСК ТРЕЙД Тс167945-26 09.08.2026 Крым 13753кг (Ачкалов)</v>
          </cell>
        </row>
        <row r="6907">
          <cell r="O6907" t="str">
            <v>TSO001080787</v>
          </cell>
          <cell r="P6907" t="str">
            <v>ООО ЛП ЮТс-03879-26 16.08.2026 ПРС 10739кг (Пыдык)</v>
          </cell>
        </row>
        <row r="6908">
          <cell r="O6908" t="str">
            <v>TSO001080804</v>
          </cell>
          <cell r="P6908" t="str">
            <v>ООО ЛП Тс167935-26 09.08.2026 Пушкарный(ВВ) 5004кг (Хохлов)</v>
          </cell>
        </row>
        <row r="6909">
          <cell r="O6909" t="str">
            <v>TSO001080802</v>
          </cell>
          <cell r="P6909" t="str">
            <v>ООО ЛП Тс167948-26 09.08.2026 Коныгин 6037кг (Хохлов)</v>
          </cell>
        </row>
        <row r="6910">
          <cell r="O6910" t="str">
            <v>TSO001080803</v>
          </cell>
          <cell r="P6910" t="str">
            <v>ОТМЕНА</v>
          </cell>
        </row>
        <row r="6911">
          <cell r="O6911" t="str">
            <v>TSO001080800</v>
          </cell>
          <cell r="P6911" t="str">
            <v>ООО ЛП Тс167993-26 09.08.2026 Обрыньба 5801кг (Хохлов)</v>
          </cell>
        </row>
        <row r="6912">
          <cell r="O6912" t="str">
            <v>TSO001080807</v>
          </cell>
          <cell r="P6912" t="str">
            <v>ОТМЕНА</v>
          </cell>
        </row>
        <row r="6913">
          <cell r="O6913" t="str">
            <v>TSO001080808</v>
          </cell>
          <cell r="P6913" t="str">
            <v>ОТМЕНА</v>
          </cell>
        </row>
        <row r="6914">
          <cell r="O6914" t="str">
            <v>TSO001080884</v>
          </cell>
          <cell r="P6914" t="str">
            <v>ОТМЕНА</v>
          </cell>
        </row>
        <row r="6915">
          <cell r="O6915" t="str">
            <v>TSO001080891</v>
          </cell>
          <cell r="P6915" t="str">
            <v>ООО КСК ТРЕЙД Тс168238-26 09.08.2026 Крым 11698кг (Евсеев)</v>
          </cell>
        </row>
        <row r="6916">
          <cell r="O6916" t="str">
            <v>TSO001082124</v>
          </cell>
          <cell r="P6916" t="str">
            <v>ООО КСК ТРЕЙД Тс169841-26 09.08.2026 Крым(2) 719кг (Евсеев)</v>
          </cell>
        </row>
        <row r="6917">
          <cell r="O6917" t="str">
            <v>TSO001082131</v>
          </cell>
          <cell r="P6917" t="str">
            <v>ООО КСК ТРЕЙД Тс169909-26 09.08.2026 Крым(3) 2779кг (Евсеев)</v>
          </cell>
        </row>
        <row r="6918">
          <cell r="O6918" t="str">
            <v>TSO001080892</v>
          </cell>
          <cell r="P6918" t="str">
            <v>ООО КСК ТРЕЙД Тс168263-26 09.08.2026 Николаенко 2318кг (Евсеев)</v>
          </cell>
        </row>
        <row r="6919">
          <cell r="O6919" t="str">
            <v>TSO001080893</v>
          </cell>
          <cell r="P6919" t="str">
            <v>ООО КСК ТРЕЙД Тс168244-26 09.08.2026 Николаенко(2) 58кг (Евсеев)</v>
          </cell>
        </row>
        <row r="6920">
          <cell r="O6920" t="str">
            <v>TSO001080901</v>
          </cell>
          <cell r="P6920" t="str">
            <v>ООО НВ Тс168217-26 09.08.2026 Донецк 15727кг (Рева)</v>
          </cell>
        </row>
        <row r="6921">
          <cell r="O6921" t="str">
            <v>TSO001082158</v>
          </cell>
          <cell r="P6921" t="str">
            <v>ООО НВ Тс169988-26 09.08.2026 Донецк(3) 807кг (Рева)</v>
          </cell>
        </row>
        <row r="6922">
          <cell r="O6922" t="str">
            <v>TSO001082114</v>
          </cell>
          <cell r="P6922" t="str">
            <v>ООО НВ Тс169781-26 09.08.2026 Донецк(2) 1013кг (Рева)</v>
          </cell>
        </row>
        <row r="6923">
          <cell r="O6923" t="str">
            <v>TSO001081610</v>
          </cell>
          <cell r="P6923" t="str">
            <v>ООО КСК ТРЕЙД Тс168858-26 11.08.2026 Крым 14951кг (Гусейнов)</v>
          </cell>
        </row>
        <row r="6924">
          <cell r="O6924" t="str">
            <v>TSO001081752</v>
          </cell>
          <cell r="P6924" t="str">
            <v>ООО КСК ТРЕЙД Тс169320-26 10.08.2026 Крым 13517кг (Хинько)</v>
          </cell>
        </row>
        <row r="6925">
          <cell r="O6925" t="str">
            <v>TSO001082166</v>
          </cell>
          <cell r="P6925" t="str">
            <v>ООО КСК ТРЕЙД Тс170018-26 10.08.2026 Крым(2) 3893кг (Хинько)</v>
          </cell>
        </row>
        <row r="6926">
          <cell r="O6926" t="str">
            <v>TSO001081763</v>
          </cell>
          <cell r="P6926" t="str">
            <v>ООО КСК ТРЕЙД Тс169392-26 10.08.2026 Крым 13783кг (Кокшин)</v>
          </cell>
        </row>
        <row r="6927">
          <cell r="O6927" t="str">
            <v>TSO001082167</v>
          </cell>
          <cell r="P6927" t="str">
            <v>ООО КСК ТРЕЙД Тс170019-26 10.08.2026 Крым(2) 3738кг (Кокшин)</v>
          </cell>
        </row>
        <row r="6928">
          <cell r="O6928" t="str">
            <v>TSO001081782</v>
          </cell>
          <cell r="P6928" t="str">
            <v>ООО ЛП Тс169229-26 10.08.2026 НПК 4989кг (Медведь)</v>
          </cell>
        </row>
        <row r="6929">
          <cell r="O6929" t="str">
            <v>TSO001081780</v>
          </cell>
          <cell r="P6929" t="str">
            <v>ООО ЛП Тс169333-26 10.08.2026 ПРС 2122кг (Медведь)</v>
          </cell>
        </row>
        <row r="6930">
          <cell r="O6930" t="str">
            <v>TSO001081779</v>
          </cell>
          <cell r="P6930" t="str">
            <v>ООО НВ Тс169124-26 10.08.2026 Донецк 7945кг (Медведь)</v>
          </cell>
        </row>
        <row r="6931">
          <cell r="O6931" t="str">
            <v>TSO001082483</v>
          </cell>
          <cell r="P6931" t="str">
            <v>ООО НВ Тс170412-26 10.08.2026 Донецк(2) 2506кг (Медведь)</v>
          </cell>
        </row>
        <row r="6932">
          <cell r="O6932" t="str">
            <v>TSO001081814</v>
          </cell>
          <cell r="P6932" t="str">
            <v>ООО НВ Тс169367-26 11.08.2026 Донецк 14518кг (Чирков)</v>
          </cell>
        </row>
        <row r="6933">
          <cell r="O6933" t="str">
            <v>TSO001083266</v>
          </cell>
          <cell r="P6933" t="str">
            <v>ООО НВ Тс171696-26 11.08.2026 Донецк(4) 1005кг (Чирков)</v>
          </cell>
        </row>
        <row r="6934">
          <cell r="O6934" t="str">
            <v>TSO001083270</v>
          </cell>
          <cell r="P6934" t="str">
            <v>ООО НВ Тс171695-26 11.08.2026 Донецк(3) 568кг (Чирков)</v>
          </cell>
        </row>
        <row r="6935">
          <cell r="O6935" t="str">
            <v>TSO001082482</v>
          </cell>
          <cell r="P6935" t="str">
            <v>ООО НВ Тс170413-26 11.08.2026 Донецк(2) 1097кг (Чирков)</v>
          </cell>
        </row>
        <row r="6936">
          <cell r="O6936" t="str">
            <v>TSO001081845</v>
          </cell>
          <cell r="P6936" t="str">
            <v>ООО НВ Тс169165-26 10.08.2026 Горняк-Донецк 3030кг (Голубев)</v>
          </cell>
        </row>
        <row r="6937">
          <cell r="O6937" t="str">
            <v>TSO001081842</v>
          </cell>
          <cell r="P6937" t="str">
            <v>ООО НВ Тс169163-26 10.08.2026 Донецк 8964кг (Голубев)</v>
          </cell>
        </row>
        <row r="6938">
          <cell r="O6938" t="str">
            <v>TSO001082097</v>
          </cell>
          <cell r="P6938" t="str">
            <v>ОТМЕНА</v>
          </cell>
        </row>
        <row r="6939">
          <cell r="O6939" t="str">
            <v>TSO001081762</v>
          </cell>
          <cell r="P6939" t="str">
            <v>ООО КСК ТРЕЙД Тс169718-26 11.08.2026 Крым 14175кг (Кива)</v>
          </cell>
        </row>
        <row r="6940">
          <cell r="O6940" t="str">
            <v>TSO001082730</v>
          </cell>
          <cell r="P6940" t="str">
            <v>ООО КСК ТРЕЙД Тс170756-26 11.08.2026 Крым(2) 3585кг (Кива)</v>
          </cell>
        </row>
        <row r="6941">
          <cell r="O6941" t="str">
            <v>TSO001081767</v>
          </cell>
          <cell r="P6941" t="str">
            <v>ООО КСК ТРЕЙД Тс169374-26 11.08.2026 Крым 14146кг (Журавлев)</v>
          </cell>
        </row>
        <row r="6942">
          <cell r="O6942" t="str">
            <v>TSO001082732</v>
          </cell>
          <cell r="P6942" t="str">
            <v>ООО КСК ТРЕЙД Тс170757-26 11.08.2026 Крым(2) 3559кг (Журавлев)</v>
          </cell>
        </row>
        <row r="6943">
          <cell r="O6943" t="str">
            <v>TSO001081817</v>
          </cell>
          <cell r="P6943" t="str">
            <v>ООО НВ Тс169381-26 12.08.2026 Бердянск 5583кг (Сарва)</v>
          </cell>
        </row>
        <row r="6944">
          <cell r="O6944" t="str">
            <v>TSO001081832</v>
          </cell>
          <cell r="P6944" t="str">
            <v>ООО НВ Тс169467-26 12.08.2026 Мелитополь 7308кг (Сарва)</v>
          </cell>
        </row>
        <row r="6945">
          <cell r="O6945" t="str">
            <v>TSO001083748</v>
          </cell>
          <cell r="P6945" t="str">
            <v>ООО НВ Тс172100-26 12.08.2026 Бердянск(2) 1512кг (Сарва)</v>
          </cell>
        </row>
        <row r="6946">
          <cell r="O6946" t="str">
            <v>TSO001083743</v>
          </cell>
          <cell r="P6946" t="str">
            <v>ООО НВ Тс172098-26 12.08.2026 Мелитополь(3) 1307кг (Сарва)</v>
          </cell>
        </row>
        <row r="6947">
          <cell r="O6947" t="str">
            <v>TSO001082578</v>
          </cell>
          <cell r="P6947" t="str">
            <v>ООО НВ Тс170627-26 12.08.2026 Мелитополь(2) 467кг (Сарва)</v>
          </cell>
        </row>
        <row r="6948">
          <cell r="O6948" t="str">
            <v>TSO001081823</v>
          </cell>
          <cell r="P6948" t="str">
            <v>ООО НВ Тс169393-26 11.08.2026 Луганск 13561кг (Жабкин)</v>
          </cell>
        </row>
        <row r="6949">
          <cell r="O6949" t="str">
            <v>TSO001083749</v>
          </cell>
          <cell r="P6949" t="str">
            <v>ООО НВ Тс172101-26 11.08.2026 Луганск(2) 2099кг (Жабкин)</v>
          </cell>
        </row>
        <row r="6950">
          <cell r="O6950" t="str">
            <v>TSO001082558</v>
          </cell>
          <cell r="P6950" t="str">
            <v>ООО НВ Тс172296-26 11.08.2026 Луганск(3) 1052кг (Жабкин)</v>
          </cell>
        </row>
        <row r="6951">
          <cell r="O6951" t="str">
            <v>TSO001082471</v>
          </cell>
          <cell r="P6951" t="str">
            <v>ООО ЛП Тс170439-26 13.08.2026 Бычков 1940кг (Евсеев)</v>
          </cell>
        </row>
        <row r="6952">
          <cell r="O6952" t="str">
            <v>TSO001082473</v>
          </cell>
          <cell r="P6952" t="str">
            <v>ООО ЛП Тс170442-26 13.08.2026 Бычков2 6631кг (Евсеев)</v>
          </cell>
        </row>
        <row r="6953">
          <cell r="O6953" t="str">
            <v>TSO001082672</v>
          </cell>
          <cell r="P6953" t="str">
            <v>ООО НВ Тс170800-26 16.08.2026 Луганск 13073кг (Шилкин)</v>
          </cell>
        </row>
        <row r="6954">
          <cell r="O6954" t="str">
            <v>TSO001083290</v>
          </cell>
          <cell r="P6954" t="str">
            <v>ООО ЛП Тс171992-26 13.08.2026 Пушкарный 15691кг (Пыдык)</v>
          </cell>
        </row>
        <row r="6955">
          <cell r="O6955" t="str">
            <v>TSO001083296</v>
          </cell>
          <cell r="P6955" t="str">
            <v>ООО ЛП Тс171752-26 14.08.2026 Пушкарный 17603кг (Хохлов)</v>
          </cell>
        </row>
        <row r="6956">
          <cell r="O6956" t="str">
            <v>TSO001083297</v>
          </cell>
          <cell r="P6956" t="str">
            <v>ОТМЕНА</v>
          </cell>
        </row>
        <row r="6957">
          <cell r="O6957" t="str">
            <v>TSO001083445</v>
          </cell>
          <cell r="P6957" t="str">
            <v>ООО ЛП Тс171975-26 14.08.2026 Пенза 15822кг (Хинько)</v>
          </cell>
        </row>
        <row r="6958">
          <cell r="O6958" t="str">
            <v>TSO001084140</v>
          </cell>
          <cell r="P6958" t="str">
            <v>ООО КСК ТРЕЙД Тс172902-26 14.08.2026 Крым 12427кг (Гончаренко)</v>
          </cell>
        </row>
        <row r="6959">
          <cell r="O6959" t="str">
            <v>TSO001085653</v>
          </cell>
          <cell r="P6959" t="str">
            <v>ООО КСК ТРЕЙД Тс174472-26 14.08.2026 Крым(3) 2386кг (Гончаренко)</v>
          </cell>
        </row>
        <row r="6960">
          <cell r="O6960" t="str">
            <v>TSO001085126</v>
          </cell>
          <cell r="P6960" t="str">
            <v>ООО КСК ТРЕЙД Тс173812-26 14.08.2026 Крым(2) 2406кг (Гончаренко)</v>
          </cell>
        </row>
        <row r="6961">
          <cell r="O6961" t="str">
            <v>TSO001084144</v>
          </cell>
          <cell r="P6961" t="str">
            <v>ООО КСК ТРЕЙД Тс172953-26 14.08.2026 Крым 12959кг (Мироненко)</v>
          </cell>
        </row>
        <row r="6962">
          <cell r="O6962" t="str">
            <v>TSO001085047</v>
          </cell>
          <cell r="P6962" t="str">
            <v>ООО КСК ТРЕЙД Тс173720-26 14.08.2026 Крым(2) 4637кг (Мироненко)</v>
          </cell>
        </row>
        <row r="6963">
          <cell r="O6963" t="str">
            <v>TSO001084220</v>
          </cell>
          <cell r="P6963" t="str">
            <v>ООО ЛП Тс172769-26 16.08.2026 Обрыньба 4203кг (Грушецкий)</v>
          </cell>
        </row>
        <row r="6964">
          <cell r="O6964" t="str">
            <v>TSO001084224</v>
          </cell>
          <cell r="P6964" t="str">
            <v>ОТМЕНА</v>
          </cell>
        </row>
        <row r="6965">
          <cell r="O6965" t="str">
            <v>TSO001084231</v>
          </cell>
          <cell r="P6965" t="str">
            <v>ООО ЛП Тс172770-26 16.08.2026 Коныгин 4403кг (Грушецкий)</v>
          </cell>
        </row>
        <row r="6966">
          <cell r="O6966" t="str">
            <v>TSO001084229</v>
          </cell>
          <cell r="P6966" t="str">
            <v>ОТМЕНА</v>
          </cell>
        </row>
        <row r="6967">
          <cell r="O6967" t="str">
            <v>TSO001084225</v>
          </cell>
          <cell r="P6967" t="str">
            <v>ООО ЛП Тс172773-26 16.08.2026 Пушкарный(ВВ) 2385кг (Грушецкий)</v>
          </cell>
        </row>
        <row r="6968">
          <cell r="O6968" t="str">
            <v>TSO001084232</v>
          </cell>
          <cell r="P6968" t="str">
            <v>ООО КСК ТРЕЙД Тс172972-26 15.08.2026 Крым 12761кг (Ислюков)</v>
          </cell>
        </row>
        <row r="6969">
          <cell r="O6969" t="str">
            <v>TSO001085721</v>
          </cell>
          <cell r="P6969" t="str">
            <v>ООО КСК ТРЕЙД Тс174950-26 15.08.2026 Крым(2) 4432кг (Ислюков)</v>
          </cell>
        </row>
        <row r="6970">
          <cell r="O6970" t="str">
            <v>TSO001084250</v>
          </cell>
          <cell r="P6970" t="str">
            <v>ООО НВ Тс172763-26 16.08.2026 Бердянск 2452кг (Уманский)</v>
          </cell>
        </row>
        <row r="6971">
          <cell r="O6971" t="str">
            <v>TSO001084248</v>
          </cell>
          <cell r="P6971" t="str">
            <v>ООО НВ Тс172766-26 16.08.2026 Мелитополь 2482кг (Уманский)</v>
          </cell>
        </row>
        <row r="6972">
          <cell r="O6972" t="str">
            <v>TSO001084249</v>
          </cell>
          <cell r="P6972" t="str">
            <v>ООО НВ Тс172768-26 16.08.2026 Павленко 8883кг (Уманский)</v>
          </cell>
        </row>
        <row r="6973">
          <cell r="O6973" t="str">
            <v>TSO001085732</v>
          </cell>
          <cell r="P6973" t="str">
            <v>ООО НВ Тс174952-26 15.08.2026 Бердянск(2) 1300кг (Уманский)</v>
          </cell>
        </row>
        <row r="6974">
          <cell r="O6974" t="str">
            <v>TSO001085734</v>
          </cell>
          <cell r="P6974" t="str">
            <v>ООО НВ Тс174956-26 16.08.2026 Мелитополь(2) 2369кг (Уманский)</v>
          </cell>
        </row>
        <row r="6975">
          <cell r="O6975" t="str">
            <v>TSO001084270</v>
          </cell>
          <cell r="P6975" t="str">
            <v>ООО НВ Тс172782-26 15.08.2026 Горняк-Горловка 451кг (Медведь)</v>
          </cell>
        </row>
        <row r="6976">
          <cell r="O6976" t="str">
            <v>TSO001084272</v>
          </cell>
          <cell r="P6976" t="str">
            <v>ООО НВ Тс172784-26 15.08.2026 Горняк-Луганск 6992кг (Медведь)</v>
          </cell>
        </row>
        <row r="6977">
          <cell r="O6977" t="str">
            <v>TSO001084268</v>
          </cell>
          <cell r="P6977" t="str">
            <v>ООО НВ Тс172783-26 15.08.2026 Луганск 5643кг (Медведь)</v>
          </cell>
        </row>
        <row r="6978">
          <cell r="O6978" t="str">
            <v>TSO001085735</v>
          </cell>
          <cell r="P6978" t="str">
            <v>ООО НВ Тс174953-26 15.08.2026 Луганск(2) 2898кг (Медведь)</v>
          </cell>
        </row>
        <row r="6979">
          <cell r="O6979" t="str">
            <v>TSO001084799</v>
          </cell>
          <cell r="P6979" t="str">
            <v>ООО КСК ТРЕЙД ЮТс-03951-26 15.08.2026 Крым 14669кг (Лапшин)</v>
          </cell>
        </row>
        <row r="6980">
          <cell r="O6980" t="str">
            <v>TSO001084801</v>
          </cell>
          <cell r="P6980" t="str">
            <v>ОТМЕНА</v>
          </cell>
        </row>
        <row r="6981">
          <cell r="O6981" t="str">
            <v>TSO001084766</v>
          </cell>
          <cell r="P6981" t="str">
            <v>ООО КСК ТРЕЙД Тс173383-26 16.08.2026 Крым 10817кг (Максимов)</v>
          </cell>
        </row>
        <row r="6982">
          <cell r="O6982" t="str">
            <v>TSO001084769</v>
          </cell>
          <cell r="P6982" t="str">
            <v>ООО КСК ТРЕЙД Тс173379-26 16.08.2026 Николаенко 1464кг (Максимов)</v>
          </cell>
        </row>
        <row r="6983">
          <cell r="O6983" t="str">
            <v>TSO001085794</v>
          </cell>
          <cell r="P6983" t="str">
            <v>ООО КСК ТРЕЙД Тс175228-26 16.08.2026 Крым(3) 1869кг (Максимов)</v>
          </cell>
        </row>
        <row r="6984">
          <cell r="O6984" t="str">
            <v>TSO001085758</v>
          </cell>
          <cell r="P6984" t="str">
            <v>ООО КСК ТРЕЙД Тс175095-26 16.08.2026 Крым(2) 3620кг (Максимов)</v>
          </cell>
        </row>
        <row r="6985">
          <cell r="O6985" t="str">
            <v>TSO001084771</v>
          </cell>
          <cell r="P6985" t="str">
            <v>ООО НВ Тс173447-26 17.08.2026 Донецк 16302кг (Хинько)</v>
          </cell>
        </row>
        <row r="6986">
          <cell r="O6986" t="str">
            <v>TSO001085786</v>
          </cell>
          <cell r="P6986" t="str">
            <v>ООО НВ Тс175187-26 17.08.2026 Донецк(2) 1515кг (Хинько)</v>
          </cell>
        </row>
        <row r="6987">
          <cell r="O6987" t="str">
            <v>TSO001085239</v>
          </cell>
          <cell r="P6987" t="str">
            <v>ООО НВ Тс174252-26 17.08.2026 Аист 3276кг (Воронов)</v>
          </cell>
        </row>
        <row r="6988">
          <cell r="O6988" t="str">
            <v>TSO001085237</v>
          </cell>
          <cell r="P6988" t="str">
            <v>ООО НВ Тс174049-26 17.08.2026 Павленко 6963кг (Воронов)</v>
          </cell>
        </row>
        <row r="6989">
          <cell r="O6989" t="str">
            <v>TSO001085258</v>
          </cell>
          <cell r="P6989" t="str">
            <v>ООО ЛП Тс174261-26 18.08.2026 Малахутин 8081кг (Исаков)</v>
          </cell>
        </row>
        <row r="6990">
          <cell r="O6990" t="str">
            <v>TSO001085259</v>
          </cell>
          <cell r="P6990" t="str">
            <v>ОТМЕНА</v>
          </cell>
        </row>
        <row r="6991">
          <cell r="O6991" t="str">
            <v>TSO001085257</v>
          </cell>
          <cell r="P6991" t="str">
            <v>ООО ЛП Тс174267-26 18.08.2026 НПК 6035кг (Исаков)</v>
          </cell>
        </row>
        <row r="6992">
          <cell r="O6992" t="str">
            <v>TSO001085421</v>
          </cell>
          <cell r="P6992" t="str">
            <v>ООО КСК ТРЕЙД Тс174593-26 17.08.2026 Крым 8733кг (Крамаренко)</v>
          </cell>
        </row>
        <row r="6993">
          <cell r="O6993" t="str">
            <v>TSO001085422</v>
          </cell>
          <cell r="P6993" t="str">
            <v>ООО КСК ТРЕЙД Тс174599-26 17.08.2026 Вердиева 3825кг (Крамаренко)</v>
          </cell>
        </row>
        <row r="6994">
          <cell r="O6994" t="str">
            <v>TSO001085423</v>
          </cell>
          <cell r="P6994" t="str">
            <v>ООО КСК ТРЕЙД Тс174602-26 17.08.2026 Вердиева(2) 1382кг (Крамаренко)</v>
          </cell>
        </row>
        <row r="6995">
          <cell r="O6995" t="str">
            <v>TSO001085800</v>
          </cell>
          <cell r="P6995" t="str">
            <v>ООО КСК ТРЕЙД Тс175329-26 17.08.2026 Крым(2) 3782кг (Крамаренко)</v>
          </cell>
        </row>
        <row r="6996">
          <cell r="O6996" t="str">
            <v>TSO001085523</v>
          </cell>
          <cell r="P6996" t="str">
            <v>ООО КСК ТРЕЙД Тс174800-26 17.08.2026 Крым 13607кг (Жуков)</v>
          </cell>
        </row>
        <row r="6997">
          <cell r="O6997" t="str">
            <v>TSO001085915</v>
          </cell>
          <cell r="P6997" t="str">
            <v>ООО КСК ТРЕЙД Тс175478-26 17.08.2026 Крым(3) 1912кг (Жуков)</v>
          </cell>
        </row>
        <row r="6998">
          <cell r="O6998" t="str">
            <v>TSO001085867</v>
          </cell>
          <cell r="P6998" t="str">
            <v>ООО КСК ТРЕЙД Тс175330-26 17.08.2026 Крым(2) 1868кг (Жуков)</v>
          </cell>
        </row>
        <row r="6999">
          <cell r="O6999" t="str">
            <v>TSO001085427</v>
          </cell>
          <cell r="P6999" t="str">
            <v>ООО НВ Тс174588-26 18.08.2026 Бердянск 6573кг (Исмаилов)</v>
          </cell>
        </row>
        <row r="7000">
          <cell r="O7000" t="str">
            <v>TSO001085425</v>
          </cell>
          <cell r="P7000" t="str">
            <v>ООО НВ Тс174737-26 18.08.2026 Мелитополь 5924кг (Исмаилов)</v>
          </cell>
        </row>
        <row r="7001">
          <cell r="O7001" t="str">
            <v>TSO001086087</v>
          </cell>
          <cell r="P7001" t="str">
            <v>ООО НВ Тс175901-26 18.08.2026 Бердянск(2) 1716кг (Исмаилов)</v>
          </cell>
        </row>
        <row r="7002">
          <cell r="O7002" t="str">
            <v>TSO001086822</v>
          </cell>
          <cell r="P7002" t="str">
            <v>ООО НВ Тс176532-26 18.08.2026 Мелитополь(3) 703кг (Исмаилов)</v>
          </cell>
        </row>
        <row r="7003">
          <cell r="O7003" t="str">
            <v>TSO001086086</v>
          </cell>
          <cell r="P7003" t="str">
            <v>ООО НВ Тс175902-26 18.08.2026 Мелитополь(2) 2120кг (Исмаилов)</v>
          </cell>
        </row>
        <row r="7004">
          <cell r="O7004" t="str">
            <v>TSO001085432</v>
          </cell>
          <cell r="P7004" t="str">
            <v>ООО НВ Тс174804-26 17.08.2026 Луганск 14334кг (Решетников)</v>
          </cell>
        </row>
        <row r="7005">
          <cell r="O7005" t="str">
            <v>TSO001086099</v>
          </cell>
          <cell r="P7005" t="str">
            <v>ООО НВ Тс175903-26 17.08.2026 Луганск(2) 3261кг (Решетников)</v>
          </cell>
        </row>
        <row r="7006">
          <cell r="O7006" t="str">
            <v>TSO001085439</v>
          </cell>
          <cell r="P7006" t="str">
            <v>ООО НВ Тс174794-26 17.08.2026 Донецк 16478кг (Голубев)</v>
          </cell>
        </row>
        <row r="7007">
          <cell r="O7007" t="str">
            <v>TSO001086101</v>
          </cell>
          <cell r="P7007" t="str">
            <v>ООО НВ Тс175900-26 17.08.2026 Донецк(2) 1266кг (Голубев)</v>
          </cell>
        </row>
        <row r="7008">
          <cell r="O7008" t="str">
            <v>TSO001085445</v>
          </cell>
          <cell r="P7008" t="str">
            <v>ООО КСК ТРЕЙД Тс174513-26 17.08.2026 Крым 14386кг (Митин)</v>
          </cell>
        </row>
        <row r="7009">
          <cell r="O7009" t="str">
            <v>TSO001085487</v>
          </cell>
          <cell r="P7009" t="str">
            <v>ООО НВ Тс174510-26 21.08.2026 Горняк-Донецк 10834кг (Монаков)</v>
          </cell>
        </row>
        <row r="7010">
          <cell r="O7010" t="str">
            <v>TSO001085733</v>
          </cell>
          <cell r="P7010" t="str">
            <v>ООО ЛП Тс175467-26 17.08.2026 Кочевой 17730кг (Рева)</v>
          </cell>
        </row>
        <row r="7011">
          <cell r="O7011" t="str">
            <v>TSO001085444</v>
          </cell>
          <cell r="P7011" t="str">
            <v>ООО КСК ТРЕЙД Тс174771-26 19.08.2026 Крым 13848кг (Киселев)</v>
          </cell>
        </row>
        <row r="7012">
          <cell r="O7012" t="str">
            <v>TSO001086405</v>
          </cell>
          <cell r="P7012" t="str">
            <v>ООО КСК ТРЕЙД Тс176495-26 19.08.2026 Крым(2) 1723кг (Киселев)</v>
          </cell>
        </row>
        <row r="7013">
          <cell r="O7013" t="str">
            <v>TSO001086297</v>
          </cell>
          <cell r="P7013" t="str">
            <v>ООО КСК ТРЕЙД Тс176496-26 19.08.2026 Крым(3) 2013кг (Киселев)</v>
          </cell>
        </row>
        <row r="7014">
          <cell r="O7014" t="str">
            <v>TSO001085464</v>
          </cell>
          <cell r="P7014" t="str">
            <v>ООО НВ Тс174765-26 18.08.2026 Донецк 16494кг (Чирков)</v>
          </cell>
        </row>
        <row r="7015">
          <cell r="O7015" t="str">
            <v>TSO001086925</v>
          </cell>
          <cell r="P7015" t="str">
            <v>ООО НВ Тс176909-26 18.08.2026 Донецк(2) 840кг (Чирков)</v>
          </cell>
        </row>
        <row r="7016">
          <cell r="O7016" t="str">
            <v>TSO001086013</v>
          </cell>
          <cell r="P7016" t="str">
            <v>ООО КСК ТРЕЙД ЮТс-04002-26 20.08.2026 Крым 14736кг (Добыш)</v>
          </cell>
        </row>
        <row r="7017">
          <cell r="O7017" t="str">
            <v>TSO001086080</v>
          </cell>
          <cell r="P7017" t="str">
            <v>ООО ЛП ЮТс-04033-26 19.08.2026 Вояж 1159кг (Ничипорук)</v>
          </cell>
        </row>
        <row r="7018">
          <cell r="P7018" t="str">
            <v>ООО НВ Тс176022-26 19.08.2026 Луганск(2) 102кг (Ничипорук)</v>
          </cell>
        </row>
        <row r="7019">
          <cell r="O7019" t="str">
            <v>TSO001086075</v>
          </cell>
          <cell r="P7019" t="str">
            <v>ООО НВ ЮТс-04020-26 19.08.2026 Луганск 11290кг (Ничипорук)</v>
          </cell>
        </row>
        <row r="7020">
          <cell r="O7020" t="str">
            <v>TSO001086104</v>
          </cell>
          <cell r="P7020" t="str">
            <v>ОТМЕНА</v>
          </cell>
        </row>
        <row r="7021">
          <cell r="O7021" t="str">
            <v>TSO001086887</v>
          </cell>
          <cell r="P7021" t="str">
            <v>ООО ЛП Тс176841-26 20.08.2026 Пушкарный 15865кг (Фруленко)</v>
          </cell>
        </row>
        <row r="7022">
          <cell r="O7022" t="str">
            <v>TSO001086892</v>
          </cell>
          <cell r="P7022" t="str">
            <v>ООО ЛП Тс176847-26 21.08.2026 Пушкарный 16313кг (Куценко)</v>
          </cell>
        </row>
        <row r="7023">
          <cell r="O7023" t="str">
            <v>TSO001086907</v>
          </cell>
          <cell r="P7023" t="str">
            <v>ООО ЛП Тс176844-26 21.08.2026 Пушкарный 16992кг (Резанов)</v>
          </cell>
        </row>
        <row r="7024">
          <cell r="O7024" t="str">
            <v>TSO001086930</v>
          </cell>
          <cell r="P7024" t="str">
            <v>ОТМЕНА</v>
          </cell>
        </row>
        <row r="7025">
          <cell r="O7025" t="str">
            <v>TSO001087019</v>
          </cell>
          <cell r="P7025" t="str">
            <v>ООО ЛП Тс176985-26 21.08.2026 Пенза 13577кг (Хинько)</v>
          </cell>
        </row>
        <row r="7026">
          <cell r="O7026" t="str">
            <v>TSO001087762</v>
          </cell>
          <cell r="P7026" t="str">
            <v>ООО КСК ТРЕЙД Тс177666-26 21.08.2026 Крым 13244кг (Кива)</v>
          </cell>
        </row>
        <row r="7027">
          <cell r="O7027" t="str">
            <v>TSO001088608</v>
          </cell>
          <cell r="P7027" t="str">
            <v>ООО КСК ТРЕЙД Тс178698-26 21.08.2026 Крым(2) 4122кг (Кива)</v>
          </cell>
        </row>
        <row r="7028">
          <cell r="O7028" t="str">
            <v>TSO001087780</v>
          </cell>
          <cell r="P7028" t="str">
            <v>ООО КСК ТРЕЙД Тс177665-26 21.08.2026 Крым 12675кг (Гулаков)</v>
          </cell>
        </row>
        <row r="7029">
          <cell r="O7029" t="str">
            <v>TSO001088878</v>
          </cell>
          <cell r="P7029" t="str">
            <v>ООО КСК ТРЕЙД Тс179109-26 21.08.2026 Крым(3) 712кг (Гулаков)</v>
          </cell>
        </row>
        <row r="7030">
          <cell r="O7030" t="str">
            <v>TSO001088614</v>
          </cell>
          <cell r="P7030" t="str">
            <v>ООО КСК ТРЕЙД Тс178687-26 21.08.2026 Крым(2) 4029кг (Гулаков)</v>
          </cell>
        </row>
        <row r="7031">
          <cell r="O7031" t="str">
            <v>TSO001087837</v>
          </cell>
          <cell r="P7031" t="str">
            <v>ООО НВ Тс177677-26 21.08.2026 Донецк 11180кг (Илюшин)</v>
          </cell>
        </row>
        <row r="7032">
          <cell r="O7032" t="str">
            <v>TSO001087824</v>
          </cell>
          <cell r="P7032" t="str">
            <v>ООО КСК ТРЕЙД Тс177681-26 22.08.2026 Крым 12604кг (Уманский)</v>
          </cell>
        </row>
        <row r="7033">
          <cell r="O7033" t="str">
            <v>TSO001089582</v>
          </cell>
          <cell r="P7033" t="str">
            <v>ООО КСК ТРЕЙД Тс180198-26 22.08.2026 Крым(2) 1216кг (Уманский).pdf</v>
          </cell>
        </row>
        <row r="7034">
          <cell r="O7034" t="str">
            <v>TSO001089578</v>
          </cell>
          <cell r="P7034" t="str">
            <v>ООО КСК ТРЕЙД Тс180214-26 22.08.2026 Крым(3) 3621кг (Уманский)</v>
          </cell>
        </row>
        <row r="7035">
          <cell r="O7035" t="str">
            <v>TSO001087831</v>
          </cell>
          <cell r="P7035" t="str">
            <v>ООО КСК ТРЕЙД Тс177684-26 23.08.2026 Крым 12074кг (Жуков)</v>
          </cell>
          <cell r="Q7035" t="str">
            <v>ООО КСК ТРЕЙД Тс180268-26 23.08.2026 Крым(3) 347кг (Жуков)</v>
          </cell>
        </row>
        <row r="7036">
          <cell r="O7036" t="str">
            <v>TSO001089579</v>
          </cell>
          <cell r="P7036" t="str">
            <v>ООО КСК ТРЕЙД Тс180232-26 23.08.2026 Крым(2) 5062кг (Жуков)</v>
          </cell>
        </row>
        <row r="7037">
          <cell r="O7037" t="str">
            <v>TSO001087854</v>
          </cell>
          <cell r="P7037" t="str">
            <v>ООО НВ Тс178123-26 22.08.2026 Донецк 16120кг (Медведь)</v>
          </cell>
        </row>
        <row r="7038">
          <cell r="O7038" t="str">
            <v>TSO001089587</v>
          </cell>
          <cell r="P7038" t="str">
            <v>ООО НВ Тс180231-26 22.08.2026 Донецк(2) 1019кг (Медведь)</v>
          </cell>
        </row>
        <row r="7039">
          <cell r="O7039" t="str">
            <v>TSO001087856</v>
          </cell>
          <cell r="P7039" t="str">
            <v>ООО НВ Тс178126-26 23.08.2026 Луганск 14263кг (Решетников)</v>
          </cell>
          <cell r="Q7039" t="str">
            <v>ООО НВ Тс180397-26 23.08.2026 Луганск(3) 598кг (Решетников)</v>
          </cell>
        </row>
        <row r="7040">
          <cell r="O7040" t="str">
            <v>TSO001089588</v>
          </cell>
          <cell r="P7040" t="str">
            <v>ООО НВ Тс180233-26 23.08.2026 Луганск(2) 2629кг (Решетников)</v>
          </cell>
        </row>
        <row r="7041">
          <cell r="O7041" t="str">
            <v>TSO001088399</v>
          </cell>
          <cell r="P7041" t="str">
            <v>ООО КСК ТРЕЙД Тс178310-26 22.08.2026 Крым 14094кг (Боков)</v>
          </cell>
        </row>
        <row r="7042">
          <cell r="O7042" t="str">
            <v>TSO001088419</v>
          </cell>
          <cell r="P7042" t="str">
            <v>ООО ЛП Тс178397-26 23.08.2026 Коныгин 1295кг (Добыш)</v>
          </cell>
        </row>
        <row r="7043">
          <cell r="O7043" t="str">
            <v>TSO001088420</v>
          </cell>
          <cell r="P7043" t="str">
            <v>ОТМЕНА</v>
          </cell>
        </row>
        <row r="7044">
          <cell r="O7044" t="str">
            <v>TSO001088423</v>
          </cell>
          <cell r="P7044" t="str">
            <v>ООО ЛП Тс178402-26 23.08.2026 НПК 10127кг (Добыш)</v>
          </cell>
        </row>
        <row r="7045">
          <cell r="O7045" t="str">
            <v>TSO001088421</v>
          </cell>
          <cell r="P7045" t="str">
            <v>ООО ЛП Тс178404-26 23.08.2026 Пушкарный(ВВ) 2480кг (Добыш)</v>
          </cell>
        </row>
        <row r="7046">
          <cell r="O7046" t="str">
            <v>TSO001088422</v>
          </cell>
          <cell r="P7046" t="str">
            <v>ОТМЕНА</v>
          </cell>
        </row>
        <row r="7047">
          <cell r="O7047" t="str">
            <v>TSO001088482</v>
          </cell>
          <cell r="P7047" t="str">
            <v>ООО КСК ТРЕЙД Тс178470-26 23.08.2026 Крым 10013кг (Ислюков)</v>
          </cell>
        </row>
        <row r="7048">
          <cell r="O7048" t="str">
            <v>TSO001088484</v>
          </cell>
          <cell r="P7048" t="str">
            <v>ООО КСК ТРЕЙД Тс178457-26 23.08.2026 Николаенко 1483кг (Ислюков)</v>
          </cell>
        </row>
        <row r="7049">
          <cell r="P7049" t="str">
            <v>ООО КСК ТРЕЙД Тс180396-26 23.08.2026 Крым(2) 6242кг (Ислюков)</v>
          </cell>
        </row>
        <row r="7050">
          <cell r="O7050" t="str">
            <v>TSO001088487</v>
          </cell>
          <cell r="P7050" t="str">
            <v>ООО НВ Тс178448-26 23.08.2026 Горяк-Горловка 757кг (Шилкин)</v>
          </cell>
        </row>
        <row r="7051">
          <cell r="O7051" t="str">
            <v>TSO001088489</v>
          </cell>
          <cell r="P7051" t="str">
            <v>ООО НВ Тс178467-26 23.08.2026 Горняк-Луганск 7424кг (Шилкин)</v>
          </cell>
        </row>
        <row r="7052">
          <cell r="O7052" t="str">
            <v>TSO001088486</v>
          </cell>
          <cell r="P7052" t="str">
            <v>ООО НВ Тс178465-26 23.08.2026 Луганск 6516кг (Шилкин)</v>
          </cell>
          <cell r="Q7052" t="str">
            <v>ООО НВ Тс180459-26 23.08.2026 Луганск(3) 1123кг (Шилкин)</v>
          </cell>
        </row>
        <row r="7053">
          <cell r="O7053" t="str">
            <v>TSO001089607</v>
          </cell>
          <cell r="P7053" t="str">
            <v>ООО НВ Тс180339-26 23.08.2026 Луганск(2) 1461кг (Шилкин)</v>
          </cell>
        </row>
        <row r="7054">
          <cell r="O7054" t="str">
            <v>TSO001088492</v>
          </cell>
          <cell r="P7054" t="str">
            <v>ООО НВ Тс178478-26 23.08.2026 Донецк 16556кг (Ерохов)</v>
          </cell>
        </row>
        <row r="7055">
          <cell r="O7055" t="str">
            <v>TSO001089608</v>
          </cell>
          <cell r="P7055" t="str">
            <v>ООО НВ Тс180340-26 23.08.2026 Донецк(2) 1222кг (Ерохов)</v>
          </cell>
        </row>
        <row r="7056">
          <cell r="O7056" t="str">
            <v>TSO001089055</v>
          </cell>
          <cell r="P7056" t="str">
            <v>ООО КСК ТРЕЙД Тс179965-26 24.08.2026 Крым 12634кг (Исаков)</v>
          </cell>
        </row>
        <row r="7057">
          <cell r="P7057" t="str">
            <v>ООО КСК ТРЕЙД Тс181033-26 24.08.2026 Крым(2) 5229кг (Добрилко)</v>
          </cell>
        </row>
        <row r="7058">
          <cell r="O7058" t="str">
            <v>TSO001089068</v>
          </cell>
          <cell r="P7058" t="str">
            <v>ООО КСК ТРЕЙД Тс179947-26 24.08.2026 Крым 7909кг (Добрилко)</v>
          </cell>
        </row>
        <row r="7059">
          <cell r="O7059" t="str">
            <v>TSO001089070</v>
          </cell>
          <cell r="P7059" t="str">
            <v>ООО КСК ТРЕЙД Тс179933-26 24.08.2026 Вердиева 2104кг (Добрилко)</v>
          </cell>
        </row>
        <row r="7060">
          <cell r="O7060" t="str">
            <v>TSO001089072</v>
          </cell>
          <cell r="P7060" t="str">
            <v>ООО КСК ТРЕЙД Тс179942-26 24.08.2026 Вердиева(2) 2501кг (Добрилко)</v>
          </cell>
        </row>
        <row r="7061">
          <cell r="O7061" t="str">
            <v>TSO001089751</v>
          </cell>
          <cell r="P7061" t="str">
            <v>ООО КСК ТРЕЙД Тс181032-26 24.08.2026 Крым(2) 4814кг (Исаков)</v>
          </cell>
        </row>
        <row r="7062">
          <cell r="O7062" t="str">
            <v>TSO001089177</v>
          </cell>
          <cell r="P7062" t="str">
            <v>ООО КСК ТРЕЙД Тс179454-26 24.08.2026 Крым 14427кг (Амелину)</v>
          </cell>
        </row>
        <row r="7063">
          <cell r="O7063" t="str">
            <v>TSO001089214</v>
          </cell>
          <cell r="P7063" t="str">
            <v>ООО НВ Тс180041-26 26.08.2026 Бердянск 9592кг (Власов)</v>
          </cell>
        </row>
        <row r="7064">
          <cell r="O7064" t="str">
            <v>TSO001089188</v>
          </cell>
          <cell r="P7064" t="str">
            <v>ООО НВ Тс180073-26 26.08.2026 Мелитополь 4603кг (Власов)</v>
          </cell>
        </row>
        <row r="7065">
          <cell r="O7065" t="str">
            <v>TSO001090048</v>
          </cell>
          <cell r="P7065" t="str">
            <v>ООО НВ Тс181099-26 26.08.2026 Бердянск(2) 1589кг (Власов)</v>
          </cell>
        </row>
        <row r="7066">
          <cell r="O7066" t="str">
            <v>TSO001090047</v>
          </cell>
          <cell r="P7066" t="str">
            <v>ООО НВ Тс181098-26 26.08.2026 Мелитополь(2) 870кг (Власов)</v>
          </cell>
        </row>
        <row r="7067">
          <cell r="O7067" t="str">
            <v>TSO001089216</v>
          </cell>
          <cell r="P7067" t="str">
            <v>ООО НВ Тс179945-26 25.08.2026 Луганск 13825кг (Ничипорук)</v>
          </cell>
        </row>
        <row r="7068">
          <cell r="O7068" t="str">
            <v>TSO001090062</v>
          </cell>
          <cell r="P7068" t="str">
            <v>ООО НВ Тс181096-26 25.08.2026 Луганск(2) 3541кг (Ничипорук)</v>
          </cell>
        </row>
        <row r="7069">
          <cell r="O7069" t="str">
            <v>TSO001089245</v>
          </cell>
          <cell r="P7069" t="str">
            <v>ООО ЛП Тс179800-26 01.09.2026 ПРС 1281кг (Монаков)</v>
          </cell>
        </row>
        <row r="7070">
          <cell r="O7070" t="str">
            <v>TSO001089244</v>
          </cell>
          <cell r="P7070" t="str">
            <v>ООО ЛП Тс179775-26 25.08.2026 Кочевой 5925кг (Чирков)</v>
          </cell>
        </row>
        <row r="7071">
          <cell r="O7071" t="str">
            <v>TSO001089242</v>
          </cell>
          <cell r="P7071" t="str">
            <v>ООО НВ Тс179931-26 26.08.2026 Кочевой 1425кг (Аксентьев)</v>
          </cell>
        </row>
        <row r="7072">
          <cell r="O7072" t="str">
            <v>TSO001089238</v>
          </cell>
          <cell r="P7072" t="str">
            <v>ООО НВ Тс179916-26 25.08.2026 Донецк 6962кг (Чирков)</v>
          </cell>
        </row>
        <row r="7073">
          <cell r="O7073" t="str">
            <v>TSO001089252</v>
          </cell>
          <cell r="P7073" t="str">
            <v>ООО ЛП Тс179760-26 25.08.2026 Кочевой(2) 4999кг (Чирков)</v>
          </cell>
        </row>
        <row r="7074">
          <cell r="O7074" t="str">
            <v>TSO001089296</v>
          </cell>
          <cell r="P7074" t="str">
            <v>ООО НВ Тс179774-26 26.08.2026 Бердянск 8996кг (Исмаилов)</v>
          </cell>
        </row>
        <row r="7075">
          <cell r="O7075" t="str">
            <v>TSO001089292</v>
          </cell>
          <cell r="P7075" t="str">
            <v>ООО НВ Тс179757-26 26.08.2026 Мелитополь 5006кг (Исмаилов)</v>
          </cell>
        </row>
        <row r="7076">
          <cell r="O7076" t="str">
            <v>TSO001089082</v>
          </cell>
          <cell r="P7076" t="str">
            <v>ООО КСК ТРЕЙД Тс179981-26 25.08.2026 Крым 13075кг (Мироненко)</v>
          </cell>
          <cell r="Q7076" t="str">
            <v>ООО КСК ТРЕЙД Тс181926-26 25.08.2026 Крым(3) 142кг (Мироненко)</v>
          </cell>
        </row>
        <row r="7077">
          <cell r="O7077" t="str">
            <v>TSO001090271</v>
          </cell>
          <cell r="P7077" t="str">
            <v>ООО КСК ТРЕЙД Тс181140-26 25.08.2026 Крым(2) 4382кг (Мироненко)</v>
          </cell>
        </row>
        <row r="7078">
          <cell r="O7078" t="str">
            <v>TSO001089247</v>
          </cell>
          <cell r="P7078" t="str">
            <v>ООО НВ Тс179966-26 25.08.2026 Луганск 16675кг (Жабкин)</v>
          </cell>
        </row>
        <row r="7079">
          <cell r="O7079" t="str">
            <v>TSO001091201</v>
          </cell>
          <cell r="P7079" t="str">
            <v>ООО НВ Тс182428-26 25.08.2026 Луганск(2) 402кг (Жабкин)</v>
          </cell>
        </row>
        <row r="7080">
          <cell r="O7080" t="str">
            <v>TSO001089248</v>
          </cell>
          <cell r="P7080" t="str">
            <v>ООО НВ Тс179979-26 26.08.2026 Донецк 15203кг (Аксентьев)</v>
          </cell>
        </row>
        <row r="7081">
          <cell r="O7081" t="str">
            <v>TSO001091200</v>
          </cell>
          <cell r="P7081" t="str">
            <v>ООО НВ Тс182422-26 26.08.2026 Донецк(2) 403кг (Аксентьев)</v>
          </cell>
        </row>
        <row r="7082">
          <cell r="O7082" t="str">
            <v>TSO001089298</v>
          </cell>
          <cell r="P7082" t="str">
            <v>ООО НВ ЮТс-04098-26 25.08.2026 Горняк-Донецк 6655кг (Голубев)</v>
          </cell>
        </row>
        <row r="7083">
          <cell r="O7083" t="str">
            <v>TSO001089297</v>
          </cell>
          <cell r="P7083" t="str">
            <v>ООО НВ ЮТс-04104-26 25.08.2026 Донецк 5375кг (Голубев)</v>
          </cell>
          <cell r="Q7083" t="str">
            <v>ООО НВ ЮТс-04106-26 25.08.2026 Донецк(2) 15кг (Голубев)</v>
          </cell>
        </row>
        <row r="7084">
          <cell r="O7084" t="str">
            <v>TSO001089300</v>
          </cell>
          <cell r="P7084" t="str">
            <v>ООО НВ ЮТс-04096-26 25.08.2026 Горняк-Луганск 7873кг (Васильченко)</v>
          </cell>
        </row>
        <row r="7085">
          <cell r="O7085" t="str">
            <v>TSO001089299</v>
          </cell>
          <cell r="P7085" t="str">
            <v>ООО НВ ЮТс-04097-26 25.08.2026 Луганск 5540кг (Васильченко)</v>
          </cell>
        </row>
        <row r="7086">
          <cell r="O7086" t="str">
            <v>TSO001089896</v>
          </cell>
          <cell r="P7086" t="str">
            <v>ООО ЛП Тс180921-26 27.08.2026 Бычков 6611кг (Гулаков)</v>
          </cell>
        </row>
        <row r="7087">
          <cell r="O7087" t="str">
            <v>TSO001089890</v>
          </cell>
          <cell r="P7087" t="str">
            <v>ООО ЛП Тс180936-26 27.08.2026 Бычков(2) 2549кг (Гулаков)</v>
          </cell>
        </row>
        <row r="7088">
          <cell r="O7088" t="str">
            <v>TSO001089911</v>
          </cell>
          <cell r="P7088" t="str">
            <v>ОТМЕНА</v>
          </cell>
        </row>
        <row r="7089">
          <cell r="O7089" t="str">
            <v>TSO001090885</v>
          </cell>
          <cell r="P7089" t="str">
            <v>ООО ЛП Тс182035-26 27.08.2026 Пушкарный 14859кг (Юдин)</v>
          </cell>
        </row>
        <row r="7090">
          <cell r="O7090" t="str">
            <v>TSO001090889</v>
          </cell>
          <cell r="P7090" t="str">
            <v>ООО ЛП Тс182029-26 27.08.2026 Пушкарный 14028кг (Павленко)</v>
          </cell>
        </row>
        <row r="7091">
          <cell r="O7091" t="str">
            <v>TSO001090909</v>
          </cell>
          <cell r="P7091" t="str">
            <v>ООО ЛП Тс182036-26 27.08.2026 Пушкарный(2) 781кг (Павленко)</v>
          </cell>
        </row>
        <row r="7092">
          <cell r="O7092" t="str">
            <v>TSO001090965</v>
          </cell>
          <cell r="P7092" t="str">
            <v>ООО ЛП Тс182179-26 28.08.2026 Пенза 16104кг (Абдрахимов)</v>
          </cell>
        </row>
        <row r="7093">
          <cell r="O7093" t="str">
            <v>TSO001091478</v>
          </cell>
          <cell r="P7093" t="str">
            <v>ООО КСК ТРЕЙД Тс183829-26 29.08.2026 Крым 8777кг (Некрасов)</v>
          </cell>
        </row>
        <row r="7094">
          <cell r="O7094" t="str">
            <v>TSO001092808</v>
          </cell>
          <cell r="P7094" t="str">
            <v>ООО КСК ТРЕЙД Тс185840-26 29.08.2026 Крым(2) 8489кг (Некрасов)</v>
          </cell>
        </row>
        <row r="7095">
          <cell r="O7095" t="str">
            <v>TSO001091508</v>
          </cell>
          <cell r="P7095" t="str">
            <v>ООО КСК ТРЕЙД Тс183809-26 29.08.2026 Крым 10521кг (Добыш)</v>
          </cell>
        </row>
        <row r="7096">
          <cell r="O7096" t="str">
            <v>TSO001092850</v>
          </cell>
          <cell r="P7096" t="str">
            <v>ООО КСК ТРЕЙД Тс185839-26 29.08.2026 Крым(2) 6543кг (Добыш)</v>
          </cell>
        </row>
        <row r="7097">
          <cell r="O7097" t="str">
            <v>TSO001091569</v>
          </cell>
          <cell r="P7097" t="str">
            <v>ООО ЛП Тс183542-26 29.08.2026 Коныгин 1611кг (Митин)</v>
          </cell>
        </row>
        <row r="7098">
          <cell r="O7098" t="str">
            <v>TSO001091570</v>
          </cell>
          <cell r="P7098" t="str">
            <v>ОТМЕНА</v>
          </cell>
        </row>
        <row r="7099">
          <cell r="O7099" t="str">
            <v>TSO001091561</v>
          </cell>
          <cell r="P7099" t="str">
            <v>ООО ЛП Тс183562-26 29.08.2026 Обрыньба 4208кг (Митин)</v>
          </cell>
        </row>
        <row r="7100">
          <cell r="O7100" t="str">
            <v>TSO001091565</v>
          </cell>
          <cell r="P7100" t="str">
            <v>ОТМЕНА</v>
          </cell>
        </row>
        <row r="7101">
          <cell r="O7101" t="str">
            <v>TSO001091566</v>
          </cell>
          <cell r="P7101" t="str">
            <v>ООО ЛП Тс183556-26 29.08.2026 Пушкарный(ВВ) 6481кг (Митин)</v>
          </cell>
        </row>
        <row r="7102">
          <cell r="O7102" t="str">
            <v>TSO001091568</v>
          </cell>
          <cell r="P7102" t="str">
            <v>ОТМЕНА</v>
          </cell>
        </row>
        <row r="7103">
          <cell r="O7103" t="str">
            <v>TSO001091560</v>
          </cell>
          <cell r="P7103" t="str">
            <v>ООО КСК ТРЕЙД Тс183343-26 28.08.2026 Крым 17018кг (Монакову)</v>
          </cell>
        </row>
        <row r="7104">
          <cell r="O7104" t="str">
            <v>TSO001091506</v>
          </cell>
          <cell r="P7104" t="str">
            <v>ООО КСК ТРЕЙД Тс183837-26 29.08.2026 Крым 11883кг (Лихачев)</v>
          </cell>
        </row>
        <row r="7105">
          <cell r="O7105" t="str">
            <v>TSO001094147</v>
          </cell>
          <cell r="P7105" t="str">
            <v>ООО КСК ТРЕЙД Тс186199-26 29.08.2026 Крым(2) 4339кг (Лихачев)</v>
          </cell>
        </row>
        <row r="7106">
          <cell r="O7106" t="str">
            <v>TSO001091582</v>
          </cell>
          <cell r="P7106" t="str">
            <v>ООО НВ Тс183834-26 29.08.2026 Мелитополь 10147кг (Ерохов)</v>
          </cell>
        </row>
        <row r="7107">
          <cell r="O7107" t="str">
            <v>TSO001091587</v>
          </cell>
          <cell r="P7107" t="str">
            <v>ООО НВ Тс183816-26 29.08.2026 Бердянск 5696кг (Ерохов)</v>
          </cell>
        </row>
        <row r="7108">
          <cell r="O7108" t="str">
            <v>TSO001102496</v>
          </cell>
          <cell r="P7108" t="str">
            <v>ООО НВ Тс186311-26 29.08.2026 Мелитополь(2) 900кг (Ерохов)</v>
          </cell>
        </row>
        <row r="7109">
          <cell r="O7109" t="str">
            <v>TSO001102506</v>
          </cell>
          <cell r="P7109" t="str">
            <v>ООО НВ Тс186313-26 29.08.2026 Бердянск(2) 907кг (Ерохов)</v>
          </cell>
        </row>
        <row r="7110">
          <cell r="O7110" t="str">
            <v>TSO001091593</v>
          </cell>
          <cell r="P7110" t="str">
            <v>ООО НВ Тс183903-26 29.08.2026 Донецк 17311кг (Рева)</v>
          </cell>
        </row>
        <row r="7111">
          <cell r="O7111" t="str">
            <v>TSO001102502</v>
          </cell>
          <cell r="P7111" t="str">
            <v>ООО НВ Тс186312-26 29.08.2026 Донецк(2) 758кг (Рева)</v>
          </cell>
        </row>
        <row r="7112">
          <cell r="O7112" t="str">
            <v>TSO001092132</v>
          </cell>
          <cell r="P7112" t="str">
            <v>ООО КСК ТРЕЙД Тс184777-26 30.08.2026 Крым 13890кг (Ислюков)</v>
          </cell>
        </row>
        <row r="7113">
          <cell r="O7113" t="str">
            <v>TSO001092136</v>
          </cell>
          <cell r="P7113" t="str">
            <v>ООО КСК ТРЕЙД Тс186254-26 30.08.2026 Николаенко 1703кг (Ислюков)</v>
          </cell>
        </row>
        <row r="7114">
          <cell r="O7114" t="str">
            <v>TSO001103090</v>
          </cell>
          <cell r="P7114" t="str">
            <v>ООО КСК ТРЕЙД Тс186392-26 30.08.2026 Крым(3) 1446кг (Ислюков)</v>
          </cell>
          <cell r="Q7114" t="str">
            <v>ООО КСК ТРЕЙД Тс186255-26 30.08.2026 Крым(2) 453кг (Ислюков)</v>
          </cell>
        </row>
        <row r="7115">
          <cell r="O7115" t="str">
            <v>TSO001092149</v>
          </cell>
          <cell r="P7115" t="str">
            <v>ООО НВ Тс186247-26 01.09.2026 Донецк 2809кг (Монаков)</v>
          </cell>
        </row>
        <row r="7116">
          <cell r="O7116" t="str">
            <v>TSO001092151</v>
          </cell>
          <cell r="P7116" t="str">
            <v>ООО НВ Тс185833-26 01.09.2026 Бутырин 1538кг (Монаков)</v>
          </cell>
        </row>
        <row r="7117">
          <cell r="O7117" t="str">
            <v>TSO001092153</v>
          </cell>
          <cell r="P7117" t="str">
            <v>ООО ЛП Тс184776-26 01.09.2026 Малахутин 9599кг (Монаков)</v>
          </cell>
        </row>
        <row r="7118">
          <cell r="O7118" t="str">
            <v>TSO001105949</v>
          </cell>
          <cell r="P7118" t="str">
            <v>ООО НВ Тс186508-26 04.09.2026 Донецк(2) 961кг (Галкин)</v>
          </cell>
        </row>
        <row r="7119">
          <cell r="O7119" t="str">
            <v>TSO001092154</v>
          </cell>
          <cell r="P7119" t="str">
            <v>ООО ЛП Тс190177-26 05.09.2026 Малахутин 5001кг (Добыш)</v>
          </cell>
        </row>
        <row r="7120">
          <cell r="O7120" t="str">
            <v>TSO001092166</v>
          </cell>
          <cell r="P7120" t="str">
            <v>ООО НВ Тс185835-26 30.08.2026 Горняк-Горловка 883кг (Решетников)</v>
          </cell>
        </row>
        <row r="7121">
          <cell r="O7121" t="str">
            <v>TSO001092170</v>
          </cell>
          <cell r="P7121" t="str">
            <v>ООО НВ Тс186256-26 30.08.2026 Горняк-Луганск 5286кг (Решетников)</v>
          </cell>
        </row>
        <row r="7122">
          <cell r="O7122" t="str">
            <v>TSO001092157</v>
          </cell>
          <cell r="P7122" t="str">
            <v>ООО НВ Тс186260-26 30.08.2026 Луганск 8432кг (Решетников)</v>
          </cell>
        </row>
        <row r="7123">
          <cell r="O7123" t="str">
            <v>TSO001105975</v>
          </cell>
          <cell r="P7123" t="str">
            <v>ООО НВ Тс186509-26 30.08.2026 Луганск(2) 2812кг (Решетников)</v>
          </cell>
        </row>
        <row r="7124">
          <cell r="O7124" t="str">
            <v>TSO001092629</v>
          </cell>
          <cell r="P7124" t="str">
            <v>ООО КСК ТРЕЙД Тс185454-26 30.08.2026 Крым 17015кг (Исаков)</v>
          </cell>
        </row>
        <row r="7125">
          <cell r="O7125" t="str">
            <v>TSO001092932</v>
          </cell>
          <cell r="P7125" t="str">
            <v>ООО КСК ТРЕЙД Тс186133-26 31.08.2026 Крым 13533кг (Амелин)</v>
          </cell>
        </row>
        <row r="7126">
          <cell r="O7126" t="str">
            <v>TSO001092973</v>
          </cell>
          <cell r="P7126" t="str">
            <v>ООО КСК ТРЕЙД Тс186021-26 31.08.2026 Крым 12836кг (Боков)</v>
          </cell>
        </row>
        <row r="7127">
          <cell r="O7127" t="str">
            <v>TSO001092749</v>
          </cell>
          <cell r="P7127" t="str">
            <v>ООО НВ Тс186261-26 01.09.2026 Донецк 15553кг (Гулаков)</v>
          </cell>
        </row>
        <row r="7128">
          <cell r="O7128" t="str">
            <v>TSO001115798</v>
          </cell>
          <cell r="P7128" t="str">
            <v>ООО НВ Тс188509-26 04.09.2026 Донецк(3) 2519кг (Галкин)</v>
          </cell>
        </row>
        <row r="7129">
          <cell r="O7129" t="str">
            <v>TSO001092760</v>
          </cell>
          <cell r="P7129" t="str">
            <v>ООО НВ Тс186259-26 01.09.2026 Луганск 13333кг (Лола)</v>
          </cell>
        </row>
        <row r="7130">
          <cell r="O7130" t="str">
            <v>TSO001115961</v>
          </cell>
          <cell r="P7130" t="str">
            <v>ООО НВ Тс188744-26 02.09.2026 Луганск(2) 3826кг (Лола)</v>
          </cell>
        </row>
        <row r="7131">
          <cell r="O7131" t="str">
            <v>TSO001092785</v>
          </cell>
          <cell r="P7131" t="str">
            <v>ООО НВ Тс185664-26 03.09.2026 Бердянск 6739кг (Исмаилов)</v>
          </cell>
        </row>
        <row r="7132">
          <cell r="O7132" t="str">
            <v>TSO001092783</v>
          </cell>
          <cell r="P7132" t="str">
            <v>ООО НВ Тс186262-26 03.09.2026 Мелитополь 7463кг (Исмаилов)</v>
          </cell>
        </row>
        <row r="7133">
          <cell r="O7133" t="str">
            <v>TSO001116130</v>
          </cell>
          <cell r="P7133" t="str">
            <v>ООО НВ Тс188818-26 03.09.2026 Бердянск(2) 2313кг (Исмаилов)</v>
          </cell>
        </row>
        <row r="7134">
          <cell r="O7134" t="str">
            <v>TSO001116129</v>
          </cell>
          <cell r="P7134" t="str">
            <v>ООО НВ Тс188817-26 03.09.2026 Мелитополь(2) 1033кг (Исмаилов)</v>
          </cell>
        </row>
        <row r="7135">
          <cell r="O7135" t="str">
            <v>TSO001093074</v>
          </cell>
          <cell r="P7135" t="str">
            <v>ООО КСК ТРЕЙД Тс186068-26 31.08.2026 Вердиева 2212кг (Амелин)</v>
          </cell>
        </row>
        <row r="7136">
          <cell r="O7136" t="str">
            <v>TSO001093075</v>
          </cell>
          <cell r="P7136" t="str">
            <v>ООО КСК ТРЕЙД Тс186102-26 31.08.2026 Вердиева 4564кг (Боков)</v>
          </cell>
        </row>
        <row r="7137">
          <cell r="O7137" t="str">
            <v>TSO001108308</v>
          </cell>
          <cell r="P7137" t="str">
            <v>ООО КСК ТРЕЙД Тс186550-26 31.08.2026 Вердиева(2) 1602кг (Амелин)</v>
          </cell>
        </row>
        <row r="7138">
          <cell r="O7138" t="str">
            <v>TSO001093151</v>
          </cell>
          <cell r="P7138" t="str">
            <v>ООО НВ Тс186086-26 02.09.2026 Горняк-Донецк 8122кг (Решетов)</v>
          </cell>
        </row>
        <row r="7139">
          <cell r="O7139" t="str">
            <v>TSO001093138</v>
          </cell>
          <cell r="P7139" t="str">
            <v>ООО НВ Тс185898-26 02.09.2026 Донецк 4922кг (Решетов)</v>
          </cell>
        </row>
        <row r="7140">
          <cell r="O7140" t="str">
            <v>TSO001093178</v>
          </cell>
          <cell r="P7140" t="str">
            <v>ООО НВ Тс186059-26 02.09.2026 Луганск 13062кг (Мазур)</v>
          </cell>
        </row>
        <row r="7141">
          <cell r="O7141" t="str">
            <v>TSO001092659</v>
          </cell>
          <cell r="P7141" t="str">
            <v>ООО КСК ТРЕЙД ЮТс-04202-26 01.09.2026 Крым 15789кг (Добыш)</v>
          </cell>
        </row>
        <row r="7142">
          <cell r="O7142" t="str">
            <v>TSO001093076</v>
          </cell>
          <cell r="P7142" t="str">
            <v>ООО КСК ТРЕЙД Тс186122-26 04.09.2026 Крым 14971кг (Бедик)</v>
          </cell>
          <cell r="Q7142" t="str">
            <v>ООО КСК ТРЕЙД Тс187256-26 04.09.2026 Крым(2) 280кг (Бедик)</v>
          </cell>
        </row>
        <row r="7143">
          <cell r="O7143" t="str">
            <v>TSO001114886</v>
          </cell>
          <cell r="P7143" t="str">
            <v>ООО КСК ТРЕЙД Тс190227-26 04.09.2026 Крым(3) 2149кг (Бедик)</v>
          </cell>
        </row>
        <row r="7144">
          <cell r="O7144" t="str">
            <v>TSO001093080</v>
          </cell>
          <cell r="P7144" t="str">
            <v>ООО ЛП Тс190181-26 04.09.2026 НПК 4969кг (Галкин)</v>
          </cell>
        </row>
        <row r="7145">
          <cell r="O7145" t="str">
            <v>TSO001093081</v>
          </cell>
          <cell r="P7145" t="str">
            <v>ООО ЛП Тс186095-26 01.09.2026 ПРС 1330кг (Гулаков)</v>
          </cell>
        </row>
        <row r="7146">
          <cell r="O7146" t="str">
            <v>TSO001093079</v>
          </cell>
          <cell r="P7146" t="str">
            <v>ООО НВ Тс186074-26 04.09.2026 Донецк 7462кг (Галкин)</v>
          </cell>
        </row>
        <row r="7147">
          <cell r="O7147" t="str">
            <v>TSO001116145</v>
          </cell>
          <cell r="P7147" t="str">
            <v>ООО НВ Тс188859-26 04.09.2026 Донецк(4) 1605кг (Галкин)</v>
          </cell>
        </row>
        <row r="7148">
          <cell r="O7148" t="str">
            <v>TSO001093133</v>
          </cell>
          <cell r="P7148" t="str">
            <v>ООО НВ Тс186114-26 01.09.2026 Бердянск 3585кг (Толстоусов)</v>
          </cell>
        </row>
        <row r="7149">
          <cell r="O7149" t="str">
            <v>TSO001093125</v>
          </cell>
          <cell r="P7149" t="str">
            <v>ООО НВ Тс186129-26 01.09.2026 Мелитополь 4747кг (Толстоусов)</v>
          </cell>
        </row>
        <row r="7150">
          <cell r="O7150" t="str">
            <v>TSO001093132</v>
          </cell>
          <cell r="P7150" t="str">
            <v>ООО НВ Тс186120-26 01.09.2026 Павленко 8111кг (Толстоусов)</v>
          </cell>
        </row>
        <row r="7151">
          <cell r="O7151" t="str">
            <v>TSO001093137</v>
          </cell>
          <cell r="P7151" t="str">
            <v>ООО ЛП Тс186117-26 03.09.2026 Кочевой 8157кг (Новожилов)</v>
          </cell>
        </row>
        <row r="7152">
          <cell r="O7152" t="str">
            <v>TSO001093136</v>
          </cell>
          <cell r="P7152" t="str">
            <v>ООО НВ Тс186134-26 03.09.2026 Донецк 7879кг (Новожилов)</v>
          </cell>
        </row>
        <row r="7153">
          <cell r="O7153" t="str">
            <v>TSO001116172</v>
          </cell>
          <cell r="P7153" t="str">
            <v>ООО НВ Тс188867-26 03.09.2026 Донецк(2) 1619кг (Новожилов)</v>
          </cell>
        </row>
        <row r="7154">
          <cell r="O7154" t="str">
            <v>TSO001093158</v>
          </cell>
          <cell r="P7154" t="str">
            <v>ОТМЕНА</v>
          </cell>
        </row>
        <row r="7155">
          <cell r="O7155" t="str">
            <v>TSO001093179</v>
          </cell>
          <cell r="P7155" t="str">
            <v>ООО НВ Тс186072-26 02.09.2026 Донецк 11665кг (Бакалюк)</v>
          </cell>
        </row>
        <row r="7156">
          <cell r="O7156" t="str">
            <v>TSO001114323</v>
          </cell>
          <cell r="P7156" t="str">
            <v>ООО ЛП Тс190195-26 04.09.2026 СПБ 9338кг (Ерохов)</v>
          </cell>
        </row>
        <row r="7157">
          <cell r="O7157" t="str">
            <v>TSO001115300</v>
          </cell>
          <cell r="P7157" t="str">
            <v>ООО ЛП Тс190184-26 04.09.2026 Пушкарный 17501кг (Латий)</v>
          </cell>
        </row>
        <row r="7158">
          <cell r="O7158" t="str">
            <v>TSO001115304</v>
          </cell>
          <cell r="P7158" t="str">
            <v>ООО ЛП Тс190186-26 04.09.2026 Пушкарный 12882кг (Агафонов)</v>
          </cell>
        </row>
        <row r="7159">
          <cell r="O7159" t="str">
            <v>TSO001115305</v>
          </cell>
          <cell r="P7159" t="str">
            <v>ОТМЕНА</v>
          </cell>
        </row>
        <row r="7160">
          <cell r="O7160" t="str">
            <v>TSO001115355</v>
          </cell>
          <cell r="P7160" t="str">
            <v>ООО ЛП Тс192159-26 07.09.2026 Пенза 16793кг (Абдрахимов)</v>
          </cell>
        </row>
        <row r="7161">
          <cell r="O7161" t="str">
            <v>TSO001115955</v>
          </cell>
          <cell r="P7161" t="str">
            <v>ООО КСК ТРЕЙД Тс190220-26 04.09.2026 Крым 16449кг (Соболев)</v>
          </cell>
        </row>
        <row r="7162">
          <cell r="O7162" t="str">
            <v>TSO001116855</v>
          </cell>
          <cell r="P7162" t="str">
            <v>ООО КСК ТРЕЙД Тс190235-26 04.09.2026 Крым(2) 1360кг (Соболев)</v>
          </cell>
        </row>
        <row r="7163">
          <cell r="O7163" t="str">
            <v>TSO001116014</v>
          </cell>
          <cell r="P7163" t="str">
            <v>ООО КСК ТРЕЙД Тс190217-26 04.09.2026 Крым 13979кг (Митин)</v>
          </cell>
        </row>
        <row r="7164">
          <cell r="O7164" t="str">
            <v>TSO001116856</v>
          </cell>
          <cell r="P7164" t="str">
            <v>ООО КСК ТРЕЙД Тс190238-26 04.09.2026 Крым(2) 3164кг (Митин)</v>
          </cell>
        </row>
        <row r="7165">
          <cell r="O7165" t="str">
            <v>TSO001116065</v>
          </cell>
          <cell r="P7165" t="str">
            <v>ООО НВ ЮТс-04303-26 04.09.2026 Бердянск 8620кг (Некрасов)</v>
          </cell>
        </row>
        <row r="7166">
          <cell r="O7166" t="str">
            <v>TSO001116066</v>
          </cell>
          <cell r="P7166" t="str">
            <v>ООО НВ ЮТс-04302-26 04.09.2026 Мелитополь 5671кг (Некрасов)</v>
          </cell>
        </row>
        <row r="7167">
          <cell r="O7167" t="str">
            <v>TSO001116019</v>
          </cell>
          <cell r="P7167" t="str">
            <v>ООО КСК ТРЕЙД Тс190231-26 05.09.2026 Крым 16926кг (Исаков)</v>
          </cell>
        </row>
        <row r="7168">
          <cell r="O7168" t="str">
            <v>TSO001117565</v>
          </cell>
          <cell r="P7168" t="str">
            <v>ООО КСК ТРЕЙД Тс191532-26 05.09.2026 Крым(2) 767кг (Исаков)</v>
          </cell>
        </row>
        <row r="7169">
          <cell r="O7169" t="str">
            <v>TSO001116186</v>
          </cell>
          <cell r="P7169" t="str">
            <v>ООО НВ Тс188990-26 05.09.2026 Горняк-Луганск 8526кг (Решетников)</v>
          </cell>
        </row>
        <row r="7170">
          <cell r="O7170" t="str">
            <v>TSO001116180</v>
          </cell>
          <cell r="P7170" t="str">
            <v>ООО НВ Тс189021-26 05.09.2026 Луганск 6769кг (Решетников)</v>
          </cell>
        </row>
        <row r="7171">
          <cell r="O7171" t="str">
            <v>TSO001117561</v>
          </cell>
          <cell r="P7171" t="str">
            <v>ООО НВ Тс191464-26 05.09.2026 Луганск(2) 1836кг (Решетников)</v>
          </cell>
        </row>
        <row r="7172">
          <cell r="O7172" t="str">
            <v>TSO001116476</v>
          </cell>
          <cell r="P7172" t="str">
            <v>ООО КСК ТРЕЙД ЮТс-04297-26 05.09.2026 Крым 16049кг (Амелин)</v>
          </cell>
        </row>
        <row r="7173">
          <cell r="O7173" t="str">
            <v>TSO001116532</v>
          </cell>
          <cell r="P7173" t="str">
            <v>ООО ЛП Тс190192-26 05.09.2026 Коныгин 5548кг (Добыш)</v>
          </cell>
        </row>
        <row r="7174">
          <cell r="O7174" t="str">
            <v>TSO001116533</v>
          </cell>
          <cell r="P7174" t="str">
            <v>ОТМЕНА</v>
          </cell>
        </row>
        <row r="7175">
          <cell r="O7175" t="str">
            <v>TSO001116534</v>
          </cell>
          <cell r="P7175" t="str">
            <v>ООО ЛП Тс190199-26 05.09.2026 Обрыньба 2079кг (Добыш)</v>
          </cell>
        </row>
        <row r="7176">
          <cell r="O7176" t="str">
            <v>TSO001116535</v>
          </cell>
          <cell r="P7176" t="str">
            <v>ООО ЛП Тс190202-26 05.09.2026 Пушкарный(ВВ) 2635кг (Добыш)</v>
          </cell>
        </row>
        <row r="7177">
          <cell r="O7177" t="str">
            <v>TSO001116601</v>
          </cell>
          <cell r="P7177" t="str">
            <v>ООО КСК ТРЕЙД Тс190214-26 06.09.2026 Крым 14921кг (Ислюков)</v>
          </cell>
        </row>
        <row r="7178">
          <cell r="O7178" t="str">
            <v>TSO001116602</v>
          </cell>
          <cell r="P7178" t="str">
            <v>ООО КСК ТРЕЙД Тс190225-26 06.09.2026 Николаенко 2102кг (Ислюков)</v>
          </cell>
        </row>
        <row r="7179">
          <cell r="O7179" t="str">
            <v>TSO001117590</v>
          </cell>
          <cell r="P7179" t="str">
            <v>ООО КСК ТРЕЙД Тс191721-26 06.09.2026 Крым(2) 524кг (Ислюков)</v>
          </cell>
        </row>
        <row r="7180">
          <cell r="O7180" t="str">
            <v>TSO001116631</v>
          </cell>
          <cell r="P7180" t="str">
            <v>ООО НВ Тс189853-26 06.09.2026 Бутырин 775кг (Астапкин)</v>
          </cell>
        </row>
        <row r="7181">
          <cell r="O7181" t="str">
            <v>TSO001116628</v>
          </cell>
          <cell r="P7181" t="str">
            <v>ООО НВ Тс189843-26 06.09.2026 Донецк 15774кг (Астапкин)</v>
          </cell>
        </row>
        <row r="7182">
          <cell r="O7182" t="str">
            <v>TSO001117607</v>
          </cell>
          <cell r="P7182" t="str">
            <v>ООО НВ Тс191784-26 06.09.2026 Донецк(2) 1218кг (Астапкин)</v>
          </cell>
        </row>
        <row r="7183">
          <cell r="O7183" t="str">
            <v>TSO001117108</v>
          </cell>
          <cell r="P7183" t="str">
            <v>ООО КСК ТРЕЙД Тс190678-26 07.09.2026 Крым 16669кг (Журавлев)</v>
          </cell>
        </row>
        <row r="7184">
          <cell r="O7184" t="str">
            <v>TSO001117184</v>
          </cell>
          <cell r="P7184" t="str">
            <v>ООО ЛП ЮТс-04329-26 10.09.2026 ПРС 10739кг (Добыш)</v>
          </cell>
        </row>
        <row r="7185">
          <cell r="O7185" t="str">
            <v>TSO001117236</v>
          </cell>
          <cell r="P7185" t="str">
            <v>ООО КСК ТРЕЙД Тс191352-26 08.09.2026 Крым 12798кг (Мазур)</v>
          </cell>
        </row>
        <row r="7186">
          <cell r="O7186" t="str">
            <v>TSO001118701</v>
          </cell>
          <cell r="P7186" t="str">
            <v>ООО КСК ТРЕЙД Тс193729-26 08.09.2026 Крым(2) 2347кг (Чиндин)</v>
          </cell>
        </row>
        <row r="7187">
          <cell r="O7187" t="str">
            <v>TSO001117609</v>
          </cell>
          <cell r="P7187" t="str">
            <v>ООО КСК ТРЕЙД Тс191798-26 08.09.2026 Крым(2) 2554кг (Мазур)</v>
          </cell>
        </row>
        <row r="7188">
          <cell r="O7188" t="str">
            <v>TSO001117235</v>
          </cell>
          <cell r="P7188" t="str">
            <v>ООО КСК ТРЕЙД Тс191000-26 08.09.2026 Крым 15416кг (Ожех)</v>
          </cell>
        </row>
        <row r="7189">
          <cell r="O7189" t="str">
            <v>TSO001118703</v>
          </cell>
          <cell r="P7189" t="str">
            <v>ООО КСК ТРЕЙД Тс193731-26 08.09.2026 Крым(3) 435кг (Ожех)</v>
          </cell>
        </row>
        <row r="7190">
          <cell r="O7190" t="str">
            <v>TSO001117610</v>
          </cell>
          <cell r="P7190" t="str">
            <v>ООО КСК ТРЕЙД Тс191799-26 08.09.2026 Крым(2) 1721кг (Ожех)</v>
          </cell>
        </row>
        <row r="7191">
          <cell r="O7191" t="str">
            <v>TSO001117282</v>
          </cell>
          <cell r="P7191" t="str">
            <v>ООО НВ Тс191329-26 08.09.2026 Бердянск 7877кг (Лапшин)</v>
          </cell>
        </row>
        <row r="7192">
          <cell r="O7192" t="str">
            <v>TSO001117281</v>
          </cell>
          <cell r="P7192" t="str">
            <v>ООО НВ Тс190976-26 08.09.2026 Мелитополь 6331кг (Лапшин)</v>
          </cell>
        </row>
        <row r="7193">
          <cell r="O7193" t="str">
            <v>TSO001118038</v>
          </cell>
          <cell r="P7193" t="str">
            <v>ООО НВ Тс192373-26 08.09.2026 Бердянск(2) 869кг (Лапшин)</v>
          </cell>
        </row>
        <row r="7194">
          <cell r="O7194" t="str">
            <v>TSO001118037</v>
          </cell>
          <cell r="P7194" t="str">
            <v>ООО НВ Тс192374-26 08.09.2026 Мелитополь(2) 792кг (Лапшин)</v>
          </cell>
        </row>
        <row r="7195">
          <cell r="O7195" t="str">
            <v>TSO001117520</v>
          </cell>
          <cell r="P7195" t="str">
            <v>ООО НВ Тс191337-26 08.09.2026 Горняк-Донецк 8689кг (Чирков)</v>
          </cell>
        </row>
        <row r="7196">
          <cell r="O7196" t="str">
            <v>TSO001117517</v>
          </cell>
          <cell r="P7196" t="str">
            <v>ООО ЛП ЮТс-04330-26 07.09.2026 Вояж 2026кг (Жабкин)</v>
          </cell>
        </row>
        <row r="7197">
          <cell r="O7197" t="str">
            <v>TSO001117512</v>
          </cell>
          <cell r="P7197" t="str">
            <v>ООО НВ Тс191198-26 07.09.2026 Горняк-Луганск 9752кг (Жабкин)</v>
          </cell>
        </row>
        <row r="7198">
          <cell r="O7198" t="str">
            <v>TSO001117510</v>
          </cell>
          <cell r="P7198" t="str">
            <v>ООО НВ Тс191187-26 07.09.2026 Луганск 1257кг (Жабкин)</v>
          </cell>
        </row>
        <row r="7199">
          <cell r="O7199" t="str">
            <v>TSO001117334</v>
          </cell>
          <cell r="P7199" t="str">
            <v>ООО КСК ТРЕЙД Тс191353-26 08.09.2026 Крым 14902кг (Митин)</v>
          </cell>
        </row>
        <row r="7200">
          <cell r="O7200" t="str">
            <v>TSO001118478</v>
          </cell>
          <cell r="P7200" t="str">
            <v>ООО КСК ТРЕЙД Тс193726-26 08.09.2026 Крым(2) 2722кг (Митин)</v>
          </cell>
        </row>
        <row r="7201">
          <cell r="O7201" t="str">
            <v>TSO001117346</v>
          </cell>
          <cell r="P7201" t="str">
            <v>ООО КСК ТРЕЙД Тс191354-26 08.09.2026 Крым 14715кг (Чиндин)</v>
          </cell>
        </row>
        <row r="7202">
          <cell r="O7202" t="str">
            <v>TSO001118761</v>
          </cell>
          <cell r="P7202" t="str">
            <v>ООО КСК ТРЕЙД Тс193733-26 08.09.2026 Крым(3) 522кг (Чиндин)</v>
          </cell>
        </row>
        <row r="7203">
          <cell r="O7203" t="str">
            <v>TSO001118566</v>
          </cell>
          <cell r="P7203" t="str">
            <v>ООО КСК ТРЕЙД Тс193728-26 08.09.2026 Крым(3) 2343кг (Мазур)</v>
          </cell>
        </row>
        <row r="7204">
          <cell r="O7204" t="str">
            <v>TSO001117349</v>
          </cell>
          <cell r="P7204" t="str">
            <v>ООО НВ Тс191340-26 08.09.2026 Донецк 15475кг (Голубев)</v>
          </cell>
        </row>
        <row r="7205">
          <cell r="O7205" t="str">
            <v>TSO001118926</v>
          </cell>
          <cell r="P7205" t="str">
            <v>ООО НВ Тс193546-26 08.09.2026 Донецк(2) 1718кг (Голубев)</v>
          </cell>
        </row>
        <row r="7206">
          <cell r="O7206" t="str">
            <v>TSO001117374</v>
          </cell>
          <cell r="P7206" t="str">
            <v>ООО НВ Тс191351-26 09.09.2026 Луганск 16512кг (Некрасов)</v>
          </cell>
        </row>
        <row r="7207">
          <cell r="O7207" t="str">
            <v>TSO001118927</v>
          </cell>
          <cell r="P7207" t="str">
            <v>ООО НВ Тс193545-26 09.09.2026 Луганск(2) 831кг (Некрасов)</v>
          </cell>
        </row>
        <row r="7208">
          <cell r="O7208" t="str">
            <v>TSO001117521</v>
          </cell>
          <cell r="P7208" t="str">
            <v>ООО НВ Тс191338-26 09.09.2026 Донецк 12076кг (Бакалюк)</v>
          </cell>
        </row>
        <row r="7209">
          <cell r="O7209" t="str">
            <v>TSO001117832</v>
          </cell>
          <cell r="P7209" t="str">
            <v>ООО ЛП Тс192701-26 10.09.2026 Бычков 2137кг (Монаков)</v>
          </cell>
        </row>
        <row r="7210">
          <cell r="O7210" t="str">
            <v>TSO001117838</v>
          </cell>
          <cell r="P7210" t="str">
            <v>ООО ЛП Тс192708-26 10.09.2026 Бычков(2) 8223кг (Монаков)</v>
          </cell>
        </row>
        <row r="7211">
          <cell r="O7211" t="str">
            <v>TSO001118908</v>
          </cell>
          <cell r="P7211" t="str">
            <v>ООО ЛП Тс193742-26 10.09.2026 Пушкарный 17273кг (Ковальчук)</v>
          </cell>
        </row>
        <row r="7212">
          <cell r="O7212" t="str">
            <v>TSO001118941</v>
          </cell>
          <cell r="P7212" t="str">
            <v>ООО ЛП Тс193744-26 11.09.2026 Пушкарный 17438кг (Ступак)</v>
          </cell>
        </row>
        <row r="7213">
          <cell r="O7213" t="str">
            <v>TSO001118943</v>
          </cell>
          <cell r="P7213" t="str">
            <v>ООО ЛП Тс197557-26 13.09.2026 Пушкарный 17578кг (Пыдык)</v>
          </cell>
        </row>
        <row r="7214">
          <cell r="O7214" t="str">
            <v>TSO001118942</v>
          </cell>
          <cell r="P7214" t="str">
            <v>ОТМЕНА</v>
          </cell>
        </row>
        <row r="7215">
          <cell r="O7215" t="str">
            <v>TSO001118946</v>
          </cell>
          <cell r="P7215" t="str">
            <v>ООО ЛП Тс197033-26 11.09.2026 Пенза 17952кг (Латий)</v>
          </cell>
        </row>
        <row r="7216">
          <cell r="O7216" t="str">
            <v>TSO001119509</v>
          </cell>
          <cell r="P7216" t="str">
            <v>ООО КСК ТРЕЙД Тс197211-26 12.09.2026 Крым 16177кг (Журавлев)</v>
          </cell>
          <cell r="Q7216" t="str">
            <v>ООО КСК ТРЕЙД Тс197209-26 12.09.2026 Крым(3) 324кг (Журавлев)</v>
          </cell>
          <cell r="R7216" t="str">
            <v>ООО КСК ТРЕЙД Тс197208-26 12.09.2026 Крым(2) 245кг (Журавлев)</v>
          </cell>
        </row>
        <row r="7217">
          <cell r="O7217" t="str">
            <v>TSO001121195</v>
          </cell>
          <cell r="P7217" t="str">
            <v>ООО КСК ТРЕЙД Тс197296-26 12.09.2026 Крым(4) 718кг (Журавлев)</v>
          </cell>
        </row>
        <row r="7218">
          <cell r="O7218" t="str">
            <v>TSO001119559</v>
          </cell>
          <cell r="P7218" t="str">
            <v>ООО КСК ТРЕЙД Тс197206-26 11.09.2026 Крым 14717кг (Кульпин)</v>
          </cell>
          <cell r="Q7218" t="str">
            <v>ООО КСК ТРЕЙД Тс197205-26 11.09.2026 Крым(3) 675кг (Кульпин)</v>
          </cell>
        </row>
        <row r="7219">
          <cell r="O7219" t="str">
            <v>TSO001120055</v>
          </cell>
          <cell r="P7219" t="str">
            <v>ООО КСК ТРЕЙД Тс197210-26 11.09.2026 Крым(2) 1869кг (Кульпин)</v>
          </cell>
        </row>
        <row r="7220">
          <cell r="O7220" t="str">
            <v>TSO001119728</v>
          </cell>
          <cell r="P7220" t="str">
            <v>ООО НВ ЮТс-04457-26 15.09.2026 Луганск 13638кг (Жабкин)</v>
          </cell>
        </row>
        <row r="7221">
          <cell r="O7221" t="str">
            <v>TSO001119723</v>
          </cell>
          <cell r="P7221" t="str">
            <v>ООО КСК ТРЕЙД Тс197215-26 13.09.2026 Крым 16991кг (Котельников)</v>
          </cell>
        </row>
        <row r="7222">
          <cell r="O7222" t="str">
            <v>TSO001121233</v>
          </cell>
          <cell r="P7222" t="str">
            <v>ООО КСК ТРЕЙД Тс197520-26 13.09.2026 Крым(2) 511кг (Котельников)</v>
          </cell>
        </row>
        <row r="7223">
          <cell r="O7223" t="str">
            <v>TSO001119753</v>
          </cell>
          <cell r="P7223" t="str">
            <v>ООО НВ Тс198965-26 15.09.2026 Мелитополь 16887кг (Ислюков)</v>
          </cell>
          <cell r="Q7223" t="str">
            <v>ООО НВ Тс196916-26 15.09.2026 Мелитополь(2) 205кг (Ислюков)</v>
          </cell>
        </row>
        <row r="7224">
          <cell r="O7224" t="str">
            <v>TSO001121204</v>
          </cell>
          <cell r="P7224" t="str">
            <v>ООО НВ Тс198964-26 14.09.2026 Мелитополь(3) 673кг (Ислюков)</v>
          </cell>
        </row>
        <row r="7225">
          <cell r="O7225" t="str">
            <v>TSO001119761</v>
          </cell>
          <cell r="P7225" t="str">
            <v>ООО НВ Тс195771-26 12.09.2026 Донецк 16681кг (Шадриков)</v>
          </cell>
        </row>
        <row r="7226">
          <cell r="O7226" t="str">
            <v>TSO001121205</v>
          </cell>
          <cell r="P7226" t="str">
            <v>ООО НВ Тс197433-26 12.09.2026 Донецк(2) 797кг (Шадриков)</v>
          </cell>
        </row>
        <row r="7227">
          <cell r="O7227" t="str">
            <v>TSO001119763</v>
          </cell>
          <cell r="P7227" t="str">
            <v>ООО НВ Тс195772-26 12.09.2026 Луганск 17049кг (Заратуйченко)</v>
          </cell>
        </row>
        <row r="7228">
          <cell r="O7228" t="str">
            <v>TSO001121206</v>
          </cell>
          <cell r="P7228" t="str">
            <v>ООО НВ Тс197435-26 12.09.2026 Луганск(2) 808кг (Заратуйченко)</v>
          </cell>
        </row>
        <row r="7229">
          <cell r="O7229" t="str">
            <v>TSO001120193</v>
          </cell>
          <cell r="P7229" t="str">
            <v>ООО КСК ТРЕЙД ЮТс-04407-26 12.09.2026 Крым 15326кг (Митин)</v>
          </cell>
        </row>
        <row r="7230">
          <cell r="O7230" t="str">
            <v>TSO001120256</v>
          </cell>
          <cell r="P7230" t="str">
            <v>ООО ЛП Тс195774-26 13.09.2026 Кочевой 12143кг (Карслян)</v>
          </cell>
        </row>
        <row r="7231">
          <cell r="O7231" t="str">
            <v>TSO001120258</v>
          </cell>
          <cell r="P7231" t="str">
            <v>ООО ЛП Тс195773-26 14.09.2026 Обрыньба 3803кг (Мазур)</v>
          </cell>
        </row>
        <row r="7232">
          <cell r="O7232" t="str">
            <v>TSO001120260</v>
          </cell>
          <cell r="P7232" t="str">
            <v>ООО ЛП Тс195791-26 14.09.2026 Коныгин 3846кг (Мазур)</v>
          </cell>
        </row>
        <row r="7233">
          <cell r="O7233" t="str">
            <v>TSO001120259</v>
          </cell>
          <cell r="P7233" t="str">
            <v>ООО ЛП Тс195804-26 14.09.2026 НПК 8054кг (Мазур)</v>
          </cell>
        </row>
        <row r="7234">
          <cell r="O7234" t="str">
            <v>TSO001120261</v>
          </cell>
          <cell r="P7234" t="str">
            <v>ООО ЛП Тс195903-26 14.09.2026 Пушкарный 1619кг (Мазур)</v>
          </cell>
        </row>
        <row r="7235">
          <cell r="O7235" t="str">
            <v>TSO001120278</v>
          </cell>
          <cell r="P7235" t="str">
            <v>ООО ЛП Тс195776-26 13.09.2026 Малахутин(2) 13902кг (Фокин)</v>
          </cell>
        </row>
        <row r="7236">
          <cell r="O7236" t="str">
            <v>TSO001120279</v>
          </cell>
          <cell r="P7236" t="str">
            <v>ООО ЛП Тс195775-26 13.09.2026 Малахутин 3946кг (Фокин)</v>
          </cell>
        </row>
        <row r="7237">
          <cell r="O7237" t="str">
            <v>TSO001120275</v>
          </cell>
          <cell r="P7237" t="str">
            <v>ОТМЕНА</v>
          </cell>
        </row>
        <row r="7238">
          <cell r="O7238" t="str">
            <v>TSO001120273</v>
          </cell>
          <cell r="P7238" t="str">
            <v>ООО ЛП Тс195900-26 13.09.2026 Кочевой(2) 3997кг (Карслян)</v>
          </cell>
        </row>
        <row r="7239">
          <cell r="O7239" t="str">
            <v>TSO001120274</v>
          </cell>
          <cell r="P7239" t="str">
            <v>ООО ЛП Тс195902-26 13.09.2026 НПК 504кг (Карслян)</v>
          </cell>
        </row>
        <row r="7240">
          <cell r="O7240" t="str">
            <v>TSO001120277</v>
          </cell>
          <cell r="P7240" t="str">
            <v>ОТМЕНА</v>
          </cell>
        </row>
        <row r="7241">
          <cell r="O7241" t="str">
            <v>TSO001120276</v>
          </cell>
          <cell r="P7241" t="str">
            <v>ОТМЕНА</v>
          </cell>
        </row>
        <row r="7242">
          <cell r="O7242" t="str">
            <v>TSO001120227</v>
          </cell>
          <cell r="P7242" t="str">
            <v>ООО КСК ТРЕЙД Тс199024-26 15.09.2026 Крым 16179кг (Сарва)</v>
          </cell>
        </row>
        <row r="7243">
          <cell r="O7243" t="str">
            <v>TSO001121670</v>
          </cell>
          <cell r="P7243" t="str">
            <v>ООО КСК ТРЕЙД Тс198799-26 15.09.2026 Крым(2) 1410кг (Сарва)</v>
          </cell>
        </row>
        <row r="7244">
          <cell r="O7244" t="str">
            <v>TSO001120252</v>
          </cell>
          <cell r="P7244" t="str">
            <v>ООО КСК ТРЕЙД Тс199001-26 15.09.2026 Крым(2) 11743кг (Некрасов)</v>
          </cell>
        </row>
        <row r="7245">
          <cell r="O7245" t="str">
            <v>TSO001120255</v>
          </cell>
          <cell r="P7245" t="str">
            <v>ООО КСК ТРЕЙД Тс197223-26 15.09.2026 Николаенко 1974кг (Некрасов)</v>
          </cell>
        </row>
        <row r="7246">
          <cell r="O7246" t="str">
            <v>TSO001122312</v>
          </cell>
          <cell r="P7246" t="str">
            <v>ООО КСК ТРЕЙД Тс199858-26 15.09.2026 Крым(3) 1646кг (Некрасов)</v>
          </cell>
        </row>
        <row r="7247">
          <cell r="O7247" t="str">
            <v>TSO001121681</v>
          </cell>
          <cell r="P7247" t="str">
            <v>ООО КСК ТРЕЙД Тс198801-26 15.09.2026 Крым 2138кг (Некрасов)</v>
          </cell>
        </row>
        <row r="7248">
          <cell r="O7248" t="str">
            <v>TSO001120281</v>
          </cell>
          <cell r="P7248" t="str">
            <v>ООО НВ Тс195889-26 15.09.2026 Горняк-Горловка 870кг (Решетников)</v>
          </cell>
        </row>
        <row r="7249">
          <cell r="O7249" t="str">
            <v>TSO001120282</v>
          </cell>
          <cell r="P7249" t="str">
            <v>ООО НВ Тс198967-26 15.09.2026 Горняк-Луганск 6645кг (Решетников)</v>
          </cell>
        </row>
        <row r="7250">
          <cell r="O7250" t="str">
            <v>TSO001120280</v>
          </cell>
          <cell r="P7250" t="str">
            <v>ООО НВ Тс195901-26 15.09.2026 Луганск 9043кг (Решетников)</v>
          </cell>
        </row>
        <row r="7251">
          <cell r="O7251" t="str">
            <v>TSO001121236</v>
          </cell>
          <cell r="P7251" t="str">
            <v>ООО НВ Тс199865-26 15.09.2026 Луганск(2) 811кг (Решетников)</v>
          </cell>
        </row>
        <row r="7252">
          <cell r="O7252" t="str">
            <v>TSO001120284</v>
          </cell>
          <cell r="P7252" t="str">
            <v>ООО ЛП Тс195833-26 13.09.2026 ПРС 1443кг (Карслян)</v>
          </cell>
        </row>
        <row r="7253">
          <cell r="O7253" t="str">
            <v>TSO001120283</v>
          </cell>
          <cell r="P7253" t="str">
            <v>ООО НВ Тс195821-26 15.09.2026 Донецк 15628кг (Чирков)</v>
          </cell>
        </row>
        <row r="7254">
          <cell r="O7254" t="str">
            <v>TSO001122172</v>
          </cell>
          <cell r="P7254" t="str">
            <v>ООО НВ Тс199866-26 15.09.2026 Донецк(3) 1201кг (Чирков)</v>
          </cell>
        </row>
        <row r="7255">
          <cell r="O7255" t="str">
            <v>TSO001121237</v>
          </cell>
          <cell r="P7255" t="str">
            <v>ООО НВ Тс199864-26 15.09.2026 Донецк(2) 601кг (Чирков)</v>
          </cell>
        </row>
        <row r="7256">
          <cell r="O7256" t="str">
            <v>TSO001120285</v>
          </cell>
          <cell r="P7256" t="str">
            <v>ООО НВ Тс195801-26 16.09.2026 Бердянск 17158кг (Семенов)</v>
          </cell>
        </row>
        <row r="7257">
          <cell r="O7257" t="str">
            <v>TSO001121238</v>
          </cell>
          <cell r="P7257" t="str">
            <v>ООО НВ Тс198963-26 16.09.2026 Бердянск(2) 508кг (Семенов)</v>
          </cell>
        </row>
        <row r="7258">
          <cell r="O7258" t="str">
            <v>TSO001120838</v>
          </cell>
          <cell r="P7258" t="str">
            <v>ООО КСК ТРЕЙД Тс196514-26 13.09.2026 Крым 15423кг (Казанцев)</v>
          </cell>
        </row>
        <row r="7259">
          <cell r="O7259" t="str">
            <v>TSO001120974</v>
          </cell>
          <cell r="P7259" t="str">
            <v>ООО КСК ТРЕЙД Тс199049-26 15.09.2026 Крым(2) 14776кг (Аббасов)</v>
          </cell>
        </row>
        <row r="7260">
          <cell r="O7260" t="str">
            <v>TSO001122314</v>
          </cell>
          <cell r="P7260" t="str">
            <v>ОТМЕНА</v>
          </cell>
        </row>
        <row r="7261">
          <cell r="O7261" t="str">
            <v>TSO001121682</v>
          </cell>
          <cell r="P7261" t="str">
            <v>ООО КСК ТРЕЙД Тс198800-26 15.09.2026 Крым 2219кг (Аббасов)</v>
          </cell>
        </row>
        <row r="7262">
          <cell r="O7262" t="str">
            <v>TSO001120998</v>
          </cell>
          <cell r="P7262" t="str">
            <v>ООО КСК ТРЕЙД Тс198991-26 15.09.2026 Крым(2) 8505кг (Карпухин)</v>
          </cell>
        </row>
        <row r="7263">
          <cell r="O7263" t="str">
            <v>TSO001121001</v>
          </cell>
          <cell r="P7263" t="str">
            <v>ООО КСК ТРЕЙД Тс197411-26 15.09.2026 Вердиева 1868кг (Карпухин)</v>
          </cell>
        </row>
        <row r="7264">
          <cell r="O7264" t="str">
            <v>TSO001121002</v>
          </cell>
          <cell r="P7264" t="str">
            <v>ООО КСК ТРЕЙД Тс197595-26 15.09.2026 Вердиева(2) 3194кг (Карпухин)</v>
          </cell>
        </row>
        <row r="7265">
          <cell r="O7265" t="str">
            <v>TSO001122316</v>
          </cell>
          <cell r="P7265" t="str">
            <v>ООО КСК ТРЕЙД Тс199857-26 15.09.2026 Крым(2) 761кг (Ерохов)</v>
          </cell>
        </row>
        <row r="7266">
          <cell r="O7266" t="str">
            <v>TSO001121699</v>
          </cell>
          <cell r="P7266" t="str">
            <v>ООО КСК ТРЕЙД Тс198802-26 15.09.2026 Крым 3945кг (Карпухин)</v>
          </cell>
        </row>
        <row r="7267">
          <cell r="O7267" t="str">
            <v>TSO001121068</v>
          </cell>
          <cell r="P7267" t="str">
            <v>ООО НВ Тс201393-26 18.09.2026 Бердянск 7925кг (Киселев)</v>
          </cell>
        </row>
        <row r="7268">
          <cell r="O7268" t="str">
            <v>TSO001121064</v>
          </cell>
          <cell r="P7268" t="str">
            <v>ООО НВ Тс201394-26 18.09.2026 Мелитополь 7576кг (Киселев)</v>
          </cell>
        </row>
        <row r="7269">
          <cell r="O7269" t="str">
            <v>TSO001123888</v>
          </cell>
          <cell r="P7269" t="str">
            <v>ООО НВ Тс201978-26 18.09.2026 Мелитополь(2) 717кг (Киселев)</v>
          </cell>
        </row>
        <row r="7270">
          <cell r="O7270" t="str">
            <v>TSO001122106</v>
          </cell>
          <cell r="P7270" t="str">
            <v>ООО НВ Тс201395-26 18.09.2026 Бердянск(2) 1510кг (Киселев)</v>
          </cell>
        </row>
        <row r="7271">
          <cell r="O7271" t="str">
            <v>TSO001121071</v>
          </cell>
          <cell r="P7271" t="str">
            <v>ООО НВ Тс199861-26 15.09.2026 Донецк 16967кг (Рева)</v>
          </cell>
        </row>
        <row r="7272">
          <cell r="O7272" t="str">
            <v>TSO001122173</v>
          </cell>
          <cell r="P7272" t="str">
            <v>ООО НВ Тс199863-26 15.09.2026 Донецк(2) 599кг (Рева)</v>
          </cell>
        </row>
        <row r="7273">
          <cell r="O7273" t="str">
            <v>TSO001121075</v>
          </cell>
          <cell r="P7273" t="str">
            <v>ООО НВ Тс198966-26 15.09.2026 Луганск 16618кг (Голубев)</v>
          </cell>
        </row>
        <row r="7274">
          <cell r="O7274" t="str">
            <v>TSO001122174</v>
          </cell>
          <cell r="P7274" t="str">
            <v>ООО НВ Тс199862-26 15.09.2026 Луганск(2) 1116кг (Голубев)</v>
          </cell>
        </row>
        <row r="7275">
          <cell r="O7275" t="str">
            <v>TSO001121133</v>
          </cell>
          <cell r="P7275" t="str">
            <v>ООО НВ Тс197326-26 18.09.2026 Донецк 6440кг (Добыш)</v>
          </cell>
        </row>
        <row r="7276">
          <cell r="O7276" t="str">
            <v>TSO001121144</v>
          </cell>
          <cell r="P7276" t="str">
            <v>ООО НВ ЮТс-04497-26 18.09.2026 Горняк-Донецк 6372кг (Добыш)</v>
          </cell>
        </row>
        <row r="7277">
          <cell r="O7277" t="str">
            <v>TSO001120857</v>
          </cell>
          <cell r="P7277" t="str">
            <v>ООО КСК ТРЕЙД ЮТс-04456-26 15.09.2026 Крым 15627кг (Добыш)</v>
          </cell>
        </row>
        <row r="7278">
          <cell r="O7278" t="str">
            <v>TSO001120994</v>
          </cell>
          <cell r="P7278" t="str">
            <v>ООО КСК ТРЕЙД Тс198853-26 15.09.2026 Крым 15150кг (Ерохов)</v>
          </cell>
        </row>
        <row r="7279">
          <cell r="O7279" t="str">
            <v>TSO001122278</v>
          </cell>
          <cell r="P7279" t="str">
            <v>ООО КСК ТРЕЙД Тс199859-26 15.09.2026 Крым(3) 1712кг (Ерохов)</v>
          </cell>
        </row>
        <row r="7280">
          <cell r="O7280" t="str">
            <v>TSO001121118</v>
          </cell>
          <cell r="P7280" t="str">
            <v>ООО НВ Тс200475-26 16.09.2026 Мелитополь 5500кг (Жунсалиев)</v>
          </cell>
        </row>
        <row r="7281">
          <cell r="O7281" t="str">
            <v>TSO001121124</v>
          </cell>
          <cell r="P7281" t="str">
            <v>ООО НВ Тс200678-26 17.09.2026 Луганск 16221кг (Бакалюк)</v>
          </cell>
        </row>
        <row r="7282">
          <cell r="O7282" t="str">
            <v>TSO001123432</v>
          </cell>
          <cell r="P7282" t="str">
            <v>ООО НВ Тс201396-26 17.09.2026 Луганск(2) 1005кг (Бакалюк)</v>
          </cell>
        </row>
        <row r="7283">
          <cell r="O7283" t="str">
            <v>TSO001121152</v>
          </cell>
          <cell r="P7283" t="str">
            <v>ООО НВ ЮТс-04498-26 17.09.2026 Бердянск 10851кг (Коновалов)</v>
          </cell>
        </row>
        <row r="7284">
          <cell r="O7284" t="str">
            <v>TSO001121150</v>
          </cell>
          <cell r="P7284" t="str">
            <v>ООО НВ Тс197117-26 17.09.2026 Мелитополь 3746кг (Коновалов)</v>
          </cell>
        </row>
        <row r="7285">
          <cell r="O7285" t="str">
            <v>TSO001121408</v>
          </cell>
          <cell r="P7285" t="str">
            <v>ООО ЛП Тс199014-26 16.09.2026 Архипова 4009кг (Жунсалиев)</v>
          </cell>
        </row>
        <row r="7286">
          <cell r="O7286" t="str">
            <v>TSO001121409</v>
          </cell>
          <cell r="P7286" t="str">
            <v>ООО ЛП Тс198998-26 16.09.2026 Архипова(2) 1916кг (Жунсалиев)</v>
          </cell>
        </row>
        <row r="7287">
          <cell r="O7287" t="str">
            <v>TSO001121620</v>
          </cell>
          <cell r="P7287" t="str">
            <v>ОТМЕНА</v>
          </cell>
        </row>
        <row r="7288">
          <cell r="O7288" t="str">
            <v>TSO001122459</v>
          </cell>
          <cell r="P7288" t="str">
            <v>ООО ЛП Тс199924-26 17.09.2026 Пушкарный 14843кг (Хинько)</v>
          </cell>
        </row>
        <row r="7289">
          <cell r="O7289" t="str">
            <v>TSO001122487</v>
          </cell>
          <cell r="P7289" t="str">
            <v>ОТМЕНА</v>
          </cell>
        </row>
        <row r="7290">
          <cell r="O7290" t="str">
            <v>TSO001123003</v>
          </cell>
          <cell r="P7290" t="str">
            <v>ООО КСК ТРЕЙД Тс201616-26 18.09.2026 Крым 14646кг (Акшонин)</v>
          </cell>
        </row>
        <row r="7291">
          <cell r="O7291" t="str">
            <v>TSO001124036</v>
          </cell>
          <cell r="P7291" t="str">
            <v>ООО КСК ТРЕЙД Тс202087-26 18.09.2026 Крым(3) 1051кг (Акшонин)</v>
          </cell>
        </row>
        <row r="7292">
          <cell r="O7292" t="str">
            <v>TSO001123805</v>
          </cell>
          <cell r="P7292" t="str">
            <v>ООО КСК ТРЕЙД Тс201618-26 18.09.2026 Крым(2) 2267кг (Акшонин)</v>
          </cell>
        </row>
        <row r="7293">
          <cell r="O7293" t="str">
            <v>TSO001123026</v>
          </cell>
          <cell r="P7293" t="str">
            <v>ООО КСК ТРЕЙД Тс201614-26 19.09.2026 Крым 3982кг (Сарва)</v>
          </cell>
        </row>
        <row r="7294">
          <cell r="O7294" t="str">
            <v>TSO001124526</v>
          </cell>
          <cell r="P7294" t="str">
            <v>ООО КСК ТРЕЙД Тс202782-26 19.09.2026 Крым(3) 6001кг (Сарва)</v>
          </cell>
        </row>
        <row r="7295">
          <cell r="O7295" t="str">
            <v>TSO001124524</v>
          </cell>
          <cell r="P7295" t="str">
            <v>ООО КСК ТРЕЙД Тс202728-26 19.09.2026 Крым(2) 7080кг (Сарва)</v>
          </cell>
        </row>
        <row r="7296">
          <cell r="O7296" t="str">
            <v>TSO001123132</v>
          </cell>
          <cell r="P7296" t="str">
            <v>ООО КСК ТРЕЙД Тс201615-26 21.09.2026 Колесник 10071кг (Латий)</v>
          </cell>
        </row>
        <row r="7297">
          <cell r="O7297" t="str">
            <v>TSO001123126</v>
          </cell>
          <cell r="P7297" t="str">
            <v>ООО НВ Тс202169-26 21.09.2026 Павленко 6198кг (Латий)</v>
          </cell>
        </row>
        <row r="7298">
          <cell r="O7298" t="str">
            <v>TSO001123074</v>
          </cell>
          <cell r="P7298" t="str">
            <v>ООО КСК ТРЕЙД Тс201799-26 19.09.2026 Крым 15694кг (Ступак)</v>
          </cell>
        </row>
        <row r="7299">
          <cell r="O7299" t="str">
            <v>TSO001124528</v>
          </cell>
          <cell r="P7299" t="str">
            <v>ООО КСК ТРЕЙД Тс202783-26 19.09.2026 Крым(3) 705кг (Ступак)</v>
          </cell>
        </row>
        <row r="7300">
          <cell r="O7300" t="str">
            <v>TSO001124520</v>
          </cell>
          <cell r="P7300" t="str">
            <v>ООО КСК ТРЕЙД Тс202731-26 19.09.2026 Крым(2) 1050кг (Ступак)</v>
          </cell>
        </row>
        <row r="7301">
          <cell r="O7301" t="str">
            <v>TSO001123138</v>
          </cell>
          <cell r="P7301" t="str">
            <v>ООО ЛП Тс200584-26 20.09.2026 ПРС 806кг (Медведь)</v>
          </cell>
        </row>
        <row r="7302">
          <cell r="O7302" t="str">
            <v>TSO001123137</v>
          </cell>
          <cell r="P7302" t="str">
            <v>ООО НВ Тс202644-26 20.09.2026 Бутырин 1909кг (Медведь)</v>
          </cell>
        </row>
        <row r="7303">
          <cell r="O7303" t="str">
            <v>TSO001123136</v>
          </cell>
          <cell r="P7303" t="str">
            <v>ООО НВ Тс202645-26 20.09.2026 Донецк 13492кг (Медведь)</v>
          </cell>
        </row>
        <row r="7304">
          <cell r="O7304" t="str">
            <v>TSO001124546</v>
          </cell>
          <cell r="P7304" t="str">
            <v>ООО НВ Тс202976-26 20.09.2026 Донецк(3) 901кг (Медведь)</v>
          </cell>
        </row>
        <row r="7305">
          <cell r="O7305" t="str">
            <v>TSO001124533</v>
          </cell>
          <cell r="P7305" t="str">
            <v>ООО НВ Тс202846-26 20.09.2026 Донецк(2) 611кг (Медведь)</v>
          </cell>
        </row>
        <row r="7306">
          <cell r="O7306" t="str">
            <v>TSO001123141</v>
          </cell>
          <cell r="P7306" t="str">
            <v>ООО НВ Тс202646-26 20.09.2026 Луганск 15832кг (Бабенко)</v>
          </cell>
        </row>
        <row r="7307">
          <cell r="O7307" t="str">
            <v>TSO001124549</v>
          </cell>
          <cell r="P7307" t="str">
            <v>ОТМЕНА</v>
          </cell>
        </row>
        <row r="7308">
          <cell r="O7308" t="str">
            <v>TSO001124534</v>
          </cell>
          <cell r="P7308" t="str">
            <v>ООО НВ Тс202866-26 20.09.2026 Луганск(2) 1435кг (Бабенко)</v>
          </cell>
        </row>
        <row r="7309">
          <cell r="O7309" t="str">
            <v>TSO001123554</v>
          </cell>
          <cell r="P7309" t="str">
            <v>ООО КСК ТРЕЙД Тс201419-26 19.09.2026 Крым 14405кг (Самохвалов)</v>
          </cell>
        </row>
        <row r="7310">
          <cell r="O7310" t="str">
            <v>TSO001123565</v>
          </cell>
          <cell r="P7310" t="str">
            <v>ООО НВ Тс202410-26 20.09.2026 Луганск 13048кг (Решетников)</v>
          </cell>
        </row>
        <row r="7311">
          <cell r="O7311" t="str">
            <v>TSO001123570</v>
          </cell>
          <cell r="P7311" t="str">
            <v>ОТМЕНА</v>
          </cell>
        </row>
        <row r="7312">
          <cell r="O7312" t="str">
            <v>TSO001123575</v>
          </cell>
          <cell r="P7312" t="str">
            <v>ООО ЛП Тс201565-26 20.09.2026 НПК(2) 7319кг (Ковальчук)</v>
          </cell>
        </row>
        <row r="7313">
          <cell r="O7313" t="str">
            <v>TSO001123577</v>
          </cell>
          <cell r="P7313" t="str">
            <v>ООО ЛП Тс201536-26 20.09.2026 НПК 505кг (Ковальчук)</v>
          </cell>
        </row>
        <row r="7314">
          <cell r="O7314" t="str">
            <v>TSO001123566</v>
          </cell>
          <cell r="P7314" t="str">
            <v>ООО ЛП Тс201588-26 20.09.2026 Обрыньба 4457кг (Ковальчук)</v>
          </cell>
        </row>
        <row r="7315">
          <cell r="O7315" t="str">
            <v>TSO001123571</v>
          </cell>
          <cell r="P7315" t="str">
            <v>ООО ЛП Тс201550-26 20.09.2026 Пушкарный(ВВ)(2) 3346кг (Ковальчук)</v>
          </cell>
        </row>
        <row r="7316">
          <cell r="O7316" t="str">
            <v>TSO001123572</v>
          </cell>
          <cell r="P7316" t="str">
            <v>ОТМЕНА</v>
          </cell>
        </row>
        <row r="7317">
          <cell r="O7317" t="str">
            <v>TSO001123574</v>
          </cell>
          <cell r="P7317" t="str">
            <v>ООО ЛП Тс201526-26 19.09.2026 Пушкарный(ВВ) 628кг (Ковальчук)</v>
          </cell>
        </row>
        <row r="7318">
          <cell r="O7318" t="str">
            <v>TSO001123541</v>
          </cell>
          <cell r="P7318" t="str">
            <v>ООО КСК ТРЕЙД Тс202584-26 21.09.2026 Крым 14013кг (Хинько)</v>
          </cell>
        </row>
        <row r="7319">
          <cell r="O7319" t="str">
            <v>TSO001123542</v>
          </cell>
          <cell r="P7319" t="str">
            <v>ООО КСК ТРЕЙД Тс202964-26 21.09.2026 Николаенко 1634кг (Хинько)</v>
          </cell>
        </row>
        <row r="7320">
          <cell r="O7320" t="str">
            <v>TSO001124553</v>
          </cell>
          <cell r="P7320" t="str">
            <v>ООО КСК ТРЕЙД Тс202978-26 21.09.2026 Крым(2) 2023кг (Хинько)</v>
          </cell>
        </row>
        <row r="7321">
          <cell r="O7321" t="str">
            <v>TSO001123595</v>
          </cell>
          <cell r="P7321" t="str">
            <v>ООО НВ Тс202794-26 22.09.2026 Бердянск 7466кг (Мазур)</v>
          </cell>
        </row>
        <row r="7322">
          <cell r="O7322" t="str">
            <v>TSO001123594</v>
          </cell>
          <cell r="P7322" t="str">
            <v>ООО НВ Тс202793-26 22.09.2026 Мелитополь 6945кг (Мазур)</v>
          </cell>
        </row>
        <row r="7323">
          <cell r="O7323" t="str">
            <v>TSO001124667</v>
          </cell>
          <cell r="P7323" t="str">
            <v>ООО НВ Тс204001-26 22.09.2026 Бердянск(2) 1571кг (Мазур)</v>
          </cell>
        </row>
        <row r="7324">
          <cell r="O7324" t="str">
            <v>TSO001124665</v>
          </cell>
          <cell r="P7324" t="str">
            <v>ООО НВ Тс204002-26 22.09.2026 Мелитополь(2) 1597кг (Мазур)</v>
          </cell>
        </row>
        <row r="7325">
          <cell r="O7325" t="str">
            <v>TSO001123599</v>
          </cell>
          <cell r="P7325" t="str">
            <v>ООО НВ Тс202670-26 22.09.2026 Горняк-Луганск 6954кг (Бакалюк)</v>
          </cell>
        </row>
        <row r="7326">
          <cell r="O7326" t="str">
            <v>TSO001123598</v>
          </cell>
          <cell r="P7326" t="str">
            <v>ООО НВ Тс202792-26 22.09.2026 Луганск 8414кг (Бакалюк)</v>
          </cell>
        </row>
        <row r="7327">
          <cell r="O7327" t="str">
            <v>TSO001124670</v>
          </cell>
          <cell r="P7327" t="str">
            <v>ООО НВ Тс204000-26 22.09.2026 Луганск(2) 2361кг (Бакалюк)</v>
          </cell>
        </row>
        <row r="7328">
          <cell r="O7328" t="str">
            <v>TSO001123600</v>
          </cell>
          <cell r="P7328" t="str">
            <v>ООО НВ Тс202669-26 22.09.2026 Донецк 16259кг (Чирков)</v>
          </cell>
        </row>
        <row r="7329">
          <cell r="O7329" t="str">
            <v>TSO001124671</v>
          </cell>
          <cell r="P7329" t="str">
            <v>ООО НВ Тс203999-26 22.09.2026 Донецк(2) 1410кг (Чирков)</v>
          </cell>
        </row>
        <row r="7330">
          <cell r="O7330" t="str">
            <v>TSO001124070</v>
          </cell>
          <cell r="P7330" t="str">
            <v>ООО КСК ТРЕЙД Тс202868-26 21.09.2026 Крым 14000кг (Евсеев)</v>
          </cell>
        </row>
        <row r="7331">
          <cell r="O7331" t="str">
            <v>TSO001124689</v>
          </cell>
          <cell r="P7331" t="str">
            <v>ООО КСК ТРЕЙД Тс203578-26 21.09.2026 Крым(2) 3445кг (Евсеев)</v>
          </cell>
        </row>
        <row r="7332">
          <cell r="O7332" t="str">
            <v>TSO001124204</v>
          </cell>
          <cell r="P7332" t="str">
            <v>ООО НВ Тс202836-26 24.09.2026 Бердянск 7253кг (Ковальчук)</v>
          </cell>
          <cell r="Q7332" t="str">
            <v>ООО НВ Тс205996-26 24.09.2026 Бердянск(2) 118кг (Ковальчук)</v>
          </cell>
        </row>
        <row r="7333">
          <cell r="O7333" t="str">
            <v>TSO001124197</v>
          </cell>
          <cell r="P7333" t="str">
            <v>ООО НВ Тс202795-26 24.09.2026 Мелитополь 5337кг (Ковальчук)</v>
          </cell>
        </row>
        <row r="7334">
          <cell r="O7334" t="str">
            <v>TSO001125096</v>
          </cell>
          <cell r="P7334" t="str">
            <v>ООО НВ Тс205998-26 24.09.2026 Бердянск(3) 1127кг (Ковальчук)</v>
          </cell>
        </row>
        <row r="7335">
          <cell r="O7335" t="str">
            <v>TSO001124208</v>
          </cell>
          <cell r="P7335" t="str">
            <v>ООО НВ Тс206926-26 26.09.2026 Донецк 14969кг (Медведь)</v>
          </cell>
        </row>
        <row r="7336">
          <cell r="O7336" t="str">
            <v>TSO001124687</v>
          </cell>
          <cell r="P7336" t="str">
            <v>ООО НВ Тс207059-26 26.09.2026 Донецк(2) 1908кг (Медведь)</v>
          </cell>
        </row>
        <row r="7337">
          <cell r="O7337" t="str">
            <v>TSO001124264</v>
          </cell>
          <cell r="P7337" t="str">
            <v>ООО КСК ТРЕЙД Тс202336-26 21.09.2026 Крым 15191кг (Дмитриев)</v>
          </cell>
        </row>
        <row r="7338">
          <cell r="O7338" t="str">
            <v>TSO001124282</v>
          </cell>
          <cell r="P7338" t="str">
            <v>ООО НВ ЮТс-04604-26 22.09.2026 Аист 6041кг (Рапопорт)</v>
          </cell>
        </row>
        <row r="7339">
          <cell r="O7339" t="str">
            <v>TSO001124283</v>
          </cell>
          <cell r="P7339" t="str">
            <v>ООО НВ Тс202432-26 22.09.2026 Бердянск 4833кг (Рапопорт)</v>
          </cell>
        </row>
        <row r="7340">
          <cell r="O7340" t="str">
            <v>TSO001124281</v>
          </cell>
          <cell r="P7340" t="str">
            <v>ООО НВ Тс202328-26 22.09.2026 Мелитополь 2437кг (Рапопорт)</v>
          </cell>
        </row>
        <row r="7341">
          <cell r="O7341" t="str">
            <v>TSO001124306</v>
          </cell>
          <cell r="P7341" t="str">
            <v>ООО НВ ЮТс-04608-26 22.09.2026 Горняк-Донецк 9287кг (Голубев)</v>
          </cell>
        </row>
        <row r="7342">
          <cell r="O7342" t="str">
            <v>TSO001124304</v>
          </cell>
          <cell r="P7342" t="str">
            <v>ООО НВ ЮТс-04616-26 22.09.2026 Донецк 5099кг (Голубев)</v>
          </cell>
        </row>
        <row r="7343">
          <cell r="O7343" t="str">
            <v>TSO001124184</v>
          </cell>
          <cell r="P7343" t="str">
            <v>ООО КСК ТРЕЙД Тс203580-26 22.09.2026 Крым 17836кг (Жуков)</v>
          </cell>
        </row>
        <row r="7344">
          <cell r="O7344" t="str">
            <v>TSO001124307</v>
          </cell>
          <cell r="P7344" t="str">
            <v>ООО НВ Тс206155-26 24.09.2026 Донецк 17105кг (Пыдык)</v>
          </cell>
        </row>
        <row r="7345">
          <cell r="O7345" t="str">
            <v>TSO001126884</v>
          </cell>
          <cell r="P7345" t="str">
            <v>ОТМЕНА</v>
          </cell>
        </row>
        <row r="7346">
          <cell r="O7346" t="str">
            <v>TSO001124310</v>
          </cell>
          <cell r="P7346" t="str">
            <v>ООО НВ Тс206916-26 26.09.2026 Луганск 16019кг (Евсеев)</v>
          </cell>
        </row>
        <row r="7347">
          <cell r="O7347" t="str">
            <v>TSO001128219</v>
          </cell>
          <cell r="P7347" t="str">
            <v>ООО НВ Тс208711-26 28.09.2026 Луганск(2) 906кг (Хлыстов)</v>
          </cell>
        </row>
        <row r="7348">
          <cell r="O7348" t="str">
            <v>TSO001124331</v>
          </cell>
          <cell r="P7348" t="str">
            <v>ООО КСК ТРЕЙД Тс203579-26 23.09.2026 Убийконь 16058кг (Амелин)</v>
          </cell>
        </row>
        <row r="7349">
          <cell r="O7349" t="str">
            <v>TSO001124326</v>
          </cell>
          <cell r="P7349" t="str">
            <v>ООО НВ ЮТс-04603-26 23.09.2026 Горняк-Луганск 11188кг (Жабкин)</v>
          </cell>
        </row>
        <row r="7350">
          <cell r="O7350" t="str">
            <v>TSO001124783</v>
          </cell>
          <cell r="P7350" t="str">
            <v>ООО ЛП Тс211443-26 01.10.2026 Пушкарный 8493кг (Латий)</v>
          </cell>
          <cell r="Q7350">
            <v>8493</v>
          </cell>
          <cell r="R7350" t="str">
            <v>отгружен</v>
          </cell>
        </row>
        <row r="7351">
          <cell r="O7351" t="str">
            <v>TSO001124857</v>
          </cell>
          <cell r="P7351" t="str">
            <v>ООО ЛП Тс206140-26 23.09.2026 Бычков 1863кг (Добыш)</v>
          </cell>
        </row>
        <row r="7352">
          <cell r="O7352" t="str">
            <v>TSO001124858</v>
          </cell>
          <cell r="P7352" t="str">
            <v>ООО ЛП Тс206148-26 23.09.2026 Бычков(2) 6531кг (Добыш)</v>
          </cell>
        </row>
        <row r="7353">
          <cell r="O7353" t="str">
            <v>TSO001124862</v>
          </cell>
          <cell r="P7353" t="str">
            <v>ООО ЛП Тс206142-26 23.09.2026 Бычков(3) 5475кг (Добыш)</v>
          </cell>
        </row>
        <row r="7354">
          <cell r="O7354" t="str">
            <v>TSO001124863</v>
          </cell>
          <cell r="P7354" t="str">
            <v>ООО ЛП Тс206143-26 23.09.2026 Пушкарный(ВВ) 3497кг (Добыш)</v>
          </cell>
        </row>
        <row r="7355">
          <cell r="O7355" t="str">
            <v>TSO001125700</v>
          </cell>
          <cell r="P7355" t="str">
            <v>ООО ЛП Тс206139-26 25.09.2026 Пушкарный 16675кг (Солод)</v>
          </cell>
        </row>
        <row r="7356">
          <cell r="O7356" t="str">
            <v>TSO001125703</v>
          </cell>
          <cell r="P7356" t="str">
            <v>ООО ЛП Тс206144-26 26.09.2026 Пушкарный 17004кг (Грушецкий)</v>
          </cell>
        </row>
        <row r="7357">
          <cell r="O7357" t="str">
            <v>TSO001126287</v>
          </cell>
          <cell r="P7357" t="str">
            <v>ООО КСК ТРЕЙД Тс207723-26 26.09.2026 Крым 16174кг (Бутько)</v>
          </cell>
          <cell r="Q7357" t="str">
            <v>ООО КСК ТРЕЙД Тс207725-26 26.09.2026 Крым(2) 213кг (Бутько)</v>
          </cell>
        </row>
        <row r="7358">
          <cell r="O7358" t="str">
            <v>TSO001128210</v>
          </cell>
          <cell r="P7358" t="str">
            <v>ООО КСК ТРЕЙД Тс208088-26 26.09.2026 Крым(3) 822кг (Петренко)</v>
          </cell>
        </row>
        <row r="7359">
          <cell r="O7359" t="str">
            <v>TSO001127518</v>
          </cell>
          <cell r="P7359" t="str">
            <v>ООО КСК ТРЕЙД Тс207727-26 26.09.2026 Крым(3) 316кг (Бутько)</v>
          </cell>
        </row>
        <row r="7360">
          <cell r="O7360" t="str">
            <v>TSO001126306</v>
          </cell>
          <cell r="P7360" t="str">
            <v>ООО КСК ТРЕЙД Тс207722-26 26.09.2026 Крым 13169кг (Петренко)</v>
          </cell>
        </row>
        <row r="7361">
          <cell r="O7361" t="str">
            <v>TSO001128214</v>
          </cell>
          <cell r="P7361" t="str">
            <v>ООО КСК ТРЕЙД Тс208087-26 26.09.2026 Крым(4) 1302кг (Бутько)</v>
          </cell>
        </row>
        <row r="7362">
          <cell r="O7362" t="str">
            <v>TSO001127833</v>
          </cell>
          <cell r="P7362" t="str">
            <v>ООО КСК ТРЕЙД Тс207728-26 26.09.2026 Крым(2) 2632кг (Петренко)</v>
          </cell>
        </row>
        <row r="7363">
          <cell r="O7363" t="str">
            <v>TSO001126318</v>
          </cell>
          <cell r="P7363" t="str">
            <v>ООО НВ ЮТс-04727-26 28.09.2026 Донецк 12383кг (Голубев)</v>
          </cell>
        </row>
        <row r="7364">
          <cell r="O7364" t="str">
            <v>TSO001126324</v>
          </cell>
          <cell r="P7364" t="str">
            <v>ООО НВ ЮТс-04815-26 02.10.2026 Павленко 11730кг (Должкову)</v>
          </cell>
        </row>
        <row r="7365">
          <cell r="O7365" t="str">
            <v>TSO001126399</v>
          </cell>
          <cell r="P7365" t="str">
            <v>ООО КСК ТРЕЙД Тс209087-26 28.09.2026 Крым 16308кг (Амелин)</v>
          </cell>
        </row>
        <row r="7366">
          <cell r="O7366" t="str">
            <v>TSO001128427</v>
          </cell>
          <cell r="P7366" t="str">
            <v>ООО КСК ТРЕЙД Тс209085-26 28.09.2026 Крым(2) 423кг (Амелин)</v>
          </cell>
        </row>
        <row r="7367">
          <cell r="O7367" t="str">
            <v>TSO001126409</v>
          </cell>
          <cell r="P7367" t="str">
            <v>ООО КСК ТРЕЙД Тс207986-26 26.09.2026 Крым 16778кг (Жуков)</v>
          </cell>
        </row>
        <row r="7368">
          <cell r="O7368" t="str">
            <v>TSO001128257</v>
          </cell>
          <cell r="P7368" t="str">
            <v>ООО КСК ТРЕЙД Тс208373-26 27.09.2026 Крым(3) 419кг (Ступак)</v>
          </cell>
        </row>
        <row r="7369">
          <cell r="O7369" t="str">
            <v>TSO001128215</v>
          </cell>
          <cell r="P7369" t="str">
            <v>ООО КСК ТРЕЙД Тс208084-26 26.09.2026 Крым(2) 509кг (Жуков)</v>
          </cell>
        </row>
        <row r="7370">
          <cell r="O7370" t="str">
            <v>TSO001126457</v>
          </cell>
          <cell r="P7370" t="str">
            <v>ООО НВ Тс208174-26 29.09.2026 Горняк-Горловка 913кг (Решетников)</v>
          </cell>
        </row>
        <row r="7371">
          <cell r="O7371" t="str">
            <v>TSO001126458</v>
          </cell>
          <cell r="P7371" t="str">
            <v>ООО НВ Тс209074-26 29.09.2026 Горняяк-Луганск 7436кг (Решетников)</v>
          </cell>
        </row>
        <row r="7372">
          <cell r="O7372" t="str">
            <v>TSO001126456</v>
          </cell>
          <cell r="P7372" t="str">
            <v>ООО НВ Тс209044-26 29.09.2026 Луганск 8132кг (Решетников)</v>
          </cell>
        </row>
        <row r="7373">
          <cell r="O7373" t="str">
            <v>TSO001129529</v>
          </cell>
          <cell r="P7373" t="str">
            <v>ООО НВ Тс209932-26 29.09.2026 Луганск(3) 612кг (Решетников)</v>
          </cell>
        </row>
        <row r="7374">
          <cell r="O7374" t="str">
            <v>TSO001128212</v>
          </cell>
          <cell r="P7374" t="str">
            <v>ООО НВ Тс208085-26 26.09.2026 Луганск(2) 963кг (Евсеев)</v>
          </cell>
        </row>
        <row r="7375">
          <cell r="O7375" t="str">
            <v>TSO001126471</v>
          </cell>
          <cell r="P7375" t="str">
            <v>ООО ЛП Тс211445-26 01.10.2026 ПРС 920кг (Бакалюк)</v>
          </cell>
        </row>
        <row r="7376">
          <cell r="O7376" t="str">
            <v>TSO001126470</v>
          </cell>
          <cell r="P7376" t="str">
            <v>ООО НВ Тс209073-26 01.10.2026 Бутырин 2220кг (Бакалюк)</v>
          </cell>
        </row>
        <row r="7377">
          <cell r="O7377" t="str">
            <v>TSO001126469</v>
          </cell>
          <cell r="P7377" t="str">
            <v>ООО НВ Тс211620-26 01.10.2026 Донецк 9911кг (Бакалюк)</v>
          </cell>
        </row>
        <row r="7378">
          <cell r="O7378" t="str">
            <v>TSO001128213</v>
          </cell>
          <cell r="P7378" t="str">
            <v>ООО НВ Тс211621-26 01.10.2026 Донецк(2) 811кг (Бакалюк)</v>
          </cell>
        </row>
        <row r="7379">
          <cell r="O7379" t="str">
            <v>TSO001127630</v>
          </cell>
          <cell r="P7379" t="str">
            <v>ООО ЛП Тс211444-26 01.10.2026 Малахутин 3753кг (Бакалюк)</v>
          </cell>
        </row>
        <row r="7380">
          <cell r="O7380" t="str">
            <v>TSO001126491</v>
          </cell>
          <cell r="P7380" t="str">
            <v>ООО ЛП Тс208538-26 28.09.2026 Малахутин 17520кг (Митин)</v>
          </cell>
        </row>
        <row r="7381">
          <cell r="O7381" t="str">
            <v>TSO001126498</v>
          </cell>
          <cell r="P7381" t="str">
            <v>ООО ЛП Тс208540-26 28.09.2026 Обрыньба 2500кг (Хлыстов)</v>
          </cell>
        </row>
        <row r="7382">
          <cell r="O7382" t="str">
            <v>TSO001126499</v>
          </cell>
          <cell r="P7382" t="str">
            <v>ООО ЛП Тс208537-26 28.09.2026 Пушкарный 5601кг (Хлыстов)</v>
          </cell>
        </row>
        <row r="7383">
          <cell r="O7383" t="str">
            <v>TSO001126497</v>
          </cell>
          <cell r="P7383" t="str">
            <v>ООО НВ Тс207918-26 28.09.2026 Луганск 8923кг (Хлыстов)</v>
          </cell>
        </row>
        <row r="7384">
          <cell r="O7384" t="str">
            <v>TSO001128216</v>
          </cell>
          <cell r="P7384" t="str">
            <v>ООО НВ Тс208938-26 29.09.2026 Луганск(2) 602кг (Решетников)</v>
          </cell>
        </row>
        <row r="7385">
          <cell r="O7385" t="str">
            <v>TSO001126957</v>
          </cell>
          <cell r="P7385" t="str">
            <v>ООО КСК ТРЕЙД Тс206540-26 28.09.2026 Крым 13975кг (Латий)</v>
          </cell>
        </row>
        <row r="7386">
          <cell r="O7386" t="str">
            <v>TSO001127031</v>
          </cell>
          <cell r="P7386" t="str">
            <v>ООО КСК ТРЕЙД Тс207870-26 27.09.2026 Крым 13154кг (Ступак)</v>
          </cell>
        </row>
        <row r="7387">
          <cell r="O7387" t="str">
            <v>TSO001127033</v>
          </cell>
          <cell r="P7387" t="str">
            <v>ООО КСК ТРЕЙД Тс207858-26 27.09.2026 Николаенко 2115кг (Ступак)</v>
          </cell>
        </row>
        <row r="7388">
          <cell r="O7388" t="str">
            <v>TSO001128227</v>
          </cell>
          <cell r="P7388" t="str">
            <v>ООО КСК ТРЕЙД Тс208306-26 27.09.2026 Крым(2) 1786кг (Ступак)</v>
          </cell>
        </row>
        <row r="7389">
          <cell r="O7389" t="str">
            <v>TSO001127051</v>
          </cell>
          <cell r="P7389" t="str">
            <v>ООО НВ Тс209072-26 29.09.2026 Мелитополь 13283кг (Должков)</v>
          </cell>
        </row>
        <row r="7390">
          <cell r="O7390" t="str">
            <v>TSO001127052</v>
          </cell>
          <cell r="P7390" t="str">
            <v>ООО НВ Тс209060-26 29.09.2026 Мариуполь 3699кг (Должков)</v>
          </cell>
        </row>
        <row r="7391">
          <cell r="O7391" t="str">
            <v>TSO001129480</v>
          </cell>
          <cell r="P7391" t="str">
            <v>ООО НВ Тс209931-26 29.09.2026 Мелитополь(2) 823кг (Должков)</v>
          </cell>
        </row>
        <row r="7392">
          <cell r="O7392" t="str">
            <v>TSO001127083</v>
          </cell>
          <cell r="P7392" t="str">
            <v>ООО КСК ТРЕЙД Тс208128-26 30.09.2026 Колесник 11643кг (Надеин)</v>
          </cell>
        </row>
        <row r="7393">
          <cell r="O7393" t="str">
            <v>TSO001127055</v>
          </cell>
          <cell r="P7393" t="str">
            <v>ООО НВ Тс210281-26 30.09.2026 Бердянск 4984кг (Надеин)</v>
          </cell>
        </row>
        <row r="7394">
          <cell r="O7394" t="str">
            <v>TSO001130185</v>
          </cell>
          <cell r="P7394" t="str">
            <v>ООО НВ Тс211451-26 30.09.2026 Бердянск(3) 405кг (Надеин)</v>
          </cell>
        </row>
        <row r="7395">
          <cell r="O7395" t="str">
            <v>TSO001129818</v>
          </cell>
          <cell r="P7395" t="str">
            <v>ООО НВ Тс211094-26 30.09.2026 Бердянск(2) 604кг (Надеин)</v>
          </cell>
        </row>
        <row r="7396">
          <cell r="O7396" t="str">
            <v>TSO001127060</v>
          </cell>
          <cell r="P7396" t="str">
            <v>ООО НВ Тс207913-26 28.09.2026 Донецк 17409кг (Чирков)</v>
          </cell>
        </row>
        <row r="7397">
          <cell r="O7397" t="str">
            <v>TSO001127588</v>
          </cell>
          <cell r="P7397" t="str">
            <v>ООО КСК ТРЕЙД Тс207274-26 28.09.2026 Крым 14704кг (Сарва)</v>
          </cell>
        </row>
        <row r="7398">
          <cell r="O7398" t="str">
            <v>TSO001127882</v>
          </cell>
          <cell r="P7398" t="str">
            <v>ООО КСК ТРЕЙД Тс209088-26 29.09.2026 Крым 16019кг (Антонов)</v>
          </cell>
        </row>
        <row r="7399">
          <cell r="O7399" t="str">
            <v>TSO001129429</v>
          </cell>
          <cell r="P7399" t="str">
            <v>ООО КСК ТРЕЙД Тс209435-26 29.09.2026 Крым 1235кг (Антонов)</v>
          </cell>
        </row>
        <row r="7400">
          <cell r="O7400" t="str">
            <v>TSO001128501</v>
          </cell>
          <cell r="P7400" t="str">
            <v>ООО КСК ТРЕЙД Тс209086-26 28.09.2026 Крым(3) 825кг (Амелин)</v>
          </cell>
        </row>
        <row r="7401">
          <cell r="O7401" t="str">
            <v>TSO001127911</v>
          </cell>
          <cell r="P7401" t="str">
            <v>ООО НВ Тс212845-26 03.10.2026 Луганск 16865кг (Половинка)</v>
          </cell>
        </row>
        <row r="7402">
          <cell r="O7402" t="str">
            <v>TSO001129896</v>
          </cell>
          <cell r="P7402" t="str">
            <v>ООО НВ Тс212092-26 03.10.2026 Луганск(2) 409кг (Половинка)</v>
          </cell>
        </row>
        <row r="7403">
          <cell r="O7403" t="str">
            <v>TSO001127960</v>
          </cell>
          <cell r="P7403" t="str">
            <v>ООО НВ Тс211842-26 02.10.2026 Донецк 16216кг (Астапкин)</v>
          </cell>
        </row>
        <row r="7404">
          <cell r="O7404" t="str">
            <v>TSO001129866</v>
          </cell>
          <cell r="P7404" t="str">
            <v>ООО НВ Тс211843-26 02.10.2026 Донецк(2) 513кг (Астапкин)</v>
          </cell>
        </row>
        <row r="7405">
          <cell r="O7405" t="str">
            <v>TSO001127977</v>
          </cell>
          <cell r="P7405" t="str">
            <v>ООО НВ ЮТс-04754-26 29.09.2026 Горняк-Донецк 11419кг (Ивасенко)</v>
          </cell>
        </row>
        <row r="7406">
          <cell r="O7406" t="str">
            <v>TSO001127975</v>
          </cell>
          <cell r="P7406" t="str">
            <v>ООО НВ Тс207772-26 29.09.2026 Донецк 1982кг (Ивасенко)</v>
          </cell>
        </row>
        <row r="7407">
          <cell r="O7407" t="str">
            <v>TSO001127998</v>
          </cell>
          <cell r="P7407" t="str">
            <v>ООО КСК ТРЕЙД Тс210276-26 30.09.2026 Крым 16633кг (Исаков)</v>
          </cell>
        </row>
        <row r="7408">
          <cell r="O7408" t="str">
            <v>TSO001129525</v>
          </cell>
          <cell r="P7408" t="str">
            <v>ООО КСК ТРЕЙД Тс210277-26 30.09.2026 Крым(2) 540кг (Исаков)</v>
          </cell>
        </row>
        <row r="7409">
          <cell r="O7409" t="str">
            <v>TSO001128058</v>
          </cell>
          <cell r="P7409" t="str">
            <v>ООО НВ Тс212102-26 03.10.2026 Бердянск 10789кг (Жуков)</v>
          </cell>
        </row>
        <row r="7410">
          <cell r="O7410" t="str">
            <v>TSO001128060</v>
          </cell>
          <cell r="P7410" t="str">
            <v>ООО НВ Тс211847-26 03.10.2026 Мариуполь 3821кг (Жуков)</v>
          </cell>
        </row>
        <row r="7411">
          <cell r="O7411" t="str">
            <v>TSO001129850</v>
          </cell>
          <cell r="P7411" t="str">
            <v>ООО НВ Тс212079-26 03.10.2026 Бердянск(2) 452кг (Жуков)</v>
          </cell>
        </row>
        <row r="7412">
          <cell r="O7412" t="str">
            <v>TSO001128081</v>
          </cell>
          <cell r="P7412" t="str">
            <v>ООО НВ Тс214442-26 06.10.2026 Мелитополь 16689кг (Митин)</v>
          </cell>
        </row>
        <row r="7413">
          <cell r="O7413" t="str">
            <v>TSO001129901</v>
          </cell>
          <cell r="P7413" t="str">
            <v>ООО НВ Тс211904-26 06.10.2026 Мелитополь(2) 240кг (Митин)</v>
          </cell>
        </row>
        <row r="7414">
          <cell r="O7414" t="str">
            <v>TSO001128083</v>
          </cell>
          <cell r="P7414" t="str">
            <v>ООО КСК ТРЕЙД Тс213051-26 02.10.2026 Поляков 17331кг (Красников)</v>
          </cell>
        </row>
        <row r="7415">
          <cell r="O7415" t="str">
            <v>TSO001128035</v>
          </cell>
          <cell r="P7415" t="str">
            <v>ООО ЛП Тс208660-26 29.09.2026 Вояж 2750кг (Жабкин)</v>
          </cell>
        </row>
        <row r="7416">
          <cell r="O7416" t="str">
            <v>TSO001128026</v>
          </cell>
          <cell r="P7416" t="str">
            <v>ООО НВ Тс207806-26 29.09.2026 Луганск 9550кг (Жабкин)</v>
          </cell>
        </row>
        <row r="7417">
          <cell r="O7417" t="str">
            <v>TSO001129558</v>
          </cell>
          <cell r="P7417" t="str">
            <v>ООО ЛП Тс211446-26 02.10.2026 Пушкарный 16659кг (Абдрахимов)</v>
          </cell>
        </row>
        <row r="7418">
          <cell r="O7418" t="str">
            <v>TSO001130162</v>
          </cell>
          <cell r="P7418" t="str">
            <v>ООО КСК ТРЕЙД Тс212935-26 02.10.2026 Крым 17188кг (Ничипорук)</v>
          </cell>
        </row>
        <row r="7419">
          <cell r="O7419" t="str">
            <v>TSO001131134</v>
          </cell>
          <cell r="P7419" t="str">
            <v>ООО КСК ТРЕЙД Тс212936-26 02.10.2026 Крым 526кг (Ничипорук)</v>
          </cell>
        </row>
        <row r="7420">
          <cell r="O7420" t="str">
            <v>TSO001131113</v>
          </cell>
          <cell r="P7420" t="str">
            <v>ООО КСК ТРЕЙД Тс212938-26 04.10.2026 Крым(3) 541кг (Грушецкий)</v>
          </cell>
        </row>
        <row r="7421">
          <cell r="O7421" t="str">
            <v>TSO001130211</v>
          </cell>
          <cell r="P7421" t="str">
            <v>ООО КСК ТРЕЙД Тс212939-26 04.10.2026 Крым 15777кг (Грушецкий)</v>
          </cell>
        </row>
        <row r="7422">
          <cell r="O7422" t="str">
            <v>TSO001131645</v>
          </cell>
          <cell r="P7422" t="str">
            <v>ООО КСК ТРЕЙД Тс215079-26 06.10.2026 Крым(2) 1909кг (Лопаткин)</v>
          </cell>
        </row>
        <row r="7423">
          <cell r="O7423" t="str">
            <v>TSO001131133</v>
          </cell>
          <cell r="P7423" t="str">
            <v>ООО КСК ТРЕЙД Тс212937-26 04.10.2026 Крым(2) 180кг (Грушецкий)</v>
          </cell>
        </row>
        <row r="7424">
          <cell r="O7424" t="str">
            <v>TSO001130230</v>
          </cell>
          <cell r="P7424" t="str">
            <v>ООО НВ ЮТс-04875-26 03.10.2026 Бердянск 4639кг (Амелин)</v>
          </cell>
        </row>
        <row r="7425">
          <cell r="O7425" t="str">
            <v>TSO001130228</v>
          </cell>
          <cell r="P7425" t="str">
            <v>ООО НВ ЮТс-04874-26 03.10.2026 Мелитополь 5615кг (Амелин)</v>
          </cell>
        </row>
        <row r="7426">
          <cell r="O7426" t="str">
            <v>TSO001130232</v>
          </cell>
          <cell r="P7426" t="str">
            <v>ООО НВ ЮТс-04876-26 03.10.2026 Мариуполь 5235кг (Амелин)</v>
          </cell>
        </row>
        <row r="7427">
          <cell r="O7427" t="str">
            <v>TSO001130287</v>
          </cell>
          <cell r="P7427" t="str">
            <v>ООО КСК ТРЕЙД Тс211355-26 03.10.2026 Крым 14672кг (Пыдык)</v>
          </cell>
        </row>
        <row r="7428">
          <cell r="O7428" t="str">
            <v>TSO001130221</v>
          </cell>
          <cell r="P7428" t="str">
            <v>ООО КСК ТРЕЙД Тс215109-26 08.10.2026 Крым 17698кг (Абдрахимов)</v>
          </cell>
        </row>
        <row r="7429">
          <cell r="O7429" t="str">
            <v>TSO001130313</v>
          </cell>
          <cell r="P7429" t="str">
            <v>ООО НВ Тс215010-26 06.10.2026 Донецк 14969кг (Кадетов)</v>
          </cell>
        </row>
        <row r="7430">
          <cell r="O7430" t="str">
            <v>TSO001130312</v>
          </cell>
          <cell r="P7430" t="str">
            <v>ООО НВ Тс214995-26 07.10.2026 Мариуполь 2506кг (Кадетов).pdf</v>
          </cell>
        </row>
        <row r="7431">
          <cell r="O7431" t="str">
            <v>TSO001130321</v>
          </cell>
          <cell r="P7431" t="str">
            <v>ООО НВ Тс212093-26 10.10.2026 Горняк-Горловка 1104кг (Чирков)</v>
          </cell>
        </row>
        <row r="7432">
          <cell r="O7432" t="str">
            <v>TSO001130322</v>
          </cell>
          <cell r="P7432" t="str">
            <v>ООО НВ Тс215319-26 10.10.2026 Горняк-Луганск 7388кг (Чирков)</v>
          </cell>
        </row>
        <row r="7433">
          <cell r="O7433" t="str">
            <v>TSO001130320</v>
          </cell>
          <cell r="P7433" t="str">
            <v>ООО НВ Тс215209-26 10.10.2026 Луганск 9277кг (Чирков)</v>
          </cell>
        </row>
        <row r="7434">
          <cell r="O7434" t="str">
            <v>TSO001130692</v>
          </cell>
          <cell r="P7434" t="str">
            <v>ООО ЛП Тс211897-26 05.10.2026 НПК 4001кг (Галкин)</v>
          </cell>
          <cell r="Q7434" t="str">
            <v>ООО ЛП Тс213263-26 05.10.2026 НПК(2) 80кг (Галкин)</v>
          </cell>
        </row>
        <row r="7435">
          <cell r="O7435" t="str">
            <v>TSO001130689</v>
          </cell>
          <cell r="P7435" t="str">
            <v>ООО ЛП Тс211903-26 05.10.2026 Обрыньба 6130кг (Галкин)</v>
          </cell>
          <cell r="Q7435" t="str">
            <v>ООО ЛП Тс213260-26 05.10.2026 Обрыньба(2) 20кг (Галкин)</v>
          </cell>
        </row>
        <row r="7436">
          <cell r="O7436" t="str">
            <v>TSO001130690</v>
          </cell>
          <cell r="P7436" t="str">
            <v>ООО ЛП Тс211902-26 05.10.2026 Пушкарный(ВВ) 5568кг (Галкин)</v>
          </cell>
          <cell r="Q7436" t="str">
            <v>ООО ЛП Тс213262-26 05.10.2026 Пушкарный(ВВ) 40кг (Галкин)</v>
          </cell>
        </row>
        <row r="7437">
          <cell r="O7437" t="str">
            <v>TSO001130691</v>
          </cell>
          <cell r="P7437" t="str">
            <v>ООО ЛП Тс211868-26 05.10.2026 ПРС 1597кг (Галкин)</v>
          </cell>
          <cell r="Q7437" t="str">
            <v>ООО ЛП Тс213261-26 05.10.2026 ПРС(2) 120кг (Галкин)</v>
          </cell>
        </row>
        <row r="7438">
          <cell r="O7438" t="str">
            <v>TSO001130673</v>
          </cell>
          <cell r="P7438" t="str">
            <v>ООО КСК ТРЕЙД Тс215117-26 06.10.2026 Крым 15455кг (Лопаткин)</v>
          </cell>
        </row>
        <row r="7439">
          <cell r="O7439" t="str">
            <v>TSO001131751</v>
          </cell>
          <cell r="P7439" t="str">
            <v>ОТМЕНА</v>
          </cell>
        </row>
        <row r="7440">
          <cell r="O7440" t="str">
            <v>TSO001130677</v>
          </cell>
          <cell r="P7440" t="str">
            <v>ООО КСК ТРЕЙД Тс213277-26 04.10.2026 Крым(4) 1184кг (Грушецкий)</v>
          </cell>
        </row>
        <row r="7441">
          <cell r="O7441" t="str">
            <v>TSO001130696</v>
          </cell>
          <cell r="P7441" t="str">
            <v>ООО НВ Тс212094-26 06.10.2026 Бутырин 2230кг (Голубев)</v>
          </cell>
        </row>
        <row r="7442">
          <cell r="O7442" t="str">
            <v>TSO001130695</v>
          </cell>
          <cell r="P7442" t="str">
            <v>ООО НВ Тс215201-26 06.10.2026 Донецк 15531кг (Голубев)</v>
          </cell>
        </row>
        <row r="7443">
          <cell r="O7443" t="str">
            <v>TSO001130710</v>
          </cell>
          <cell r="P7443" t="str">
            <v>ООО КСК ТРЕЙД Тс215087-26 07.10.2026 Патяка 17119кг (Гурин)</v>
          </cell>
        </row>
        <row r="7444">
          <cell r="O7444" t="str">
            <v>TSO001131281</v>
          </cell>
          <cell r="P7444" t="str">
            <v>ООО КСК ТРЕЙД Тс215224-26 06.10.2026 Крым 17372кг (Акшонин)</v>
          </cell>
        </row>
        <row r="7445">
          <cell r="O7445" t="str">
            <v>TSO001131359</v>
          </cell>
          <cell r="P7445" t="str">
            <v>ООО КСК ТРЕЙД Тс212805-26 05.10.2026 Крым 15004кг (Исаков)</v>
          </cell>
        </row>
        <row r="7446">
          <cell r="O7446" t="str">
            <v>TSO001131383</v>
          </cell>
          <cell r="P7446" t="str">
            <v>ООО НВ Тс215771-26 08.10.2026 Донецк 12473кг (Надеин)</v>
          </cell>
        </row>
        <row r="7447">
          <cell r="O7447" t="str">
            <v>TSO001131376</v>
          </cell>
          <cell r="P7447" t="str">
            <v>ООО НВ Тс215002-26 08.10.2026 Мариуполь 2768кг (Надеин)</v>
          </cell>
        </row>
        <row r="7448">
          <cell r="O7448" t="str">
            <v>TSO001131392</v>
          </cell>
          <cell r="P7448" t="str">
            <v>ООО НВ Тс215165-26 07.10.2026 Луганск 16998кг (Левин)</v>
          </cell>
        </row>
        <row r="7449">
          <cell r="O7449" t="str">
            <v>TSO001131423</v>
          </cell>
          <cell r="P7449" t="str">
            <v>ООО НВ ЮТс-04917-26 06.10.2026 Горняк-Донецк 7513кг (Медведь)</v>
          </cell>
        </row>
        <row r="7450">
          <cell r="O7450" t="str">
            <v>TSO001131415</v>
          </cell>
          <cell r="P7450" t="str">
            <v>ООО НВ ЮТс-04933-26 06.10.2026 Донецк 5779кг (Медведь)</v>
          </cell>
        </row>
        <row r="7451">
          <cell r="O7451" t="str">
            <v>TSO001131430</v>
          </cell>
          <cell r="P7451" t="str">
            <v>ООО НВ ЮТс-04989-26 08.10.2026 Горняк-Луганск 7641кг (Бутько)</v>
          </cell>
        </row>
        <row r="7452">
          <cell r="O7452" t="str">
            <v>TSO001131428</v>
          </cell>
          <cell r="P7452" t="str">
            <v>ООО НВ ЮТс-04918-26 08.10.2026 Луганск 5804кг (Бутько)</v>
          </cell>
        </row>
        <row r="7453">
          <cell r="O7453" t="str">
            <v>TSO001131293</v>
          </cell>
          <cell r="P7453" t="str">
            <v>ООО КСК ТРЕЙД Тс215049-26 06.10.2026 Крым 17816кг (Максимов)</v>
          </cell>
        </row>
        <row r="7454">
          <cell r="O7454" t="str">
            <v>TSO001131495</v>
          </cell>
          <cell r="P7454" t="str">
            <v>ООО КСК ТРЕЙД Тс212950-26 08.10.2026 Колесник 5108кг (Жуков)</v>
          </cell>
        </row>
        <row r="7455">
          <cell r="O7455" t="str">
            <v>TSO001131414</v>
          </cell>
          <cell r="P7455" t="str">
            <v>ООО НВ Тс215326-26 08.10.2026 Бердянск 4014кг (Жуков)</v>
          </cell>
        </row>
        <row r="7456">
          <cell r="O7456" t="str">
            <v>TSO001131413</v>
          </cell>
          <cell r="P7456" t="str">
            <v>ООО НВ Тс215327-26 08.10.2026 Мелитополь 5922кг (Жуков)</v>
          </cell>
        </row>
        <row r="7457">
          <cell r="O7457" t="str">
            <v>TSO001131446</v>
          </cell>
          <cell r="P7457" t="str">
            <v>ОТМЕНА</v>
          </cell>
        </row>
        <row r="7458">
          <cell r="O7458" t="str">
            <v>TSO001131436</v>
          </cell>
          <cell r="P7458" t="str">
            <v>ООО НВ ЮТс-04991-26 11.10.2026 Мариуполь 6638кг (Митин)</v>
          </cell>
        </row>
        <row r="7459">
          <cell r="O7459" t="str">
            <v>TSO001131438</v>
          </cell>
          <cell r="P7459" t="str">
            <v>ООО НВ ЮТс-04998-26 11.10.2026 Донецк 7193кг (Митин)</v>
          </cell>
        </row>
        <row r="7460">
          <cell r="O7460" t="str">
            <v>TSO001131566</v>
          </cell>
          <cell r="P7460" t="str">
            <v>ООО КСК ТРЕЙД Тс215114-26 07.10.2026 Крым 11775кг (Васильченко)</v>
          </cell>
        </row>
        <row r="7461">
          <cell r="O7461" t="str">
            <v>TSO001131969</v>
          </cell>
          <cell r="P7461" t="str">
            <v>ООО ЛП Тс214145-26 08.10.2026 Бычков(2) 2979кг (Ступак)</v>
          </cell>
        </row>
        <row r="7462">
          <cell r="O7462" t="str">
            <v>TSO001131971</v>
          </cell>
          <cell r="P7462" t="str">
            <v>ООО ЛП Тс214104-26 08.10.2026 Бычков 9751кг (Ступак)</v>
          </cell>
        </row>
        <row r="7463">
          <cell r="O7463" t="str">
            <v>TSO001132888</v>
          </cell>
          <cell r="P7463" t="str">
            <v>ООО ЛП Тс215000-26 12.10.2026 Пушкарный 18256кг (Ковальчук)</v>
          </cell>
        </row>
        <row r="7464">
          <cell r="O7464" t="str">
            <v>TSO001132897</v>
          </cell>
          <cell r="P7464" t="str">
            <v>ООО ЛП Тс215009-26 09.10.2026 Пушкарный 18056кг (Шостак)</v>
          </cell>
        </row>
        <row r="7465">
          <cell r="O7465" t="str">
            <v>TSO001132896</v>
          </cell>
          <cell r="P7465" t="str">
            <v>ООО ЛП Тс214970-26 11.10.2026 Пушкарный 18006кг (Немченко)</v>
          </cell>
        </row>
        <row r="7466">
          <cell r="O7466" t="str">
            <v>TSO001133468</v>
          </cell>
          <cell r="P7466" t="str">
            <v>ООО КСК ТРЕЙД Тс216632-26 09.10.2026 Крым 17561кг (Соболев)</v>
          </cell>
        </row>
        <row r="7467">
          <cell r="O7467" t="str">
            <v>TSO001133489</v>
          </cell>
          <cell r="P7467" t="str">
            <v>ООО КСК ТРЕЙД Тс216648-26 09.10.2026 Крым 16551кг (Мазур)</v>
          </cell>
        </row>
        <row r="7468">
          <cell r="O7468" t="str">
            <v>TSO001134519</v>
          </cell>
          <cell r="P7468" t="str">
            <v>ООО КСК ТРЕЙД Тс217596-26 09.10.2026 Крым(2) 603кг (Мазур)</v>
          </cell>
        </row>
        <row r="7469">
          <cell r="O7469" t="str">
            <v>TSO001133490</v>
          </cell>
          <cell r="P7469" t="str">
            <v>ООО КСК ТРЕЙД Тс217792-26 09.10.2026 ЮгОпт 15870кг (Пусташев)</v>
          </cell>
        </row>
        <row r="7470">
          <cell r="O7470" t="str">
            <v>TSO001133562</v>
          </cell>
          <cell r="P7470" t="str">
            <v>ООО КСК ТРЕЙД Тс215790-26 09.10.2026 Крым 15605кг (Молодов)</v>
          </cell>
        </row>
        <row r="7471">
          <cell r="O7471" t="str">
            <v>TSO001133509</v>
          </cell>
          <cell r="P7471" t="str">
            <v>ООО КСК ТРЕЙД Тс217961-26 10.10.2026 Крым 17813кг (Ерохов)</v>
          </cell>
        </row>
        <row r="7472">
          <cell r="O7472" t="str">
            <v>TSO001133569</v>
          </cell>
          <cell r="P7472" t="str">
            <v>ООО НВ Тс217795-26 12.10.2026 Донецк 14134кг (Латий)</v>
          </cell>
        </row>
        <row r="7473">
          <cell r="O7473" t="str">
            <v>TSO001133564</v>
          </cell>
          <cell r="P7473" t="str">
            <v>ООО НВ Тс215805-26 12.10.2026 Мариуполь 3446кг (Латий)</v>
          </cell>
        </row>
        <row r="7474">
          <cell r="O7474" t="str">
            <v>TSO001133583</v>
          </cell>
          <cell r="P7474" t="str">
            <v>ООО НВ Тс217797-26 10.10.2026 Горняк-Луганск 5626кг (Половинка)</v>
          </cell>
        </row>
        <row r="7475">
          <cell r="O7475" t="str">
            <v>TSO001133582</v>
          </cell>
          <cell r="P7475" t="str">
            <v>ООО НВ Тс217796-26 10.10.2026 Луганск 11999кг (Половинка)</v>
          </cell>
        </row>
        <row r="7476">
          <cell r="O7476" t="str">
            <v>TSO001133959</v>
          </cell>
          <cell r="P7476" t="str">
            <v>ООО КСК ТРЕЙД Тс219108-26 12.10.2026 Крым 15501кг (Ислюков)</v>
          </cell>
        </row>
        <row r="7477">
          <cell r="O7477" t="str">
            <v>TSO001133960</v>
          </cell>
          <cell r="P7477" t="str">
            <v>ООО КСК ТРЕЙД Тс219109-26 12.10.2026 Николаенко 2108кг (Ислюков)</v>
          </cell>
        </row>
        <row r="7478">
          <cell r="O7478" t="str">
            <v>TSO001134013</v>
          </cell>
          <cell r="P7478" t="str">
            <v>ООО КСК ТРЕЙД Тс221787-26 15.10.2026 Патяка 4190кг (Галкин)</v>
          </cell>
        </row>
        <row r="7479">
          <cell r="O7479" t="str">
            <v>TSO001133969</v>
          </cell>
          <cell r="P7479" t="str">
            <v>ООО НВ Тс223477-26 15.10.2026 Бердянск 8555кг (Галкин)</v>
          </cell>
        </row>
        <row r="7480">
          <cell r="O7480" t="str">
            <v>TSO001133968</v>
          </cell>
          <cell r="P7480" t="str">
            <v>ООО НВ Тс223479-26 15.10.2026 Мелитополь 4890кг (Галкин)</v>
          </cell>
        </row>
        <row r="7481">
          <cell r="O7481" t="str">
            <v>TSO001133972</v>
          </cell>
          <cell r="P7481" t="str">
            <v>ООО НВ Тс219380-26 13.10.2026 Бутырин 3125кг (Рева)</v>
          </cell>
        </row>
        <row r="7482">
          <cell r="O7482" t="str">
            <v>TSO001133971</v>
          </cell>
          <cell r="P7482" t="str">
            <v>ООО НВ Тс219383-26 13.10.2026 Донецк 14563кг (Рева)</v>
          </cell>
        </row>
        <row r="7483">
          <cell r="O7483" t="str">
            <v>TSO001134560</v>
          </cell>
          <cell r="P7483" t="str">
            <v>ООО ЛП Тс217516-26 12.10.2026 Кочевой 5939кг (Пыдык)</v>
          </cell>
        </row>
        <row r="7484">
          <cell r="O7484" t="str">
            <v>TSO001134559</v>
          </cell>
          <cell r="P7484" t="str">
            <v>ООО ЛП Тс217537-26 12.10.2026 НПК 5837кг (Пыдык)</v>
          </cell>
        </row>
        <row r="7485">
          <cell r="O7485" t="str">
            <v>TSO001134558</v>
          </cell>
          <cell r="P7485" t="str">
            <v>ООО ЛП Тс217495-26 12.10.2026 Пушкарны(ВВ) 6351кг (Пыдык)</v>
          </cell>
        </row>
        <row r="7486">
          <cell r="O7486" t="str">
            <v>TSO001134643</v>
          </cell>
          <cell r="P7486" t="str">
            <v>ООО КСК ТРЕЙД Тс217601-26 11.10.2026 Крым 14152кг (Огуров)</v>
          </cell>
        </row>
        <row r="7487">
          <cell r="O7487" t="str">
            <v>TSO001134569</v>
          </cell>
          <cell r="P7487" t="str">
            <v>ООО КСК ТРЕЙД Тс219505-26 13.10.2026 Крым 17216кг (Мазур)</v>
          </cell>
        </row>
        <row r="7488">
          <cell r="O7488" t="str">
            <v>TSO001134687</v>
          </cell>
          <cell r="P7488" t="str">
            <v>ООО НВ Тс222906-26 18.10.2026 Бердянск 3386кг (Абдрахимов)</v>
          </cell>
        </row>
        <row r="7489">
          <cell r="O7489" t="str">
            <v>TSO001134685</v>
          </cell>
          <cell r="P7489" t="str">
            <v>ООО НВ Тс224919-26 18.10.2026 Мелитополь 10153кг (Абдрахимов)</v>
          </cell>
        </row>
        <row r="7490">
          <cell r="O7490" t="str">
            <v>TSO001134688</v>
          </cell>
          <cell r="P7490" t="str">
            <v>ООО НВ Тс224920-26 18.10.2026 Мариуполь 3942кг (Абдрахимов)</v>
          </cell>
        </row>
        <row r="7491">
          <cell r="O7491" t="str">
            <v>TSO001134703</v>
          </cell>
          <cell r="P7491" t="str">
            <v>ООО НВ Тс222851-26 14.10.2026 Луганск 17847кг (Решетников)</v>
          </cell>
        </row>
        <row r="7492">
          <cell r="O7492" t="str">
            <v>TSO001134708</v>
          </cell>
          <cell r="P7492" t="str">
            <v>ООО НВ Тс224110-26 17.10.2026 Донецк 16666кг (Голубев)</v>
          </cell>
        </row>
        <row r="7493">
          <cell r="O7493" t="str">
            <v>TSO001134750</v>
          </cell>
          <cell r="P7493" t="str">
            <v>ООО НВ ЮТс-05212-26 18.10.2026 Луганск 11918кг (Заратуйченко)</v>
          </cell>
        </row>
        <row r="7494">
          <cell r="O7494" t="str">
            <v>TSO001134776</v>
          </cell>
          <cell r="P7494" t="str">
            <v>ООО НВ ЮТс-05213-26 19.10.2026 Горняк-Донецк 12260кг (Кокшин)</v>
          </cell>
        </row>
        <row r="7495">
          <cell r="O7495" t="str">
            <v>TSO001134747</v>
          </cell>
          <cell r="P7495" t="str">
            <v>ООО ЛП ЮТс-05076-26 13.10.2026 ПРС 2395кг (Бакалюк)</v>
          </cell>
        </row>
        <row r="7496">
          <cell r="O7496" t="str">
            <v>TSO001134746</v>
          </cell>
          <cell r="P7496" t="str">
            <v>ООО НВ ЮТс-05132-26 13.10.2026 Донецк 9928кг (Бакалюк)</v>
          </cell>
        </row>
        <row r="7497">
          <cell r="O7497" t="str">
            <v>TSO001134577</v>
          </cell>
          <cell r="P7497" t="str">
            <v>ООО КСК ТРЕЙД Тс222457-26 14.10.2026 Крым 17190кг (Астапкин)</v>
          </cell>
        </row>
        <row r="7498">
          <cell r="O7498" t="str">
            <v>TSO001134655</v>
          </cell>
          <cell r="P7498" t="str">
            <v>ООО КСК ТРЕЙД Тс217690-26 13.10.2026 Крым 15032кг (Жуков)</v>
          </cell>
        </row>
        <row r="7499">
          <cell r="O7499" t="str">
            <v>TSO001134739</v>
          </cell>
          <cell r="P7499" t="str">
            <v>ООО НВ Тс224918-26 17.10.2026 Луганск 17334кг (Чирков)</v>
          </cell>
        </row>
        <row r="7500">
          <cell r="O7500" t="str">
            <v>TSO001134743</v>
          </cell>
          <cell r="P7500" t="str">
            <v>ООО НВ Тс226758-26 20.10.2026 Донецк 17745кг (Должков)</v>
          </cell>
        </row>
        <row r="7501">
          <cell r="O7501" t="str">
            <v>TSO001134779</v>
          </cell>
          <cell r="P7501" t="str">
            <v>ООО НВ ЮТс-05191-26 17.10.2026 Бердянск 5655кг (Шестиненков)</v>
          </cell>
        </row>
        <row r="7502">
          <cell r="O7502" t="str">
            <v>TSO001134777</v>
          </cell>
          <cell r="P7502" t="str">
            <v>ООО НВ ЮТс-05190-26 17.10.2026 Мелитополь 5778кг (Шестиненков)</v>
          </cell>
        </row>
        <row r="7503">
          <cell r="O7503" t="str">
            <v>TSO001134782</v>
          </cell>
          <cell r="P7503" t="str">
            <v>ООО НВ ЮТс-05192-26 17.10.2026 Мариуполь 3639кг (Шестиненков)</v>
          </cell>
        </row>
        <row r="7504">
          <cell r="O7504" t="str">
            <v>TSO001134744</v>
          </cell>
          <cell r="P7504" t="str">
            <v>ООО КСК ТРЕЙД Тс225976-26 19.10.2026 Поляков 16887кг (Надеин)</v>
          </cell>
        </row>
        <row r="7505">
          <cell r="O7505" t="str">
            <v>TSO001136494</v>
          </cell>
          <cell r="P7505" t="str">
            <v>ООО ЛП Тс223311-26 15.10.2026 Пушкарный 18085кг (Головчанский)</v>
          </cell>
        </row>
        <row r="7506">
          <cell r="O7506" t="str">
            <v>TSO001136520</v>
          </cell>
          <cell r="P7506" t="str">
            <v>ООО ЛП Тс223310-26 16.10.2026 Малахутин 16627кг (Некрасов)</v>
          </cell>
        </row>
        <row r="7507">
          <cell r="O7507" t="str">
            <v>TSO001137045</v>
          </cell>
          <cell r="P7507" t="str">
            <v>ООО КСК ТРЕЙД Тс224915-26 16.10.2026 Крым 17979кг (Левин)</v>
          </cell>
        </row>
        <row r="7508">
          <cell r="O7508" t="str">
            <v>TSO001137152</v>
          </cell>
          <cell r="P7508" t="str">
            <v>ООО КСК ТРЕЙД Тс224913-26 16.10.2026 Крым 17598кг (Ерохов)</v>
          </cell>
        </row>
        <row r="7509">
          <cell r="O7509" t="str">
            <v>TSO001137363</v>
          </cell>
          <cell r="P7509" t="str">
            <v>ООО КСК ТРЕЙД Тс223511-26 16.10.2026 Крым(2) 403кг (Ерохов)</v>
          </cell>
        </row>
        <row r="7510">
          <cell r="O7510" t="str">
            <v>TSO001137144</v>
          </cell>
          <cell r="P7510" t="str">
            <v>ООО ЛП Тс223783-26 19.10.2026 Вояж 2000кг (Бабенко)</v>
          </cell>
        </row>
        <row r="7511">
          <cell r="O7511" t="str">
            <v>TSO001137140</v>
          </cell>
          <cell r="P7511" t="str">
            <v>ООО НВ ЮТс-05254-26 19.10.2026 Луганск 9704кг (Бабенко)</v>
          </cell>
        </row>
        <row r="7512">
          <cell r="O7512" t="str">
            <v>TSO001137087</v>
          </cell>
          <cell r="P7512" t="str">
            <v>ООО КСК ТРЕЙД Тс226741-26 19.10.2026 Крым 17391кг (Павленко)</v>
          </cell>
        </row>
        <row r="7513">
          <cell r="O7513" t="str">
            <v>TSO001137170</v>
          </cell>
          <cell r="P7513" t="str">
            <v>ООО КСК ТРЕЙД Тс225959-26 19.10.2026 Крым 17608кг (Галкин)</v>
          </cell>
        </row>
        <row r="7514">
          <cell r="O7514" t="str">
            <v>TSO001137235</v>
          </cell>
          <cell r="P7514" t="str">
            <v>ООО КСК ТРЕЙД Тс225975-26 21.10.2026 Патяка 3295кг (Грушецкий)</v>
          </cell>
        </row>
        <row r="7515">
          <cell r="O7515" t="str">
            <v>TSO001137207</v>
          </cell>
          <cell r="P7515" t="str">
            <v>ООО НВ Тс225682-26 21.10.2026 Патяка(2) 5383кг (Грушецкий)</v>
          </cell>
        </row>
        <row r="7516">
          <cell r="O7516" t="str">
            <v>TSO001137206</v>
          </cell>
          <cell r="P7516" t="str">
            <v>ООО НВ Тс223521-26 21.10.2026 Мелитополь 5773кг (Грушецкий)</v>
          </cell>
        </row>
        <row r="7517">
          <cell r="O7517" t="str">
            <v>TSO001137208</v>
          </cell>
          <cell r="P7517" t="str">
            <v>ООО НВ Тс225681-26 21.10.2026 Мариуполь 3211кг (Грушецкий)</v>
          </cell>
        </row>
        <row r="7518">
          <cell r="O7518" t="str">
            <v>TSO001137220</v>
          </cell>
          <cell r="P7518" t="str">
            <v>ООО ЛП Тс228191-26 24.10.2026 ПРС 2549кг (Голубев)</v>
          </cell>
        </row>
        <row r="7519">
          <cell r="O7519" t="str">
            <v>TSO001137219</v>
          </cell>
          <cell r="P7519" t="str">
            <v>ООО НВ Тс227418-26 24.10.2026 Бутырин 4057кг (Голубев)</v>
          </cell>
        </row>
        <row r="7520">
          <cell r="O7520" t="str">
            <v>TSO001137218</v>
          </cell>
          <cell r="P7520" t="str">
            <v>ООО НВ Тс227413-26 24.10.2026 Донецк 11239кг (Голубев)</v>
          </cell>
        </row>
        <row r="7521">
          <cell r="O7521" t="str">
            <v>TSO001137590</v>
          </cell>
          <cell r="P7521" t="str">
            <v>ООО КСК ТРЕЙД Тс223931-26 17.10.2026 Крым 14425кг (Митин)</v>
          </cell>
        </row>
        <row r="7522">
          <cell r="O7522" t="str">
            <v>TSO001137635</v>
          </cell>
          <cell r="P7522" t="str">
            <v>ООО КСК ТРЕЙД Тс228207-26 21.10.2026 Крым 15692кг (Некрасов)</v>
          </cell>
        </row>
        <row r="7523">
          <cell r="O7523" t="str">
            <v>TSO001137637</v>
          </cell>
          <cell r="P7523" t="str">
            <v>ООО КСК ТРЕЙД Тс228206-26 21.10.2026 Николаенко 2060кг (Некрасов)</v>
          </cell>
        </row>
        <row r="7524">
          <cell r="O7524" t="str">
            <v>TSO001137645</v>
          </cell>
          <cell r="P7524" t="str">
            <v>ООО НВ Тс228199-26 23.10.2026 Бердянск 8127кг (Швырев)</v>
          </cell>
        </row>
        <row r="7525">
          <cell r="O7525" t="str">
            <v>TSO001137644</v>
          </cell>
          <cell r="P7525" t="str">
            <v>ООО НВ Тс228198-26 23.10.2026 Мелитополь 9600кг (Швырев)</v>
          </cell>
        </row>
        <row r="7526">
          <cell r="O7526" t="str">
            <v>TSO001137648</v>
          </cell>
          <cell r="P7526" t="str">
            <v>ООО НВ Тс228197-26 24.10.2026 Луганск 17877кг (Левин)</v>
          </cell>
        </row>
        <row r="7527">
          <cell r="O7527" t="str">
            <v>TSO001138184</v>
          </cell>
          <cell r="P7527" t="str">
            <v>ООО КСК ТРЕЙД Тс228209-26 21.10.2026 Крым 17409кг (Лохов)</v>
          </cell>
        </row>
        <row r="7528">
          <cell r="O7528" t="str">
            <v>TSO001138332</v>
          </cell>
          <cell r="P7528" t="str">
            <v>ООО КСК ТРЕЙД Тс224823-26 19.10.2026 Крым 15376кг (Агафонов)</v>
          </cell>
        </row>
        <row r="7529">
          <cell r="O7529" t="str">
            <v>TSO001138380</v>
          </cell>
          <cell r="P7529" t="str">
            <v>ООО НВ Тс228200-26 23.10.2026 Бердянск 8681кг (Новожилов)</v>
          </cell>
        </row>
        <row r="7530">
          <cell r="O7530" t="str">
            <v>TSO001138379</v>
          </cell>
          <cell r="P7530" t="str">
            <v>ООО НВ Тс228192-26 23.10.2026 Мелитополь 4879кг (Новожилов)</v>
          </cell>
        </row>
        <row r="7531">
          <cell r="O7531" t="str">
            <v>TSO001138382</v>
          </cell>
          <cell r="P7531" t="str">
            <v>ООО НВ Тс228203-26 23.10.2026 Мариуполь 4363кг (Новожилов)</v>
          </cell>
        </row>
        <row r="7532">
          <cell r="O7532" t="str">
            <v>TSO001138395</v>
          </cell>
          <cell r="P7532" t="str">
            <v>ООО НВ Тс228193-26 22.10.2026 Луганск 11985кг (Промзелев)</v>
          </cell>
        </row>
        <row r="7533">
          <cell r="O7533" t="str">
            <v>TSO001138400</v>
          </cell>
          <cell r="P7533" t="str">
            <v>ООО НВ Тс228194-26 22.10.2026 Горняк-Луганск 5650кг (Промзелев)</v>
          </cell>
        </row>
        <row r="7534">
          <cell r="O7534" t="str">
            <v>TSO001138411</v>
          </cell>
          <cell r="P7534" t="str">
            <v>ООО НВ Тс228208-26 23.10.2026 Донецк 17408кг (Бакалюк)</v>
          </cell>
        </row>
        <row r="7535">
          <cell r="O7535" t="str">
            <v>TSO001138851</v>
          </cell>
          <cell r="P7535" t="str">
            <v>ООО НВ Тс228201-26 23.10.2026 Донецк(2) 104кг (Бакалюк)</v>
          </cell>
        </row>
        <row r="7536">
          <cell r="O7536" t="str">
            <v>TSO001138593</v>
          </cell>
          <cell r="P7536" t="str">
            <v>ООО НВ ЮТс-05333-26 21.10.2026 Бердянск 5844кг (Карслян)</v>
          </cell>
        </row>
        <row r="7537">
          <cell r="O7537" t="str">
            <v>TSO001138582</v>
          </cell>
          <cell r="P7537" t="str">
            <v>ООО НВ ЮТс-05332-26 21.10.2026 Мелитополь 7673кг (Карслян)</v>
          </cell>
        </row>
        <row r="7538">
          <cell r="O7538" t="str">
            <v>TSO001138594</v>
          </cell>
          <cell r="P7538" t="str">
            <v>ООО НВ ЮТс-05236-26 21.10.2026 Мариуполь 1425кг (Карслян)</v>
          </cell>
        </row>
        <row r="7539">
          <cell r="O7539" t="str">
            <v>TSO001138603</v>
          </cell>
          <cell r="P7539" t="str">
            <v>ООО НВ ЮТс-05338-26 21.10.2026 Луганск 6281кг (Антонов).pdf</v>
          </cell>
        </row>
        <row r="7540">
          <cell r="O7540" t="str">
            <v>TSO001138612</v>
          </cell>
          <cell r="P7540" t="str">
            <v>ООО НВ ЮТс-05334-26 21.10.2026 Горняк-Луганск 7074кг (Антонов)</v>
          </cell>
        </row>
        <row r="7541">
          <cell r="O7541" t="str">
            <v>TSO001138614</v>
          </cell>
          <cell r="P7541" t="str">
            <v>ООО НВ ЮТс-05340-26 21.10.2026 Донецк 12984кг (Лодырев)</v>
          </cell>
        </row>
        <row r="7542">
          <cell r="O7542" t="str">
            <v>TSO001138621</v>
          </cell>
          <cell r="P7542" t="str">
            <v>ООО НВ ЮТс-05339-26 22.10.2026 Горняк-Донецк 12357кг (Соболев)</v>
          </cell>
        </row>
        <row r="7543">
          <cell r="O7543" t="str">
            <v>TSO001138257</v>
          </cell>
          <cell r="P7543" t="str">
            <v>ООО КСК ТРЕЙД Тс228210-26 21.10.2026 Крым 17620кг (Пусташев)</v>
          </cell>
        </row>
        <row r="7544">
          <cell r="O7544" t="str">
            <v>TSO001138277</v>
          </cell>
          <cell r="P7544" t="str">
            <v>ООО КСК ТРЕЙД Тс228204-26 22.10.2026 Крым 17745кг (Власов)</v>
          </cell>
        </row>
        <row r="7545">
          <cell r="O7545" t="str">
            <v>TSO001138425</v>
          </cell>
          <cell r="P7545" t="str">
            <v>ОТМЕНА</v>
          </cell>
        </row>
        <row r="7546">
          <cell r="O7546" t="str">
            <v>TSO001138417</v>
          </cell>
          <cell r="P7546" t="str">
            <v>ОТМЕНА</v>
          </cell>
        </row>
        <row r="7547">
          <cell r="O7547" t="str">
            <v>TSO001138420</v>
          </cell>
          <cell r="P7547" t="str">
            <v>ОТМЕНА</v>
          </cell>
        </row>
        <row r="7548">
          <cell r="O7548" t="str">
            <v>TSO001138424</v>
          </cell>
          <cell r="P7548" t="str">
            <v>ООО НВ Тс228205-26 22.10.2026 Донецк 17820кг (Васильченко)</v>
          </cell>
        </row>
        <row r="7549">
          <cell r="O7549" t="str">
            <v>TSO001138437</v>
          </cell>
          <cell r="P7549" t="str">
            <v>ООО НВ Тс228211-26 24.10.2026 Луганск 16971кг (Заратуйченко)</v>
          </cell>
        </row>
        <row r="7550">
          <cell r="O7550" t="str">
            <v>TSO001138856</v>
          </cell>
          <cell r="P7550" t="str">
            <v>ООО НВ Тс228202-26 24.10.2026 Луганск(2) 361кг (Заратуйченко)</v>
          </cell>
        </row>
        <row r="7551">
          <cell r="O7551" t="str">
            <v>TSO001138619</v>
          </cell>
          <cell r="P7551" t="str">
            <v>ООО ЛП ЮТс-05308-26 22.10.2026 ПРС 9987кг (Чирков)</v>
          </cell>
        </row>
        <row r="7552">
          <cell r="O7552" t="str">
            <v>TSO001138616</v>
          </cell>
          <cell r="P7552" t="str">
            <v>ООО НВ Тс225036-26 22.10.2026 Донецк 4849кг (Чирков)</v>
          </cell>
        </row>
        <row r="7553">
          <cell r="O7553" t="str">
            <v>TSO001138975</v>
          </cell>
          <cell r="P7553" t="str">
            <v>ООО ЛП Тс228218-26 23.10.2026 Бычков(2) 2873кг (Митин)</v>
          </cell>
        </row>
        <row r="7554">
          <cell r="O7554" t="str">
            <v>TSO001138977</v>
          </cell>
          <cell r="P7554" t="str">
            <v>ООО ЛП Тс228221-26 23.10.2026 Бычков 11366кг (Митин)</v>
          </cell>
        </row>
        <row r="7555">
          <cell r="O7555" t="str">
            <v>TSO001139808</v>
          </cell>
          <cell r="P7555" t="str">
            <v>ООО ЛП Тс228856-26 22.10.2026 Пушкарный 18105кг (Евсеев)</v>
          </cell>
        </row>
        <row r="7556">
          <cell r="O7556" t="str">
            <v>TSO001139809</v>
          </cell>
          <cell r="P7556" t="str">
            <v>ООО ЛП Тс228220-26 22.10.2026 Пушкарный 18085кг (Козимиренко)</v>
          </cell>
        </row>
        <row r="7557">
          <cell r="O7557" t="str">
            <v>TSO001140280</v>
          </cell>
          <cell r="P7557" t="str">
            <v>ООО КСК ТРЕЙД Тс228808-26 24.10.2026 Крым 17562кг (Мазур)</v>
          </cell>
        </row>
        <row r="7558">
          <cell r="O7558" t="str">
            <v>TSO001140349</v>
          </cell>
          <cell r="P7558" t="str">
            <v>ООО КСК ТРЕЙД ЮТс-05320-26 23.10.2026 Крым 14388кг (Жуков)</v>
          </cell>
        </row>
        <row r="7559">
          <cell r="O7559" t="str">
            <v>TSO001140325</v>
          </cell>
          <cell r="P7559" t="str">
            <v>ООО КСК ТРЕЙД Тс228788-26 24.10.2026 Крым 17685кг (Исаков)</v>
          </cell>
        </row>
        <row r="7560">
          <cell r="O7560" t="str">
            <v>TSO001140341</v>
          </cell>
          <cell r="P7560" t="str">
            <v>ООО КСК ТРЕЙД Тс228825-26 24.10.2026 Крым 17504кг (Петренко)</v>
          </cell>
        </row>
        <row r="7561">
          <cell r="O7561" t="str">
            <v>TSO001140389</v>
          </cell>
          <cell r="P7561" t="str">
            <v>ООО НВ Тс228756-26 25.10.2026 Луганск 17622кг (Хлыстов)</v>
          </cell>
        </row>
        <row r="7562">
          <cell r="O7562" t="str">
            <v>TSO001141772</v>
          </cell>
          <cell r="P7562" t="str">
            <v>ООО НВ Тс230574-26 25.10.2026 Луганск(2) 265кг (Хлыстов)</v>
          </cell>
        </row>
        <row r="7563">
          <cell r="O7563" t="str">
            <v>TSO001140395</v>
          </cell>
          <cell r="P7563" t="str">
            <v>ООО НВ Тс228757-26 25.10.2026 Донецк 17714кг (Грушецкий)</v>
          </cell>
        </row>
        <row r="7564">
          <cell r="O7564" t="str">
            <v>TSO001140872</v>
          </cell>
          <cell r="P7564" t="str">
            <v>ООО ЛП Тс229770-26 24.10.2026 Обрыньба 4150кг (Агафонов)</v>
          </cell>
        </row>
        <row r="7565">
          <cell r="O7565" t="str">
            <v>TSO001140875</v>
          </cell>
          <cell r="P7565" t="str">
            <v>ООО ЛП Тс229778-26 24.10.2026 Кочевой 7778кг (Агафонов)</v>
          </cell>
        </row>
        <row r="7566">
          <cell r="O7566" t="str">
            <v>TSO001140874</v>
          </cell>
          <cell r="P7566" t="str">
            <v>ООО ЛП Тс229776-26 24.10.2026 Пушкарный(ВВ) 5427кг (Агафонов)</v>
          </cell>
        </row>
        <row r="7567">
          <cell r="O7567" t="str">
            <v>TSO001140837</v>
          </cell>
          <cell r="P7567" t="str">
            <v>ООО ЛП Тс231324-26 26.10.2026 Архипов 3976кг (Семенишин)</v>
          </cell>
          <cell r="Q7567">
            <v>3976</v>
          </cell>
          <cell r="R7567" t="str">
            <v>отгружен</v>
          </cell>
        </row>
        <row r="7568">
          <cell r="O7568" t="str">
            <v>TSO001140832</v>
          </cell>
          <cell r="P7568" t="str">
            <v>ООО КСК ТРЕЙД Тс229502-26 25.10.2026 Крым 15773кг (Некрасов)</v>
          </cell>
        </row>
        <row r="7569">
          <cell r="O7569" t="str">
            <v>TSO001140835</v>
          </cell>
          <cell r="P7569" t="str">
            <v>ООО КСК ТРЕЙД Тс229521-26 25.10.2026 Николаенко 2537кг (Некрасов)</v>
          </cell>
        </row>
        <row r="7570">
          <cell r="O7570" t="str">
            <v>TSO001140866</v>
          </cell>
        </row>
        <row r="7571">
          <cell r="O7571" t="str">
            <v>TSO001140870</v>
          </cell>
          <cell r="P7571" t="str">
            <v>ООО КСК ТРЕЙД Тс229445-26 26.10.2026 Патяка 4330кг (Новожилов)</v>
          </cell>
          <cell r="Q7571">
            <v>4331</v>
          </cell>
          <cell r="R7571" t="str">
            <v>отгружен</v>
          </cell>
        </row>
        <row r="7572">
          <cell r="O7572" t="str">
            <v>TSO001140852</v>
          </cell>
          <cell r="P7572" t="str">
            <v>ООО НВ Тс229523-26 26.10.2026 Патяка 3744кг (Новожилов)</v>
          </cell>
          <cell r="Q7572">
            <v>3744</v>
          </cell>
          <cell r="R7572" t="str">
            <v>отгружен</v>
          </cell>
        </row>
        <row r="7573">
          <cell r="O7573" t="str">
            <v>TSO001140851</v>
          </cell>
          <cell r="P7573" t="str">
            <v>ООО НВ Тс229522-26 26.10.2026 Мелитополь 4354кг (Новожилов)</v>
          </cell>
          <cell r="Q7573">
            <v>4355</v>
          </cell>
          <cell r="R7573" t="str">
            <v>отгружен</v>
          </cell>
        </row>
        <row r="7574">
          <cell r="O7574" t="str">
            <v>TSO001140853</v>
          </cell>
          <cell r="P7574" t="str">
            <v>ООО НВ Тс229475-26 26.10.2026 Мариуполь 5036кг (Новожилов)</v>
          </cell>
          <cell r="Q7574">
            <v>5037</v>
          </cell>
          <cell r="R7574" t="str">
            <v>отгружен</v>
          </cell>
        </row>
        <row r="7575">
          <cell r="O7575" t="str">
            <v>TSO001142340</v>
          </cell>
          <cell r="P7575" t="str">
            <v>TSO001142348</v>
          </cell>
        </row>
        <row r="7576">
          <cell r="O7576" t="str">
            <v>TSO001140858</v>
          </cell>
        </row>
        <row r="7577">
          <cell r="O7577" t="str">
            <v>TSO001140859</v>
          </cell>
        </row>
        <row r="7578">
          <cell r="O7578" t="str">
            <v>TSO001140860</v>
          </cell>
        </row>
        <row r="7579">
          <cell r="O7579" t="str">
            <v>TSO001140871</v>
          </cell>
        </row>
        <row r="7580">
          <cell r="O7580" t="str">
            <v>TSO001142464</v>
          </cell>
        </row>
        <row r="7581">
          <cell r="O7581" t="str">
            <v>TSO001141547</v>
          </cell>
          <cell r="P7581" t="str">
            <v>ООО КСК ТРЕЙД Тс230168-26 25.10.2026 Крым 14771кг (Павленко)</v>
          </cell>
        </row>
        <row r="7582">
          <cell r="O7582" t="str">
            <v>TSO001141537</v>
          </cell>
        </row>
        <row r="7583">
          <cell r="O7583" t="str">
            <v>TSO001141496</v>
          </cell>
          <cell r="P7583" t="str">
            <v>ООО КСК ТРЕЙД Тс230467-26 26.10.2026 Крым 15336кг (Кокшин)</v>
          </cell>
          <cell r="Q7583">
            <v>15337</v>
          </cell>
          <cell r="R7583" t="str">
            <v>отгружен</v>
          </cell>
        </row>
        <row r="7584">
          <cell r="O7584" t="str">
            <v>TSO001141499</v>
          </cell>
          <cell r="P7584" t="str">
            <v>ООО КСК ТРЕЙД Тс230409-26 26.10.2026 Вердиева 2342кг (Кокшин)</v>
          </cell>
          <cell r="Q7584">
            <v>2342</v>
          </cell>
          <cell r="R7584" t="str">
            <v>отгружен</v>
          </cell>
        </row>
        <row r="7585">
          <cell r="O7585" t="str">
            <v>TSO001141585</v>
          </cell>
        </row>
        <row r="7586">
          <cell r="O7586" t="str">
            <v>TSO001141577</v>
          </cell>
        </row>
        <row r="7587">
          <cell r="O7587" t="str">
            <v>TSO001141576</v>
          </cell>
        </row>
        <row r="7588">
          <cell r="O7588" t="str">
            <v>TSO001142329</v>
          </cell>
        </row>
        <row r="7589">
          <cell r="O7589" t="str">
            <v>TSO001142285</v>
          </cell>
        </row>
        <row r="7590">
          <cell r="O7590" t="str">
            <v>TSO001141584</v>
          </cell>
        </row>
        <row r="7591">
          <cell r="O7591" t="str">
            <v>TSO001141581</v>
          </cell>
        </row>
        <row r="7592">
          <cell r="O7592" t="str">
            <v>TSO001141596</v>
          </cell>
          <cell r="Q7592">
            <v>17109</v>
          </cell>
          <cell r="R7592" t="str">
            <v>отгружен</v>
          </cell>
        </row>
        <row r="7593">
          <cell r="O7593" t="str">
            <v>TSO001142330</v>
          </cell>
        </row>
        <row r="7594">
          <cell r="O7594" t="str">
            <v>TSO001141671</v>
          </cell>
        </row>
        <row r="7595">
          <cell r="O7595" t="str">
            <v>TSO001141667</v>
          </cell>
        </row>
        <row r="7596">
          <cell r="O7596" t="str">
            <v>TSO001141676</v>
          </cell>
        </row>
        <row r="7597">
          <cell r="O7597" t="str">
            <v>TSO001141680</v>
          </cell>
        </row>
        <row r="7598">
          <cell r="O7598" t="str">
            <v>TSO001141507</v>
          </cell>
        </row>
        <row r="7599">
          <cell r="O7599" t="str">
            <v>TSO001141572</v>
          </cell>
        </row>
        <row r="7600">
          <cell r="O7600" t="str">
            <v>TSO001141619</v>
          </cell>
        </row>
        <row r="7601">
          <cell r="O7601" t="str">
            <v>TSO001141618</v>
          </cell>
        </row>
        <row r="7602">
          <cell r="O7602" t="str">
            <v>TSO001141631</v>
          </cell>
        </row>
        <row r="7603">
          <cell r="O7603" t="str">
            <v>TSO001141626</v>
          </cell>
        </row>
        <row r="7604">
          <cell r="O7604" t="str">
            <v>TSO001141623</v>
          </cell>
        </row>
        <row r="7605">
          <cell r="O7605" t="str">
            <v>TSO001141614</v>
          </cell>
        </row>
        <row r="7606">
          <cell r="O7606" t="str">
            <v>TSO001141615</v>
          </cell>
        </row>
        <row r="7607">
          <cell r="O7607" t="str">
            <v>TSO001141714</v>
          </cell>
        </row>
        <row r="7608">
          <cell r="O7608" t="str">
            <v>TSO001141681</v>
          </cell>
        </row>
        <row r="7609">
          <cell r="O7609" t="str">
            <v>TSO001141686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E14" sqref="E14"/>
    </sheetView>
  </sheetViews>
  <sheetFormatPr defaultRowHeight="15" x14ac:dyDescent="0.25"/>
  <cols>
    <col min="2" max="2" width="11.5703125" bestFit="1" customWidth="1"/>
    <col min="3" max="3" width="18.85546875" bestFit="1" customWidth="1"/>
    <col min="5" max="5" width="12.5703125" style="1" bestFit="1" customWidth="1"/>
    <col min="8" max="8" width="9.85546875" bestFit="1" customWidth="1"/>
  </cols>
  <sheetData>
    <row r="1" spans="1:12" ht="60" customHeight="1" x14ac:dyDescent="0.25">
      <c r="A1" s="30" t="s">
        <v>0</v>
      </c>
      <c r="B1" s="31" t="s">
        <v>1</v>
      </c>
      <c r="C1" s="30" t="s">
        <v>2</v>
      </c>
      <c r="D1" s="30" t="s">
        <v>3</v>
      </c>
      <c r="E1" s="32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</row>
    <row r="2" spans="1:12" x14ac:dyDescent="0.25">
      <c r="A2" s="26" t="s">
        <v>41</v>
      </c>
      <c r="B2" s="26" t="s">
        <v>22</v>
      </c>
      <c r="C2" s="29" t="s">
        <v>75</v>
      </c>
      <c r="D2" s="26">
        <v>1543.48</v>
      </c>
      <c r="E2" s="27">
        <v>447909.72</v>
      </c>
      <c r="F2" s="26" t="s">
        <v>0</v>
      </c>
      <c r="G2" s="26" t="s">
        <v>14</v>
      </c>
      <c r="H2" s="28">
        <v>46321</v>
      </c>
      <c r="I2" s="26" t="s">
        <v>20</v>
      </c>
      <c r="J2" s="26" t="s">
        <v>12</v>
      </c>
      <c r="K2" s="26" t="s">
        <v>12</v>
      </c>
      <c r="L2" s="26" t="s">
        <v>12</v>
      </c>
    </row>
    <row r="3" spans="1:12" x14ac:dyDescent="0.25">
      <c r="A3" s="26" t="s">
        <v>42</v>
      </c>
      <c r="B3" s="26" t="s">
        <v>17</v>
      </c>
      <c r="C3" s="29" t="s">
        <v>76</v>
      </c>
      <c r="D3" s="26">
        <v>6848.88</v>
      </c>
      <c r="E3" s="27">
        <v>1641561.48</v>
      </c>
      <c r="F3" s="26" t="s">
        <v>0</v>
      </c>
      <c r="G3" s="26" t="s">
        <v>14</v>
      </c>
      <c r="H3" s="28">
        <v>46321</v>
      </c>
      <c r="I3" s="26" t="s">
        <v>20</v>
      </c>
      <c r="J3" s="26" t="s">
        <v>12</v>
      </c>
      <c r="K3" s="26" t="s">
        <v>12</v>
      </c>
      <c r="L3" s="26" t="s">
        <v>12</v>
      </c>
    </row>
    <row r="4" spans="1:12" x14ac:dyDescent="0.25">
      <c r="A4" s="26" t="s">
        <v>43</v>
      </c>
      <c r="B4" s="26" t="s">
        <v>16</v>
      </c>
      <c r="C4" s="29" t="s">
        <v>77</v>
      </c>
      <c r="D4" s="26">
        <v>6162.36</v>
      </c>
      <c r="E4" s="27">
        <v>1535972.52</v>
      </c>
      <c r="F4" s="26" t="s">
        <v>0</v>
      </c>
      <c r="G4" s="26" t="s">
        <v>14</v>
      </c>
      <c r="H4" s="28">
        <v>46321</v>
      </c>
      <c r="I4" s="26" t="s">
        <v>20</v>
      </c>
      <c r="J4" s="26" t="s">
        <v>12</v>
      </c>
      <c r="K4" s="26" t="s">
        <v>12</v>
      </c>
      <c r="L4" s="26" t="s">
        <v>12</v>
      </c>
    </row>
    <row r="5" spans="1:12" x14ac:dyDescent="0.25">
      <c r="A5" s="90" t="s">
        <v>21</v>
      </c>
      <c r="B5" s="90"/>
      <c r="C5" s="90"/>
      <c r="D5" s="26">
        <f>SUM(D2:D4)</f>
        <v>14554.720000000001</v>
      </c>
      <c r="E5" s="27">
        <f>SUM(E2:E4)</f>
        <v>3625443.7199999997</v>
      </c>
      <c r="F5" s="26"/>
      <c r="G5" s="26"/>
      <c r="H5" s="28"/>
      <c r="I5" s="26"/>
      <c r="J5" s="26"/>
      <c r="K5" s="26"/>
      <c r="L5" s="26"/>
    </row>
    <row r="6" spans="1:12" x14ac:dyDescent="0.25">
      <c r="A6" s="26" t="s">
        <v>44</v>
      </c>
      <c r="B6" s="26" t="s">
        <v>18</v>
      </c>
      <c r="C6" t="s">
        <v>79</v>
      </c>
      <c r="D6" s="26">
        <v>12853.84</v>
      </c>
      <c r="E6" s="27">
        <v>3637968.94</v>
      </c>
      <c r="F6" s="26" t="s">
        <v>0</v>
      </c>
      <c r="G6" s="26" t="s">
        <v>14</v>
      </c>
      <c r="H6" s="28">
        <v>46322</v>
      </c>
      <c r="I6" s="26" t="s">
        <v>45</v>
      </c>
      <c r="J6" s="26" t="s">
        <v>12</v>
      </c>
      <c r="K6" s="26" t="s">
        <v>12</v>
      </c>
      <c r="L6" s="26" t="s">
        <v>12</v>
      </c>
    </row>
    <row r="7" spans="1:12" x14ac:dyDescent="0.25">
      <c r="A7" s="90" t="s">
        <v>21</v>
      </c>
      <c r="B7" s="90"/>
      <c r="C7" s="90"/>
      <c r="D7" s="26">
        <f>SUM(D6)</f>
        <v>12853.84</v>
      </c>
      <c r="E7" s="26">
        <f>SUM(E6)</f>
        <v>3637968.94</v>
      </c>
      <c r="F7" s="26"/>
      <c r="G7" s="26"/>
      <c r="H7" s="28"/>
      <c r="I7" s="26"/>
      <c r="J7" s="26"/>
      <c r="K7" s="26"/>
      <c r="L7" s="26"/>
    </row>
    <row r="8" spans="1:12" x14ac:dyDescent="0.25">
      <c r="A8" s="26" t="s">
        <v>46</v>
      </c>
      <c r="B8" s="26" t="s">
        <v>19</v>
      </c>
      <c r="C8" t="s">
        <v>78</v>
      </c>
      <c r="D8" s="26">
        <v>12091.88</v>
      </c>
      <c r="E8" s="27">
        <v>3242301.69</v>
      </c>
      <c r="F8" s="26" t="s">
        <v>0</v>
      </c>
      <c r="G8" s="26" t="s">
        <v>14</v>
      </c>
      <c r="H8" s="28">
        <v>46322</v>
      </c>
      <c r="I8" s="26" t="s">
        <v>47</v>
      </c>
      <c r="J8" s="26" t="s">
        <v>12</v>
      </c>
      <c r="K8" s="26" t="s">
        <v>12</v>
      </c>
      <c r="L8" s="26" t="s">
        <v>12</v>
      </c>
    </row>
    <row r="9" spans="1:12" x14ac:dyDescent="0.25">
      <c r="A9" s="90" t="s">
        <v>21</v>
      </c>
      <c r="B9" s="90"/>
      <c r="C9" s="90"/>
      <c r="D9" s="29">
        <f>SUM(D8)</f>
        <v>12091.88</v>
      </c>
      <c r="E9" s="29">
        <f>SUM(E8)</f>
        <v>3242301.69</v>
      </c>
      <c r="F9" s="29"/>
      <c r="G9" s="29"/>
      <c r="H9" s="29"/>
      <c r="I9" s="29"/>
      <c r="J9" s="29"/>
      <c r="K9" s="29"/>
      <c r="L9" s="29"/>
    </row>
  </sheetData>
  <mergeCells count="3">
    <mergeCell ref="A7:C7"/>
    <mergeCell ref="A5:C5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tabSelected="1" zoomScale="85" zoomScaleNormal="85" workbookViewId="0">
      <selection activeCell="T28" sqref="T28"/>
    </sheetView>
  </sheetViews>
  <sheetFormatPr defaultRowHeight="15" x14ac:dyDescent="0.25"/>
  <cols>
    <col min="2" max="2" width="20.5703125" customWidth="1"/>
    <col min="5" max="5" width="18.28515625" style="1" bestFit="1" customWidth="1"/>
    <col min="7" max="7" width="9.140625" customWidth="1"/>
    <col min="8" max="8" width="14.140625" bestFit="1" customWidth="1"/>
    <col min="13" max="13" width="14.7109375" customWidth="1"/>
    <col min="16" max="16" width="9.140625" style="34"/>
    <col min="19" max="19" width="24.5703125" customWidth="1"/>
  </cols>
  <sheetData>
    <row r="1" spans="1:19" ht="60.75" thickBot="1" x14ac:dyDescent="0.3">
      <c r="A1" s="37" t="s">
        <v>0</v>
      </c>
      <c r="B1" s="38" t="s">
        <v>1</v>
      </c>
      <c r="C1" s="37" t="s">
        <v>2</v>
      </c>
      <c r="D1" s="37" t="s">
        <v>3</v>
      </c>
      <c r="E1" s="39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P1" s="34" t="s">
        <v>81</v>
      </c>
    </row>
    <row r="2" spans="1:19" x14ac:dyDescent="0.25">
      <c r="A2" s="41" t="s">
        <v>27</v>
      </c>
      <c r="B2" s="42" t="s">
        <v>58</v>
      </c>
      <c r="C2" s="42" t="s">
        <v>59</v>
      </c>
      <c r="D2" s="42">
        <v>5020.8</v>
      </c>
      <c r="E2" s="43">
        <v>1181020.6000000001</v>
      </c>
      <c r="F2" s="42" t="s">
        <v>0</v>
      </c>
      <c r="G2" s="42" t="s">
        <v>14</v>
      </c>
      <c r="H2" s="44">
        <v>46321</v>
      </c>
      <c r="I2" s="42" t="s">
        <v>15</v>
      </c>
      <c r="J2" s="42" t="s">
        <v>12</v>
      </c>
      <c r="K2" s="42" t="s">
        <v>12</v>
      </c>
      <c r="L2" s="42" t="s">
        <v>12</v>
      </c>
      <c r="M2" s="45" t="s">
        <v>80</v>
      </c>
      <c r="N2" s="45">
        <f>VLOOKUP(B2,[1]Лист1!$O:$S,5,0)</f>
        <v>0</v>
      </c>
      <c r="O2" s="45">
        <f>VLOOKUP(B2,[1]Лист1!$O:$T,6,0)</f>
        <v>0</v>
      </c>
      <c r="P2" s="46">
        <f>D2-O2</f>
        <v>5020.8</v>
      </c>
      <c r="Q2" s="47">
        <f>VLOOKUP(B2,[1]Лист1!$O:$R,4,0)</f>
        <v>0</v>
      </c>
    </row>
    <row r="3" spans="1:19" ht="15.75" thickBot="1" x14ac:dyDescent="0.3">
      <c r="A3" s="48" t="s">
        <v>28</v>
      </c>
      <c r="B3" s="49" t="s">
        <v>60</v>
      </c>
      <c r="C3" s="49" t="s">
        <v>59</v>
      </c>
      <c r="D3" s="49">
        <v>12590.42</v>
      </c>
      <c r="E3" s="50">
        <v>2900349.58</v>
      </c>
      <c r="F3" s="49" t="s">
        <v>0</v>
      </c>
      <c r="G3" s="49" t="s">
        <v>14</v>
      </c>
      <c r="H3" s="51">
        <v>46321</v>
      </c>
      <c r="I3" s="49" t="s">
        <v>15</v>
      </c>
      <c r="J3" s="49" t="s">
        <v>12</v>
      </c>
      <c r="K3" s="49" t="s">
        <v>12</v>
      </c>
      <c r="L3" s="49" t="s">
        <v>12</v>
      </c>
      <c r="M3" s="52">
        <f>VLOOKUP(B3,[1]Лист1!$O:$U,7,0)</f>
        <v>0</v>
      </c>
      <c r="N3" s="52">
        <f>VLOOKUP(B3,[1]Лист1!$O:$S,5,0)</f>
        <v>0</v>
      </c>
      <c r="O3" s="52">
        <f>VLOOKUP(B3,[1]Лист1!$O:$T,6,0)</f>
        <v>0</v>
      </c>
      <c r="P3" s="53">
        <f>D3-O3</f>
        <v>12590.42</v>
      </c>
      <c r="Q3" s="54">
        <f>VLOOKUP(B3,[1]Лист1!$O:$R,4,0)</f>
        <v>0</v>
      </c>
    </row>
    <row r="4" spans="1:19" ht="15.75" thickBot="1" x14ac:dyDescent="0.3">
      <c r="A4" s="92" t="s">
        <v>21</v>
      </c>
      <c r="B4" s="93"/>
      <c r="C4" s="55"/>
      <c r="D4" s="55">
        <f>SUM(D2:D3)</f>
        <v>17611.22</v>
      </c>
      <c r="E4" s="56"/>
      <c r="F4" s="55"/>
      <c r="G4" s="55"/>
      <c r="H4" s="57"/>
      <c r="I4" s="55"/>
      <c r="J4" s="55"/>
      <c r="K4" s="55"/>
      <c r="L4" s="55"/>
    </row>
    <row r="5" spans="1:19" x14ac:dyDescent="0.25">
      <c r="A5" s="41" t="s">
        <v>83</v>
      </c>
      <c r="B5" s="42" t="s">
        <v>82</v>
      </c>
      <c r="C5" s="42"/>
      <c r="D5" s="42">
        <v>4320.4799999999996</v>
      </c>
      <c r="E5" s="43"/>
      <c r="F5" s="42"/>
      <c r="G5" s="42"/>
      <c r="H5" s="44"/>
      <c r="I5" s="42"/>
      <c r="J5" s="42"/>
      <c r="K5" s="42"/>
      <c r="L5" s="42"/>
      <c r="M5" s="45" t="s">
        <v>80</v>
      </c>
      <c r="N5" s="45"/>
      <c r="O5" s="45"/>
      <c r="P5" s="46"/>
      <c r="Q5" s="47">
        <v>2</v>
      </c>
    </row>
    <row r="6" spans="1:19" x14ac:dyDescent="0.25">
      <c r="A6" s="58" t="s">
        <v>23</v>
      </c>
      <c r="B6" s="16" t="s">
        <v>73</v>
      </c>
      <c r="C6" s="16" t="s">
        <v>67</v>
      </c>
      <c r="D6" s="16">
        <v>5002.24</v>
      </c>
      <c r="E6" s="25">
        <v>1110546.56</v>
      </c>
      <c r="F6" s="16" t="s">
        <v>0</v>
      </c>
      <c r="G6" s="16" t="s">
        <v>14</v>
      </c>
      <c r="H6" s="17">
        <v>46321</v>
      </c>
      <c r="I6" s="16" t="s">
        <v>15</v>
      </c>
      <c r="J6" s="16" t="s">
        <v>12</v>
      </c>
      <c r="K6" s="16" t="s">
        <v>12</v>
      </c>
      <c r="L6" s="16" t="s">
        <v>12</v>
      </c>
      <c r="M6" s="59">
        <f>VLOOKUP(B6,[1]Лист1!$O:$U,7,0)</f>
        <v>0</v>
      </c>
      <c r="N6" s="59">
        <f>VLOOKUP(B6,[1]Лист1!$O:$S,5,0)</f>
        <v>0</v>
      </c>
      <c r="O6" s="59">
        <f>VLOOKUP(B6,[1]Лист1!$O:$T,6,0)</f>
        <v>0</v>
      </c>
      <c r="P6" s="60">
        <f>D6-O6</f>
        <v>5002.24</v>
      </c>
      <c r="Q6" s="61" t="str">
        <f>VLOOKUP(B6,[1]Лист1!$O:$R,4,0)</f>
        <v>отгружен</v>
      </c>
    </row>
    <row r="7" spans="1:19" x14ac:dyDescent="0.25">
      <c r="A7" s="58" t="s">
        <v>24</v>
      </c>
      <c r="B7" s="16" t="s">
        <v>54</v>
      </c>
      <c r="C7" s="16" t="s">
        <v>56</v>
      </c>
      <c r="D7" s="16">
        <v>4329.7</v>
      </c>
      <c r="E7" s="25">
        <v>886800.01</v>
      </c>
      <c r="F7" s="16" t="s">
        <v>0</v>
      </c>
      <c r="G7" s="16" t="s">
        <v>14</v>
      </c>
      <c r="H7" s="17">
        <v>46321</v>
      </c>
      <c r="I7" s="16" t="s">
        <v>15</v>
      </c>
      <c r="J7" s="16" t="s">
        <v>12</v>
      </c>
      <c r="K7" s="16" t="s">
        <v>12</v>
      </c>
      <c r="L7" s="16" t="s">
        <v>12</v>
      </c>
      <c r="M7" s="59">
        <f>VLOOKUP(B7,[1]Лист1!$O:$U,7,0)</f>
        <v>0</v>
      </c>
      <c r="N7" s="59">
        <f>VLOOKUP(B7,[1]Лист1!$O:$S,5,0)</f>
        <v>0</v>
      </c>
      <c r="O7" s="59">
        <f>VLOOKUP(B7,[1]Лист1!$O:$T,6,0)</f>
        <v>0</v>
      </c>
      <c r="P7" s="60">
        <f>D7-O7</f>
        <v>4329.7</v>
      </c>
      <c r="Q7" s="61" t="str">
        <f>VLOOKUP(B7,[1]Лист1!$O:$R,4,0)</f>
        <v>отгружен</v>
      </c>
    </row>
    <row r="8" spans="1:19" x14ac:dyDescent="0.25">
      <c r="A8" s="58" t="s">
        <v>25</v>
      </c>
      <c r="B8" s="16" t="s">
        <v>55</v>
      </c>
      <c r="C8" s="16" t="s">
        <v>56</v>
      </c>
      <c r="D8" s="16">
        <v>3725.24</v>
      </c>
      <c r="E8" s="25">
        <v>756690.53</v>
      </c>
      <c r="F8" s="16" t="s">
        <v>0</v>
      </c>
      <c r="G8" s="16" t="s">
        <v>14</v>
      </c>
      <c r="H8" s="17">
        <v>46321</v>
      </c>
      <c r="I8" s="16" t="s">
        <v>15</v>
      </c>
      <c r="J8" s="16" t="s">
        <v>12</v>
      </c>
      <c r="K8" s="16" t="s">
        <v>12</v>
      </c>
      <c r="L8" s="16" t="s">
        <v>12</v>
      </c>
      <c r="M8" s="59" t="s">
        <v>80</v>
      </c>
      <c r="N8" s="59">
        <f>VLOOKUP(B8,[1]Лист1!$O:$S,5,0)</f>
        <v>0</v>
      </c>
      <c r="O8" s="59">
        <f>VLOOKUP(B8,[1]Лист1!$O:$T,6,0)</f>
        <v>0</v>
      </c>
      <c r="P8" s="60">
        <f>D8-O8</f>
        <v>3725.24</v>
      </c>
      <c r="Q8" s="61" t="str">
        <f>VLOOKUP(B8,[1]Лист1!$O:$R,4,0)</f>
        <v>отгружен</v>
      </c>
    </row>
    <row r="9" spans="1:19" ht="15.75" thickBot="1" x14ac:dyDescent="0.3">
      <c r="A9" s="72" t="s">
        <v>86</v>
      </c>
      <c r="B9" s="73"/>
      <c r="C9" s="73" t="s">
        <v>67</v>
      </c>
      <c r="D9" s="73">
        <v>180</v>
      </c>
      <c r="E9" s="74"/>
      <c r="F9" s="73"/>
      <c r="G9" s="73"/>
      <c r="H9" s="75"/>
      <c r="I9" s="73"/>
      <c r="J9" s="73"/>
      <c r="K9" s="73"/>
      <c r="L9" s="73"/>
      <c r="M9" s="76"/>
      <c r="N9" s="76"/>
      <c r="O9" s="76"/>
      <c r="P9" s="77"/>
      <c r="Q9" s="78"/>
      <c r="R9" s="36" t="s">
        <v>86</v>
      </c>
      <c r="S9" s="101" t="s">
        <v>92</v>
      </c>
    </row>
    <row r="10" spans="1:19" ht="15.75" thickBot="1" x14ac:dyDescent="0.3">
      <c r="A10" s="92" t="s">
        <v>21</v>
      </c>
      <c r="B10" s="93"/>
      <c r="C10" s="55"/>
      <c r="D10" s="55">
        <f>SUM(D5:D9)</f>
        <v>17557.659999999996</v>
      </c>
      <c r="E10" s="56"/>
      <c r="F10" s="55"/>
      <c r="G10" s="55"/>
      <c r="H10" s="57"/>
      <c r="I10" s="55"/>
      <c r="J10" s="55"/>
      <c r="K10" s="55"/>
      <c r="L10" s="55"/>
      <c r="P10" s="81">
        <f>SUM(P5:P8)</f>
        <v>13057.179999999998</v>
      </c>
    </row>
    <row r="11" spans="1:19" x14ac:dyDescent="0.25">
      <c r="A11" s="41" t="s">
        <v>26</v>
      </c>
      <c r="B11" s="42" t="s">
        <v>57</v>
      </c>
      <c r="C11" s="42" t="s">
        <v>56</v>
      </c>
      <c r="D11" s="42">
        <v>8457.24</v>
      </c>
      <c r="E11" s="43">
        <v>1777906.02</v>
      </c>
      <c r="F11" s="42" t="s">
        <v>0</v>
      </c>
      <c r="G11" s="42" t="s">
        <v>14</v>
      </c>
      <c r="H11" s="44">
        <v>46321</v>
      </c>
      <c r="I11" s="42" t="s">
        <v>15</v>
      </c>
      <c r="J11" s="42" t="s">
        <v>12</v>
      </c>
      <c r="K11" s="42" t="s">
        <v>12</v>
      </c>
      <c r="L11" s="42" t="s">
        <v>12</v>
      </c>
      <c r="M11" s="45">
        <f>VLOOKUP(B11,[1]Лист1!$O:$U,7,0)</f>
        <v>0</v>
      </c>
      <c r="N11" s="45">
        <f>VLOOKUP(B11,[1]Лист1!$O:$S,5,0)</f>
        <v>0</v>
      </c>
      <c r="O11" s="45">
        <f>VLOOKUP(B11,[1]Лист1!$O:$T,6,0)</f>
        <v>0</v>
      </c>
      <c r="P11" s="46">
        <f t="shared" ref="P11:P12" si="0">D11-O11</f>
        <v>8457.24</v>
      </c>
      <c r="Q11" s="47">
        <f>VLOOKUP(B11,[1]Лист1!$O:$R,4,0)</f>
        <v>0</v>
      </c>
    </row>
    <row r="12" spans="1:19" x14ac:dyDescent="0.25">
      <c r="A12" s="58" t="s">
        <v>29</v>
      </c>
      <c r="B12" s="16" t="s">
        <v>61</v>
      </c>
      <c r="C12" s="16" t="s">
        <v>13</v>
      </c>
      <c r="D12" s="16">
        <v>8785.9599999999991</v>
      </c>
      <c r="E12" s="25">
        <v>1970594.01</v>
      </c>
      <c r="F12" s="16" t="s">
        <v>0</v>
      </c>
      <c r="G12" s="16" t="s">
        <v>14</v>
      </c>
      <c r="H12" s="17">
        <v>46321</v>
      </c>
      <c r="I12" s="16" t="s">
        <v>15</v>
      </c>
      <c r="J12" s="16" t="s">
        <v>12</v>
      </c>
      <c r="K12" s="16" t="s">
        <v>12</v>
      </c>
      <c r="L12" s="16" t="s">
        <v>12</v>
      </c>
      <c r="M12" s="59">
        <f>VLOOKUP(B12,[1]Лист1!$O:$U,7,0)</f>
        <v>0</v>
      </c>
      <c r="N12" s="59">
        <f>VLOOKUP(B12,[1]Лист1!$O:$S,5,0)</f>
        <v>0</v>
      </c>
      <c r="O12" s="59">
        <f>VLOOKUP(B12,[1]Лист1!$O:$T,6,0)</f>
        <v>0</v>
      </c>
      <c r="P12" s="60">
        <f t="shared" si="0"/>
        <v>8785.9599999999991</v>
      </c>
      <c r="Q12" s="61">
        <f>VLOOKUP(B12,[1]Лист1!$O:$R,4,0)</f>
        <v>0</v>
      </c>
    </row>
    <row r="13" spans="1:19" ht="15.75" thickBot="1" x14ac:dyDescent="0.3">
      <c r="A13" s="72" t="s">
        <v>86</v>
      </c>
      <c r="B13" s="73"/>
      <c r="C13" s="73" t="s">
        <v>13</v>
      </c>
      <c r="D13" s="73">
        <v>510</v>
      </c>
      <c r="E13" s="74"/>
      <c r="F13" s="73"/>
      <c r="G13" s="73"/>
      <c r="H13" s="75"/>
      <c r="I13" s="73"/>
      <c r="J13" s="73"/>
      <c r="K13" s="73"/>
      <c r="L13" s="73"/>
      <c r="M13" s="76" t="s">
        <v>22</v>
      </c>
      <c r="N13" s="76"/>
      <c r="O13" s="76"/>
      <c r="P13" s="77"/>
      <c r="Q13" s="78"/>
      <c r="R13" s="36" t="s">
        <v>86</v>
      </c>
    </row>
    <row r="14" spans="1:19" ht="15.75" thickBot="1" x14ac:dyDescent="0.3">
      <c r="A14" s="92" t="s">
        <v>21</v>
      </c>
      <c r="B14" s="93"/>
      <c r="C14" s="55"/>
      <c r="D14" s="55">
        <f>SUM(D11:D13)</f>
        <v>17753.199999999997</v>
      </c>
      <c r="E14" s="56"/>
      <c r="F14" s="55"/>
      <c r="G14" s="55"/>
      <c r="H14" s="57"/>
      <c r="I14" s="55"/>
      <c r="J14" s="55"/>
      <c r="K14" s="55"/>
      <c r="L14" s="55"/>
      <c r="P14" s="82">
        <f>SUM(P11:P12)</f>
        <v>17243.199999999997</v>
      </c>
    </row>
    <row r="15" spans="1:19" x14ac:dyDescent="0.25">
      <c r="A15" s="62" t="s">
        <v>32</v>
      </c>
      <c r="B15" s="63" t="s">
        <v>62</v>
      </c>
      <c r="C15" s="63" t="s">
        <v>59</v>
      </c>
      <c r="D15" s="63">
        <f>16677.73-1900</f>
        <v>14777.73</v>
      </c>
      <c r="E15" s="64">
        <v>4389196.3600000003</v>
      </c>
      <c r="F15" s="63" t="s">
        <v>0</v>
      </c>
      <c r="G15" s="63" t="s">
        <v>14</v>
      </c>
      <c r="H15" s="65">
        <v>46321</v>
      </c>
      <c r="I15" s="63" t="s">
        <v>31</v>
      </c>
      <c r="J15" s="63" t="s">
        <v>12</v>
      </c>
      <c r="K15" s="63" t="s">
        <v>12</v>
      </c>
      <c r="L15" s="63" t="s">
        <v>12</v>
      </c>
      <c r="M15" s="66">
        <f>VLOOKUP(B15,[1]Лист1!$O:$U,7,0)</f>
        <v>0</v>
      </c>
      <c r="N15" s="66">
        <f>VLOOKUP(B15,[1]Лист1!$O:$S,5,0)</f>
        <v>0</v>
      </c>
      <c r="O15" s="66">
        <f>VLOOKUP(B15,[1]Лист1!$O:$T,6,0)-1900</f>
        <v>-1900</v>
      </c>
      <c r="P15" s="67">
        <f>D15-O15</f>
        <v>16677.73</v>
      </c>
      <c r="Q15" s="68">
        <f>VLOOKUP(B15,[1]Лист1!$O:$R,4,0)</f>
        <v>0</v>
      </c>
      <c r="R15" s="35" t="s">
        <v>84</v>
      </c>
      <c r="S15" s="91" t="s">
        <v>90</v>
      </c>
    </row>
    <row r="16" spans="1:19" ht="15.75" thickBot="1" x14ac:dyDescent="0.3">
      <c r="A16" s="48" t="s">
        <v>40</v>
      </c>
      <c r="B16" s="49" t="s">
        <v>66</v>
      </c>
      <c r="C16" s="49" t="s">
        <v>67</v>
      </c>
      <c r="D16" s="49">
        <v>1998.14</v>
      </c>
      <c r="E16" s="50">
        <v>484415.92</v>
      </c>
      <c r="F16" s="49" t="s">
        <v>0</v>
      </c>
      <c r="G16" s="49" t="s">
        <v>14</v>
      </c>
      <c r="H16" s="51">
        <v>46321</v>
      </c>
      <c r="I16" s="49" t="s">
        <v>31</v>
      </c>
      <c r="J16" s="49" t="s">
        <v>12</v>
      </c>
      <c r="K16" s="49" t="s">
        <v>12</v>
      </c>
      <c r="L16" s="49" t="s">
        <v>12</v>
      </c>
      <c r="M16" s="52">
        <f>VLOOKUP(B16,[1]Лист1!$O:$U,7,0)</f>
        <v>0</v>
      </c>
      <c r="N16" s="52">
        <f>VLOOKUP(B16,[1]Лист1!$O:$S,5,0)</f>
        <v>0</v>
      </c>
      <c r="O16" s="52">
        <f>VLOOKUP(B16,[1]Лист1!$O:$T,6,0)</f>
        <v>0</v>
      </c>
      <c r="P16" s="53">
        <f>D16-O16</f>
        <v>1998.14</v>
      </c>
      <c r="Q16" s="54">
        <f>VLOOKUP(B16,[1]Лист1!$O:$R,4,0)</f>
        <v>0</v>
      </c>
      <c r="S16" s="91"/>
    </row>
    <row r="17" spans="1:19" ht="15.75" thickBot="1" x14ac:dyDescent="0.3">
      <c r="A17" s="92" t="s">
        <v>21</v>
      </c>
      <c r="B17" s="93"/>
      <c r="C17" s="69"/>
      <c r="D17" s="69">
        <f>SUM(D15:D16)</f>
        <v>16775.87</v>
      </c>
      <c r="E17" s="70"/>
      <c r="F17" s="69"/>
      <c r="G17" s="69"/>
      <c r="H17" s="71"/>
      <c r="I17" s="69"/>
      <c r="J17" s="69"/>
      <c r="K17" s="69"/>
      <c r="L17" s="69"/>
    </row>
    <row r="18" spans="1:19" x14ac:dyDescent="0.25">
      <c r="A18" s="41" t="s">
        <v>34</v>
      </c>
      <c r="B18" s="42" t="s">
        <v>64</v>
      </c>
      <c r="C18" s="42" t="s">
        <v>65</v>
      </c>
      <c r="D18" s="42">
        <v>17075.75</v>
      </c>
      <c r="E18" s="43">
        <v>4187980.36</v>
      </c>
      <c r="F18" s="42" t="s">
        <v>0</v>
      </c>
      <c r="G18" s="42" t="s">
        <v>14</v>
      </c>
      <c r="H18" s="44">
        <v>46321</v>
      </c>
      <c r="I18" s="42" t="s">
        <v>31</v>
      </c>
      <c r="J18" s="42" t="s">
        <v>12</v>
      </c>
      <c r="K18" s="42" t="s">
        <v>12</v>
      </c>
      <c r="L18" s="42" t="s">
        <v>12</v>
      </c>
      <c r="M18" s="45">
        <f>VLOOKUP(B18,[1]Лист1!$O:$U,7,0)</f>
        <v>0</v>
      </c>
      <c r="N18" s="45">
        <f>VLOOKUP(B18,[1]Лист1!$O:$S,5,0)</f>
        <v>0</v>
      </c>
      <c r="O18" s="45">
        <f>VLOOKUP(B18,[1]Лист1!$O:$T,6,0)</f>
        <v>0</v>
      </c>
      <c r="P18" s="46">
        <f>D18-O18</f>
        <v>17075.75</v>
      </c>
      <c r="Q18" s="47" t="str">
        <f>VLOOKUP(B18,[1]Лист1!$O:$R,4,0)</f>
        <v>отгружен</v>
      </c>
      <c r="S18" s="102" t="s">
        <v>91</v>
      </c>
    </row>
    <row r="19" spans="1:19" ht="15.75" thickBot="1" x14ac:dyDescent="0.3">
      <c r="A19" s="72" t="s">
        <v>86</v>
      </c>
      <c r="B19" s="73"/>
      <c r="C19" s="73" t="s">
        <v>65</v>
      </c>
      <c r="D19" s="73">
        <v>300</v>
      </c>
      <c r="E19" s="74"/>
      <c r="F19" s="73"/>
      <c r="G19" s="73"/>
      <c r="H19" s="75"/>
      <c r="I19" s="73"/>
      <c r="J19" s="73"/>
      <c r="K19" s="73"/>
      <c r="L19" s="73"/>
      <c r="M19" s="76"/>
      <c r="N19" s="76"/>
      <c r="O19" s="76"/>
      <c r="P19" s="77"/>
      <c r="Q19" s="78"/>
      <c r="R19" s="36" t="s">
        <v>86</v>
      </c>
      <c r="S19" s="101" t="s">
        <v>92</v>
      </c>
    </row>
    <row r="20" spans="1:19" ht="15.75" thickBot="1" x14ac:dyDescent="0.3">
      <c r="A20" s="92" t="s">
        <v>21</v>
      </c>
      <c r="B20" s="93"/>
      <c r="C20" s="55"/>
      <c r="D20" s="55">
        <f>SUM(D18)</f>
        <v>17075.75</v>
      </c>
      <c r="E20" s="56"/>
      <c r="F20" s="55"/>
      <c r="G20" s="55"/>
      <c r="H20" s="57"/>
      <c r="I20" s="55"/>
      <c r="J20" s="55"/>
      <c r="K20" s="55"/>
      <c r="L20" s="55"/>
      <c r="P20" s="81">
        <f>SUM(P18)</f>
        <v>17075.75</v>
      </c>
    </row>
    <row r="21" spans="1:19" x14ac:dyDescent="0.25">
      <c r="A21" s="41" t="s">
        <v>83</v>
      </c>
      <c r="B21" s="42" t="s">
        <v>85</v>
      </c>
      <c r="C21" s="42"/>
      <c r="D21" s="42">
        <v>7079.1399999999994</v>
      </c>
      <c r="E21" s="43"/>
      <c r="F21" s="42"/>
      <c r="G21" s="42"/>
      <c r="H21" s="44"/>
      <c r="I21" s="42"/>
      <c r="J21" s="42"/>
      <c r="K21" s="42"/>
      <c r="L21" s="42"/>
      <c r="M21" s="45" t="s">
        <v>80</v>
      </c>
      <c r="N21" s="45"/>
      <c r="O21" s="45"/>
      <c r="P21" s="46"/>
      <c r="Q21" s="47">
        <v>6</v>
      </c>
    </row>
    <row r="22" spans="1:19" x14ac:dyDescent="0.25">
      <c r="A22" s="58" t="s">
        <v>38</v>
      </c>
      <c r="B22" s="16" t="s">
        <v>53</v>
      </c>
      <c r="C22" s="16" t="s">
        <v>13</v>
      </c>
      <c r="D22" s="16">
        <v>2922.22</v>
      </c>
      <c r="E22" s="25">
        <v>779572.36</v>
      </c>
      <c r="F22" s="16" t="s">
        <v>0</v>
      </c>
      <c r="G22" s="16" t="s">
        <v>14</v>
      </c>
      <c r="H22" s="17">
        <v>46321</v>
      </c>
      <c r="I22" s="16" t="s">
        <v>31</v>
      </c>
      <c r="J22" s="16" t="s">
        <v>12</v>
      </c>
      <c r="K22" s="16" t="s">
        <v>12</v>
      </c>
      <c r="L22" s="16" t="s">
        <v>12</v>
      </c>
      <c r="M22" s="59">
        <f>VLOOKUP(B22,[1]Лист1!$O:$U,7,0)</f>
        <v>0</v>
      </c>
      <c r="N22" s="59">
        <f>VLOOKUP(B22,[1]Лист1!$O:$S,5,0)</f>
        <v>0</v>
      </c>
      <c r="O22" s="59">
        <f>VLOOKUP(B22,[1]Лист1!$O:$T,6,0)</f>
        <v>0</v>
      </c>
      <c r="P22" s="60">
        <f t="shared" ref="P22" si="1">D22-O22</f>
        <v>2922.22</v>
      </c>
      <c r="Q22" s="61">
        <f>VLOOKUP(B22,[1]Лист1!$O:$R,4,0)</f>
        <v>0</v>
      </c>
    </row>
    <row r="23" spans="1:19" x14ac:dyDescent="0.25">
      <c r="A23" s="83" t="s">
        <v>86</v>
      </c>
      <c r="B23" s="84"/>
      <c r="C23" s="84" t="s">
        <v>13</v>
      </c>
      <c r="D23" s="84">
        <v>330</v>
      </c>
      <c r="E23" s="85"/>
      <c r="F23" s="84"/>
      <c r="G23" s="84"/>
      <c r="H23" s="86"/>
      <c r="I23" s="84"/>
      <c r="J23" s="84"/>
      <c r="K23" s="84"/>
      <c r="L23" s="84"/>
      <c r="M23" s="87"/>
      <c r="N23" s="87"/>
      <c r="O23" s="87"/>
      <c r="P23" s="88"/>
      <c r="Q23" s="89"/>
      <c r="R23" s="36" t="s">
        <v>86</v>
      </c>
    </row>
    <row r="24" spans="1:19" x14ac:dyDescent="0.25">
      <c r="A24" s="58" t="s">
        <v>33</v>
      </c>
      <c r="B24" s="16" t="s">
        <v>63</v>
      </c>
      <c r="C24" s="16" t="s">
        <v>56</v>
      </c>
      <c r="D24" s="16">
        <v>5646.58</v>
      </c>
      <c r="E24" s="25">
        <v>1430093.91</v>
      </c>
      <c r="F24" s="16" t="s">
        <v>0</v>
      </c>
      <c r="G24" s="16" t="s">
        <v>14</v>
      </c>
      <c r="H24" s="17">
        <v>46321</v>
      </c>
      <c r="I24" s="16" t="s">
        <v>31</v>
      </c>
      <c r="J24" s="16" t="s">
        <v>12</v>
      </c>
      <c r="K24" s="16" t="s">
        <v>12</v>
      </c>
      <c r="L24" s="16" t="s">
        <v>12</v>
      </c>
      <c r="M24" s="59">
        <f>VLOOKUP(B24,[1]Лист1!$O:$U,7,0)</f>
        <v>0</v>
      </c>
      <c r="N24" s="59">
        <f>VLOOKUP(B24,[1]Лист1!$O:$S,5,0)</f>
        <v>0</v>
      </c>
      <c r="O24" s="59">
        <f>VLOOKUP(B24,[1]Лист1!$O:$T,6,0)</f>
        <v>0</v>
      </c>
      <c r="P24" s="60">
        <f>D24-O24</f>
        <v>5646.58</v>
      </c>
      <c r="Q24" s="61">
        <f>VLOOKUP(B24,[1]Лист1!$O:$R,4,0)</f>
        <v>0</v>
      </c>
    </row>
    <row r="25" spans="1:19" ht="15.75" thickBot="1" x14ac:dyDescent="0.3">
      <c r="A25" s="72" t="s">
        <v>86</v>
      </c>
      <c r="B25" s="73"/>
      <c r="C25" s="73" t="s">
        <v>56</v>
      </c>
      <c r="D25" s="73">
        <v>1920</v>
      </c>
      <c r="E25" s="74"/>
      <c r="F25" s="73"/>
      <c r="G25" s="73"/>
      <c r="H25" s="75"/>
      <c r="I25" s="73"/>
      <c r="J25" s="73"/>
      <c r="K25" s="73"/>
      <c r="L25" s="73"/>
      <c r="M25" s="76" t="s">
        <v>17</v>
      </c>
      <c r="N25" s="76"/>
      <c r="O25" s="76"/>
      <c r="P25" s="77"/>
      <c r="Q25" s="78">
        <v>6</v>
      </c>
      <c r="R25" s="36" t="s">
        <v>86</v>
      </c>
    </row>
    <row r="26" spans="1:19" ht="15.75" thickBot="1" x14ac:dyDescent="0.3">
      <c r="A26" s="92" t="s">
        <v>21</v>
      </c>
      <c r="B26" s="93"/>
      <c r="C26" s="55"/>
      <c r="D26" s="55">
        <f>SUM(D21:D25)</f>
        <v>17897.939999999999</v>
      </c>
      <c r="E26" s="56"/>
      <c r="F26" s="55"/>
      <c r="G26" s="55"/>
      <c r="H26" s="57"/>
      <c r="I26" s="55"/>
      <c r="J26" s="55"/>
      <c r="K26" s="55"/>
      <c r="L26" s="55"/>
      <c r="P26" s="82">
        <f>SUM(P21:P25)</f>
        <v>8568.7999999999993</v>
      </c>
    </row>
    <row r="27" spans="1:19" x14ac:dyDescent="0.25">
      <c r="A27" s="41" t="s">
        <v>87</v>
      </c>
      <c r="B27" s="42" t="s">
        <v>88</v>
      </c>
      <c r="C27" s="42"/>
      <c r="D27" s="42">
        <v>6391.6800000000012</v>
      </c>
      <c r="E27" s="43"/>
      <c r="F27" s="42"/>
      <c r="G27" s="42"/>
      <c r="H27" s="44"/>
      <c r="I27" s="42"/>
      <c r="J27" s="42"/>
      <c r="K27" s="42"/>
      <c r="L27" s="42"/>
      <c r="M27" s="45" t="s">
        <v>80</v>
      </c>
      <c r="N27" s="45"/>
      <c r="O27" s="45"/>
      <c r="P27" s="46"/>
      <c r="Q27" s="47">
        <v>7</v>
      </c>
    </row>
    <row r="28" spans="1:19" ht="15.75" thickBot="1" x14ac:dyDescent="0.3">
      <c r="A28" s="48" t="s">
        <v>35</v>
      </c>
      <c r="B28" s="49" t="s">
        <v>69</v>
      </c>
      <c r="C28" s="49" t="s">
        <v>59</v>
      </c>
      <c r="D28" s="49">
        <v>11337.57</v>
      </c>
      <c r="E28" s="50">
        <v>2949434.9</v>
      </c>
      <c r="F28" s="49" t="s">
        <v>0</v>
      </c>
      <c r="G28" s="49" t="s">
        <v>14</v>
      </c>
      <c r="H28" s="51">
        <v>46322</v>
      </c>
      <c r="I28" s="49" t="s">
        <v>31</v>
      </c>
      <c r="J28" s="49" t="s">
        <v>12</v>
      </c>
      <c r="K28" s="49" t="s">
        <v>12</v>
      </c>
      <c r="L28" s="49" t="s">
        <v>12</v>
      </c>
      <c r="M28" s="52">
        <f>VLOOKUP(B28,[1]Лист1!$O:$U,7,0)</f>
        <v>0</v>
      </c>
      <c r="N28" s="52">
        <f>VLOOKUP(B28,[1]Лист1!$O:$S,5,0)</f>
        <v>0</v>
      </c>
      <c r="O28" s="52">
        <f>VLOOKUP(B28,[1]Лист1!$O:$T,6,0)</f>
        <v>0</v>
      </c>
      <c r="P28" s="53">
        <f>D28-O28</f>
        <v>11337.57</v>
      </c>
      <c r="Q28" s="54">
        <f>VLOOKUP(B28,[1]Лист1!$O:$R,4,0)</f>
        <v>0</v>
      </c>
    </row>
    <row r="29" spans="1:19" ht="15.75" thickBot="1" x14ac:dyDescent="0.3">
      <c r="A29" s="95" t="s">
        <v>21</v>
      </c>
      <c r="B29" s="95"/>
      <c r="C29" s="55"/>
      <c r="D29" s="55">
        <f>SUM(D27:D28)</f>
        <v>17729.25</v>
      </c>
      <c r="E29" s="56"/>
      <c r="F29" s="55"/>
      <c r="G29" s="55"/>
      <c r="H29" s="57"/>
      <c r="I29" s="55"/>
      <c r="J29" s="55"/>
      <c r="K29" s="55"/>
      <c r="L29" s="55"/>
    </row>
    <row r="30" spans="1:19" x14ac:dyDescent="0.25">
      <c r="A30" s="41" t="s">
        <v>36</v>
      </c>
      <c r="B30" s="42" t="s">
        <v>70</v>
      </c>
      <c r="C30" s="42" t="s">
        <v>65</v>
      </c>
      <c r="D30" s="42">
        <v>12699.64</v>
      </c>
      <c r="E30" s="43">
        <v>3014131.52</v>
      </c>
      <c r="F30" s="42" t="s">
        <v>0</v>
      </c>
      <c r="G30" s="42" t="s">
        <v>14</v>
      </c>
      <c r="H30" s="44">
        <v>46322</v>
      </c>
      <c r="I30" s="42" t="s">
        <v>31</v>
      </c>
      <c r="J30" s="42" t="s">
        <v>12</v>
      </c>
      <c r="K30" s="42" t="s">
        <v>12</v>
      </c>
      <c r="L30" s="42" t="s">
        <v>12</v>
      </c>
      <c r="M30" s="45">
        <f>VLOOKUP(B30,[1]Лист1!$O:$U,7,0)</f>
        <v>0</v>
      </c>
      <c r="N30" s="45">
        <f>VLOOKUP(B30,[1]Лист1!$O:$S,5,0)</f>
        <v>0</v>
      </c>
      <c r="O30" s="45">
        <f>VLOOKUP(B30,[1]Лист1!$O:$T,6,0)</f>
        <v>0</v>
      </c>
      <c r="P30" s="46">
        <f t="shared" ref="P30:P31" si="2">D30-O30</f>
        <v>12699.64</v>
      </c>
      <c r="Q30" s="47">
        <f>VLOOKUP(B30,[1]Лист1!$O:$R,4,0)</f>
        <v>0</v>
      </c>
    </row>
    <row r="31" spans="1:19" ht="15.75" thickBot="1" x14ac:dyDescent="0.3">
      <c r="A31" s="48" t="s">
        <v>37</v>
      </c>
      <c r="B31" s="49" t="s">
        <v>71</v>
      </c>
      <c r="C31" s="49" t="s">
        <v>65</v>
      </c>
      <c r="D31" s="49">
        <v>4991.2</v>
      </c>
      <c r="E31" s="50">
        <v>1146394.73</v>
      </c>
      <c r="F31" s="49" t="s">
        <v>0</v>
      </c>
      <c r="G31" s="49" t="s">
        <v>14</v>
      </c>
      <c r="H31" s="51">
        <v>46322</v>
      </c>
      <c r="I31" s="49" t="s">
        <v>31</v>
      </c>
      <c r="J31" s="49" t="s">
        <v>12</v>
      </c>
      <c r="K31" s="49" t="s">
        <v>12</v>
      </c>
      <c r="L31" s="49" t="s">
        <v>12</v>
      </c>
      <c r="M31" s="52" t="s">
        <v>80</v>
      </c>
      <c r="N31" s="52">
        <f>VLOOKUP(B31,[1]Лист1!$O:$S,5,0)</f>
        <v>0</v>
      </c>
      <c r="O31" s="52">
        <f>VLOOKUP(B31,[1]Лист1!$O:$T,6,0)</f>
        <v>0</v>
      </c>
      <c r="P31" s="53">
        <f t="shared" si="2"/>
        <v>4991.2</v>
      </c>
      <c r="Q31" s="54">
        <f>VLOOKUP(B31,[1]Лист1!$O:$R,4,0)</f>
        <v>0</v>
      </c>
    </row>
    <row r="32" spans="1:19" ht="15.75" thickBot="1" x14ac:dyDescent="0.3">
      <c r="A32" s="95" t="s">
        <v>21</v>
      </c>
      <c r="B32" s="95"/>
      <c r="C32" s="55"/>
      <c r="D32" s="55">
        <f>SUM(D30:D31)</f>
        <v>17690.84</v>
      </c>
      <c r="E32" s="56"/>
      <c r="F32" s="55"/>
      <c r="G32" s="55"/>
      <c r="H32" s="57"/>
      <c r="I32" s="55"/>
      <c r="J32" s="55"/>
      <c r="K32" s="55"/>
      <c r="L32" s="55"/>
      <c r="P32" s="55">
        <f>SUM(P30:P31)</f>
        <v>17690.84</v>
      </c>
    </row>
    <row r="33" spans="1:17" x14ac:dyDescent="0.25">
      <c r="A33" s="41" t="s">
        <v>83</v>
      </c>
      <c r="B33" s="42" t="s">
        <v>89</v>
      </c>
      <c r="C33" s="42"/>
      <c r="D33" s="42">
        <v>12486.280000000002</v>
      </c>
      <c r="E33" s="43"/>
      <c r="F33" s="42"/>
      <c r="G33" s="42"/>
      <c r="H33" s="44"/>
      <c r="I33" s="42"/>
      <c r="J33" s="42"/>
      <c r="K33" s="42"/>
      <c r="L33" s="42"/>
      <c r="M33" s="45" t="s">
        <v>80</v>
      </c>
      <c r="N33" s="45"/>
      <c r="O33" s="45"/>
      <c r="P33" s="46"/>
      <c r="Q33" s="47">
        <v>9</v>
      </c>
    </row>
    <row r="34" spans="1:17" x14ac:dyDescent="0.25">
      <c r="A34" s="58" t="s">
        <v>39</v>
      </c>
      <c r="B34" s="16" t="s">
        <v>72</v>
      </c>
      <c r="C34" s="16" t="s">
        <v>56</v>
      </c>
      <c r="D34" s="16">
        <v>4495.2</v>
      </c>
      <c r="E34" s="25">
        <v>1037097.5</v>
      </c>
      <c r="F34" s="16" t="s">
        <v>0</v>
      </c>
      <c r="G34" s="16" t="s">
        <v>14</v>
      </c>
      <c r="H34" s="17">
        <v>46322</v>
      </c>
      <c r="I34" s="16" t="s">
        <v>31</v>
      </c>
      <c r="J34" s="16" t="s">
        <v>12</v>
      </c>
      <c r="K34" s="16" t="s">
        <v>12</v>
      </c>
      <c r="L34" s="16" t="s">
        <v>12</v>
      </c>
      <c r="M34" s="59" t="s">
        <v>80</v>
      </c>
      <c r="N34" s="59">
        <f>VLOOKUP(B34,[1]Лист1!$O:$S,5,0)</f>
        <v>0</v>
      </c>
      <c r="O34" s="59">
        <f>VLOOKUP(B34,[1]Лист1!$O:$T,6,0)</f>
        <v>0</v>
      </c>
      <c r="P34" s="60">
        <f t="shared" ref="P34:P35" si="3">D34-O34</f>
        <v>4495.2</v>
      </c>
      <c r="Q34" s="61">
        <f>VLOOKUP(B34,[1]Лист1!$O:$R,4,0)</f>
        <v>0</v>
      </c>
    </row>
    <row r="35" spans="1:17" ht="15.75" thickBot="1" x14ac:dyDescent="0.3">
      <c r="A35" s="48" t="s">
        <v>30</v>
      </c>
      <c r="B35" s="49" t="s">
        <v>68</v>
      </c>
      <c r="C35" s="49" t="s">
        <v>56</v>
      </c>
      <c r="D35" s="49">
        <v>1012.8</v>
      </c>
      <c r="E35" s="50">
        <v>231085.62</v>
      </c>
      <c r="F35" s="49" t="s">
        <v>0</v>
      </c>
      <c r="G35" s="49" t="s">
        <v>14</v>
      </c>
      <c r="H35" s="51">
        <v>46322</v>
      </c>
      <c r="I35" s="49" t="s">
        <v>31</v>
      </c>
      <c r="J35" s="49" t="s">
        <v>12</v>
      </c>
      <c r="K35" s="49" t="s">
        <v>12</v>
      </c>
      <c r="L35" s="49" t="s">
        <v>12</v>
      </c>
      <c r="M35" s="52">
        <f>VLOOKUP(B35,[1]Лист1!$O:$U,7,0)</f>
        <v>0</v>
      </c>
      <c r="N35" s="52">
        <f>VLOOKUP(B35,[1]Лист1!$O:$S,5,0)</f>
        <v>0</v>
      </c>
      <c r="O35" s="52">
        <f>VLOOKUP(B35,[1]Лист1!$O:$T,6,0)</f>
        <v>0</v>
      </c>
      <c r="P35" s="53">
        <f t="shared" si="3"/>
        <v>1012.8</v>
      </c>
      <c r="Q35" s="54">
        <f>VLOOKUP(B35,[1]Лист1!$O:$R,4,0)</f>
        <v>0</v>
      </c>
    </row>
    <row r="36" spans="1:17" x14ac:dyDescent="0.25">
      <c r="A36" s="94" t="s">
        <v>21</v>
      </c>
      <c r="B36" s="94"/>
      <c r="C36" s="79"/>
      <c r="D36" s="79">
        <f>SUM(D33:D35)</f>
        <v>17994.280000000002</v>
      </c>
      <c r="E36" s="80"/>
      <c r="F36" s="79"/>
      <c r="G36" s="79"/>
      <c r="H36" s="79"/>
      <c r="I36" s="79"/>
      <c r="J36" s="79"/>
      <c r="K36" s="79"/>
      <c r="L36" s="79"/>
    </row>
  </sheetData>
  <autoFilter ref="A1:L1" xr:uid="{00000000-0009-0000-0000-000001000000}">
    <sortState xmlns:xlrd2="http://schemas.microsoft.com/office/spreadsheetml/2017/richdata2" ref="A2:L26">
      <sortCondition ref="H1"/>
    </sortState>
  </autoFilter>
  <mergeCells count="10">
    <mergeCell ref="A36:B36"/>
    <mergeCell ref="A32:B32"/>
    <mergeCell ref="A29:B29"/>
    <mergeCell ref="A20:B20"/>
    <mergeCell ref="A26:B26"/>
    <mergeCell ref="S15:S16"/>
    <mergeCell ref="A4:B4"/>
    <mergeCell ref="A10:B10"/>
    <mergeCell ref="A14:B14"/>
    <mergeCell ref="A17:B17"/>
  </mergeCells>
  <conditionalFormatting sqref="B35">
    <cfRule type="duplicateValues" dxfId="13" priority="16"/>
  </conditionalFormatting>
  <conditionalFormatting sqref="B37:B1048576 B1:B3 B34 B30:B31 B28 B24 B11 B15 B6:B8">
    <cfRule type="duplicateValues" dxfId="12" priority="18"/>
  </conditionalFormatting>
  <conditionalFormatting sqref="B5">
    <cfRule type="duplicateValues" dxfId="11" priority="29"/>
  </conditionalFormatting>
  <conditionalFormatting sqref="B22:B23">
    <cfRule type="duplicateValues" dxfId="10" priority="12"/>
  </conditionalFormatting>
  <conditionalFormatting sqref="B16">
    <cfRule type="duplicateValues" dxfId="9" priority="11"/>
  </conditionalFormatting>
  <conditionalFormatting sqref="B21">
    <cfRule type="duplicateValues" dxfId="8" priority="10"/>
  </conditionalFormatting>
  <conditionalFormatting sqref="B25">
    <cfRule type="duplicateValues" dxfId="7" priority="9"/>
  </conditionalFormatting>
  <conditionalFormatting sqref="B27">
    <cfRule type="duplicateValues" dxfId="6" priority="8"/>
  </conditionalFormatting>
  <conditionalFormatting sqref="B33">
    <cfRule type="duplicateValues" dxfId="5" priority="7"/>
  </conditionalFormatting>
  <conditionalFormatting sqref="B12">
    <cfRule type="duplicateValues" dxfId="4" priority="6"/>
  </conditionalFormatting>
  <conditionalFormatting sqref="B13">
    <cfRule type="duplicateValues" dxfId="3" priority="5"/>
  </conditionalFormatting>
  <conditionalFormatting sqref="B18">
    <cfRule type="duplicateValues" dxfId="2" priority="3"/>
  </conditionalFormatting>
  <conditionalFormatting sqref="B19">
    <cfRule type="duplicateValues" dxfId="1" priority="2"/>
  </conditionalFormatting>
  <conditionalFormatting sqref="B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F2" sqref="F2"/>
    </sheetView>
  </sheetViews>
  <sheetFormatPr defaultRowHeight="15" x14ac:dyDescent="0.25"/>
  <cols>
    <col min="2" max="2" width="27.140625" customWidth="1"/>
    <col min="9" max="9" width="13.140625" bestFit="1" customWidth="1"/>
  </cols>
  <sheetData>
    <row r="1" spans="1:11" ht="18.75" x14ac:dyDescent="0.25">
      <c r="A1" s="96"/>
      <c r="B1" s="11" t="s">
        <v>22</v>
      </c>
      <c r="C1" s="8" t="s">
        <v>48</v>
      </c>
      <c r="D1" s="8" t="s">
        <v>49</v>
      </c>
      <c r="E1" s="8" t="s">
        <v>50</v>
      </c>
      <c r="F1" s="8">
        <v>2964.2200000000003</v>
      </c>
      <c r="G1" s="5">
        <v>0.41666666666666669</v>
      </c>
      <c r="H1">
        <v>2964.22</v>
      </c>
      <c r="I1" t="s">
        <v>53</v>
      </c>
      <c r="J1">
        <v>6340136</v>
      </c>
      <c r="K1">
        <f>H1</f>
        <v>2964.22</v>
      </c>
    </row>
    <row r="2" spans="1:11" ht="18.75" x14ac:dyDescent="0.25">
      <c r="A2" s="96"/>
      <c r="B2" s="11" t="s">
        <v>17</v>
      </c>
      <c r="C2" s="8" t="s">
        <v>48</v>
      </c>
      <c r="D2" s="8" t="s">
        <v>49</v>
      </c>
      <c r="E2" s="8" t="s">
        <v>50</v>
      </c>
      <c r="F2" s="8">
        <v>5919.58</v>
      </c>
      <c r="G2" s="5">
        <v>0.41666666666666669</v>
      </c>
      <c r="H2" s="24" t="s">
        <v>74</v>
      </c>
    </row>
    <row r="3" spans="1:11" ht="19.5" thickBot="1" x14ac:dyDescent="0.3">
      <c r="A3" s="97"/>
      <c r="B3" s="15" t="s">
        <v>16</v>
      </c>
      <c r="C3" s="13" t="s">
        <v>48</v>
      </c>
      <c r="D3" s="13" t="s">
        <v>49</v>
      </c>
      <c r="E3" s="13" t="s">
        <v>50</v>
      </c>
      <c r="F3" s="13">
        <v>1998.1400000000003</v>
      </c>
      <c r="G3" s="10">
        <v>0.41666666666666669</v>
      </c>
      <c r="H3">
        <v>1998.14</v>
      </c>
      <c r="I3" t="s">
        <v>66</v>
      </c>
      <c r="J3">
        <v>6340384</v>
      </c>
      <c r="K3">
        <f t="shared" ref="K3:K15" si="0">H3</f>
        <v>1998.14</v>
      </c>
    </row>
    <row r="4" spans="1:11" ht="19.5" thickBot="1" x14ac:dyDescent="0.3">
      <c r="A4" s="7">
        <v>5</v>
      </c>
      <c r="B4" s="4" t="s">
        <v>18</v>
      </c>
      <c r="C4" s="2" t="s">
        <v>48</v>
      </c>
      <c r="D4" s="2" t="s">
        <v>49</v>
      </c>
      <c r="E4" s="2" t="s">
        <v>50</v>
      </c>
      <c r="F4" s="2">
        <v>16677.73</v>
      </c>
      <c r="G4" s="14">
        <v>0.45833333333333331</v>
      </c>
      <c r="H4">
        <v>16677.73</v>
      </c>
      <c r="I4" t="s">
        <v>62</v>
      </c>
      <c r="J4">
        <v>6340144</v>
      </c>
      <c r="K4">
        <f t="shared" si="0"/>
        <v>16677.73</v>
      </c>
    </row>
    <row r="5" spans="1:11" ht="19.5" thickBot="1" x14ac:dyDescent="0.3">
      <c r="A5" s="12">
        <v>6</v>
      </c>
      <c r="B5" s="9" t="s">
        <v>19</v>
      </c>
      <c r="C5" s="6" t="s">
        <v>48</v>
      </c>
      <c r="D5" s="6" t="s">
        <v>49</v>
      </c>
      <c r="E5" s="6" t="s">
        <v>50</v>
      </c>
      <c r="F5" s="6">
        <v>17379.25</v>
      </c>
      <c r="G5" s="3">
        <v>0.5</v>
      </c>
      <c r="H5">
        <v>17075.75</v>
      </c>
      <c r="I5" t="s">
        <v>64</v>
      </c>
      <c r="J5">
        <v>6340194</v>
      </c>
      <c r="K5">
        <f t="shared" si="0"/>
        <v>17075.75</v>
      </c>
    </row>
    <row r="6" spans="1:11" ht="18.75" x14ac:dyDescent="0.25">
      <c r="A6" s="98">
        <v>7</v>
      </c>
      <c r="B6" s="18" t="s">
        <v>22</v>
      </c>
      <c r="C6" s="19" t="s">
        <v>51</v>
      </c>
      <c r="D6" s="19" t="s">
        <v>49</v>
      </c>
      <c r="E6" s="19" t="s">
        <v>50</v>
      </c>
      <c r="F6" s="19">
        <v>1543.4800000000002</v>
      </c>
      <c r="G6" s="20">
        <v>0.41666666666666669</v>
      </c>
      <c r="H6">
        <v>1543.48</v>
      </c>
      <c r="I6" t="s">
        <v>75</v>
      </c>
      <c r="J6">
        <v>6340435</v>
      </c>
      <c r="K6">
        <f t="shared" si="0"/>
        <v>1543.48</v>
      </c>
    </row>
    <row r="7" spans="1:11" ht="18.75" x14ac:dyDescent="0.25">
      <c r="A7" s="98"/>
      <c r="B7" s="18" t="s">
        <v>17</v>
      </c>
      <c r="C7" s="19" t="s">
        <v>51</v>
      </c>
      <c r="D7" s="19" t="s">
        <v>49</v>
      </c>
      <c r="E7" s="19" t="s">
        <v>50</v>
      </c>
      <c r="F7" s="19">
        <v>7117.6800000000012</v>
      </c>
      <c r="G7" s="20">
        <v>0.41666666666666669</v>
      </c>
      <c r="H7">
        <v>7117.68</v>
      </c>
      <c r="I7" t="s">
        <v>76</v>
      </c>
      <c r="J7">
        <v>6340295</v>
      </c>
      <c r="K7">
        <f t="shared" si="0"/>
        <v>7117.68</v>
      </c>
    </row>
    <row r="8" spans="1:11" ht="19.5" thickBot="1" x14ac:dyDescent="0.3">
      <c r="A8" s="99"/>
      <c r="B8" s="4" t="s">
        <v>16</v>
      </c>
      <c r="C8" s="2" t="s">
        <v>51</v>
      </c>
      <c r="D8" s="2" t="s">
        <v>49</v>
      </c>
      <c r="E8" s="2" t="s">
        <v>50</v>
      </c>
      <c r="F8" s="2">
        <v>6229.5600000000013</v>
      </c>
      <c r="G8" s="14">
        <v>0.41666666666666669</v>
      </c>
      <c r="H8">
        <v>6229.5</v>
      </c>
      <c r="I8" t="s">
        <v>77</v>
      </c>
      <c r="J8">
        <v>6340296</v>
      </c>
      <c r="K8">
        <f t="shared" si="0"/>
        <v>6229.5</v>
      </c>
    </row>
    <row r="9" spans="1:11" ht="19.5" thickBot="1" x14ac:dyDescent="0.3">
      <c r="A9" s="7"/>
      <c r="B9" s="4" t="s">
        <v>18</v>
      </c>
      <c r="C9" s="2" t="s">
        <v>48</v>
      </c>
      <c r="D9" s="2" t="s">
        <v>52</v>
      </c>
      <c r="E9" s="2" t="s">
        <v>50</v>
      </c>
      <c r="F9" s="2">
        <v>11337.57</v>
      </c>
      <c r="G9" s="14">
        <v>0.41666666666666669</v>
      </c>
      <c r="H9">
        <v>11337.57</v>
      </c>
      <c r="I9" t="s">
        <v>69</v>
      </c>
      <c r="J9">
        <v>6340213</v>
      </c>
      <c r="K9">
        <f t="shared" si="0"/>
        <v>11337.57</v>
      </c>
    </row>
    <row r="10" spans="1:11" ht="18.75" x14ac:dyDescent="0.25">
      <c r="A10" s="100">
        <v>12</v>
      </c>
      <c r="B10" s="21" t="s">
        <v>19</v>
      </c>
      <c r="C10" s="22" t="s">
        <v>48</v>
      </c>
      <c r="D10" s="22" t="s">
        <v>52</v>
      </c>
      <c r="E10" s="22" t="s">
        <v>50</v>
      </c>
      <c r="F10" s="22">
        <v>5063.2</v>
      </c>
      <c r="G10" s="23">
        <v>0.45833333333333331</v>
      </c>
      <c r="H10">
        <v>5063.2</v>
      </c>
      <c r="I10" t="s">
        <v>71</v>
      </c>
      <c r="J10">
        <v>6340110</v>
      </c>
      <c r="K10">
        <f t="shared" si="0"/>
        <v>5063.2</v>
      </c>
    </row>
    <row r="11" spans="1:11" ht="19.5" thickBot="1" x14ac:dyDescent="0.3">
      <c r="A11" s="97"/>
      <c r="B11" s="15" t="s">
        <v>19</v>
      </c>
      <c r="C11" s="13" t="s">
        <v>48</v>
      </c>
      <c r="D11" s="13" t="s">
        <v>52</v>
      </c>
      <c r="E11" s="13" t="s">
        <v>50</v>
      </c>
      <c r="F11" s="13">
        <v>12699.64</v>
      </c>
      <c r="G11" s="10">
        <v>0.45833333333333331</v>
      </c>
      <c r="H11">
        <v>12699.64</v>
      </c>
      <c r="I11" t="s">
        <v>70</v>
      </c>
      <c r="J11">
        <v>6340109</v>
      </c>
      <c r="K11">
        <f t="shared" si="0"/>
        <v>12699.64</v>
      </c>
    </row>
    <row r="12" spans="1:11" ht="18.75" x14ac:dyDescent="0.25">
      <c r="A12" s="98"/>
      <c r="B12" s="18" t="s">
        <v>17</v>
      </c>
      <c r="C12" s="19" t="s">
        <v>48</v>
      </c>
      <c r="D12" s="19" t="s">
        <v>52</v>
      </c>
      <c r="E12" s="19" t="s">
        <v>50</v>
      </c>
      <c r="F12" s="19">
        <v>4495.2</v>
      </c>
      <c r="G12" s="20">
        <v>0.5</v>
      </c>
      <c r="H12">
        <v>4495.2</v>
      </c>
      <c r="I12" t="s">
        <v>72</v>
      </c>
      <c r="J12">
        <v>6340128</v>
      </c>
      <c r="K12">
        <f t="shared" si="0"/>
        <v>4495.2</v>
      </c>
    </row>
    <row r="13" spans="1:11" ht="19.5" thickBot="1" x14ac:dyDescent="0.3">
      <c r="A13" s="99"/>
      <c r="B13" s="4" t="s">
        <v>17</v>
      </c>
      <c r="C13" s="2" t="s">
        <v>48</v>
      </c>
      <c r="D13" s="2" t="s">
        <v>52</v>
      </c>
      <c r="E13" s="2" t="s">
        <v>50</v>
      </c>
      <c r="F13" s="2">
        <v>1012.8000000000001</v>
      </c>
      <c r="G13" s="14">
        <v>0.5</v>
      </c>
      <c r="H13">
        <v>1012.8</v>
      </c>
      <c r="I13" t="s">
        <v>68</v>
      </c>
      <c r="J13">
        <v>6340048</v>
      </c>
      <c r="K13">
        <f t="shared" si="0"/>
        <v>1012.8</v>
      </c>
    </row>
    <row r="14" spans="1:11" ht="19.5" thickBot="1" x14ac:dyDescent="0.3">
      <c r="A14" s="7">
        <v>15</v>
      </c>
      <c r="B14" s="4" t="s">
        <v>19</v>
      </c>
      <c r="C14" s="2" t="s">
        <v>51</v>
      </c>
      <c r="D14" s="2" t="s">
        <v>52</v>
      </c>
      <c r="E14" s="2" t="s">
        <v>50</v>
      </c>
      <c r="F14" s="2">
        <v>12427.880000000001</v>
      </c>
      <c r="G14" s="14">
        <v>0.45833333333333331</v>
      </c>
      <c r="H14">
        <v>12427.88</v>
      </c>
      <c r="I14" t="s">
        <v>78</v>
      </c>
      <c r="J14">
        <v>6340156</v>
      </c>
      <c r="K14">
        <f t="shared" si="0"/>
        <v>12427.88</v>
      </c>
    </row>
    <row r="15" spans="1:11" ht="19.5" thickBot="1" x14ac:dyDescent="0.3">
      <c r="A15" s="12">
        <v>16</v>
      </c>
      <c r="B15" s="9" t="s">
        <v>18</v>
      </c>
      <c r="C15" s="6" t="s">
        <v>51</v>
      </c>
      <c r="D15" s="6" t="s">
        <v>52</v>
      </c>
      <c r="E15" s="6" t="s">
        <v>50</v>
      </c>
      <c r="F15" s="6">
        <v>12988.240000000002</v>
      </c>
      <c r="G15" s="3">
        <v>0.5</v>
      </c>
      <c r="H15">
        <v>12988.24</v>
      </c>
      <c r="I15" t="s">
        <v>79</v>
      </c>
      <c r="J15">
        <v>6340159</v>
      </c>
      <c r="K15">
        <f t="shared" si="0"/>
        <v>12988.24</v>
      </c>
    </row>
  </sheetData>
  <mergeCells count="4">
    <mergeCell ref="A1:A3"/>
    <mergeCell ref="A6:A8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ЗПФ</vt:lpstr>
      <vt:lpstr>КИ</vt:lpstr>
      <vt:lpstr>Лист2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2026-10-12T07:04:38Z</dcterms:created>
  <dcterms:modified xsi:type="dcterms:W3CDTF">2026-10-27T10:03:35Z</dcterms:modified>
</cp:coreProperties>
</file>