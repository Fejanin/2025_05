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B62A7B1A-7997-424C-BE0C-050C1C8306CB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КИ" sheetId="1" r:id="rId1"/>
    <sheet name="Лист2" sheetId="2" r:id="rId2"/>
  </sheets>
  <calcPr calcId="18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27" i="1" l="1"/>
  <c r="D24" i="1"/>
  <c r="D20" i="1"/>
  <c r="D15" i="1"/>
  <c r="D10" i="1"/>
  <c r="D17" i="1" l="1"/>
  <c r="D6" i="1"/>
  <c r="D3" i="1"/>
</calcChain>
</file>

<file path=xl/sharedStrings.xml><?xml version="1.0" encoding="utf-8"?>
<sst xmlns="http://schemas.openxmlformats.org/spreadsheetml/2006/main" count="152" uniqueCount="68">
  <si>
    <t>Заказ</t>
  </si>
  <si>
    <t>"Счет на" в заказе</t>
  </si>
  <si>
    <t>Краткое наименование</t>
  </si>
  <si>
    <t>Вес нетто</t>
  </si>
  <si>
    <t>Сумма заказа</t>
  </si>
  <si>
    <t>Тип заказа</t>
  </si>
  <si>
    <t>Статус</t>
  </si>
  <si>
    <t>Дата поставки</t>
  </si>
  <si>
    <t>Время огрузки</t>
  </si>
  <si>
    <t>Блокировано по КЛ</t>
  </si>
  <si>
    <t>Блокировано по УПДЗ</t>
  </si>
  <si>
    <t>Блокировано по предоплате</t>
  </si>
  <si>
    <t>6320577</t>
  </si>
  <si>
    <t>Блокировано</t>
  </si>
  <si>
    <t>10:00:00</t>
  </si>
  <si>
    <t>Да</t>
  </si>
  <si>
    <t>Нет</t>
  </si>
  <si>
    <t>6320579</t>
  </si>
  <si>
    <t>11:00:00</t>
  </si>
  <si>
    <t>6320581</t>
  </si>
  <si>
    <t>13:00:00</t>
  </si>
  <si>
    <t>6320582</t>
  </si>
  <si>
    <t>Фин.контроль пройден</t>
  </si>
  <si>
    <t>00:10:00</t>
  </si>
  <si>
    <t>6320585</t>
  </si>
  <si>
    <t>12:00:00</t>
  </si>
  <si>
    <t>6320586</t>
  </si>
  <si>
    <t>Предложение</t>
  </si>
  <si>
    <t>Открыто</t>
  </si>
  <si>
    <t>6320589</t>
  </si>
  <si>
    <t>6320603</t>
  </si>
  <si>
    <t>6320604</t>
  </si>
  <si>
    <t>6320605</t>
  </si>
  <si>
    <t>6320608</t>
  </si>
  <si>
    <t>6320651</t>
  </si>
  <si>
    <t>Итого:</t>
  </si>
  <si>
    <t>TSO001124310</t>
  </si>
  <si>
    <t>Луганск</t>
  </si>
  <si>
    <t>TSO001124208</t>
  </si>
  <si>
    <t>Донецк</t>
  </si>
  <si>
    <t>TSO001124687</t>
  </si>
  <si>
    <t>TSO001126458</t>
  </si>
  <si>
    <t>TSO001126470</t>
  </si>
  <si>
    <t>TSO001126497</t>
  </si>
  <si>
    <t>TSO001127060</t>
  </si>
  <si>
    <t>TSO001127051</t>
  </si>
  <si>
    <t>Мелитополь</t>
  </si>
  <si>
    <t>TSO001127055</t>
  </si>
  <si>
    <t>Бердянск</t>
  </si>
  <si>
    <t>TSO001126469</t>
  </si>
  <si>
    <t>TSO001126456</t>
  </si>
  <si>
    <t>TSO001127052</t>
  </si>
  <si>
    <t>Мариуполь</t>
  </si>
  <si>
    <t>30 паллет</t>
  </si>
  <si>
    <t>догружаем сырами</t>
  </si>
  <si>
    <t>TSO001126457</t>
  </si>
  <si>
    <t>???????????</t>
  </si>
  <si>
    <t>TSO001126471</t>
  </si>
  <si>
    <t>ЛП</t>
  </si>
  <si>
    <t>сегодня отправили</t>
  </si>
  <si>
    <t>ВСЕ ЗАБИРАЕМ 27,09,26</t>
  </si>
  <si>
    <t>???</t>
  </si>
  <si>
    <t>Сочи</t>
  </si>
  <si>
    <t>TSO001126498</t>
  </si>
  <si>
    <t>TSO001126499</t>
  </si>
  <si>
    <t>КСК</t>
  </si>
  <si>
    <t>Симферополь</t>
  </si>
  <si>
    <t>TSO001127083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</si>
</sst>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8"/>
      <color theme="3"/>
      <name val="Calibri Light"/>
      <family val="2"/>
      <charset val="204"/>
      <scheme val="major"/>
    </font>
    <font>
      <b/>
      <sz val="15"/>
      <color theme="3"/>
      <name val="Calibri"/>
      <family val="2"/>
      <charset val="204"/>
      <scheme val="minor"/>
    </font>
    <font>
      <b/>
      <sz val="13"/>
      <color theme="3"/>
      <name val="Calibri"/>
      <family val="2"/>
      <charset val="204"/>
      <scheme val="minor"/>
    </font>
    <font>
      <b/>
      <sz val="11"/>
      <color theme="3"/>
      <name val="Calibri"/>
      <family val="2"/>
      <charset val="204"/>
      <scheme val="minor"/>
    </font>
    <font>
      <sz val="11"/>
      <color rgb="FF006100"/>
      <name val="Calibri"/>
      <family val="2"/>
      <charset val="204"/>
      <scheme val="minor"/>
    </font>
    <font>
      <sz val="11"/>
      <color rgb="FF9C0006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11"/>
      <color rgb="FF3F3F76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rgb="FFFA7D00"/>
      <name val="Calibri"/>
      <family val="2"/>
      <charset val="204"/>
      <scheme val="minor"/>
    </font>
    <font>
      <sz val="11"/>
      <color rgb="FFFA7D00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i/>
      <sz val="11"/>
      <color rgb="FF7F7F7F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color theme="0"/>
      <name val="Calibri"/>
      <family val="2"/>
      <charset val="204"/>
      <scheme val="minor"/>
    </font>
    <font>
      <sz val="11"/>
      <color indexed="8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rgb="FFFF0000"/>
      <name val="Calibri"/>
      <family val="2"/>
      <charset val="204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</fills>
  <borders count="3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/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/>
      <bottom/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66">
    <xf numFmtId="0" fontId="0" fillId="0" borderId="0" xfId="0"/>
    <xf numFmtId="0" fontId="0" fillId="34" borderId="0" xfId="0" applyFill="1"/>
    <xf numFmtId="0" fontId="0" fillId="0" borderId="0" xfId="0" applyBorder="1"/>
    <xf numFmtId="0" fontId="18" fillId="0" borderId="10" xfId="42" applyBorder="1"/>
    <xf numFmtId="4" fontId="18" fillId="0" borderId="10" xfId="42" applyNumberFormat="1" applyBorder="1"/>
    <xf numFmtId="0" fontId="18" fillId="34" borderId="10" xfId="42" applyFill="1" applyBorder="1"/>
    <xf numFmtId="14" fontId="18" fillId="0" borderId="10" xfId="42" applyNumberFormat="1" applyBorder="1"/>
    <xf numFmtId="0" fontId="18" fillId="35" borderId="10" xfId="42" applyFill="1" applyBorder="1"/>
    <xf numFmtId="4" fontId="18" fillId="35" borderId="10" xfId="42" applyNumberFormat="1" applyFill="1" applyBorder="1"/>
    <xf numFmtId="14" fontId="18" fillId="35" borderId="10" xfId="42" applyNumberFormat="1" applyFill="1" applyBorder="1"/>
    <xf numFmtId="0" fontId="19" fillId="0" borderId="11" xfId="42" applyFont="1" applyBorder="1" applyAlignment="1">
      <alignment horizontal="center" vertical="center" wrapText="1"/>
    </xf>
    <xf numFmtId="0" fontId="19" fillId="0" borderId="11" xfId="42" quotePrefix="1" applyFont="1" applyBorder="1" applyAlignment="1">
      <alignment horizontal="center" vertical="center" wrapText="1"/>
    </xf>
    <xf numFmtId="0" fontId="19" fillId="0" borderId="11" xfId="42" applyFont="1" applyFill="1" applyBorder="1" applyAlignment="1">
      <alignment horizontal="center" vertical="center" wrapText="1"/>
    </xf>
    <xf numFmtId="0" fontId="18" fillId="0" borderId="18" xfId="42" applyBorder="1"/>
    <xf numFmtId="0" fontId="0" fillId="0" borderId="19" xfId="0" applyBorder="1"/>
    <xf numFmtId="0" fontId="18" fillId="0" borderId="19" xfId="42" applyBorder="1"/>
    <xf numFmtId="4" fontId="18" fillId="0" borderId="19" xfId="42" applyNumberFormat="1" applyBorder="1"/>
    <xf numFmtId="0" fontId="18" fillId="33" borderId="19" xfId="42" applyFill="1" applyBorder="1"/>
    <xf numFmtId="14" fontId="18" fillId="0" borderId="19" xfId="42" applyNumberFormat="1" applyBorder="1"/>
    <xf numFmtId="0" fontId="0" fillId="0" borderId="20" xfId="0" applyBorder="1"/>
    <xf numFmtId="0" fontId="0" fillId="0" borderId="21" xfId="0" applyBorder="1"/>
    <xf numFmtId="0" fontId="18" fillId="33" borderId="12" xfId="42" applyFill="1" applyBorder="1"/>
    <xf numFmtId="4" fontId="18" fillId="0" borderId="12" xfId="42" applyNumberFormat="1" applyBorder="1"/>
    <xf numFmtId="0" fontId="18" fillId="0" borderId="12" xfId="42" applyBorder="1"/>
    <xf numFmtId="14" fontId="18" fillId="0" borderId="12" xfId="42" applyNumberFormat="1" applyBorder="1"/>
    <xf numFmtId="0" fontId="18" fillId="0" borderId="23" xfId="42" applyBorder="1"/>
    <xf numFmtId="0" fontId="0" fillId="0" borderId="24" xfId="0" applyBorder="1"/>
    <xf numFmtId="0" fontId="18" fillId="0" borderId="24" xfId="42" applyBorder="1"/>
    <xf numFmtId="4" fontId="18" fillId="0" borderId="24" xfId="42" applyNumberFormat="1" applyBorder="1"/>
    <xf numFmtId="0" fontId="18" fillId="33" borderId="24" xfId="42" applyFill="1" applyBorder="1"/>
    <xf numFmtId="14" fontId="18" fillId="0" borderId="24" xfId="42" applyNumberFormat="1" applyBorder="1"/>
    <xf numFmtId="0" fontId="0" fillId="0" borderId="26" xfId="0" applyBorder="1"/>
    <xf numFmtId="0" fontId="18" fillId="0" borderId="27" xfId="42" applyBorder="1"/>
    <xf numFmtId="0" fontId="0" fillId="0" borderId="28" xfId="0" applyBorder="1"/>
    <xf numFmtId="0" fontId="18" fillId="0" borderId="28" xfId="42" applyBorder="1"/>
    <xf numFmtId="4" fontId="18" fillId="0" borderId="28" xfId="42" applyNumberFormat="1" applyBorder="1"/>
    <xf numFmtId="0" fontId="18" fillId="33" borderId="28" xfId="42" applyFill="1" applyBorder="1"/>
    <xf numFmtId="14" fontId="18" fillId="0" borderId="28" xfId="42" applyNumberFormat="1" applyBorder="1"/>
    <xf numFmtId="0" fontId="0" fillId="0" borderId="30" xfId="0" applyBorder="1"/>
    <xf numFmtId="0" fontId="18" fillId="34" borderId="24" xfId="42" applyFill="1" applyBorder="1"/>
    <xf numFmtId="0" fontId="0" fillId="0" borderId="25" xfId="0" applyBorder="1"/>
    <xf numFmtId="0" fontId="18" fillId="35" borderId="31" xfId="42" applyFill="1" applyBorder="1"/>
    <xf numFmtId="0" fontId="0" fillId="0" borderId="32" xfId="0" applyBorder="1"/>
    <xf numFmtId="0" fontId="18" fillId="34" borderId="28" xfId="42" applyFill="1" applyBorder="1"/>
    <xf numFmtId="0" fontId="0" fillId="0" borderId="29" xfId="0" applyBorder="1"/>
    <xf numFmtId="0" fontId="18" fillId="34" borderId="12" xfId="42" applyFill="1" applyBorder="1"/>
    <xf numFmtId="0" fontId="18" fillId="0" borderId="31" xfId="42" applyBorder="1"/>
    <xf numFmtId="0" fontId="18" fillId="35" borderId="27" xfId="42" applyFill="1" applyBorder="1"/>
    <xf numFmtId="0" fontId="18" fillId="34" borderId="19" xfId="42" applyFill="1" applyBorder="1"/>
    <xf numFmtId="0" fontId="0" fillId="0" borderId="17" xfId="0" applyBorder="1"/>
    <xf numFmtId="0" fontId="18" fillId="35" borderId="23" xfId="42" applyFill="1" applyBorder="1"/>
    <xf numFmtId="0" fontId="0" fillId="0" borderId="12" xfId="0" applyBorder="1"/>
    <xf numFmtId="0" fontId="0" fillId="0" borderId="25" xfId="0" applyBorder="1" applyAlignment="1">
      <alignment horizontal="left" vertical="center"/>
    </xf>
    <xf numFmtId="0" fontId="0" fillId="0" borderId="29" xfId="0" applyBorder="1" applyAlignment="1">
      <alignment horizontal="left" vertical="center"/>
    </xf>
    <xf numFmtId="0" fontId="20" fillId="0" borderId="25" xfId="0" applyFont="1" applyBorder="1" applyAlignment="1">
      <alignment horizontal="center" vertical="center" wrapText="1"/>
    </xf>
    <xf numFmtId="0" fontId="20" fillId="0" borderId="0" xfId="0" applyFont="1" applyBorder="1" applyAlignment="1">
      <alignment horizontal="center" vertical="center" wrapText="1"/>
    </xf>
    <xf numFmtId="0" fontId="20" fillId="0" borderId="29" xfId="0" applyFont="1" applyBorder="1" applyAlignment="1">
      <alignment horizontal="center" vertical="center" wrapText="1"/>
    </xf>
    <xf numFmtId="0" fontId="18" fillId="34" borderId="13" xfId="42" applyFill="1" applyBorder="1" applyAlignment="1">
      <alignment horizontal="center"/>
    </xf>
    <xf numFmtId="0" fontId="18" fillId="34" borderId="0" xfId="42" applyFill="1" applyBorder="1" applyAlignment="1">
      <alignment horizontal="center"/>
    </xf>
    <xf numFmtId="0" fontId="18" fillId="34" borderId="22" xfId="42" applyFill="1" applyBorder="1" applyAlignment="1">
      <alignment horizontal="center"/>
    </xf>
    <xf numFmtId="0" fontId="18" fillId="34" borderId="14" xfId="42" applyFill="1" applyBorder="1" applyAlignment="1">
      <alignment horizontal="center"/>
    </xf>
    <xf numFmtId="0" fontId="18" fillId="34" borderId="15" xfId="42" applyFill="1" applyBorder="1" applyAlignment="1">
      <alignment horizontal="center"/>
    </xf>
    <xf numFmtId="0" fontId="18" fillId="34" borderId="16" xfId="42" applyFill="1" applyBorder="1" applyAlignment="1">
      <alignment horizontal="center"/>
    </xf>
    <xf numFmtId="0" fontId="18" fillId="33" borderId="13" xfId="42" applyFill="1" applyBorder="1" applyAlignment="1">
      <alignment horizontal="center"/>
    </xf>
    <xf numFmtId="0" fontId="18" fillId="33" borderId="0" xfId="42" applyFill="1" applyBorder="1" applyAlignment="1">
      <alignment horizontal="center"/>
    </xf>
    <xf numFmtId="0" fontId="18" fillId="33" borderId="22" xfId="42" applyFill="1" applyBorder="1" applyAlignment="1">
      <alignment horizontal="center"/>
    </xf>
  </cellXfs>
  <cellStyles count="43">
    <cellStyle name="20% — акцент1" xfId="19" builtinId="30" customBuiltin="1"/>
    <cellStyle name="20% — акцент2" xfId="23" builtinId="34" customBuiltin="1"/>
    <cellStyle name="20% — акцент3" xfId="27" builtinId="38" customBuiltin="1"/>
    <cellStyle name="20% — акцент4" xfId="31" builtinId="42" customBuiltin="1"/>
    <cellStyle name="20% — акцент5" xfId="35" builtinId="46" customBuiltin="1"/>
    <cellStyle name="20% — акцент6" xfId="39" builtinId="50" customBuiltin="1"/>
    <cellStyle name="40% — акцент1" xfId="20" builtinId="31" customBuiltin="1"/>
    <cellStyle name="40% — акцент2" xfId="24" builtinId="35" customBuiltin="1"/>
    <cellStyle name="40% — акцент3" xfId="28" builtinId="39" customBuiltin="1"/>
    <cellStyle name="40% — акцент4" xfId="32" builtinId="43" customBuiltin="1"/>
    <cellStyle name="40% — акцент5" xfId="36" builtinId="47" customBuiltin="1"/>
    <cellStyle name="40% — акцент6" xfId="40" builtinId="51" customBuiltin="1"/>
    <cellStyle name="60% — акцент1" xfId="21" builtinId="32" customBuiltin="1"/>
    <cellStyle name="60% — акцент2" xfId="25" builtinId="36" customBuiltin="1"/>
    <cellStyle name="60% — акцент3" xfId="29" builtinId="40" customBuiltin="1"/>
    <cellStyle name="60% — акцент4" xfId="33" builtinId="44" customBuiltin="1"/>
    <cellStyle name="60% — акцент5" xfId="37" builtinId="48" customBuiltin="1"/>
    <cellStyle name="60% — акцент6" xfId="41" builtinId="52" customBuiltin="1"/>
    <cellStyle name="Акцент1" xfId="18" builtinId="29" customBuiltin="1"/>
    <cellStyle name="Акцент2" xfId="22" builtinId="33" customBuiltin="1"/>
    <cellStyle name="Акцент3" xfId="26" builtinId="37" customBuiltin="1"/>
    <cellStyle name="Акцент4" xfId="30" builtinId="41" customBuiltin="1"/>
    <cellStyle name="Акцент5" xfId="34" builtinId="45" customBuiltin="1"/>
    <cellStyle name="Акцент6" xfId="38" builtinId="49" customBuiltin="1"/>
    <cellStyle name="Ввод " xfId="9" builtinId="20" customBuiltin="1"/>
    <cellStyle name="Вывод" xfId="10" builtinId="21" customBuiltin="1"/>
    <cellStyle name="Вычисление" xfId="11" builtinId="22" customBuiltin="1"/>
    <cellStyle name="Заголовок 1" xfId="2" builtinId="16" customBuiltin="1"/>
    <cellStyle name="Заголовок 2" xfId="3" builtinId="17" customBuiltin="1"/>
    <cellStyle name="Заголовок 3" xfId="4" builtinId="18" customBuiltin="1"/>
    <cellStyle name="Заголовок 4" xfId="5" builtinId="19" customBuiltin="1"/>
    <cellStyle name="Итог" xfId="17" builtinId="25" customBuiltin="1"/>
    <cellStyle name="Контрольная ячейка" xfId="13" builtinId="23" customBuiltin="1"/>
    <cellStyle name="Название" xfId="1" builtinId="15" customBuiltin="1"/>
    <cellStyle name="Нейтральный" xfId="8" builtinId="28" customBuiltin="1"/>
    <cellStyle name="Обычный" xfId="0" builtinId="0"/>
    <cellStyle name="Обычный 2" xfId="42" xr:uid="{00000000-0005-0000-0000-000024000000}"/>
    <cellStyle name="Плохой" xfId="7" builtinId="27" customBuiltin="1"/>
    <cellStyle name="Пояснение" xfId="16" builtinId="53" customBuiltin="1"/>
    <cellStyle name="Примечание" xfId="15" builtinId="10" customBuiltin="1"/>
    <cellStyle name="Связанная ячейка" xfId="12" builtinId="24" customBuiltin="1"/>
    <cellStyle name="Текст предупреждения" xfId="14" builtinId="11" customBuiltin="1"/>
    <cellStyle name="Хороший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7"/>
  <sheetViews>
    <sheetView tabSelected="1" zoomScaleNormal="100" workbookViewId="0">
      <selection activeCell="Q10" sqref="Q10"/>
    </sheetView>
  </sheetViews>
  <sheetFormatPr defaultRowHeight="15" x14ac:dyDescent="0.25"/>
  <cols>
    <col min="2" max="2" width="18.140625" customWidth="1"/>
    <col min="3" max="3" width="11.5703125" bestFit="1" customWidth="1"/>
    <col min="4" max="4" width="9.42578125" customWidth="1"/>
    <col min="5" max="5" width="12.85546875" bestFit="1" customWidth="1"/>
    <col min="6" max="6" width="13" bestFit="1" customWidth="1"/>
    <col min="7" max="7" width="21.140625" bestFit="1" customWidth="1"/>
    <col min="8" max="8" width="12" customWidth="1"/>
    <col min="12" max="12" width="12.140625" customWidth="1"/>
    <col min="13" max="13" width="10.140625" bestFit="1" customWidth="1"/>
    <col min="14" max="14" width="18.85546875" bestFit="1" customWidth="1"/>
    <col min="15" max="15" width="6.7109375" customWidth="1"/>
  </cols>
  <sheetData>
    <row r="1" spans="1:15" ht="45.75" thickBot="1" x14ac:dyDescent="0.3">
      <c r="A1" s="10" t="s">
        <v>0</v>
      </c>
      <c r="B1" s="11" t="s">
        <v>1</v>
      </c>
      <c r="C1" s="10" t="s">
        <v>2</v>
      </c>
      <c r="D1" s="10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</row>
    <row r="2" spans="1:15" ht="15.75" thickBot="1" x14ac:dyDescent="0.3">
      <c r="A2" s="13" t="s">
        <v>21</v>
      </c>
      <c r="B2" s="14" t="s">
        <v>36</v>
      </c>
      <c r="C2" s="14" t="s">
        <v>37</v>
      </c>
      <c r="D2" s="15">
        <v>16833.14</v>
      </c>
      <c r="E2" s="16">
        <v>4124407.95</v>
      </c>
      <c r="F2" s="15" t="s">
        <v>0</v>
      </c>
      <c r="G2" s="17" t="s">
        <v>22</v>
      </c>
      <c r="H2" s="18">
        <v>46290</v>
      </c>
      <c r="I2" s="15" t="s">
        <v>23</v>
      </c>
      <c r="J2" s="15" t="s">
        <v>15</v>
      </c>
      <c r="K2" s="15" t="s">
        <v>16</v>
      </c>
      <c r="L2" s="15" t="s">
        <v>16</v>
      </c>
      <c r="M2" s="19" t="s">
        <v>53</v>
      </c>
      <c r="N2" s="19" t="s">
        <v>54</v>
      </c>
      <c r="O2" s="20">
        <v>22.09</v>
      </c>
    </row>
    <row r="3" spans="1:15" ht="24" customHeight="1" thickBot="1" x14ac:dyDescent="0.3">
      <c r="A3" s="63" t="s">
        <v>35</v>
      </c>
      <c r="B3" s="64"/>
      <c r="C3" s="65"/>
      <c r="D3" s="21">
        <f>SUM(D2)</f>
        <v>16833.14</v>
      </c>
      <c r="E3" s="22"/>
      <c r="F3" s="23"/>
      <c r="G3" s="23"/>
      <c r="H3" s="24"/>
      <c r="I3" s="23"/>
      <c r="J3" s="23"/>
      <c r="K3" s="23"/>
      <c r="L3" s="23"/>
      <c r="M3" s="2"/>
      <c r="N3" s="2"/>
      <c r="O3" s="2"/>
    </row>
    <row r="4" spans="1:15" x14ac:dyDescent="0.25">
      <c r="A4" s="25" t="s">
        <v>32</v>
      </c>
      <c r="B4" s="26" t="s">
        <v>38</v>
      </c>
      <c r="C4" s="26" t="s">
        <v>39</v>
      </c>
      <c r="D4" s="27">
        <v>14922.56</v>
      </c>
      <c r="E4" s="28">
        <v>3808639.15</v>
      </c>
      <c r="F4" s="27" t="s">
        <v>0</v>
      </c>
      <c r="G4" s="29" t="s">
        <v>22</v>
      </c>
      <c r="H4" s="30">
        <v>46290</v>
      </c>
      <c r="I4" s="27" t="s">
        <v>23</v>
      </c>
      <c r="J4" s="27" t="s">
        <v>15</v>
      </c>
      <c r="K4" s="27" t="s">
        <v>16</v>
      </c>
      <c r="L4" s="27" t="s">
        <v>16</v>
      </c>
      <c r="M4" s="52" t="s">
        <v>53</v>
      </c>
      <c r="N4" s="52" t="s">
        <v>54</v>
      </c>
      <c r="O4" s="31">
        <v>21.09</v>
      </c>
    </row>
    <row r="5" spans="1:15" ht="15.75" thickBot="1" x14ac:dyDescent="0.3">
      <c r="A5" s="32" t="s">
        <v>34</v>
      </c>
      <c r="B5" s="33" t="s">
        <v>40</v>
      </c>
      <c r="C5" s="33" t="s">
        <v>39</v>
      </c>
      <c r="D5" s="34">
        <v>1905</v>
      </c>
      <c r="E5" s="35">
        <v>304648.95</v>
      </c>
      <c r="F5" s="34" t="s">
        <v>0</v>
      </c>
      <c r="G5" s="36" t="s">
        <v>22</v>
      </c>
      <c r="H5" s="37">
        <v>46290</v>
      </c>
      <c r="I5" s="34" t="s">
        <v>23</v>
      </c>
      <c r="J5" s="34" t="s">
        <v>15</v>
      </c>
      <c r="K5" s="34" t="s">
        <v>16</v>
      </c>
      <c r="L5" s="34" t="s">
        <v>16</v>
      </c>
      <c r="M5" s="53"/>
      <c r="N5" s="53"/>
      <c r="O5" s="38">
        <v>21.09</v>
      </c>
    </row>
    <row r="6" spans="1:15" ht="24" customHeight="1" thickBot="1" x14ac:dyDescent="0.3">
      <c r="A6" s="63" t="s">
        <v>35</v>
      </c>
      <c r="B6" s="64"/>
      <c r="C6" s="65"/>
      <c r="D6" s="21">
        <f>SUM(D4:D5)</f>
        <v>16827.559999999998</v>
      </c>
      <c r="E6" s="22"/>
      <c r="F6" s="23"/>
      <c r="G6" s="23"/>
      <c r="H6" s="24"/>
      <c r="I6" s="23"/>
      <c r="J6" s="23"/>
      <c r="K6" s="23"/>
      <c r="L6" s="23"/>
    </row>
    <row r="7" spans="1:15" x14ac:dyDescent="0.25">
      <c r="A7" s="25" t="s">
        <v>12</v>
      </c>
      <c r="B7" s="27" t="s">
        <v>41</v>
      </c>
      <c r="C7" s="27" t="s">
        <v>37</v>
      </c>
      <c r="D7" s="27">
        <v>8135.28</v>
      </c>
      <c r="E7" s="28">
        <v>1957741.51</v>
      </c>
      <c r="F7" s="27" t="s">
        <v>0</v>
      </c>
      <c r="G7" s="39" t="s">
        <v>13</v>
      </c>
      <c r="H7" s="30">
        <v>46291</v>
      </c>
      <c r="I7" s="27" t="s">
        <v>14</v>
      </c>
      <c r="J7" s="27" t="s">
        <v>15</v>
      </c>
      <c r="K7" s="27" t="s">
        <v>16</v>
      </c>
      <c r="L7" s="27" t="s">
        <v>16</v>
      </c>
      <c r="M7" s="40"/>
      <c r="N7" s="40"/>
      <c r="O7" s="31">
        <v>26.09</v>
      </c>
    </row>
    <row r="8" spans="1:15" x14ac:dyDescent="0.25">
      <c r="A8" s="41" t="s">
        <v>61</v>
      </c>
      <c r="B8" s="7" t="s">
        <v>55</v>
      </c>
      <c r="C8" s="7" t="s">
        <v>37</v>
      </c>
      <c r="D8" s="7">
        <v>917.64</v>
      </c>
      <c r="E8" s="8"/>
      <c r="F8" s="7"/>
      <c r="G8" s="7" t="s">
        <v>56</v>
      </c>
      <c r="H8" s="9"/>
      <c r="I8" s="7"/>
      <c r="J8" s="7"/>
      <c r="K8" s="7"/>
      <c r="L8" s="7"/>
      <c r="M8" s="2"/>
      <c r="N8" s="2"/>
      <c r="O8" s="42">
        <v>26.09</v>
      </c>
    </row>
    <row r="9" spans="1:15" ht="15.75" thickBot="1" x14ac:dyDescent="0.3">
      <c r="A9" s="32" t="s">
        <v>31</v>
      </c>
      <c r="B9" s="34" t="s">
        <v>50</v>
      </c>
      <c r="C9" s="34" t="s">
        <v>37</v>
      </c>
      <c r="D9" s="34">
        <v>8643.5400000000009</v>
      </c>
      <c r="E9" s="35">
        <v>2186079.06</v>
      </c>
      <c r="F9" s="34" t="s">
        <v>0</v>
      </c>
      <c r="G9" s="43" t="s">
        <v>13</v>
      </c>
      <c r="H9" s="37">
        <v>46291</v>
      </c>
      <c r="I9" s="34" t="s">
        <v>14</v>
      </c>
      <c r="J9" s="34" t="s">
        <v>15</v>
      </c>
      <c r="K9" s="34" t="s">
        <v>16</v>
      </c>
      <c r="L9" s="34" t="s">
        <v>16</v>
      </c>
      <c r="M9" s="44"/>
      <c r="N9" s="44"/>
      <c r="O9" s="38">
        <v>26.09</v>
      </c>
    </row>
    <row r="10" spans="1:15" ht="24" customHeight="1" thickBot="1" x14ac:dyDescent="0.3">
      <c r="A10" s="57" t="s">
        <v>35</v>
      </c>
      <c r="B10" s="58"/>
      <c r="C10" s="59"/>
      <c r="D10" s="45">
        <f>SUM(D7:D9)</f>
        <v>17696.46</v>
      </c>
      <c r="E10" s="22"/>
      <c r="F10" s="23"/>
      <c r="G10" s="23"/>
      <c r="H10" s="24"/>
      <c r="I10" s="23"/>
      <c r="J10" s="23"/>
      <c r="K10" s="23"/>
      <c r="L10" s="23"/>
    </row>
    <row r="11" spans="1:15" x14ac:dyDescent="0.25">
      <c r="A11" s="25" t="s">
        <v>17</v>
      </c>
      <c r="B11" s="27" t="s">
        <v>42</v>
      </c>
      <c r="C11" s="27" t="s">
        <v>39</v>
      </c>
      <c r="D11" s="27">
        <v>2218.1999999999998</v>
      </c>
      <c r="E11" s="28">
        <v>524159.06</v>
      </c>
      <c r="F11" s="27" t="s">
        <v>0</v>
      </c>
      <c r="G11" s="39" t="s">
        <v>13</v>
      </c>
      <c r="H11" s="30">
        <v>46291</v>
      </c>
      <c r="I11" s="27" t="s">
        <v>18</v>
      </c>
      <c r="J11" s="27" t="s">
        <v>15</v>
      </c>
      <c r="K11" s="27" t="s">
        <v>16</v>
      </c>
      <c r="L11" s="27" t="s">
        <v>16</v>
      </c>
      <c r="M11" s="40"/>
      <c r="N11" s="54" t="s">
        <v>60</v>
      </c>
      <c r="O11" s="31">
        <v>26.09</v>
      </c>
    </row>
    <row r="12" spans="1:15" x14ac:dyDescent="0.25">
      <c r="A12" s="46" t="s">
        <v>30</v>
      </c>
      <c r="B12" s="3" t="s">
        <v>49</v>
      </c>
      <c r="C12" s="3" t="s">
        <v>39</v>
      </c>
      <c r="D12" s="3">
        <v>10534.85</v>
      </c>
      <c r="E12" s="4">
        <v>2469301.84</v>
      </c>
      <c r="F12" s="3" t="s">
        <v>0</v>
      </c>
      <c r="G12" s="5" t="s">
        <v>13</v>
      </c>
      <c r="H12" s="6">
        <v>46291</v>
      </c>
      <c r="I12" s="3" t="s">
        <v>18</v>
      </c>
      <c r="J12" s="3" t="s">
        <v>15</v>
      </c>
      <c r="K12" s="3" t="s">
        <v>16</v>
      </c>
      <c r="L12" s="3" t="s">
        <v>16</v>
      </c>
      <c r="M12" s="2"/>
      <c r="N12" s="55"/>
      <c r="O12" s="42">
        <v>26.09</v>
      </c>
    </row>
    <row r="13" spans="1:15" x14ac:dyDescent="0.25">
      <c r="A13" s="41" t="s">
        <v>58</v>
      </c>
      <c r="B13" s="3" t="s">
        <v>57</v>
      </c>
      <c r="C13" s="3" t="s">
        <v>62</v>
      </c>
      <c r="D13" s="3">
        <v>920.1</v>
      </c>
      <c r="E13" s="4"/>
      <c r="F13" s="3"/>
      <c r="G13" s="5"/>
      <c r="H13" s="6"/>
      <c r="I13" s="3"/>
      <c r="J13" s="3"/>
      <c r="K13" s="3"/>
      <c r="L13" s="3"/>
      <c r="M13" s="2"/>
      <c r="N13" s="55"/>
      <c r="O13" s="42">
        <v>26.09</v>
      </c>
    </row>
    <row r="14" spans="1:15" ht="15.75" thickBot="1" x14ac:dyDescent="0.3">
      <c r="A14" s="47" t="s">
        <v>58</v>
      </c>
      <c r="B14" s="34" t="s">
        <v>59</v>
      </c>
      <c r="C14" s="34" t="s">
        <v>62</v>
      </c>
      <c r="D14" s="34">
        <v>3755.04</v>
      </c>
      <c r="E14" s="35"/>
      <c r="F14" s="34"/>
      <c r="G14" s="43"/>
      <c r="H14" s="37"/>
      <c r="I14" s="34"/>
      <c r="J14" s="34"/>
      <c r="K14" s="34"/>
      <c r="L14" s="34"/>
      <c r="M14" s="44"/>
      <c r="N14" s="56"/>
      <c r="O14" s="38">
        <v>27.09</v>
      </c>
    </row>
    <row r="15" spans="1:15" ht="24" customHeight="1" thickBot="1" x14ac:dyDescent="0.3">
      <c r="A15" s="57" t="s">
        <v>35</v>
      </c>
      <c r="B15" s="58"/>
      <c r="C15" s="59"/>
      <c r="D15" s="45">
        <f>SUM(D11:D14)</f>
        <v>17428.189999999999</v>
      </c>
      <c r="E15" s="22"/>
      <c r="F15" s="23"/>
      <c r="G15" s="23"/>
      <c r="H15" s="24"/>
      <c r="I15" s="23"/>
      <c r="J15" s="23"/>
      <c r="K15" s="23"/>
      <c r="L15" s="23"/>
    </row>
    <row r="16" spans="1:15" ht="15.75" thickBot="1" x14ac:dyDescent="0.3">
      <c r="A16" s="13" t="s">
        <v>24</v>
      </c>
      <c r="B16" s="15" t="s">
        <v>44</v>
      </c>
      <c r="C16" s="15" t="s">
        <v>39</v>
      </c>
      <c r="D16" s="15">
        <v>17596.78</v>
      </c>
      <c r="E16" s="16">
        <v>3874349.11</v>
      </c>
      <c r="F16" s="15" t="s">
        <v>0</v>
      </c>
      <c r="G16" s="48" t="s">
        <v>13</v>
      </c>
      <c r="H16" s="18">
        <v>46292</v>
      </c>
      <c r="I16" s="15" t="s">
        <v>25</v>
      </c>
      <c r="J16" s="15" t="s">
        <v>15</v>
      </c>
      <c r="K16" s="15" t="s">
        <v>16</v>
      </c>
      <c r="L16" s="15" t="s">
        <v>16</v>
      </c>
      <c r="M16" s="19"/>
      <c r="N16" s="19"/>
      <c r="O16" s="20">
        <v>27.09</v>
      </c>
    </row>
    <row r="17" spans="1:15" ht="24" customHeight="1" thickBot="1" x14ac:dyDescent="0.3">
      <c r="A17" s="57" t="s">
        <v>35</v>
      </c>
      <c r="B17" s="58"/>
      <c r="C17" s="59"/>
      <c r="D17" s="45">
        <f>SUM(D16)</f>
        <v>17596.78</v>
      </c>
      <c r="E17" s="22"/>
      <c r="F17" s="23"/>
      <c r="G17" s="23"/>
      <c r="H17" s="24"/>
      <c r="I17" s="23"/>
      <c r="J17" s="23"/>
      <c r="K17" s="23"/>
      <c r="L17" s="23"/>
    </row>
    <row r="18" spans="1:15" x14ac:dyDescent="0.25">
      <c r="A18" s="25" t="s">
        <v>26</v>
      </c>
      <c r="B18" s="27" t="s">
        <v>45</v>
      </c>
      <c r="C18" s="27" t="s">
        <v>46</v>
      </c>
      <c r="D18" s="27">
        <v>13916.16</v>
      </c>
      <c r="E18" s="28">
        <v>3131303.19</v>
      </c>
      <c r="F18" s="27" t="s">
        <v>27</v>
      </c>
      <c r="G18" s="39" t="s">
        <v>28</v>
      </c>
      <c r="H18" s="30">
        <v>46292</v>
      </c>
      <c r="I18" s="27" t="s">
        <v>14</v>
      </c>
      <c r="J18" s="27" t="s">
        <v>15</v>
      </c>
      <c r="K18" s="27" t="s">
        <v>16</v>
      </c>
      <c r="L18" s="27" t="s">
        <v>16</v>
      </c>
      <c r="M18" s="40"/>
      <c r="N18" s="40"/>
      <c r="O18" s="31">
        <v>27.09</v>
      </c>
    </row>
    <row r="19" spans="1:15" ht="15.75" thickBot="1" x14ac:dyDescent="0.3">
      <c r="A19" s="32" t="s">
        <v>33</v>
      </c>
      <c r="B19" s="34" t="s">
        <v>51</v>
      </c>
      <c r="C19" s="34" t="s">
        <v>52</v>
      </c>
      <c r="D19" s="34">
        <v>3931.3</v>
      </c>
      <c r="E19" s="35">
        <v>984233.1</v>
      </c>
      <c r="F19" s="34" t="s">
        <v>27</v>
      </c>
      <c r="G19" s="43" t="s">
        <v>28</v>
      </c>
      <c r="H19" s="37">
        <v>46292</v>
      </c>
      <c r="I19" s="34" t="s">
        <v>14</v>
      </c>
      <c r="J19" s="34" t="s">
        <v>15</v>
      </c>
      <c r="K19" s="34" t="s">
        <v>16</v>
      </c>
      <c r="L19" s="34" t="s">
        <v>16</v>
      </c>
      <c r="M19" s="44"/>
      <c r="N19" s="44"/>
      <c r="O19" s="38">
        <v>27.09</v>
      </c>
    </row>
    <row r="20" spans="1:15" ht="24" customHeight="1" thickBot="1" x14ac:dyDescent="0.3">
      <c r="A20" s="57" t="s">
        <v>35</v>
      </c>
      <c r="B20" s="58"/>
      <c r="C20" s="59"/>
      <c r="D20" s="45">
        <f>SUM(D18:D19)</f>
        <v>17847.46</v>
      </c>
      <c r="E20" s="22"/>
      <c r="F20" s="23"/>
      <c r="G20" s="23"/>
      <c r="H20" s="24"/>
      <c r="I20" s="23"/>
      <c r="J20" s="23"/>
      <c r="K20" s="23"/>
      <c r="L20" s="23"/>
    </row>
    <row r="21" spans="1:15" x14ac:dyDescent="0.25">
      <c r="A21" s="50" t="s">
        <v>58</v>
      </c>
      <c r="B21" s="27" t="s">
        <v>63</v>
      </c>
      <c r="C21" s="27" t="s">
        <v>62</v>
      </c>
      <c r="D21" s="27">
        <v>2503.7999999999997</v>
      </c>
      <c r="E21" s="28"/>
      <c r="F21" s="27"/>
      <c r="G21" s="39"/>
      <c r="H21" s="30"/>
      <c r="I21" s="27"/>
      <c r="J21" s="27"/>
      <c r="K21" s="27"/>
      <c r="L21" s="27"/>
      <c r="M21" s="40"/>
      <c r="N21" s="40"/>
      <c r="O21" s="31">
        <v>26.09</v>
      </c>
    </row>
    <row r="22" spans="1:15" x14ac:dyDescent="0.25">
      <c r="A22" s="41" t="s">
        <v>58</v>
      </c>
      <c r="B22" s="3" t="s">
        <v>64</v>
      </c>
      <c r="C22" s="3" t="s">
        <v>62</v>
      </c>
      <c r="D22" s="3">
        <v>5722.3</v>
      </c>
      <c r="E22" s="4"/>
      <c r="F22" s="3"/>
      <c r="G22" s="5"/>
      <c r="H22" s="6"/>
      <c r="I22" s="3"/>
      <c r="J22" s="3"/>
      <c r="K22" s="3"/>
      <c r="L22" s="3"/>
      <c r="M22" s="2"/>
      <c r="N22" s="2"/>
      <c r="O22" s="42">
        <v>26.09</v>
      </c>
    </row>
    <row r="23" spans="1:15" ht="15.75" thickBot="1" x14ac:dyDescent="0.3">
      <c r="A23" s="32" t="s">
        <v>19</v>
      </c>
      <c r="B23" s="34" t="s">
        <v>43</v>
      </c>
      <c r="C23" s="34" t="s">
        <v>37</v>
      </c>
      <c r="D23" s="34">
        <v>9399.86</v>
      </c>
      <c r="E23" s="35">
        <v>2341273</v>
      </c>
      <c r="F23" s="34" t="s">
        <v>0</v>
      </c>
      <c r="G23" s="43" t="s">
        <v>13</v>
      </c>
      <c r="H23" s="37">
        <v>46291</v>
      </c>
      <c r="I23" s="34" t="s">
        <v>20</v>
      </c>
      <c r="J23" s="34" t="s">
        <v>15</v>
      </c>
      <c r="K23" s="34" t="s">
        <v>16</v>
      </c>
      <c r="L23" s="34" t="s">
        <v>16</v>
      </c>
      <c r="M23" s="44"/>
      <c r="N23" s="44"/>
      <c r="O23" s="38">
        <v>26.09</v>
      </c>
    </row>
    <row r="24" spans="1:15" ht="24" customHeight="1" thickBot="1" x14ac:dyDescent="0.3">
      <c r="A24" s="57" t="s">
        <v>35</v>
      </c>
      <c r="B24" s="58"/>
      <c r="C24" s="59"/>
      <c r="D24" s="1">
        <f>SUM(D21:D23)</f>
        <v>17625.96</v>
      </c>
      <c r="E24" s="51"/>
      <c r="F24" s="51"/>
      <c r="G24" s="51"/>
      <c r="H24" s="51"/>
      <c r="I24" s="51"/>
      <c r="J24" s="51"/>
      <c r="K24" s="51"/>
      <c r="L24" s="51"/>
    </row>
    <row r="25" spans="1:15" x14ac:dyDescent="0.25">
      <c r="A25" s="50" t="s">
        <v>65</v>
      </c>
      <c r="B25" s="27" t="s">
        <v>67</v>
      </c>
      <c r="C25" s="27" t="s">
        <v>66</v>
      </c>
      <c r="D25" s="27">
        <v>12165.6</v>
      </c>
      <c r="E25" s="28"/>
      <c r="F25" s="27"/>
      <c r="G25" s="39"/>
      <c r="H25" s="30"/>
      <c r="I25" s="27"/>
      <c r="J25" s="27"/>
      <c r="K25" s="27"/>
      <c r="L25" s="27"/>
      <c r="M25" s="40"/>
      <c r="N25" s="40"/>
      <c r="O25" s="31">
        <v>27.09</v>
      </c>
    </row>
    <row r="26" spans="1:15" ht="15.75" thickBot="1" x14ac:dyDescent="0.3">
      <c r="A26" s="32" t="s">
        <v>29</v>
      </c>
      <c r="B26" s="34" t="s">
        <v>47</v>
      </c>
      <c r="C26" s="34" t="s">
        <v>48</v>
      </c>
      <c r="D26" s="34">
        <v>5466.94</v>
      </c>
      <c r="E26" s="35">
        <v>1326191.97</v>
      </c>
      <c r="F26" s="34" t="s">
        <v>27</v>
      </c>
      <c r="G26" s="43" t="s">
        <v>28</v>
      </c>
      <c r="H26" s="37">
        <v>46292</v>
      </c>
      <c r="I26" s="34" t="s">
        <v>18</v>
      </c>
      <c r="J26" s="34" t="s">
        <v>15</v>
      </c>
      <c r="K26" s="34" t="s">
        <v>16</v>
      </c>
      <c r="L26" s="34" t="s">
        <v>16</v>
      </c>
      <c r="M26" s="44"/>
      <c r="N26" s="44"/>
      <c r="O26" s="38">
        <v>27.09</v>
      </c>
    </row>
    <row r="27" spans="1:15" ht="24" customHeight="1" x14ac:dyDescent="0.25">
      <c r="A27" s="60" t="s">
        <v>35</v>
      </c>
      <c r="B27" s="61"/>
      <c r="C27" s="62"/>
      <c r="D27" s="1">
        <f>SUM(D25:D26)</f>
        <v>17632.54</v>
      </c>
      <c r="E27" s="49"/>
      <c r="F27" s="49"/>
      <c r="G27" s="49"/>
      <c r="H27" s="49"/>
      <c r="I27" s="49"/>
      <c r="J27" s="49"/>
      <c r="K27" s="49"/>
      <c r="L27" s="49"/>
    </row>
  </sheetData>
  <mergeCells count="11">
    <mergeCell ref="A3:C3"/>
    <mergeCell ref="A6:C6"/>
    <mergeCell ref="A10:C10"/>
    <mergeCell ref="A15:C15"/>
    <mergeCell ref="A20:C20"/>
    <mergeCell ref="A17:C17"/>
    <mergeCell ref="M4:M5"/>
    <mergeCell ref="N4:N5"/>
    <mergeCell ref="N11:N14"/>
    <mergeCell ref="A24:C24"/>
    <mergeCell ref="A27:C27"/>
  </mergeCells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КИ</vt:lpstr>
      <vt:lpstr>Лист2</vt:lpstr>
    </vt:vector>
  </TitlesOfParts>
  <Company>Organization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Users</dc:creator>
  <cp:lastModifiedBy>Uaer4</cp:lastModifiedBy>
  <dcterms:created xsi:type="dcterms:W3CDTF">2026-09-25T08:55:11Z</dcterms:created>
  <dcterms:modified xsi:type="dcterms:W3CDTF">2026-09-25T09:35:41Z</dcterms:modified>
</cp:coreProperties>
</file>