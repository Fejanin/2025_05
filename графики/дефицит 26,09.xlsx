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AEF1FF85-42D9-453D-99E0-A40C313AA2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Лист1!$A$1:$J$17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6" i="1" l="1"/>
  <c r="K12" i="1"/>
  <c r="K9" i="1"/>
  <c r="K6" i="1"/>
  <c r="K2" i="1"/>
</calcChain>
</file>

<file path=xl/sharedStrings.xml><?xml version="1.0" encoding="utf-8"?>
<sst xmlns="http://schemas.openxmlformats.org/spreadsheetml/2006/main" count="101" uniqueCount="29">
  <si>
    <t>Комментарий</t>
  </si>
  <si>
    <t>Способ поставки</t>
  </si>
  <si>
    <t>Внешний номер заказа</t>
  </si>
  <si>
    <t>Заказ на продажу</t>
  </si>
  <si>
    <t>Внешний код клиента</t>
  </si>
  <si>
    <t>Код единицы продаж</t>
  </si>
  <si>
    <t>Наименование варианта</t>
  </si>
  <si>
    <t>Количество, кг</t>
  </si>
  <si>
    <t>Запрошенная дата отгрузки</t>
  </si>
  <si>
    <t>Время отгрузки</t>
  </si>
  <si>
    <t>на после 23:00</t>
  </si>
  <si>
    <t>Самовывоз</t>
  </si>
  <si>
    <t>TSO001126456</t>
  </si>
  <si>
    <t>НВЛугРабоч</t>
  </si>
  <si>
    <t>SU004044</t>
  </si>
  <si>
    <t>Колбаса полукопченая Сервелат Ореховый ТМ Вязанка фиброуз мгс вес УВС СК2</t>
  </si>
  <si>
    <t>SU004039</t>
  </si>
  <si>
    <t>Колбаса варено-копченая Балыковая ТМ Вязанка фиброуз в/у ф/в 0,28 кг срез СК2</t>
  </si>
  <si>
    <t>SU002848</t>
  </si>
  <si>
    <t>Колбаса варено-копченая Сервелат Мясорубский ТМ Стародворье с мелкорубленным окороком фиброуз в/у ф/в 0,35 кг срез УВС СК2</t>
  </si>
  <si>
    <t>SU002947</t>
  </si>
  <si>
    <t>Колбаса полукопченая Сочинка рубленная с сочным окороком ТМ Стародворье фиброуз в/у вес СК2</t>
  </si>
  <si>
    <t>TSO001126457</t>
  </si>
  <si>
    <t>SU002941</t>
  </si>
  <si>
    <t>Колбаса варено-копченая Сочинка по-европейски с сочной грудинкой ТМ Стародворье фиброуз в/у вес СК2</t>
  </si>
  <si>
    <t>TSO001126458</t>
  </si>
  <si>
    <t>TSO001126469</t>
  </si>
  <si>
    <t>НВДонецЧаа</t>
  </si>
  <si>
    <t>TSO001126497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</si>
</sst>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vertical="center" wrapText="1"/>
    </xf>
    <xf numFmtId="20" fontId="2" fillId="3" borderId="4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14" fontId="2" fillId="4" borderId="4" xfId="0" applyNumberFormat="1" applyFont="1" applyFill="1" applyBorder="1" applyAlignment="1">
      <alignment vertical="center" wrapText="1"/>
    </xf>
    <xf numFmtId="20" fontId="2" fillId="4" borderId="4" xfId="0" applyNumberFormat="1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right" vertical="center" wrapText="1"/>
    </xf>
    <xf numFmtId="14" fontId="2" fillId="5" borderId="4" xfId="0" applyNumberFormat="1" applyFont="1" applyFill="1" applyBorder="1" applyAlignment="1">
      <alignment vertical="center" wrapText="1"/>
    </xf>
    <xf numFmtId="20" fontId="2" fillId="5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  <xf numFmtId="14" fontId="2" fillId="6" borderId="4" xfId="0" applyNumberFormat="1" applyFont="1" applyFill="1" applyBorder="1" applyAlignment="1">
      <alignment vertical="center" wrapText="1"/>
    </xf>
    <xf numFmtId="20" fontId="2" fillId="6" borderId="4" xfId="0" applyNumberFormat="1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right" vertical="center" wrapText="1"/>
    </xf>
    <xf numFmtId="14" fontId="2" fillId="7" borderId="4" xfId="0" applyNumberFormat="1" applyFont="1" applyFill="1" applyBorder="1" applyAlignment="1">
      <alignment vertical="center" wrapText="1"/>
    </xf>
    <xf numFmtId="20" fontId="2" fillId="7" borderId="4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4" sqref="N4"/>
    </sheetView>
  </sheetViews>
  <sheetFormatPr defaultRowHeight="15" x14ac:dyDescent="0.25"/>
  <cols>
    <col min="4" max="4" width="15.7109375" customWidth="1"/>
    <col min="7" max="7" width="72.42578125" customWidth="1"/>
    <col min="9" max="9" width="11.85546875" customWidth="1"/>
  </cols>
  <sheetData>
    <row r="1" spans="1:11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ht="30.75" thickBot="1" x14ac:dyDescent="0.3">
      <c r="A2" s="3" t="s">
        <v>10</v>
      </c>
      <c r="B2" s="4" t="s">
        <v>11</v>
      </c>
      <c r="C2" s="4">
        <v>6320604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203</v>
      </c>
      <c r="I2" s="6">
        <v>46291</v>
      </c>
      <c r="J2" s="7">
        <v>0.41666666666666669</v>
      </c>
      <c r="K2" s="4">
        <f>SUM(H2:H5)</f>
        <v>390.98</v>
      </c>
    </row>
    <row r="3" spans="1:11" ht="30.75" thickBot="1" x14ac:dyDescent="0.3">
      <c r="A3" s="3" t="s">
        <v>10</v>
      </c>
      <c r="B3" s="4" t="s">
        <v>11</v>
      </c>
      <c r="C3" s="4">
        <v>6320604</v>
      </c>
      <c r="D3" s="4" t="s">
        <v>12</v>
      </c>
      <c r="E3" s="4" t="s">
        <v>13</v>
      </c>
      <c r="F3" s="4" t="s">
        <v>16</v>
      </c>
      <c r="G3" s="4" t="s">
        <v>17</v>
      </c>
      <c r="H3" s="5">
        <v>35.28</v>
      </c>
      <c r="I3" s="6">
        <v>46291</v>
      </c>
      <c r="J3" s="7">
        <v>0.41666666666666669</v>
      </c>
    </row>
    <row r="4" spans="1:11" ht="30.75" thickBot="1" x14ac:dyDescent="0.3">
      <c r="A4" s="3" t="s">
        <v>10</v>
      </c>
      <c r="B4" s="4"/>
      <c r="C4" s="4">
        <v>6320604</v>
      </c>
      <c r="D4" s="4" t="s">
        <v>12</v>
      </c>
      <c r="E4" s="4" t="s">
        <v>13</v>
      </c>
      <c r="F4" s="4" t="s">
        <v>18</v>
      </c>
      <c r="G4" s="4" t="s">
        <v>19</v>
      </c>
      <c r="H4" s="5">
        <v>98.7</v>
      </c>
      <c r="I4" s="6">
        <v>46291</v>
      </c>
      <c r="J4" s="7">
        <v>0.41666666666666669</v>
      </c>
    </row>
    <row r="5" spans="1:11" ht="30.75" thickBot="1" x14ac:dyDescent="0.3">
      <c r="A5" s="3" t="s">
        <v>10</v>
      </c>
      <c r="B5" s="4" t="s">
        <v>11</v>
      </c>
      <c r="C5" s="4">
        <v>6320604</v>
      </c>
      <c r="D5" s="4" t="s">
        <v>12</v>
      </c>
      <c r="E5" s="4" t="s">
        <v>13</v>
      </c>
      <c r="F5" s="4" t="s">
        <v>20</v>
      </c>
      <c r="G5" s="4" t="s">
        <v>21</v>
      </c>
      <c r="H5" s="5">
        <v>54</v>
      </c>
      <c r="I5" s="6">
        <v>46291</v>
      </c>
      <c r="J5" s="7">
        <v>0.41666666666666669</v>
      </c>
    </row>
    <row r="6" spans="1:11" ht="30.75" thickBot="1" x14ac:dyDescent="0.3">
      <c r="A6" s="8" t="s">
        <v>10</v>
      </c>
      <c r="B6" s="9" t="s">
        <v>11</v>
      </c>
      <c r="C6" s="9">
        <v>6320575</v>
      </c>
      <c r="D6" s="9" t="s">
        <v>22</v>
      </c>
      <c r="E6" s="9" t="s">
        <v>13</v>
      </c>
      <c r="F6" s="9" t="s">
        <v>23</v>
      </c>
      <c r="G6" s="9" t="s">
        <v>24</v>
      </c>
      <c r="H6" s="10">
        <v>16.2</v>
      </c>
      <c r="I6" s="11">
        <v>46291</v>
      </c>
      <c r="J6" s="12">
        <v>0.41666666666666669</v>
      </c>
      <c r="K6" s="9">
        <f>SUM(H6:H8)</f>
        <v>51.3</v>
      </c>
    </row>
    <row r="7" spans="1:11" ht="30.75" thickBot="1" x14ac:dyDescent="0.3">
      <c r="A7" s="8" t="s">
        <v>10</v>
      </c>
      <c r="B7" s="9" t="s">
        <v>11</v>
      </c>
      <c r="C7" s="9">
        <v>6320575</v>
      </c>
      <c r="D7" s="9" t="s">
        <v>22</v>
      </c>
      <c r="E7" s="9" t="s">
        <v>13</v>
      </c>
      <c r="F7" s="9" t="s">
        <v>20</v>
      </c>
      <c r="G7" s="9" t="s">
        <v>21</v>
      </c>
      <c r="H7" s="10">
        <v>16.2</v>
      </c>
      <c r="I7" s="11">
        <v>46291</v>
      </c>
      <c r="J7" s="12">
        <v>0.41666666666666669</v>
      </c>
    </row>
    <row r="8" spans="1:11" ht="30.75" thickBot="1" x14ac:dyDescent="0.3">
      <c r="A8" s="8" t="s">
        <v>10</v>
      </c>
      <c r="B8" s="9"/>
      <c r="C8" s="9">
        <v>6320575</v>
      </c>
      <c r="D8" s="9" t="s">
        <v>22</v>
      </c>
      <c r="E8" s="9" t="s">
        <v>13</v>
      </c>
      <c r="F8" s="9" t="s">
        <v>18</v>
      </c>
      <c r="G8" s="9" t="s">
        <v>19</v>
      </c>
      <c r="H8" s="10">
        <v>18.899999999999999</v>
      </c>
      <c r="I8" s="11">
        <v>46291</v>
      </c>
      <c r="J8" s="12">
        <v>0.41666666666666669</v>
      </c>
    </row>
    <row r="9" spans="1:11" ht="30.75" thickBot="1" x14ac:dyDescent="0.3">
      <c r="A9" s="13" t="s">
        <v>10</v>
      </c>
      <c r="B9" s="14" t="s">
        <v>11</v>
      </c>
      <c r="C9" s="14">
        <v>6320577</v>
      </c>
      <c r="D9" s="14" t="s">
        <v>25</v>
      </c>
      <c r="E9" s="14" t="s">
        <v>13</v>
      </c>
      <c r="F9" s="14" t="s">
        <v>23</v>
      </c>
      <c r="G9" s="14" t="s">
        <v>24</v>
      </c>
      <c r="H9" s="15">
        <v>194.4</v>
      </c>
      <c r="I9" s="16">
        <v>46291</v>
      </c>
      <c r="J9" s="17">
        <v>0.41666666666666669</v>
      </c>
      <c r="K9" s="14">
        <f>SUM(H9:H11)</f>
        <v>464.4</v>
      </c>
    </row>
    <row r="10" spans="1:11" ht="30.75" thickBot="1" x14ac:dyDescent="0.3">
      <c r="A10" s="13" t="s">
        <v>10</v>
      </c>
      <c r="B10" s="18" t="s">
        <v>11</v>
      </c>
      <c r="C10" s="14">
        <v>6320577</v>
      </c>
      <c r="D10" s="14" t="s">
        <v>25</v>
      </c>
      <c r="E10" s="14" t="s">
        <v>13</v>
      </c>
      <c r="F10" s="14" t="s">
        <v>20</v>
      </c>
      <c r="G10" s="14" t="s">
        <v>21</v>
      </c>
      <c r="H10" s="15">
        <v>194.4</v>
      </c>
      <c r="I10" s="16">
        <v>46291</v>
      </c>
      <c r="J10" s="17">
        <v>0.41666666666666669</v>
      </c>
    </row>
    <row r="11" spans="1:11" ht="30.75" thickBot="1" x14ac:dyDescent="0.3">
      <c r="A11" s="13" t="s">
        <v>10</v>
      </c>
      <c r="B11" s="18"/>
      <c r="C11" s="14">
        <v>6320577</v>
      </c>
      <c r="D11" s="14" t="s">
        <v>25</v>
      </c>
      <c r="E11" s="14" t="s">
        <v>13</v>
      </c>
      <c r="F11" s="14" t="s">
        <v>18</v>
      </c>
      <c r="G11" s="14" t="s">
        <v>19</v>
      </c>
      <c r="H11" s="15">
        <v>75.599999999999994</v>
      </c>
      <c r="I11" s="16">
        <v>46291</v>
      </c>
      <c r="J11" s="17">
        <v>0.41666666666666669</v>
      </c>
    </row>
    <row r="12" spans="1:11" ht="30.75" thickBot="1" x14ac:dyDescent="0.3">
      <c r="A12" s="19" t="s">
        <v>10</v>
      </c>
      <c r="B12" s="20" t="s">
        <v>11</v>
      </c>
      <c r="C12" s="20">
        <v>6320603</v>
      </c>
      <c r="D12" s="20" t="s">
        <v>26</v>
      </c>
      <c r="E12" s="20" t="s">
        <v>27</v>
      </c>
      <c r="F12" s="20" t="s">
        <v>14</v>
      </c>
      <c r="G12" s="20" t="s">
        <v>15</v>
      </c>
      <c r="H12" s="21">
        <v>325.5</v>
      </c>
      <c r="I12" s="22">
        <v>46291</v>
      </c>
      <c r="J12" s="23">
        <v>0.45833333333333331</v>
      </c>
      <c r="K12" s="20">
        <f>SUM(H12:H15)</f>
        <v>600.54000000000008</v>
      </c>
    </row>
    <row r="13" spans="1:11" ht="30.75" thickBot="1" x14ac:dyDescent="0.3">
      <c r="A13" s="19" t="s">
        <v>10</v>
      </c>
      <c r="B13" s="20" t="s">
        <v>11</v>
      </c>
      <c r="C13" s="20">
        <v>6320603</v>
      </c>
      <c r="D13" s="20" t="s">
        <v>26</v>
      </c>
      <c r="E13" s="20" t="s">
        <v>27</v>
      </c>
      <c r="F13" s="20" t="s">
        <v>16</v>
      </c>
      <c r="G13" s="20" t="s">
        <v>17</v>
      </c>
      <c r="H13" s="21">
        <v>139.44</v>
      </c>
      <c r="I13" s="22">
        <v>46291</v>
      </c>
      <c r="J13" s="23">
        <v>0.45833333333333331</v>
      </c>
    </row>
    <row r="14" spans="1:11" ht="30.75" thickBot="1" x14ac:dyDescent="0.3">
      <c r="A14" s="19" t="s">
        <v>10</v>
      </c>
      <c r="B14" s="20"/>
      <c r="C14" s="20">
        <v>6320603</v>
      </c>
      <c r="D14" s="20" t="s">
        <v>26</v>
      </c>
      <c r="E14" s="20" t="s">
        <v>27</v>
      </c>
      <c r="F14" s="20" t="s">
        <v>18</v>
      </c>
      <c r="G14" s="20" t="s">
        <v>19</v>
      </c>
      <c r="H14" s="21">
        <v>92.4</v>
      </c>
      <c r="I14" s="22">
        <v>46291</v>
      </c>
      <c r="J14" s="23">
        <v>0.45833333333333331</v>
      </c>
    </row>
    <row r="15" spans="1:11" ht="30.75" thickBot="1" x14ac:dyDescent="0.3">
      <c r="A15" s="19" t="s">
        <v>10</v>
      </c>
      <c r="B15" s="20" t="s">
        <v>11</v>
      </c>
      <c r="C15" s="20">
        <v>6320603</v>
      </c>
      <c r="D15" s="20" t="s">
        <v>26</v>
      </c>
      <c r="E15" s="20" t="s">
        <v>27</v>
      </c>
      <c r="F15" s="20" t="s">
        <v>20</v>
      </c>
      <c r="G15" s="20" t="s">
        <v>21</v>
      </c>
      <c r="H15" s="21">
        <v>43.2</v>
      </c>
      <c r="I15" s="22">
        <v>46291</v>
      </c>
      <c r="J15" s="23">
        <v>0.45833333333333331</v>
      </c>
    </row>
    <row r="16" spans="1:11" ht="30.75" thickBot="1" x14ac:dyDescent="0.3">
      <c r="A16" s="24" t="s">
        <v>10</v>
      </c>
      <c r="B16" s="25" t="s">
        <v>11</v>
      </c>
      <c r="C16" s="25">
        <v>6320581</v>
      </c>
      <c r="D16" s="25" t="s">
        <v>28</v>
      </c>
      <c r="E16" s="25" t="s">
        <v>13</v>
      </c>
      <c r="F16" s="25" t="s">
        <v>16</v>
      </c>
      <c r="G16" s="25" t="s">
        <v>17</v>
      </c>
      <c r="H16" s="26">
        <v>50.4</v>
      </c>
      <c r="I16" s="27">
        <v>46291</v>
      </c>
      <c r="J16" s="28">
        <v>0.54166666666666663</v>
      </c>
      <c r="K16" s="25">
        <f>SUM(H16:H17)</f>
        <v>197.4</v>
      </c>
    </row>
    <row r="17" spans="1:10" ht="30.75" thickBot="1" x14ac:dyDescent="0.3">
      <c r="A17" s="24" t="s">
        <v>10</v>
      </c>
      <c r="B17" s="25"/>
      <c r="C17" s="25">
        <v>6320581</v>
      </c>
      <c r="D17" s="25" t="s">
        <v>28</v>
      </c>
      <c r="E17" s="25" t="s">
        <v>13</v>
      </c>
      <c r="F17" s="25" t="s">
        <v>18</v>
      </c>
      <c r="G17" s="25" t="s">
        <v>19</v>
      </c>
      <c r="H17" s="26">
        <v>147</v>
      </c>
      <c r="I17" s="27">
        <v>46291</v>
      </c>
      <c r="J17" s="28">
        <v>0.54166666666666663</v>
      </c>
    </row>
  </sheetData>
  <autoFilter ref="A1:J17" xr:uid="{CF2CAD3C-1BA2-4517-8BEF-E565ADD64394}">
    <sortState xmlns:xlrd2="http://schemas.microsoft.com/office/spreadsheetml/2017/richdata2" ref="A2:J17">
      <sortCondition ref="D1:D17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2026-09-25T12:06:09Z</dcterms:modified>
</cp:coreProperties>
</file>