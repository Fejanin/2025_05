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34C53373-6D7B-46B3-AA8B-5A89B5A28167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График платежей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9" i="1" l="1"/>
  <c r="R27" i="1"/>
  <c r="R23" i="1"/>
  <c r="R30" i="1" l="1"/>
  <c r="H27" i="1"/>
  <c r="H23" i="1"/>
  <c r="N17" i="1" l="1"/>
  <c r="O17" i="1" s="1"/>
  <c r="J23" i="1"/>
  <c r="J27" i="1"/>
  <c r="I23" i="1"/>
  <c r="I27" i="1"/>
  <c r="G23" i="1"/>
  <c r="G27" i="1"/>
  <c r="E23" i="1"/>
  <c r="D23" i="1"/>
  <c r="H4" i="1" l="1"/>
  <c r="B10" i="1"/>
  <c r="G4" i="1"/>
  <c r="D14" i="1"/>
  <c r="F14" i="1" l="1"/>
  <c r="G14" i="1"/>
  <c r="H14" i="1"/>
  <c r="I14" i="1"/>
  <c r="J14" i="1"/>
  <c r="K14" i="1"/>
  <c r="M14" i="1"/>
  <c r="P14" i="1"/>
  <c r="E14" i="1"/>
  <c r="C13" i="1"/>
  <c r="Q11" i="1"/>
  <c r="Q10" i="1"/>
  <c r="R10" i="1" s="1"/>
  <c r="Q8" i="1"/>
  <c r="P7" i="1"/>
  <c r="M7" i="1"/>
  <c r="K7" i="1"/>
  <c r="I7" i="1"/>
  <c r="H7" i="1"/>
  <c r="Q5" i="1"/>
  <c r="J4" i="1"/>
  <c r="Q4" i="1" s="1"/>
  <c r="I4" i="1"/>
  <c r="Q7" i="1" l="1"/>
  <c r="B7" i="1"/>
  <c r="B4" i="1"/>
  <c r="B13" i="1" s="1"/>
  <c r="D15" i="1" s="1"/>
  <c r="E15" i="1" s="1"/>
  <c r="F15" i="1" s="1"/>
  <c r="G15" i="1" s="1"/>
  <c r="H15" i="1" s="1"/>
  <c r="I15" i="1" s="1"/>
  <c r="J15" i="1" s="1"/>
  <c r="K15" i="1" s="1"/>
  <c r="M15" i="1" s="1"/>
  <c r="P15" i="1" s="1"/>
  <c r="Q14" i="1"/>
  <c r="R7" i="1" l="1"/>
  <c r="R4" i="1"/>
  <c r="R13" i="1" s="1"/>
  <c r="Q15" i="1"/>
</calcChain>
</file>

<file path=xl/sharedStrings.xml><?xml version="1.0" encoding="utf-8"?>
<sst xmlns="http://schemas.openxmlformats.org/spreadsheetml/2006/main" count="28" uniqueCount="18">
  <si>
    <t>Названия строк</t>
  </si>
  <si>
    <t>ДЗ на 21.10.2026</t>
  </si>
  <si>
    <t>в т.ч. просрочка</t>
  </si>
  <si>
    <t>Итого</t>
  </si>
  <si>
    <t>Проверка (ДЗ − Итого)</t>
  </si>
  <si>
    <t>КСК — Останкино</t>
  </si>
  <si>
    <t>СУММА ОПЛАТЫ</t>
  </si>
  <si>
    <t>НВ — Останкино</t>
  </si>
  <si>
    <t>ЛП — Останкино</t>
  </si>
  <si>
    <t>Общий итог</t>
  </si>
  <si>
    <t>ИТОГО ОПЛАТЫ</t>
  </si>
  <si>
    <t>Разница (оплата − график)</t>
  </si>
  <si>
    <t>ОТГРУЗКИ</t>
  </si>
  <si>
    <t>ПЛАН</t>
  </si>
  <si>
    <t>ФАКТ</t>
  </si>
  <si>
    <t xml:space="preserve">График платежей ОСТАНКИНО (ОМПК) </t>
  </si>
  <si>
    <t>ИТОГО ОТГРУЗКИ</t>
  </si>
  <si>
    <t>РАЗНИЦА с учетом отгрузок  и оплат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</si>
</sst>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;\-#,##0.00;\-"/>
  </numFmts>
  <fonts count="5" x14ac:knownFonts="1">
    <font>
      <sz val="11"/>
      <color theme="1"/>
      <name val="Calibri"/>
      <family val="2"/>
      <charset val="1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F00"/>
        <bgColor rgb="FFF2F2F2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999999"/>
      </bottom>
      <diagonal/>
    </border>
    <border>
      <left/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5" fontId="3" fillId="0" borderId="1" xfId="0" applyNumberFormat="1" applyFont="1" applyBorder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165" fontId="2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4" borderId="2" xfId="0" applyFont="1" applyFill="1" applyBorder="1"/>
    <xf numFmtId="164" fontId="2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/>
    <xf numFmtId="165" fontId="3" fillId="4" borderId="3" xfId="0" applyNumberFormat="1" applyFont="1" applyFill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3" fillId="0" borderId="7" xfId="0" applyNumberFormat="1" applyFont="1" applyBorder="1"/>
    <xf numFmtId="165" fontId="3" fillId="0" borderId="8" xfId="0" applyNumberFormat="1" applyFont="1" applyBorder="1"/>
    <xf numFmtId="165" fontId="3" fillId="4" borderId="7" xfId="0" applyNumberFormat="1" applyFont="1" applyFill="1" applyBorder="1"/>
    <xf numFmtId="165" fontId="3" fillId="4" borderId="8" xfId="0" applyNumberFormat="1" applyFont="1" applyFill="1" applyBorder="1"/>
    <xf numFmtId="0" fontId="0" fillId="0" borderId="7" xfId="0" applyBorder="1"/>
    <xf numFmtId="0" fontId="0" fillId="0" borderId="8" xfId="0" applyBorder="1"/>
    <xf numFmtId="165" fontId="2" fillId="0" borderId="9" xfId="0" applyNumberFormat="1" applyFont="1" applyBorder="1"/>
    <xf numFmtId="165" fontId="2" fillId="0" borderId="10" xfId="0" applyNumberFormat="1" applyFont="1" applyBorder="1"/>
    <xf numFmtId="0" fontId="4" fillId="0" borderId="0" xfId="0" applyFont="1"/>
    <xf numFmtId="0" fontId="2" fillId="4" borderId="11" xfId="0" applyFont="1" applyFill="1" applyBorder="1"/>
    <xf numFmtId="165" fontId="3" fillId="4" borderId="5" xfId="0" applyNumberFormat="1" applyFont="1" applyFill="1" applyBorder="1"/>
    <xf numFmtId="165" fontId="3" fillId="4" borderId="6" xfId="0" applyNumberFormat="1" applyFont="1" applyFill="1" applyBorder="1"/>
    <xf numFmtId="165" fontId="3" fillId="4" borderId="12" xfId="0" applyNumberFormat="1" applyFont="1" applyFill="1" applyBorder="1"/>
    <xf numFmtId="165" fontId="3" fillId="4" borderId="13" xfId="0" applyNumberFormat="1" applyFont="1" applyFill="1" applyBorder="1"/>
    <xf numFmtId="0" fontId="3" fillId="0" borderId="14" xfId="0" applyFont="1" applyBorder="1"/>
    <xf numFmtId="0" fontId="3" fillId="4" borderId="15" xfId="0" applyFont="1" applyFill="1" applyBorder="1"/>
    <xf numFmtId="165" fontId="3" fillId="4" borderId="9" xfId="0" applyNumberFormat="1" applyFont="1" applyFill="1" applyBorder="1"/>
    <xf numFmtId="165" fontId="3" fillId="4" borderId="10" xfId="0" applyNumberFormat="1" applyFont="1" applyFill="1" applyBorder="1"/>
    <xf numFmtId="165" fontId="3" fillId="4" borderId="16" xfId="0" applyNumberFormat="1" applyFont="1" applyFill="1" applyBorder="1"/>
    <xf numFmtId="165" fontId="3" fillId="4" borderId="17" xfId="0" applyNumberFormat="1" applyFont="1" applyFill="1" applyBorder="1"/>
    <xf numFmtId="0" fontId="2" fillId="0" borderId="5" xfId="0" applyFont="1" applyBorder="1"/>
    <xf numFmtId="165" fontId="2" fillId="0" borderId="13" xfId="0" applyNumberFormat="1" applyFont="1" applyBorder="1"/>
    <xf numFmtId="165" fontId="2" fillId="0" borderId="6" xfId="0" applyNumberFormat="1" applyFont="1" applyBorder="1"/>
    <xf numFmtId="0" fontId="2" fillId="0" borderId="9" xfId="0" applyFont="1" applyBorder="1"/>
    <xf numFmtId="165" fontId="2" fillId="0" borderId="17" xfId="0" applyNumberFormat="1" applyFont="1" applyBorder="1"/>
    <xf numFmtId="164" fontId="2" fillId="5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"/>
  <sheetViews>
    <sheetView tabSelected="1" zoomScaleNormal="10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P37" sqref="P37"/>
    </sheetView>
  </sheetViews>
  <sheetFormatPr defaultColWidth="8.7109375" defaultRowHeight="15" outlineLevelCol="1" x14ac:dyDescent="0.25"/>
  <cols>
    <col min="1" max="1" width="30.85546875" customWidth="1"/>
    <col min="2" max="3" width="15" hidden="1" customWidth="1" outlineLevel="1"/>
    <col min="4" max="4" width="15" customWidth="1" collapsed="1"/>
    <col min="5" max="17" width="15" customWidth="1"/>
    <col min="18" max="18" width="17" customWidth="1"/>
  </cols>
  <sheetData>
    <row r="1" spans="1:18" ht="15.75" x14ac:dyDescent="0.25">
      <c r="A1" s="1" t="s">
        <v>15</v>
      </c>
    </row>
    <row r="2" spans="1:18" ht="15.75" thickBot="1" x14ac:dyDescent="0.3"/>
    <row r="3" spans="1:18" ht="28.5" x14ac:dyDescent="0.25">
      <c r="A3" s="9" t="s">
        <v>0</v>
      </c>
      <c r="B3" s="17" t="s">
        <v>1</v>
      </c>
      <c r="C3" s="18" t="s">
        <v>2</v>
      </c>
      <c r="D3" s="12">
        <v>46315</v>
      </c>
      <c r="E3" s="12">
        <v>46316</v>
      </c>
      <c r="F3" s="3">
        <v>46317</v>
      </c>
      <c r="G3" s="3">
        <v>46318</v>
      </c>
      <c r="H3" s="3">
        <v>46321</v>
      </c>
      <c r="I3" s="3">
        <v>46322</v>
      </c>
      <c r="J3" s="3">
        <v>46323</v>
      </c>
      <c r="K3" s="3">
        <v>46324</v>
      </c>
      <c r="L3" s="3"/>
      <c r="M3" s="3">
        <v>46328</v>
      </c>
      <c r="N3" s="3"/>
      <c r="O3" s="3"/>
      <c r="P3" s="3">
        <v>46331</v>
      </c>
      <c r="Q3" s="2" t="s">
        <v>3</v>
      </c>
      <c r="R3" s="2" t="s">
        <v>4</v>
      </c>
    </row>
    <row r="4" spans="1:18" x14ac:dyDescent="0.25">
      <c r="A4" s="10" t="s">
        <v>5</v>
      </c>
      <c r="B4" s="19">
        <f>SUM(F4:P4)</f>
        <v>38042442.399999999</v>
      </c>
      <c r="C4" s="20">
        <v>21626765.34</v>
      </c>
      <c r="D4" s="13"/>
      <c r="E4" s="13"/>
      <c r="F4" s="6">
        <v>10000000</v>
      </c>
      <c r="G4" s="6">
        <f>1754200.13+11626765.34</f>
        <v>13380965.469999999</v>
      </c>
      <c r="H4" s="5">
        <f>458417.31+4647712.15+2000000</f>
        <v>7106129.46</v>
      </c>
      <c r="I4" s="5">
        <f>707223.53</f>
        <v>707223.53</v>
      </c>
      <c r="J4" s="5">
        <f>4848123.94</f>
        <v>4848123.9400000004</v>
      </c>
      <c r="K4" s="5">
        <v>2000000</v>
      </c>
      <c r="L4" s="5"/>
      <c r="M4" s="5"/>
      <c r="N4" s="5"/>
      <c r="O4" s="5"/>
      <c r="P4" s="5"/>
      <c r="Q4" s="5">
        <f>SUM(E4:P4)</f>
        <v>38042442.399999999</v>
      </c>
      <c r="R4" s="5">
        <f>B4-Q4</f>
        <v>0</v>
      </c>
    </row>
    <row r="5" spans="1:18" x14ac:dyDescent="0.25">
      <c r="A5" s="11" t="s">
        <v>6</v>
      </c>
      <c r="B5" s="21"/>
      <c r="C5" s="22"/>
      <c r="D5" s="14"/>
      <c r="E5" s="14"/>
      <c r="F5" s="7">
        <v>10000000</v>
      </c>
      <c r="G5" s="7"/>
      <c r="H5" s="7"/>
      <c r="I5" s="7"/>
      <c r="J5" s="7"/>
      <c r="K5" s="7"/>
      <c r="L5" s="7"/>
      <c r="M5" s="7"/>
      <c r="N5" s="7"/>
      <c r="O5" s="7"/>
      <c r="P5" s="7"/>
      <c r="Q5" s="7">
        <f>SUM(E5:P5)</f>
        <v>10000000</v>
      </c>
      <c r="R5" s="7"/>
    </row>
    <row r="6" spans="1:18" x14ac:dyDescent="0.25">
      <c r="B6" s="23"/>
      <c r="C6" s="24"/>
    </row>
    <row r="7" spans="1:18" x14ac:dyDescent="0.25">
      <c r="A7" s="10" t="s">
        <v>7</v>
      </c>
      <c r="B7" s="19">
        <f>SUM(E7:P7)</f>
        <v>22395372.73</v>
      </c>
      <c r="C7" s="20">
        <v>11500015.98</v>
      </c>
      <c r="D7" s="13"/>
      <c r="E7" s="13">
        <v>3783985.07</v>
      </c>
      <c r="F7" s="6">
        <v>3500000</v>
      </c>
      <c r="G7" s="6">
        <v>4216030.91</v>
      </c>
      <c r="H7" s="5">
        <f>2965008.02</f>
        <v>2965008.02</v>
      </c>
      <c r="I7" s="5">
        <f>1371728.16</f>
        <v>1371728.16</v>
      </c>
      <c r="J7" s="5"/>
      <c r="K7" s="5">
        <f>920785.43</f>
        <v>920785.43</v>
      </c>
      <c r="L7" s="5"/>
      <c r="M7" s="5">
        <f>4138876.37</f>
        <v>4138876.37</v>
      </c>
      <c r="N7" s="5"/>
      <c r="O7" s="5"/>
      <c r="P7" s="5">
        <f>1498958.77</f>
        <v>1498958.77</v>
      </c>
      <c r="Q7" s="5">
        <f>SUM(E7:P7)</f>
        <v>22395372.73</v>
      </c>
      <c r="R7" s="5">
        <f>B7-Q7</f>
        <v>0</v>
      </c>
    </row>
    <row r="8" spans="1:18" x14ac:dyDescent="0.25">
      <c r="A8" s="11" t="s">
        <v>6</v>
      </c>
      <c r="B8" s="21"/>
      <c r="C8" s="22"/>
      <c r="D8" s="14"/>
      <c r="E8" s="14">
        <v>3783985.0687904283</v>
      </c>
      <c r="F8" s="7">
        <v>281375</v>
      </c>
      <c r="G8" s="7"/>
      <c r="H8" s="7"/>
      <c r="I8" s="7"/>
      <c r="J8" s="7"/>
      <c r="K8" s="7"/>
      <c r="L8" s="7"/>
      <c r="M8" s="7"/>
      <c r="N8" s="7"/>
      <c r="O8" s="7"/>
      <c r="P8" s="7"/>
      <c r="Q8" s="7">
        <f>SUM(E8:P8)</f>
        <v>4065360.0687904283</v>
      </c>
      <c r="R8" s="7"/>
    </row>
    <row r="9" spans="1:18" x14ac:dyDescent="0.25">
      <c r="B9" s="23"/>
      <c r="C9" s="24"/>
    </row>
    <row r="10" spans="1:18" x14ac:dyDescent="0.25">
      <c r="A10" s="10" t="s">
        <v>8</v>
      </c>
      <c r="B10" s="19">
        <f>SUM(D10:P10)</f>
        <v>3688486.01</v>
      </c>
      <c r="C10" s="20">
        <v>3716126.81</v>
      </c>
      <c r="D10" s="13"/>
      <c r="E10" s="13"/>
      <c r="F10" s="13">
        <v>3688486.01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5">
        <f>SUM(E10:P10)</f>
        <v>3688486.01</v>
      </c>
      <c r="R10" s="5">
        <f>B10-Q10</f>
        <v>0</v>
      </c>
    </row>
    <row r="11" spans="1:18" x14ac:dyDescent="0.25">
      <c r="A11" s="11" t="s">
        <v>6</v>
      </c>
      <c r="B11" s="21"/>
      <c r="C11" s="22"/>
      <c r="D11" s="14">
        <v>1937420.16</v>
      </c>
      <c r="E11" s="14"/>
      <c r="F11" s="7">
        <v>3688486.01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f>SUM(E11:P11)</f>
        <v>3688486.01</v>
      </c>
      <c r="R11" s="7"/>
    </row>
    <row r="12" spans="1:18" x14ac:dyDescent="0.25">
      <c r="B12" s="23"/>
      <c r="C12" s="24"/>
    </row>
    <row r="13" spans="1:18" ht="15.75" thickBot="1" x14ac:dyDescent="0.3">
      <c r="A13" s="10" t="s">
        <v>9</v>
      </c>
      <c r="B13" s="25">
        <f>B4+B7+B10</f>
        <v>64126301.139999993</v>
      </c>
      <c r="C13" s="26">
        <f t="shared" ref="C13:R13" si="0">C4+C7+C10</f>
        <v>36842908.130000003</v>
      </c>
      <c r="D13" s="15"/>
      <c r="E13" s="15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>
        <f t="shared" si="0"/>
        <v>0</v>
      </c>
    </row>
    <row r="14" spans="1:18" x14ac:dyDescent="0.25">
      <c r="A14" s="4" t="s">
        <v>10</v>
      </c>
      <c r="B14" s="16"/>
      <c r="C14" s="16"/>
      <c r="D14" s="8">
        <f>D11+D8+D5</f>
        <v>1937420.16</v>
      </c>
      <c r="E14" s="8">
        <f>E11+E8+E5</f>
        <v>3783985.0687904283</v>
      </c>
      <c r="F14" s="8">
        <f t="shared" ref="F14:Q14" si="1">F11+F8+F5</f>
        <v>13969861.01</v>
      </c>
      <c r="G14" s="8">
        <f t="shared" si="1"/>
        <v>0</v>
      </c>
      <c r="H14" s="8">
        <f t="shared" si="1"/>
        <v>0</v>
      </c>
      <c r="I14" s="8">
        <f t="shared" si="1"/>
        <v>0</v>
      </c>
      <c r="J14" s="8">
        <f t="shared" si="1"/>
        <v>0</v>
      </c>
      <c r="K14" s="8">
        <f t="shared" si="1"/>
        <v>0</v>
      </c>
      <c r="L14" s="8"/>
      <c r="M14" s="8">
        <f t="shared" si="1"/>
        <v>0</v>
      </c>
      <c r="N14" s="8"/>
      <c r="O14" s="8"/>
      <c r="P14" s="8">
        <f t="shared" si="1"/>
        <v>0</v>
      </c>
      <c r="Q14" s="8">
        <f t="shared" si="1"/>
        <v>17753846.078790426</v>
      </c>
      <c r="R14" s="8"/>
    </row>
    <row r="15" spans="1:18" x14ac:dyDescent="0.25">
      <c r="A15" s="4" t="s">
        <v>11</v>
      </c>
      <c r="B15" s="8"/>
      <c r="C15" s="8"/>
      <c r="D15" s="8">
        <f>B13-D14</f>
        <v>62188880.979999997</v>
      </c>
      <c r="E15" s="8">
        <f>D15-E14</f>
        <v>58404895.911209568</v>
      </c>
      <c r="F15" s="8">
        <f>E15-F14</f>
        <v>44435034.90120957</v>
      </c>
      <c r="G15" s="8">
        <f t="shared" ref="G15:K15" si="2">F15-G14</f>
        <v>44435034.90120957</v>
      </c>
      <c r="H15" s="8">
        <f>G15-H14</f>
        <v>44435034.90120957</v>
      </c>
      <c r="I15" s="8">
        <f t="shared" si="2"/>
        <v>44435034.90120957</v>
      </c>
      <c r="J15" s="8">
        <f t="shared" si="2"/>
        <v>44435034.90120957</v>
      </c>
      <c r="K15" s="8">
        <f t="shared" si="2"/>
        <v>44435034.90120957</v>
      </c>
      <c r="L15" s="8"/>
      <c r="M15" s="8">
        <f>K15-M14</f>
        <v>44435034.90120957</v>
      </c>
      <c r="N15" s="8"/>
      <c r="O15" s="8"/>
      <c r="P15" s="8">
        <f>M15-P14</f>
        <v>44435034.90120957</v>
      </c>
      <c r="Q15" s="8">
        <f>P15-Q14</f>
        <v>26681188.822419144</v>
      </c>
      <c r="R15" s="8"/>
    </row>
    <row r="17" spans="1:18" s="27" customFormat="1" ht="15.75" thickBot="1" x14ac:dyDescent="0.3">
      <c r="A17" s="9" t="s">
        <v>12</v>
      </c>
      <c r="D17" s="12">
        <v>46315</v>
      </c>
      <c r="E17" s="12">
        <v>46316</v>
      </c>
      <c r="F17" s="3">
        <v>46317</v>
      </c>
      <c r="G17" s="44">
        <v>46320</v>
      </c>
      <c r="H17" s="3">
        <v>46321</v>
      </c>
      <c r="I17" s="3">
        <v>46322</v>
      </c>
      <c r="J17" s="3">
        <v>46323</v>
      </c>
      <c r="K17" s="3">
        <v>46324</v>
      </c>
      <c r="L17" s="44">
        <v>46327</v>
      </c>
      <c r="M17" s="3">
        <v>46328</v>
      </c>
      <c r="N17" s="44">
        <f>M17+1</f>
        <v>46329</v>
      </c>
      <c r="O17" s="44">
        <f>N17+1</f>
        <v>46330</v>
      </c>
      <c r="P17" s="3">
        <v>46331</v>
      </c>
      <c r="Q17" s="2" t="s">
        <v>3</v>
      </c>
      <c r="R17" s="2"/>
    </row>
    <row r="18" spans="1:18" x14ac:dyDescent="0.25">
      <c r="A18" s="28" t="s">
        <v>5</v>
      </c>
      <c r="B18" s="29"/>
      <c r="C18" s="30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0"/>
    </row>
    <row r="19" spans="1:18" x14ac:dyDescent="0.25">
      <c r="A19" s="33" t="s">
        <v>13</v>
      </c>
      <c r="B19" s="19"/>
      <c r="C19" s="20"/>
      <c r="D19" s="13"/>
      <c r="E19" s="13"/>
      <c r="F19" s="13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20">
        <f>SUM(D19:Q19)</f>
        <v>0</v>
      </c>
    </row>
    <row r="20" spans="1:18" ht="15.75" thickBot="1" x14ac:dyDescent="0.3">
      <c r="A20" s="34" t="s">
        <v>14</v>
      </c>
      <c r="B20" s="35"/>
      <c r="C20" s="36"/>
      <c r="D20" s="37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6"/>
    </row>
    <row r="21" spans="1:18" ht="15.75" thickBot="1" x14ac:dyDescent="0.3"/>
    <row r="22" spans="1:18" x14ac:dyDescent="0.25">
      <c r="A22" s="28" t="s">
        <v>7</v>
      </c>
      <c r="B22" s="29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0"/>
    </row>
    <row r="23" spans="1:18" x14ac:dyDescent="0.25">
      <c r="A23" s="33" t="s">
        <v>13</v>
      </c>
      <c r="B23" s="19"/>
      <c r="C23" s="20"/>
      <c r="D23" s="13">
        <f>3000*360</f>
        <v>1080000</v>
      </c>
      <c r="E23" s="13">
        <f>1400*360</f>
        <v>504000</v>
      </c>
      <c r="F23" s="13"/>
      <c r="G23" s="6">
        <f>7500*360</f>
        <v>2700000</v>
      </c>
      <c r="H23" s="5">
        <f>11100*360</f>
        <v>3996000</v>
      </c>
      <c r="I23" s="5">
        <f>7800*360</f>
        <v>2808000</v>
      </c>
      <c r="J23" s="5">
        <f>2700*360</f>
        <v>972000</v>
      </c>
      <c r="K23" s="5"/>
      <c r="L23" s="5">
        <v>950000</v>
      </c>
      <c r="M23" s="5">
        <v>2250000</v>
      </c>
      <c r="N23" s="5">
        <v>300000</v>
      </c>
      <c r="O23" s="5">
        <v>310000</v>
      </c>
      <c r="P23" s="5"/>
      <c r="Q23" s="5"/>
      <c r="R23" s="20">
        <f>SUM(D23:Q23)</f>
        <v>15870000</v>
      </c>
    </row>
    <row r="24" spans="1:18" ht="15.75" thickBot="1" x14ac:dyDescent="0.3">
      <c r="A24" s="34" t="s">
        <v>14</v>
      </c>
      <c r="B24" s="35"/>
      <c r="C24" s="36"/>
      <c r="D24" s="37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6"/>
    </row>
    <row r="25" spans="1:18" ht="15.75" thickBot="1" x14ac:dyDescent="0.3"/>
    <row r="26" spans="1:18" x14ac:dyDescent="0.25">
      <c r="A26" s="28" t="s">
        <v>8</v>
      </c>
      <c r="B26" s="29"/>
      <c r="C26" s="30"/>
      <c r="D26" s="31"/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0"/>
    </row>
    <row r="27" spans="1:18" x14ac:dyDescent="0.25">
      <c r="A27" s="33" t="s">
        <v>13</v>
      </c>
      <c r="B27" s="19"/>
      <c r="C27" s="20"/>
      <c r="D27" s="13"/>
      <c r="E27" s="13"/>
      <c r="F27" s="13"/>
      <c r="G27" s="6">
        <f>3900*320</f>
        <v>1248000</v>
      </c>
      <c r="H27" s="5">
        <f>14400*320</f>
        <v>4608000</v>
      </c>
      <c r="I27" s="5">
        <f>800*320</f>
        <v>256000</v>
      </c>
      <c r="J27" s="5">
        <f>3600*320</f>
        <v>1152000</v>
      </c>
      <c r="K27" s="5"/>
      <c r="L27" s="5"/>
      <c r="M27" s="5">
        <v>2100000</v>
      </c>
      <c r="N27" s="5"/>
      <c r="O27" s="5"/>
      <c r="P27" s="5"/>
      <c r="Q27" s="5"/>
      <c r="R27" s="20">
        <f>SUM(D27:Q27)</f>
        <v>9364000</v>
      </c>
    </row>
    <row r="28" spans="1:18" ht="15.75" thickBot="1" x14ac:dyDescent="0.3">
      <c r="A28" s="34" t="s">
        <v>14</v>
      </c>
      <c r="B28" s="35"/>
      <c r="C28" s="36"/>
      <c r="D28" s="37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6"/>
    </row>
    <row r="29" spans="1:18" ht="15.75" thickBot="1" x14ac:dyDescent="0.3"/>
    <row r="30" spans="1:18" x14ac:dyDescent="0.25">
      <c r="A30" s="39" t="s">
        <v>16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1">
        <f>R27+R23+R19</f>
        <v>25234000</v>
      </c>
    </row>
    <row r="31" spans="1:18" ht="15.75" thickBot="1" x14ac:dyDescent="0.3">
      <c r="A31" s="42" t="s">
        <v>17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26"/>
    </row>
  </sheetData>
  <pageMargins left="0.74803149606299213" right="0.74803149606299213" top="0.98425196850393704" bottom="0.98425196850393704" header="0.51181102362204722" footer="0.51181102362204722"/>
  <pageSetup paperSize="8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платежей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Uaer4</cp:lastModifiedBy>
  <cp:revision>0</cp:revision>
  <cp:lastPrinted>2026-10-22T10:38:04Z</cp:lastPrinted>
  <dcterms:created xsi:type="dcterms:W3CDTF">2026-10-21T10:02:43Z</dcterms:created>
  <dcterms:modified xsi:type="dcterms:W3CDTF">2026-10-27T06:37:37Z</dcterms:modified>
  <dc:language>en-US</dc:language>
</cp:coreProperties>
</file>