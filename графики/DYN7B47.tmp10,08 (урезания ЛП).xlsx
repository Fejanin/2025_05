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A96371A-D5D5-484B-BFDD-133416AE0A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state="hidden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<sst xmlns="http://schemas.openxmlformats.org/spreadsheetml/2006/main" count="1118" uniqueCount="164">
  <si>
    <t>Счет клиента</t>
  </si>
  <si>
    <t>Наименование</t>
  </si>
  <si>
    <t>Поздний заказ</t>
  </si>
  <si>
    <t>Заказ на продажу</t>
  </si>
  <si>
    <t>Запрошенная дата отгрузки</t>
  </si>
  <si>
    <t>Внешний номер заказа</t>
  </si>
  <si>
    <t>Время отгрузки</t>
  </si>
  <si>
    <t>Внешний код клиента</t>
  </si>
  <si>
    <t>Запрошенная дата прихода</t>
  </si>
  <si>
    <t>Время прихода</t>
  </si>
  <si>
    <t>Код адреса поставки</t>
  </si>
  <si>
    <t>Сайт</t>
  </si>
  <si>
    <t>Склад</t>
  </si>
  <si>
    <t>ИОСГ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</si>
  <si>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</si>
  <si>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</si>
  <si>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</si>
  <si>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</si>
  <si>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</si>
  <si>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</si>
  <si>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</si>
  <si>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</si>
  <si>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</si>
  <si>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</si>
  <si>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</si>
  <si>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</si>
  <si>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</si>
  <si>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</si>
  <si>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</si>
  <si>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</si>
  <si>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590704</t>
  </si>
  <si>
    <t>ОБЩЕСТВО С ОГРАНИЧЕННОЙ ОТВЕТСТВЕННОСТЬЮ "ЛОГИСТИЧЕСКИЙ ПАРТНЕР"</t>
  </si>
  <si>
    <t>Нет</t>
  </si>
  <si>
    <t>TSO001081780</t>
  </si>
  <si>
    <t>6289226</t>
  </si>
  <si>
    <t>ЛогПартССт</t>
  </si>
  <si>
    <t>590704_7</t>
  </si>
  <si>
    <t>VLDR</t>
  </si>
  <si>
    <t>ЦСК</t>
  </si>
  <si>
    <t>SU001485</t>
  </si>
  <si>
    <t>Вареные колбасы Докторская ГОСТ Вязанка Фикс.вес 0,4 Вектор Вязанка</t>
  </si>
  <si>
    <t>SU002814</t>
  </si>
  <si>
    <t>Ветчины «Филейская» Фикс.вес 0,45 Вектор ТМ «Вязанка»</t>
  </si>
  <si>
    <t>SU002825</t>
  </si>
  <si>
    <t>Сосиски «Филейские» Фикс.вес 0,3 ц/о мгс ТМ «Вязанка»</t>
  </si>
  <si>
    <t>SU003288</t>
  </si>
  <si>
    <t>Сосиски «Филейские рубленые» ф/в 0,3 ц/о ТМ «Вязанка»</t>
  </si>
  <si>
    <t>SU002834</t>
  </si>
  <si>
    <t>Сардельки «Филейские» Фикс.вес 0,4 NDX ТМ «Вязанка»</t>
  </si>
  <si>
    <t>SU002354</t>
  </si>
  <si>
    <t>Вареные колбасы «Молокуша» Фикс.вес 0,17 нарезка ТМ «Вязанка»</t>
  </si>
  <si>
    <t>SU001718</t>
  </si>
  <si>
    <t>Сосиски «Молокуши» ф/в 0,45 п/а мгс ТМ «Вязанка»</t>
  </si>
  <si>
    <t>SU003745</t>
  </si>
  <si>
    <t>Вареные колбасы «Сливушка» Фикс.вес 0,11 нарезка ТМ «Вязанка»</t>
  </si>
  <si>
    <t>SU002356</t>
  </si>
  <si>
    <t>Ветчины «Сливушка с индейкой» Фикс.вес 0,1 нарезка ТМ «Вязанка»</t>
  </si>
  <si>
    <t>SU003336</t>
  </si>
  <si>
    <t>Сосиски «Сливушки по-венски» ф/в 0,3 п/а ТМ «Вязанка»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</si>
  <si>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</si>
  <si>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</si>
  <si>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SU003178</t>
  </si>
  <si>
    <t>Копченые колбасы «Сервелат Мясорубский» Фикс.вес 0,08 нарезка ТМ «Стародворье»</t>
  </si>
  <si>
    <t>ОгранПроизвМощностей</t>
  </si>
  <si>
    <t>Производ</t>
  </si>
  <si>
    <t>SU002618</t>
  </si>
  <si>
    <t>Сосиски «Сочинки с сочной грудинкой» Фикс.вес 0,4 П/а мгс ТМ «Стародворье»</t>
  </si>
  <si>
    <t>SU002621</t>
  </si>
  <si>
    <t>Сосиски «Сочинки с сочным окороком» Фикс.вес 0,4 П/а мгс ТМ «Стародворье»</t>
  </si>
  <si>
    <t>SU003274</t>
  </si>
  <si>
    <t>Вареные колбасы «Молочная Стародворская с молоком» ф/в 0,4 п/а ТМ «Стародворье»</t>
  </si>
  <si>
    <t>SU003272</t>
  </si>
  <si>
    <t>Вареные колбасы «Стародворская с окороком» ф/в 0,4 п/а ТМ «Стародворье»</t>
  </si>
  <si>
    <t>SU002799</t>
  </si>
  <si>
    <t>Сосиски Сочинки по-баварски Бавария Фикс.вес 0,4 П/а мгс Стародворье</t>
  </si>
  <si>
    <t>SU003340</t>
  </si>
  <si>
    <t>Сосиски «Венские» ф/в 0,6 п/а ТМ «Стародворье»</t>
  </si>
  <si>
    <t>SU003393</t>
  </si>
  <si>
    <t>Вареные колбасы «Стародворская Традиционная» ф/в 0,4 п/а ТМ «Стародворье»</t>
  </si>
  <si>
    <t>SU002617</t>
  </si>
  <si>
    <t>В/к колбасы Сервелат Филедворский срез Бордо Фикс.вес 0,35 фиброуз в/у стародворье</t>
  </si>
  <si>
    <t>SU002252</t>
  </si>
  <si>
    <t>П/к колбасы Кракушка пряная с сальцем Бавария Фикс.вес 0,3 н/о в/у Стародворье</t>
  </si>
  <si>
    <t>SU001869</t>
  </si>
  <si>
    <t>С/к колбасы Швейцарская Бордо Фикс.вес 0,17 Фиброуз терм/п Стародворье</t>
  </si>
  <si>
    <t>SU002368</t>
  </si>
  <si>
    <t>Паштеты Со сливочным маслом ГОСТ Бордо фикс.вес 0,1 Стародворье</t>
  </si>
  <si>
    <t>SU003167</t>
  </si>
  <si>
    <t>Сосиски «Баварские» Фикс.вес 0,35 П/а ТМ «Стародворье»</t>
  </si>
  <si>
    <t>Горшкова 07.08</t>
  </si>
  <si>
    <t>SU003421</t>
  </si>
  <si>
    <t>Вареные колбасы «Филейная» ф/в 0,5 п/а ТМ «Особый рецепт»</t>
  </si>
  <si>
    <t>SU002027</t>
  </si>
  <si>
    <t>Ветчины Нежная Особая Особая Фикс.вес 0,4 П/а Особый рецепт</t>
  </si>
  <si>
    <t>SU002538</t>
  </si>
  <si>
    <t>В/к колбасы Салями Филейбургская зернистая срез Филейбургская Фикс.вес 0,35 фиброуз Баварушка</t>
  </si>
  <si>
    <t>SU002606</t>
  </si>
  <si>
    <t>В/к колбасы Сервелат Филейбургский с филе сочного окорока срез Филейбургская Фикс.вес 0,35 Фиброуз в/у Баварушка</t>
  </si>
  <si>
    <t>SU002603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</si>
  <si>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</si>
  <si>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</si>
  <si>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Сосиски Баварушки (со сливочным маслом ГОСТ 32261-2013) Филейбургская Фикс.вес 0,6 П/а мгс Баварушка</t>
  </si>
  <si>
    <t>SU002632</t>
  </si>
  <si>
    <t>Вареные колбасы «Докторская ГОСТ» Фикс.вес 0,6 п/а ТМ «Дугушка»</t>
  </si>
  <si>
    <t>SU002631</t>
  </si>
  <si>
    <t>Вареные колбасы «Молочная Дугушка» Фикс.вес 0,6 П/а ТМ «Дугушка»</t>
  </si>
  <si>
    <t>SU003665</t>
  </si>
  <si>
    <t>Сосиски «Сосиски с сыром» Фикс.вес 0,3 вискофан ТМ «Ядрена копоть»</t>
  </si>
  <si>
    <t>TSO001081782</t>
  </si>
  <si>
    <t>6289177</t>
  </si>
  <si>
    <t>SU002828</t>
  </si>
  <si>
    <t>Ветчины «Филейская» Весовые Вектор ТМ «Вязанка»</t>
  </si>
  <si>
    <t>SU001523</t>
  </si>
  <si>
    <t>Сосиски «Молокуши (Вязанка Молочные)» Весовой п/а мгс ТМ «Вязанка»</t>
  </si>
  <si>
    <t>SU002833</t>
  </si>
  <si>
    <t>Ветчины «Сливушка с индейкой» Весовой п/а ТМ «Вязанка»</t>
  </si>
  <si>
    <t>SU001721</t>
  </si>
  <si>
    <t>Сосиски «Сливочные Вязанка» Весовой п/а мгс ТМ «Вязанка»</t>
  </si>
  <si>
    <t>SU001720</t>
  </si>
  <si>
    <t>Сосиски «Сливочные» ф/в 0,45 п/а мгс ТМ «Вязанка»</t>
  </si>
  <si>
    <t>SU002985</t>
  </si>
  <si>
    <t>П/к колбасы «Аль-Ислами халяль» ф/в 0,35 фиброуз ТМ «Вязанка»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</si>
  <si>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</si>
  <si>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</si>
  <si>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</si>
  <si>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</si>
  <si>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SU002845</t>
  </si>
  <si>
    <t>Сосиски «Сочинки Сливочные» Весовые ТМ «Стародворье» 1,35 кг</t>
  </si>
  <si>
    <t>SU002725</t>
  </si>
  <si>
    <t>Сосиски «Сочинки» Весовой п/а ТМ «Стародворье»</t>
  </si>
  <si>
    <t>SU002842</t>
  </si>
  <si>
    <t>Сосиски «Сочинки Молочные» Фикс.вес 0,4 п/а мгс ТМ «Стародворье»</t>
  </si>
  <si>
    <t>SU002686</t>
  </si>
  <si>
    <t>Сосиски Сочинки с сыром Бордо ф/в 0,4 кг п/а Стародворье</t>
  </si>
  <si>
    <t>SU002844</t>
  </si>
  <si>
    <t>Сосиски «Сочинки Сливочные» Фикс.вес 0,4 п/а мгс ТМ «Стародворье»</t>
  </si>
  <si>
    <t>SU000227</t>
  </si>
  <si>
    <t>Сардельки «Стародворские с говядиной» Весовые NDX ТМ «Стародворье»</t>
  </si>
  <si>
    <t>SU003168</t>
  </si>
  <si>
    <t>Сосиски «Баварские с сыром» Фикс.вес 0,35 п/а ТМ «Стародворье»</t>
  </si>
  <si>
    <t>SU000126</t>
  </si>
  <si>
    <t>Ветчины Нежная Особая Особая Весовые П/а Особый рецепт большой батон</t>
  </si>
  <si>
    <t>SU002287</t>
  </si>
  <si>
    <t>Сардельки «Сочные» Весовой п/а ТМ «Особый рецепт»</t>
  </si>
  <si>
    <t>SU002074</t>
  </si>
  <si>
    <t>Сосиски «Молочные для завтрака» Весовой п/а ТМ «Особый рецепт»</t>
  </si>
  <si>
    <t>SU002205</t>
  </si>
  <si>
    <t>Сосиски «Молочные для завтрака» Фикс.вес 0,4 п/а ТМ «Особый рецепт»</t>
  </si>
  <si>
    <t>SU002094</t>
  </si>
  <si>
    <t>Вареные колбасы «Докторская Дугушка» Весовой п/а ТМ «Стародворье»</t>
  </si>
  <si>
    <t>ЗаказНаВыведенПродук</t>
  </si>
  <si>
    <t>Клиент</t>
  </si>
  <si>
    <t>SU002010</t>
  </si>
  <si>
    <t>Вареные колбасы «Молочная Дугушка» Весовые Вектор ТМ «Дугушка»</t>
  </si>
  <si>
    <t>SU002035</t>
  </si>
  <si>
    <t>Ветчины Дугушка Дугушка Вес б/о Дугушка</t>
  </si>
  <si>
    <t>SU002655</t>
  </si>
  <si>
    <t>Сосиски «Датские» Весовой п/а ТМ «Зареченские продукты»</t>
  </si>
  <si>
    <t>Общий итог</t>
  </si>
  <si>
    <t>Сумма по полю Заказано</t>
  </si>
  <si>
    <t>Сумма по полю Согласовано</t>
  </si>
  <si>
    <t>Сумма по полю Урезание</t>
  </si>
  <si>
    <t>6289177 Итог</t>
  </si>
  <si>
    <t>6289226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</si>
</sst>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164" fontId="0" fillId="0" borderId="1" xfId="0" applyNumberForma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1" xfId="0" pivotButton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235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#,##0_ ;[Red]\-#,##0\ "/>
    </dxf>
    <dxf>
      <numFmt numFmtId="164" formatCode="#,##0_ ;[Red]\-#,##0\ "/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околова Наталья Олеговна" refreshedDate="46244.486094097221" createdVersion="6" refreshedVersion="6" minRefreshableVersion="3" recordCount="62" xr:uid="{00000000-000A-0000-FFFF-FFFF1D000000}">
  <cacheSource type="worksheet">
    <worksheetSource name="Table"/>
  </cacheSource>
  <cacheFields count="30">
    <cacheField name="Счет клиента" numFmtId="49">
      <sharedItems/>
    </cacheField>
    <cacheField name="Наименование" numFmtId="49">
      <sharedItems/>
    </cacheField>
    <cacheField name="Поздний заказ" numFmtId="49">
      <sharedItems/>
    </cacheField>
    <cacheField name="Заказ на продажу" numFmtId="49">
      <sharedItems/>
    </cacheField>
    <cacheField name="Запрошенная дата отгрузки" numFmtId="14">
      <sharedItems containsSemiMixedTypes="0" containsNonDate="0" containsDate="1" containsString="0" minDate="2026-08-10T00:00:00" maxDate="2026-08-11T00:00:00" count="1">
        <d v="2026-08-10T00:00:00"/>
      </sharedItems>
    </cacheField>
    <cacheField name="Внешний номер заказа" numFmtId="49">
      <sharedItems count="2">
        <s v="6289226"/>
        <s v="6289177"/>
      </sharedItems>
    </cacheField>
    <cacheField name="Время отгрузки" numFmtId="19">
      <sharedItems containsSemiMixedTypes="0" containsNonDate="0" containsDate="1" containsString="0" minDate="2026-08-10T16:00:00" maxDate="2026-08-10T16:00:00"/>
    </cacheField>
    <cacheField name="Внешний код клиента" numFmtId="49">
      <sharedItems count="1">
        <s v="ЛогПартССт"/>
      </sharedItems>
    </cacheField>
    <cacheField name="Запрошенная дата прихода" numFmtId="14">
      <sharedItems containsSemiMixedTypes="0" containsNonDate="0" containsDate="1" containsString="0" minDate="2026-08-10T00:00:00" maxDate="2026-08-11T00:00:00"/>
    </cacheField>
    <cacheField name="Время прихода" numFmtId="19">
      <sharedItems containsSemiMixedTypes="0" containsNonDate="0" containsDate="1" containsString="0" minDate="2026-08-10T16:00:00" maxDate="2026-08-10T16:00:00"/>
    </cacheField>
    <cacheField name="Код адреса поставки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56">
        <s v="SU001485"/>
        <s v="SU002814"/>
        <s v="SU002825"/>
        <s v="SU003288"/>
        <s v="SU002834"/>
        <s v="SU002354"/>
        <s v="SU001718"/>
        <s v="SU003745"/>
        <s v="SU002356"/>
        <s v="SU003336"/>
        <s v="SU004026"/>
        <s v="SU003178"/>
        <s v="SU002618"/>
        <s v="SU002621"/>
        <s v="SU003274"/>
        <s v="SU003272"/>
        <s v="SU002799"/>
        <s v="SU003340"/>
        <s v="SU003393"/>
        <s v="SU002617"/>
        <s v="SU002252"/>
        <s v="SU001869"/>
        <s v="SU002368"/>
        <s v="SU003167"/>
        <s v="SU003421"/>
        <s v="SU002027"/>
        <s v="SU002538"/>
        <s v="SU002606"/>
        <s v="SU002603"/>
        <s v="SU002285"/>
        <s v="SU002632"/>
        <s v="SU002631"/>
        <s v="SU003665"/>
        <s v="SU002828"/>
        <s v="SU001523"/>
        <s v="SU002833"/>
        <s v="SU001721"/>
        <s v="SU001720"/>
        <s v="SU002985"/>
        <s v="SU002945"/>
        <s v="SU002947"/>
        <s v="SU002845"/>
        <s v="SU002725"/>
        <s v="SU002842"/>
        <s v="SU002686"/>
        <s v="SU002844"/>
        <s v="SU000227"/>
        <s v="SU003168"/>
        <s v="SU000126"/>
        <s v="SU002287"/>
        <s v="SU002074"/>
        <s v="SU002205"/>
        <s v="SU002094"/>
        <s v="SU002010"/>
        <s v="SU002035"/>
        <s v="SU002655"/>
      </sharedItems>
    </cacheField>
    <cacheField name="Наименование для бланков" numFmtId="49">
      <sharedItems count="56">
        <s v="Вареные колбасы Докторская ГОСТ Вязанка Фикс.вес 0,4 Вектор Вязанка"/>
        <s v="Ветчины «Филейская» Фикс.вес 0,45 Вектор ТМ «Вязанка»"/>
        <s v="Сосиски «Филейские» Фикс.вес 0,3 ц/о мгс ТМ «Вязанка»"/>
        <s v="Сосиски «Филейские рубленые» ф/в 0,3 ц/о ТМ «Вязанка»"/>
        <s v="Сардельки «Филейские» Фикс.вес 0,4 NDX ТМ «Вязанка»"/>
        <s v="Вареные колбасы «Молокуша» Фикс.вес 0,17 нарезка ТМ «Вязанка»"/>
        <s v="Сосиски «Молокуши» ф/в 0,45 п/а мгс ТМ «Вязанка»"/>
        <s v="Вареные колбасы «Сливушка» Фикс.вес 0,11 нарезка ТМ «Вязанка»"/>
        <s v="Ветчины «Сливушка с индейкой» Фикс.вес 0,1 нарезка ТМ «Вязанка»"/>
        <s v="Сосиски «Сливушки по-венски» ф/в 0,3 п/а ТМ «Вязанка»"/>
        <s v="Копченые колбасы «Ассорти Мясорубская коллекция: Сервелат Делюкс, С балыком» Фикс.вес 0,08 нарезка ТМ «Стародворье»"/>
        <s v="Копченые колбасы «Сервелат Мясорубский» Фикс.вес 0,08 нарезка ТМ «Стародворье»"/>
        <s v="Сосиски «Сочинки с сочной грудинкой» Фикс.вес 0,4 П/а мгс ТМ «Стародворье»"/>
        <s v="Сосиски «Сочинки с сочным окороком» Фикс.вес 0,4 П/а мгс ТМ «Стародворье»"/>
        <s v="Вареные колбасы «Молочная Стародворская с молоком» ф/в 0,4 п/а ТМ «Стародворье»"/>
        <s v="Вареные колбасы «Стародворская с окороком» ф/в 0,4 п/а ТМ «Стародворье»"/>
        <s v="Сосиски Сочинки по-баварски Бавария Фикс.вес 0,4 П/а мгс Стародворье"/>
        <s v="Сосиски «Венские» ф/в 0,6 п/а ТМ «Стародворье»"/>
        <s v="Вареные колбасы «Стародворская Традиционная» ф/в 0,4 п/а ТМ «Стародворье»"/>
        <s v="В/к колбасы Сервелат Филедворский срез Бордо Фикс.вес 0,35 фиброуз в/у стародворье"/>
        <s v="П/к колбасы Кракушка пряная с сальцем Бавария Фикс.вес 0,3 н/о в/у Стародворье"/>
        <s v="С/к колбасы Швейцарская Бордо Фикс.вес 0,17 Фиброуз терм/п Стародворье"/>
        <s v="Паштеты Со сливочным маслом ГОСТ Бордо фикс.вес 0,1 Стародворье"/>
        <s v="Сосиски «Баварские» Фикс.вес 0,35 П/а ТМ «Стародворье»"/>
        <s v="Вареные колбасы «Филейная» ф/в 0,5 п/а ТМ «Особый рецепт»"/>
        <s v="Ветчины Нежная Особая Особая Фикс.вес 0,4 П/а Особый рецепт"/>
        <s v="В/к колбасы Салями Филейбургская зернистая срез Филейбургская Фикс.вес 0,35 фиброуз Баварушка"/>
        <s v="В/к колбасы Сервелат Филейбургский с филе сочного окорока срез Филейбургская Фикс.вес 0,35 Фиброуз в/у Баварушка"/>
        <s v="В/к колбасы Сервелат Филейбургский с копченой грудинкой срез Филейбургская Фикс.вес 0,35 фиброуз Баварушка"/>
        <s v="Сосиски Баварушки (со сливочным маслом ГОСТ 32261-2013) Филейбургская Фикс.вес 0,6 П/а мгс Баварушка"/>
        <s v="Вареные колбасы «Докторская ГОСТ» Фикс.вес 0,6 п/а ТМ «Дугушка»"/>
        <s v="Вареные колбасы «Молочная Дугушка» Фикс.вес 0,6 П/а ТМ «Дугушка»"/>
        <s v="Сосиски «Сосиски с сыром» Фикс.вес 0,3 вискофан ТМ «Ядрена копоть»"/>
        <s v="Ветчины «Филейская» Весовые Вектор ТМ «Вязанка»"/>
        <s v="Сосиски «Молокуши (Вязанка Молочные)» Весовой п/а мгс ТМ «Вязанка»"/>
        <s v="Ветчины «Сливушка с индейкой» Весовой п/а ТМ «Вязанка»"/>
        <s v="Сосиски «Сливочные Вязанка» Весовой п/а мгс ТМ «Вязанка»"/>
        <s v="Сосиски «Сливочные» ф/в 0,45 п/а мгс ТМ «Вязанка»"/>
        <s v="П/к колбасы «Аль-Ислами халяль» ф/в 0,35 фиброуз ТМ «Вязанка»"/>
        <s v="П/к колбасы «Сочинка зернистая с сочной грудинкой» Весовой фиброуз ТМ «Стародворье»"/>
        <s v="П/к колбасы «Сочинка рубленая с сочным окороком» Весовой фиброуз ТМ «Стародворье»"/>
        <s v="Сосиски «Сочинки Сливочные» Весовые ТМ «Стародворье» 1,35 кг"/>
        <s v="Сосиски «Сочинки» Весовой п/а ТМ «Стародворье»"/>
        <s v="Сосиски «Сочинки Молочные» Фикс.вес 0,4 п/а мгс ТМ «Стародворье»"/>
        <s v="Сосиски Сочинки с сыром Бордо ф/в 0,4 кг п/а Стародворье"/>
        <s v="Сосиски «Сочинки Сливочные» Фикс.вес 0,4 п/а мгс ТМ «Стародворье»"/>
        <s v="Сардельки «Стародворские с говядиной» Весовые NDX ТМ «Стародворье»"/>
        <s v="Сосиски «Баварские с сыром» Фикс.вес 0,35 п/а ТМ «Стародворье»"/>
        <s v="Ветчины Нежная Особая Особая Весовые П/а Особый рецепт большой батон"/>
        <s v="Сардельки «Сочные» Весовой п/а ТМ «Особый рецепт»"/>
        <s v="Сосиски «Молочные для завтрака» Весовой п/а ТМ «Особый рецепт»"/>
        <s v="Сосиски «Молочные для завтрака» Фикс.вес 0,4 п/а ТМ «Особый рецепт»"/>
        <s v="Вареные колбасы «Докторская Дугушка» Весовой п/а ТМ «Стародворье»"/>
        <s v="Вареные колбасы «Молочная Дугушка» Весовые Вектор ТМ «Дугушка»"/>
        <s v="Ветчины Дугушка Дугушка Вес б/о Дугушка"/>
        <s v="Сосиски «Датские» Весовой п/а ТМ «Зареченские продукты»"/>
      </sharedItems>
    </cacheField>
    <cacheField name="Заказано" numFmtId="4">
      <sharedItems containsSemiMixedTypes="0" containsString="0" containsNumber="1" minValue="2.2000000000000002" maxValue="702"/>
    </cacheField>
    <cacheField name="Согласовано" numFmtId="4">
      <sharedItems containsString="0" containsBlank="1" containsNumber="1" minValue="2.2000000000000002" maxValue="702" count="40">
        <n v="120"/>
        <n v="105.3"/>
        <n v="30.6"/>
        <n v="27"/>
        <n v="43.2"/>
        <n v="13.6"/>
        <n v="216"/>
        <n v="2.2000000000000002"/>
        <n v="15"/>
        <n v="82.8"/>
        <n v="3.2"/>
        <m/>
        <n v="168"/>
        <n v="84"/>
        <n v="48"/>
        <n v="24"/>
        <n v="10.199999999999999"/>
        <n v="150"/>
        <n v="44"/>
        <n v="31.5"/>
        <n v="12.6"/>
        <n v="8.4"/>
        <n v="36"/>
        <n v="273.60000000000002"/>
        <n v="182.4"/>
        <n v="54"/>
        <n v="153.9"/>
        <n v="202.5"/>
        <n v="251.1"/>
        <n v="351"/>
        <n v="100.8"/>
        <n v="151.19999999999999"/>
        <n v="56.7"/>
        <n v="201.6"/>
        <n v="202.8"/>
        <n v="300"/>
        <n v="702"/>
        <n v="501.6"/>
        <n v="302.39999999999998"/>
        <n v="52"/>
      </sharedItems>
    </cacheField>
    <cacheField name="Отгружено" numFmtId="4">
      <sharedItems containsString="0" containsBlank="1" containsNumber="1" minValue="2.2000000000000002" maxValue="702"/>
    </cacheField>
    <cacheField name="Урезание" numFmtId="4">
      <sharedItems containsString="0" containsBlank="1" containsNumber="1" minValue="-501.6" maxValue="-8" count="10">
        <m/>
        <n v="-8"/>
        <n v="-71.400000000000006"/>
        <n v="-84"/>
        <n v="-200.1"/>
        <n v="-50.4"/>
        <n v="-54"/>
        <n v="-151.19999999999999"/>
        <n v="-501.6"/>
        <n v="-207"/>
      </sharedItems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2"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0"/>
    <x v="0"/>
    <n v="120"/>
    <x v="0"/>
    <n v="120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1"/>
    <x v="1"/>
    <n v="105.3"/>
    <x v="1"/>
    <n v="105.3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2"/>
    <x v="2"/>
    <n v="30.6"/>
    <x v="2"/>
    <n v="30.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3"/>
    <x v="3"/>
    <n v="27"/>
    <x v="3"/>
    <n v="27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4"/>
    <x v="4"/>
    <n v="43.2"/>
    <x v="4"/>
    <n v="43.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5"/>
    <x v="5"/>
    <n v="13.6"/>
    <x v="5"/>
    <n v="13.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6"/>
    <x v="6"/>
    <n v="216"/>
    <x v="6"/>
    <n v="21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7"/>
    <x v="7"/>
    <n v="2.2000000000000002"/>
    <x v="7"/>
    <n v="2.200000000000000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8"/>
    <x v="8"/>
    <n v="15"/>
    <x v="8"/>
    <n v="15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9"/>
    <x v="9"/>
    <n v="82.8"/>
    <x v="9"/>
    <n v="82.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10"/>
    <x v="10"/>
    <n v="3.2"/>
    <x v="10"/>
    <n v="3.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11"/>
    <x v="11"/>
    <n v="8"/>
    <x v="11"/>
    <m/>
    <x v="1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12"/>
    <x v="12"/>
    <n v="168"/>
    <x v="12"/>
    <n v="16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13"/>
    <x v="13"/>
    <n v="168"/>
    <x v="12"/>
    <n v="16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14"/>
    <x v="14"/>
    <n v="120"/>
    <x v="0"/>
    <n v="120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15"/>
    <x v="15"/>
    <n v="84"/>
    <x v="13"/>
    <n v="8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16"/>
    <x v="16"/>
    <n v="48"/>
    <x v="14"/>
    <n v="4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17"/>
    <x v="17"/>
    <n v="43.2"/>
    <x v="4"/>
    <n v="43.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18"/>
    <x v="18"/>
    <n v="24"/>
    <x v="15"/>
    <n v="2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19"/>
    <x v="19"/>
    <n v="71.400000000000006"/>
    <x v="11"/>
    <m/>
    <x v="2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20"/>
    <x v="20"/>
    <n v="30.6"/>
    <x v="2"/>
    <n v="30.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21"/>
    <x v="21"/>
    <n v="10.199999999999999"/>
    <x v="16"/>
    <n v="10.199999999999999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22"/>
    <x v="22"/>
    <n v="24"/>
    <x v="15"/>
    <n v="2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23"/>
    <x v="23"/>
    <n v="84"/>
    <x v="11"/>
    <m/>
    <x v="3"/>
    <s v="ОгранПроизвМощностей"/>
    <s v="Производ"/>
    <s v="Нет"/>
    <m/>
    <m/>
    <m/>
    <s v="Нет"/>
    <s v="Горшкова 07.08"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24"/>
    <x v="24"/>
    <n v="150"/>
    <x v="17"/>
    <n v="150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25"/>
    <x v="25"/>
    <n v="44"/>
    <x v="18"/>
    <n v="4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26"/>
    <x v="26"/>
    <n v="31.5"/>
    <x v="19"/>
    <n v="31.5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27"/>
    <x v="27"/>
    <n v="12.6"/>
    <x v="20"/>
    <n v="12.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28"/>
    <x v="28"/>
    <n v="8.4"/>
    <x v="21"/>
    <n v="8.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29"/>
    <x v="29"/>
    <n v="36"/>
    <x v="22"/>
    <n v="3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30"/>
    <x v="30"/>
    <n v="273.60000000000002"/>
    <x v="23"/>
    <n v="273.6000000000000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31"/>
    <x v="31"/>
    <n v="182.4"/>
    <x v="24"/>
    <n v="182.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0"/>
    <x v="0"/>
    <x v="0"/>
    <d v="2026-08-10T16:00:00"/>
    <x v="0"/>
    <d v="2026-08-10T00:00:00"/>
    <d v="2026-08-10T16:00:00"/>
    <s v="590704_7"/>
    <s v="VLDR"/>
    <s v="ЦСК"/>
    <s v="Нет"/>
    <m/>
    <s v="Нет"/>
    <x v="32"/>
    <x v="32"/>
    <n v="36"/>
    <x v="22"/>
    <n v="3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33"/>
    <x v="33"/>
    <n v="54"/>
    <x v="25"/>
    <n v="5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34"/>
    <x v="34"/>
    <n v="153.9"/>
    <x v="26"/>
    <n v="153.9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6"/>
    <x v="6"/>
    <n v="202.5"/>
    <x v="27"/>
    <n v="202.5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35"/>
    <x v="35"/>
    <n v="54"/>
    <x v="25"/>
    <n v="5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36"/>
    <x v="36"/>
    <n v="251.1"/>
    <x v="28"/>
    <n v="251.1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37"/>
    <x v="37"/>
    <n v="351"/>
    <x v="29"/>
    <n v="351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38"/>
    <x v="38"/>
    <n v="100.8"/>
    <x v="30"/>
    <n v="100.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39"/>
    <x v="39"/>
    <n v="151.19999999999999"/>
    <x v="31"/>
    <n v="151.19999999999999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40"/>
    <x v="40"/>
    <n v="151.19999999999999"/>
    <x v="31"/>
    <n v="151.19999999999999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41"/>
    <x v="41"/>
    <n v="56.7"/>
    <x v="32"/>
    <n v="56.7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42"/>
    <x v="42"/>
    <n v="200.1"/>
    <x v="11"/>
    <m/>
    <x v="4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43"/>
    <x v="43"/>
    <n v="151.19999999999999"/>
    <x v="31"/>
    <n v="151.19999999999999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12"/>
    <x v="12"/>
    <n v="201.6"/>
    <x v="33"/>
    <n v="201.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13"/>
    <x v="13"/>
    <n v="201.6"/>
    <x v="33"/>
    <n v="201.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44"/>
    <x v="44"/>
    <n v="151.19999999999999"/>
    <x v="31"/>
    <n v="151.19999999999999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45"/>
    <x v="45"/>
    <n v="151.19999999999999"/>
    <x v="31"/>
    <n v="151.19999999999999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46"/>
    <x v="46"/>
    <n v="202.8"/>
    <x v="34"/>
    <n v="202.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23"/>
    <x v="23"/>
    <n v="50.4"/>
    <x v="11"/>
    <m/>
    <x v="5"/>
    <s v="ОгранПроизвМощностей"/>
    <s v="Производ"/>
    <s v="Нет"/>
    <m/>
    <m/>
    <m/>
    <s v="Нет"/>
    <s v="Горшкова 07.08"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47"/>
    <x v="47"/>
    <n v="31.5"/>
    <x v="19"/>
    <n v="31.5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48"/>
    <x v="48"/>
    <n v="300"/>
    <x v="35"/>
    <n v="300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49"/>
    <x v="49"/>
    <n v="54"/>
    <x v="11"/>
    <m/>
    <x v="6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50"/>
    <x v="50"/>
    <n v="702"/>
    <x v="36"/>
    <n v="70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51"/>
    <x v="51"/>
    <n v="151.19999999999999"/>
    <x v="11"/>
    <m/>
    <x v="7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52"/>
    <x v="52"/>
    <n v="501.6"/>
    <x v="11"/>
    <m/>
    <x v="8"/>
    <s v="ЗаказНаВыведенПродук"/>
    <s v="Клиент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53"/>
    <x v="53"/>
    <n v="501.6"/>
    <x v="37"/>
    <n v="501.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31"/>
    <x v="31"/>
    <n v="302.39999999999998"/>
    <x v="38"/>
    <n v="302.3999999999999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54"/>
    <x v="54"/>
    <n v="501.6"/>
    <x v="37"/>
    <n v="501.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55"/>
    <x v="55"/>
    <n v="207"/>
    <x v="11"/>
    <m/>
    <x v="9"/>
    <s v="ОгранПроизвМощностей"/>
    <s v="Производ"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81782"/>
    <x v="0"/>
    <x v="1"/>
    <d v="2026-08-10T16:00:00"/>
    <x v="0"/>
    <d v="2026-08-10T00:00:00"/>
    <d v="2026-08-10T16:00:00"/>
    <s v="590704_7"/>
    <s v="VLDR"/>
    <s v="ЦСК"/>
    <s v="Нет"/>
    <m/>
    <s v="Нет"/>
    <x v="0"/>
    <x v="0"/>
    <n v="52"/>
    <x v="39"/>
    <n v="52"/>
    <x v="0"/>
    <m/>
    <m/>
    <s v="Нет"/>
    <m/>
    <m/>
    <m/>
    <s v="Нет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3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H68" firstHeaderRow="0" firstDataRow="1" firstDataCol="5"/>
  <pivotFields count="3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4" outline="0" showAll="0" defaultSubtotal="0">
      <items count="1">
        <item x="0"/>
      </items>
    </pivotField>
    <pivotField axis="axisRow" compact="0" outline="0" showAll="0">
      <items count="3">
        <item x="1"/>
        <item x="0"/>
        <item t="default"/>
      </items>
    </pivotField>
    <pivotField compact="0" numFmtId="19" outline="0" showAll="0" defaultSubtotal="0"/>
    <pivotField axis="axisRow" compact="0" outline="0" showAll="0" defaultSubtotal="0">
      <items count="1">
        <item x="0"/>
      </items>
    </pivotField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6">
        <item x="48"/>
        <item x="46"/>
        <item x="0"/>
        <item x="34"/>
        <item x="6"/>
        <item x="37"/>
        <item x="36"/>
        <item x="21"/>
        <item x="53"/>
        <item x="25"/>
        <item x="54"/>
        <item x="50"/>
        <item x="52"/>
        <item x="51"/>
        <item x="20"/>
        <item x="29"/>
        <item x="49"/>
        <item x="5"/>
        <item x="8"/>
        <item x="22"/>
        <item x="26"/>
        <item x="28"/>
        <item x="27"/>
        <item x="19"/>
        <item x="12"/>
        <item x="13"/>
        <item x="31"/>
        <item x="30"/>
        <item x="55"/>
        <item x="44"/>
        <item x="42"/>
        <item x="16"/>
        <item x="1"/>
        <item x="2"/>
        <item x="33"/>
        <item x="35"/>
        <item x="4"/>
        <item x="43"/>
        <item x="45"/>
        <item x="41"/>
        <item x="39"/>
        <item x="40"/>
        <item x="38"/>
        <item x="23"/>
        <item x="47"/>
        <item x="11"/>
        <item x="15"/>
        <item x="14"/>
        <item x="3"/>
        <item x="9"/>
        <item x="17"/>
        <item x="18"/>
        <item x="24"/>
        <item x="32"/>
        <item x="7"/>
        <item x="10"/>
      </items>
    </pivotField>
    <pivotField axis="axisRow" compact="0" outline="0" showAll="0" defaultSubtotal="0">
      <items count="56">
        <item x="26"/>
        <item x="19"/>
        <item x="28"/>
        <item x="27"/>
        <item x="30"/>
        <item x="52"/>
        <item x="5"/>
        <item x="53"/>
        <item x="31"/>
        <item x="14"/>
        <item x="7"/>
        <item x="15"/>
        <item x="18"/>
        <item x="24"/>
        <item x="0"/>
        <item x="35"/>
        <item x="8"/>
        <item x="33"/>
        <item x="1"/>
        <item x="54"/>
        <item x="48"/>
        <item x="25"/>
        <item x="10"/>
        <item x="11"/>
        <item x="38"/>
        <item x="39"/>
        <item x="40"/>
        <item x="20"/>
        <item x="22"/>
        <item x="21"/>
        <item x="49"/>
        <item x="46"/>
        <item x="4"/>
        <item x="47"/>
        <item x="23"/>
        <item x="17"/>
        <item x="55"/>
        <item x="34"/>
        <item x="6"/>
        <item x="50"/>
        <item x="51"/>
        <item x="36"/>
        <item x="37"/>
        <item x="9"/>
        <item x="32"/>
        <item x="43"/>
        <item x="12"/>
        <item x="13"/>
        <item x="41"/>
        <item x="45"/>
        <item x="42"/>
        <item x="3"/>
        <item x="2"/>
        <item x="29"/>
        <item x="16"/>
        <item x="44"/>
      </items>
    </pivotField>
    <pivotField dataField="1" compact="0" numFmtId="4" outline="0" showAll="0" defaultSubtotal="0"/>
    <pivotField dataField="1" compact="0" outline="0" showAll="0" defaultSubtotal="0">
      <items count="40">
        <item x="7"/>
        <item x="10"/>
        <item x="21"/>
        <item x="16"/>
        <item x="20"/>
        <item x="5"/>
        <item x="8"/>
        <item x="15"/>
        <item x="3"/>
        <item x="2"/>
        <item x="19"/>
        <item x="22"/>
        <item x="4"/>
        <item x="18"/>
        <item x="14"/>
        <item x="39"/>
        <item x="25"/>
        <item x="32"/>
        <item x="9"/>
        <item x="13"/>
        <item x="30"/>
        <item x="1"/>
        <item x="0"/>
        <item x="17"/>
        <item x="31"/>
        <item x="26"/>
        <item x="12"/>
        <item x="24"/>
        <item x="33"/>
        <item x="27"/>
        <item x="34"/>
        <item x="6"/>
        <item x="28"/>
        <item x="23"/>
        <item x="35"/>
        <item x="38"/>
        <item x="29"/>
        <item x="37"/>
        <item x="36"/>
        <item x="11"/>
      </items>
    </pivotField>
    <pivotField compact="0" outline="0" showAll="0" defaultSubtotal="0"/>
    <pivotField dataField="1" compact="0" outline="0" showAll="0" defaultSubtotal="0">
      <items count="10">
        <item x="8"/>
        <item x="9"/>
        <item x="4"/>
        <item x="7"/>
        <item x="3"/>
        <item x="2"/>
        <item x="6"/>
        <item x="5"/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5">
    <field x="4"/>
    <field x="7"/>
    <field x="5"/>
    <field x="16"/>
    <field x="17"/>
  </rowFields>
  <rowItems count="65">
    <i>
      <x/>
      <x/>
      <x/>
      <x/>
      <x v="20"/>
    </i>
    <i r="3">
      <x v="1"/>
      <x v="31"/>
    </i>
    <i r="3">
      <x v="2"/>
      <x v="14"/>
    </i>
    <i r="3">
      <x v="3"/>
      <x v="37"/>
    </i>
    <i r="3">
      <x v="4"/>
      <x v="38"/>
    </i>
    <i r="3">
      <x v="5"/>
      <x v="42"/>
    </i>
    <i r="3">
      <x v="6"/>
      <x v="41"/>
    </i>
    <i r="3">
      <x v="8"/>
      <x v="7"/>
    </i>
    <i r="3">
      <x v="10"/>
      <x v="19"/>
    </i>
    <i r="3">
      <x v="11"/>
      <x v="39"/>
    </i>
    <i r="3">
      <x v="12"/>
      <x v="5"/>
    </i>
    <i r="3">
      <x v="13"/>
      <x v="40"/>
    </i>
    <i r="3">
      <x v="16"/>
      <x v="30"/>
    </i>
    <i r="3">
      <x v="24"/>
      <x v="46"/>
    </i>
    <i r="3">
      <x v="25"/>
      <x v="47"/>
    </i>
    <i r="3">
      <x v="26"/>
      <x v="8"/>
    </i>
    <i r="3">
      <x v="28"/>
      <x v="36"/>
    </i>
    <i r="3">
      <x v="29"/>
      <x v="55"/>
    </i>
    <i r="3">
      <x v="30"/>
      <x v="50"/>
    </i>
    <i r="3">
      <x v="34"/>
      <x v="17"/>
    </i>
    <i r="3">
      <x v="35"/>
      <x v="15"/>
    </i>
    <i r="3">
      <x v="37"/>
      <x v="45"/>
    </i>
    <i r="3">
      <x v="38"/>
      <x v="49"/>
    </i>
    <i r="3">
      <x v="39"/>
      <x v="48"/>
    </i>
    <i r="3">
      <x v="40"/>
      <x v="25"/>
    </i>
    <i r="3">
      <x v="41"/>
      <x v="26"/>
    </i>
    <i r="3">
      <x v="42"/>
      <x v="24"/>
    </i>
    <i r="3">
      <x v="43"/>
      <x v="34"/>
    </i>
    <i r="3">
      <x v="44"/>
      <x v="33"/>
    </i>
    <i t="default" r="2">
      <x/>
    </i>
    <i r="2">
      <x v="1"/>
      <x v="2"/>
      <x v="14"/>
    </i>
    <i r="3">
      <x v="4"/>
      <x v="38"/>
    </i>
    <i r="3">
      <x v="7"/>
      <x v="29"/>
    </i>
    <i r="3">
      <x v="9"/>
      <x v="21"/>
    </i>
    <i r="3">
      <x v="14"/>
      <x v="27"/>
    </i>
    <i r="3">
      <x v="15"/>
      <x v="53"/>
    </i>
    <i r="3">
      <x v="17"/>
      <x v="6"/>
    </i>
    <i r="3">
      <x v="18"/>
      <x v="16"/>
    </i>
    <i r="3">
      <x v="19"/>
      <x v="28"/>
    </i>
    <i r="3">
      <x v="20"/>
      <x/>
    </i>
    <i r="3">
      <x v="21"/>
      <x v="2"/>
    </i>
    <i r="3">
      <x v="22"/>
      <x v="3"/>
    </i>
    <i r="3">
      <x v="23"/>
      <x v="1"/>
    </i>
    <i r="3">
      <x v="24"/>
      <x v="46"/>
    </i>
    <i r="3">
      <x v="25"/>
      <x v="47"/>
    </i>
    <i r="3">
      <x v="26"/>
      <x v="8"/>
    </i>
    <i r="3">
      <x v="27"/>
      <x v="4"/>
    </i>
    <i r="3">
      <x v="31"/>
      <x v="54"/>
    </i>
    <i r="3">
      <x v="32"/>
      <x v="18"/>
    </i>
    <i r="3">
      <x v="33"/>
      <x v="52"/>
    </i>
    <i r="3">
      <x v="36"/>
      <x v="32"/>
    </i>
    <i r="3">
      <x v="43"/>
      <x v="34"/>
    </i>
    <i r="3">
      <x v="45"/>
      <x v="23"/>
    </i>
    <i r="3">
      <x v="46"/>
      <x v="11"/>
    </i>
    <i r="3">
      <x v="47"/>
      <x v="9"/>
    </i>
    <i r="3">
      <x v="48"/>
      <x v="51"/>
    </i>
    <i r="3">
      <x v="49"/>
      <x v="43"/>
    </i>
    <i r="3">
      <x v="50"/>
      <x v="35"/>
    </i>
    <i r="3">
      <x v="51"/>
      <x v="12"/>
    </i>
    <i r="3">
      <x v="52"/>
      <x v="13"/>
    </i>
    <i r="3">
      <x v="53"/>
      <x v="44"/>
    </i>
    <i r="3">
      <x v="54"/>
      <x v="10"/>
    </i>
    <i r="3">
      <x v="55"/>
      <x v="22"/>
    </i>
    <i t="default" r="2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Заказано" fld="18" baseField="0" baseItem="0"/>
    <dataField name="Сумма по полю Согласовано" fld="19" baseField="4" baseItem="0"/>
    <dataField name="Сумма по полю Урезание" fld="21" baseField="4" baseItem="0"/>
  </dataFields>
  <formats count="235">
    <format dxfId="234">
      <pivotArea type="all" dataOnly="0" outline="0" fieldPosition="0"/>
    </format>
    <format dxfId="233">
      <pivotArea outline="0" collapsedLevelsAreSubtotals="1" fieldPosition="0"/>
    </format>
    <format dxfId="232">
      <pivotArea field="4" type="button" dataOnly="0" labelOnly="1" outline="0" axis="axisRow" fieldPosition="0"/>
    </format>
    <format dxfId="231">
      <pivotArea field="7" type="button" dataOnly="0" labelOnly="1" outline="0" axis="axisRow" fieldPosition="1"/>
    </format>
    <format dxfId="230">
      <pivotArea field="5" type="button" dataOnly="0" labelOnly="1" outline="0" axis="axisRow" fieldPosition="2"/>
    </format>
    <format dxfId="229">
      <pivotArea field="16" type="button" dataOnly="0" labelOnly="1" outline="0" axis="axisRow" fieldPosition="3"/>
    </format>
    <format dxfId="228">
      <pivotArea field="17" type="button" dataOnly="0" labelOnly="1" outline="0" axis="axisRow" fieldPosition="4"/>
    </format>
    <format dxfId="227">
      <pivotArea dataOnly="0" labelOnly="1" outline="0" fieldPosition="0">
        <references count="1">
          <reference field="4" count="0"/>
        </references>
      </pivotArea>
    </format>
    <format dxfId="226">
      <pivotArea dataOnly="0" labelOnly="1" grandRow="1" outline="0" fieldPosition="0"/>
    </format>
    <format dxfId="225">
      <pivotArea dataOnly="0" labelOnly="1" outline="0" fieldPosition="0">
        <references count="2">
          <reference field="4" count="0" selected="0"/>
          <reference field="7" count="0"/>
        </references>
      </pivotArea>
    </format>
    <format dxfId="224">
      <pivotArea dataOnly="0" labelOnly="1" outline="0" fieldPosition="0">
        <references count="3">
          <reference field="4" count="0" selected="0"/>
          <reference field="5" count="0"/>
          <reference field="7" count="0" selected="0"/>
        </references>
      </pivotArea>
    </format>
    <format dxfId="223">
      <pivotArea dataOnly="0" labelOnly="1" outline="0" fieldPosition="0">
        <references count="3">
          <reference field="4" count="0" selected="0"/>
          <reference field="5" count="0" defaultSubtotal="1"/>
          <reference field="7" count="0" selected="0"/>
        </references>
      </pivotArea>
    </format>
    <format dxfId="222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0" selected="0"/>
          <reference field="16" count="29">
            <x v="0"/>
            <x v="1"/>
            <x v="2"/>
            <x v="3"/>
            <x v="4"/>
            <x v="5"/>
            <x v="6"/>
            <x v="8"/>
            <x v="10"/>
            <x v="11"/>
            <x v="12"/>
            <x v="13"/>
            <x v="16"/>
            <x v="24"/>
            <x v="25"/>
            <x v="26"/>
            <x v="28"/>
            <x v="29"/>
            <x v="30"/>
            <x v="34"/>
            <x v="35"/>
            <x v="37"/>
            <x v="38"/>
            <x v="39"/>
            <x v="40"/>
            <x v="41"/>
            <x v="42"/>
            <x v="43"/>
            <x v="44"/>
          </reference>
        </references>
      </pivotArea>
    </format>
    <format dxfId="221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0" selected="0"/>
          <reference field="16" count="33">
            <x v="2"/>
            <x v="4"/>
            <x v="7"/>
            <x v="9"/>
            <x v="14"/>
            <x v="15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31"/>
            <x v="32"/>
            <x v="33"/>
            <x v="36"/>
            <x v="43"/>
            <x v="45"/>
            <x v="46"/>
            <x v="47"/>
            <x v="48"/>
            <x v="49"/>
            <x v="50"/>
            <x v="51"/>
            <x v="52"/>
            <x v="53"/>
            <x v="54"/>
            <x v="55"/>
          </reference>
        </references>
      </pivotArea>
    </format>
    <format dxfId="22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0"/>
          </reference>
          <reference field="17" count="1">
            <x v="20"/>
          </reference>
        </references>
      </pivotArea>
    </format>
    <format dxfId="21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1"/>
          </reference>
          <reference field="17" count="1">
            <x v="31"/>
          </reference>
        </references>
      </pivotArea>
    </format>
    <format dxfId="21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2"/>
          </reference>
          <reference field="17" count="1">
            <x v="14"/>
          </reference>
        </references>
      </pivotArea>
    </format>
    <format dxfId="21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"/>
          </reference>
          <reference field="17" count="1">
            <x v="37"/>
          </reference>
        </references>
      </pivotArea>
    </format>
    <format dxfId="21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4"/>
          </reference>
          <reference field="17" count="1">
            <x v="38"/>
          </reference>
        </references>
      </pivotArea>
    </format>
    <format dxfId="21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5"/>
          </reference>
          <reference field="17" count="1">
            <x v="42"/>
          </reference>
        </references>
      </pivotArea>
    </format>
    <format dxfId="21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6"/>
          </reference>
          <reference field="17" count="1">
            <x v="41"/>
          </reference>
        </references>
      </pivotArea>
    </format>
    <format dxfId="21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8"/>
          </reference>
          <reference field="17" count="1">
            <x v="7"/>
          </reference>
        </references>
      </pivotArea>
    </format>
    <format dxfId="21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10"/>
          </reference>
          <reference field="17" count="1">
            <x v="19"/>
          </reference>
        </references>
      </pivotArea>
    </format>
    <format dxfId="21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11"/>
          </reference>
          <reference field="17" count="1">
            <x v="39"/>
          </reference>
        </references>
      </pivotArea>
    </format>
    <format dxfId="21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12"/>
          </reference>
          <reference field="17" count="1">
            <x v="5"/>
          </reference>
        </references>
      </pivotArea>
    </format>
    <format dxfId="20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13"/>
          </reference>
          <reference field="17" count="1">
            <x v="40"/>
          </reference>
        </references>
      </pivotArea>
    </format>
    <format dxfId="20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16"/>
          </reference>
          <reference field="17" count="1">
            <x v="30"/>
          </reference>
        </references>
      </pivotArea>
    </format>
    <format dxfId="20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24"/>
          </reference>
          <reference field="17" count="1">
            <x v="46"/>
          </reference>
        </references>
      </pivotArea>
    </format>
    <format dxfId="20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25"/>
          </reference>
          <reference field="17" count="1">
            <x v="47"/>
          </reference>
        </references>
      </pivotArea>
    </format>
    <format dxfId="20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26"/>
          </reference>
          <reference field="17" count="1">
            <x v="8"/>
          </reference>
        </references>
      </pivotArea>
    </format>
    <format dxfId="20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28"/>
          </reference>
          <reference field="17" count="1">
            <x v="36"/>
          </reference>
        </references>
      </pivotArea>
    </format>
    <format dxfId="20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29"/>
          </reference>
          <reference field="17" count="1">
            <x v="55"/>
          </reference>
        </references>
      </pivotArea>
    </format>
    <format dxfId="20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0"/>
          </reference>
          <reference field="17" count="1">
            <x v="50"/>
          </reference>
        </references>
      </pivotArea>
    </format>
    <format dxfId="20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4"/>
          </reference>
          <reference field="17" count="1">
            <x v="17"/>
          </reference>
        </references>
      </pivotArea>
    </format>
    <format dxfId="20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5"/>
          </reference>
          <reference field="17" count="1">
            <x v="15"/>
          </reference>
        </references>
      </pivotArea>
    </format>
    <format dxfId="19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7"/>
          </reference>
          <reference field="17" count="1">
            <x v="45"/>
          </reference>
        </references>
      </pivotArea>
    </format>
    <format dxfId="19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8"/>
          </reference>
          <reference field="17" count="1">
            <x v="49"/>
          </reference>
        </references>
      </pivotArea>
    </format>
    <format dxfId="19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9"/>
          </reference>
          <reference field="17" count="1">
            <x v="48"/>
          </reference>
        </references>
      </pivotArea>
    </format>
    <format dxfId="19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40"/>
          </reference>
          <reference field="17" count="1">
            <x v="25"/>
          </reference>
        </references>
      </pivotArea>
    </format>
    <format dxfId="19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41"/>
          </reference>
          <reference field="17" count="1">
            <x v="26"/>
          </reference>
        </references>
      </pivotArea>
    </format>
    <format dxfId="19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42"/>
          </reference>
          <reference field="17" count="1">
            <x v="24"/>
          </reference>
        </references>
      </pivotArea>
    </format>
    <format dxfId="19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43"/>
          </reference>
          <reference field="17" count="1">
            <x v="34"/>
          </reference>
        </references>
      </pivotArea>
    </format>
    <format dxfId="19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44"/>
          </reference>
          <reference field="17" count="1">
            <x v="33"/>
          </reference>
        </references>
      </pivotArea>
    </format>
    <format dxfId="19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"/>
          </reference>
          <reference field="17" count="1">
            <x v="14"/>
          </reference>
        </references>
      </pivotArea>
    </format>
    <format dxfId="19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"/>
          </reference>
          <reference field="17" count="1">
            <x v="38"/>
          </reference>
        </references>
      </pivotArea>
    </format>
    <format dxfId="18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7"/>
          </reference>
          <reference field="17" count="1">
            <x v="29"/>
          </reference>
        </references>
      </pivotArea>
    </format>
    <format dxfId="18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9"/>
          </reference>
          <reference field="17" count="1">
            <x v="21"/>
          </reference>
        </references>
      </pivotArea>
    </format>
    <format dxfId="18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14"/>
          </reference>
          <reference field="17" count="1">
            <x v="27"/>
          </reference>
        </references>
      </pivotArea>
    </format>
    <format dxfId="18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15"/>
          </reference>
          <reference field="17" count="1">
            <x v="53"/>
          </reference>
        </references>
      </pivotArea>
    </format>
    <format dxfId="18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17"/>
          </reference>
          <reference field="17" count="1">
            <x v="6"/>
          </reference>
        </references>
      </pivotArea>
    </format>
    <format dxfId="18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18"/>
          </reference>
          <reference field="17" count="1">
            <x v="16"/>
          </reference>
        </references>
      </pivotArea>
    </format>
    <format dxfId="18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19"/>
          </reference>
          <reference field="17" count="1">
            <x v="28"/>
          </reference>
        </references>
      </pivotArea>
    </format>
    <format dxfId="18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0"/>
          </reference>
          <reference field="17" count="1">
            <x v="0"/>
          </reference>
        </references>
      </pivotArea>
    </format>
    <format dxfId="18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1"/>
          </reference>
          <reference field="17" count="1">
            <x v="2"/>
          </reference>
        </references>
      </pivotArea>
    </format>
    <format dxfId="18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2"/>
          </reference>
          <reference field="17" count="1">
            <x v="3"/>
          </reference>
        </references>
      </pivotArea>
    </format>
    <format dxfId="17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3"/>
          </reference>
          <reference field="17" count="1">
            <x v="1"/>
          </reference>
        </references>
      </pivotArea>
    </format>
    <format dxfId="17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4"/>
          </reference>
          <reference field="17" count="1">
            <x v="46"/>
          </reference>
        </references>
      </pivotArea>
    </format>
    <format dxfId="17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5"/>
          </reference>
          <reference field="17" count="1">
            <x v="47"/>
          </reference>
        </references>
      </pivotArea>
    </format>
    <format dxfId="17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6"/>
          </reference>
          <reference field="17" count="1">
            <x v="8"/>
          </reference>
        </references>
      </pivotArea>
    </format>
    <format dxfId="17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7"/>
          </reference>
          <reference field="17" count="1">
            <x v="4"/>
          </reference>
        </references>
      </pivotArea>
    </format>
    <format dxfId="17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31"/>
          </reference>
          <reference field="17" count="1">
            <x v="54"/>
          </reference>
        </references>
      </pivotArea>
    </format>
    <format dxfId="17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32"/>
          </reference>
          <reference field="17" count="1">
            <x v="18"/>
          </reference>
        </references>
      </pivotArea>
    </format>
    <format dxfId="17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33"/>
          </reference>
          <reference field="17" count="1">
            <x v="52"/>
          </reference>
        </references>
      </pivotArea>
    </format>
    <format dxfId="17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36"/>
          </reference>
          <reference field="17" count="1">
            <x v="32"/>
          </reference>
        </references>
      </pivotArea>
    </format>
    <format dxfId="17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3"/>
          </reference>
          <reference field="17" count="1">
            <x v="34"/>
          </reference>
        </references>
      </pivotArea>
    </format>
    <format dxfId="16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5"/>
          </reference>
          <reference field="17" count="1">
            <x v="23"/>
          </reference>
        </references>
      </pivotArea>
    </format>
    <format dxfId="16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6"/>
          </reference>
          <reference field="17" count="1">
            <x v="11"/>
          </reference>
        </references>
      </pivotArea>
    </format>
    <format dxfId="16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7"/>
          </reference>
          <reference field="17" count="1">
            <x v="9"/>
          </reference>
        </references>
      </pivotArea>
    </format>
    <format dxfId="16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8"/>
          </reference>
          <reference field="17" count="1">
            <x v="51"/>
          </reference>
        </references>
      </pivotArea>
    </format>
    <format dxfId="16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9"/>
          </reference>
          <reference field="17" count="1">
            <x v="43"/>
          </reference>
        </references>
      </pivotArea>
    </format>
    <format dxfId="16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50"/>
          </reference>
          <reference field="17" count="1">
            <x v="35"/>
          </reference>
        </references>
      </pivotArea>
    </format>
    <format dxfId="16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51"/>
          </reference>
          <reference field="17" count="1">
            <x v="12"/>
          </reference>
        </references>
      </pivotArea>
    </format>
    <format dxfId="16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52"/>
          </reference>
          <reference field="17" count="1">
            <x v="13"/>
          </reference>
        </references>
      </pivotArea>
    </format>
    <format dxfId="16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53"/>
          </reference>
          <reference field="17" count="1">
            <x v="44"/>
          </reference>
        </references>
      </pivotArea>
    </format>
    <format dxfId="16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54"/>
          </reference>
          <reference field="17" count="1">
            <x v="10"/>
          </reference>
        </references>
      </pivotArea>
    </format>
    <format dxfId="15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55"/>
          </reference>
          <reference field="17" count="1">
            <x v="22"/>
          </reference>
        </references>
      </pivotArea>
    </format>
    <format dxfId="15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4" type="button" dataOnly="0" labelOnly="1" outline="0" axis="axisRow" fieldPosition="0"/>
    </format>
    <format dxfId="154">
      <pivotArea field="7" type="button" dataOnly="0" labelOnly="1" outline="0" axis="axisRow" fieldPosition="1"/>
    </format>
    <format dxfId="153">
      <pivotArea field="5" type="button" dataOnly="0" labelOnly="1" outline="0" axis="axisRow" fieldPosition="2"/>
    </format>
    <format dxfId="152">
      <pivotArea field="16" type="button" dataOnly="0" labelOnly="1" outline="0" axis="axisRow" fieldPosition="3"/>
    </format>
    <format dxfId="151">
      <pivotArea field="17" type="button" dataOnly="0" labelOnly="1" outline="0" axis="axisRow" fieldPosition="4"/>
    </format>
    <format dxfId="150">
      <pivotArea dataOnly="0" labelOnly="1" outline="0" fieldPosition="0">
        <references count="1">
          <reference field="4" count="0"/>
        </references>
      </pivotArea>
    </format>
    <format dxfId="149">
      <pivotArea dataOnly="0" labelOnly="1" grandRow="1" outline="0" fieldPosition="0"/>
    </format>
    <format dxfId="148">
      <pivotArea dataOnly="0" labelOnly="1" outline="0" fieldPosition="0">
        <references count="2">
          <reference field="4" count="0" selected="0"/>
          <reference field="7" count="0"/>
        </references>
      </pivotArea>
    </format>
    <format dxfId="147">
      <pivotArea dataOnly="0" labelOnly="1" outline="0" fieldPosition="0">
        <references count="3">
          <reference field="4" count="0" selected="0"/>
          <reference field="5" count="0"/>
          <reference field="7" count="0" selected="0"/>
        </references>
      </pivotArea>
    </format>
    <format dxfId="146">
      <pivotArea dataOnly="0" labelOnly="1" outline="0" fieldPosition="0">
        <references count="3">
          <reference field="4" count="0" selected="0"/>
          <reference field="5" count="0" defaultSubtotal="1"/>
          <reference field="7" count="0" selected="0"/>
        </references>
      </pivotArea>
    </format>
    <format dxfId="145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0" selected="0"/>
          <reference field="16" count="29">
            <x v="0"/>
            <x v="1"/>
            <x v="2"/>
            <x v="3"/>
            <x v="4"/>
            <x v="5"/>
            <x v="6"/>
            <x v="8"/>
            <x v="10"/>
            <x v="11"/>
            <x v="12"/>
            <x v="13"/>
            <x v="16"/>
            <x v="24"/>
            <x v="25"/>
            <x v="26"/>
            <x v="28"/>
            <x v="29"/>
            <x v="30"/>
            <x v="34"/>
            <x v="35"/>
            <x v="37"/>
            <x v="38"/>
            <x v="39"/>
            <x v="40"/>
            <x v="41"/>
            <x v="42"/>
            <x v="43"/>
            <x v="44"/>
          </reference>
        </references>
      </pivotArea>
    </format>
    <format dxfId="144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0" selected="0"/>
          <reference field="16" count="33">
            <x v="2"/>
            <x v="4"/>
            <x v="7"/>
            <x v="9"/>
            <x v="14"/>
            <x v="15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31"/>
            <x v="32"/>
            <x v="33"/>
            <x v="36"/>
            <x v="43"/>
            <x v="45"/>
            <x v="46"/>
            <x v="47"/>
            <x v="48"/>
            <x v="49"/>
            <x v="50"/>
            <x v="51"/>
            <x v="52"/>
            <x v="53"/>
            <x v="54"/>
            <x v="55"/>
          </reference>
        </references>
      </pivotArea>
    </format>
    <format dxfId="14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0"/>
          </reference>
          <reference field="17" count="1">
            <x v="20"/>
          </reference>
        </references>
      </pivotArea>
    </format>
    <format dxfId="14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1"/>
          </reference>
          <reference field="17" count="1">
            <x v="31"/>
          </reference>
        </references>
      </pivotArea>
    </format>
    <format dxfId="14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2"/>
          </reference>
          <reference field="17" count="1">
            <x v="14"/>
          </reference>
        </references>
      </pivotArea>
    </format>
    <format dxfId="14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"/>
          </reference>
          <reference field="17" count="1">
            <x v="37"/>
          </reference>
        </references>
      </pivotArea>
    </format>
    <format dxfId="13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4"/>
          </reference>
          <reference field="17" count="1">
            <x v="38"/>
          </reference>
        </references>
      </pivotArea>
    </format>
    <format dxfId="13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5"/>
          </reference>
          <reference field="17" count="1">
            <x v="42"/>
          </reference>
        </references>
      </pivotArea>
    </format>
    <format dxfId="13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6"/>
          </reference>
          <reference field="17" count="1">
            <x v="41"/>
          </reference>
        </references>
      </pivotArea>
    </format>
    <format dxfId="13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8"/>
          </reference>
          <reference field="17" count="1">
            <x v="7"/>
          </reference>
        </references>
      </pivotArea>
    </format>
    <format dxfId="13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10"/>
          </reference>
          <reference field="17" count="1">
            <x v="19"/>
          </reference>
        </references>
      </pivotArea>
    </format>
    <format dxfId="13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11"/>
          </reference>
          <reference field="17" count="1">
            <x v="39"/>
          </reference>
        </references>
      </pivotArea>
    </format>
    <format dxfId="13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12"/>
          </reference>
          <reference field="17" count="1">
            <x v="5"/>
          </reference>
        </references>
      </pivotArea>
    </format>
    <format dxfId="13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13"/>
          </reference>
          <reference field="17" count="1">
            <x v="40"/>
          </reference>
        </references>
      </pivotArea>
    </format>
    <format dxfId="13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16"/>
          </reference>
          <reference field="17" count="1">
            <x v="30"/>
          </reference>
        </references>
      </pivotArea>
    </format>
    <format dxfId="13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24"/>
          </reference>
          <reference field="17" count="1">
            <x v="46"/>
          </reference>
        </references>
      </pivotArea>
    </format>
    <format dxfId="12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25"/>
          </reference>
          <reference field="17" count="1">
            <x v="47"/>
          </reference>
        </references>
      </pivotArea>
    </format>
    <format dxfId="12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26"/>
          </reference>
          <reference field="17" count="1">
            <x v="8"/>
          </reference>
        </references>
      </pivotArea>
    </format>
    <format dxfId="12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28"/>
          </reference>
          <reference field="17" count="1">
            <x v="36"/>
          </reference>
        </references>
      </pivotArea>
    </format>
    <format dxfId="12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29"/>
          </reference>
          <reference field="17" count="1">
            <x v="55"/>
          </reference>
        </references>
      </pivotArea>
    </format>
    <format dxfId="12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0"/>
          </reference>
          <reference field="17" count="1">
            <x v="50"/>
          </reference>
        </references>
      </pivotArea>
    </format>
    <format dxfId="12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4"/>
          </reference>
          <reference field="17" count="1">
            <x v="17"/>
          </reference>
        </references>
      </pivotArea>
    </format>
    <format dxfId="12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5"/>
          </reference>
          <reference field="17" count="1">
            <x v="15"/>
          </reference>
        </references>
      </pivotArea>
    </format>
    <format dxfId="12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7"/>
          </reference>
          <reference field="17" count="1">
            <x v="45"/>
          </reference>
        </references>
      </pivotArea>
    </format>
    <format dxfId="12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8"/>
          </reference>
          <reference field="17" count="1">
            <x v="49"/>
          </reference>
        </references>
      </pivotArea>
    </format>
    <format dxfId="12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9"/>
          </reference>
          <reference field="17" count="1">
            <x v="48"/>
          </reference>
        </references>
      </pivotArea>
    </format>
    <format dxfId="11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40"/>
          </reference>
          <reference field="17" count="1">
            <x v="25"/>
          </reference>
        </references>
      </pivotArea>
    </format>
    <format dxfId="11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41"/>
          </reference>
          <reference field="17" count="1">
            <x v="26"/>
          </reference>
        </references>
      </pivotArea>
    </format>
    <format dxfId="11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42"/>
          </reference>
          <reference field="17" count="1">
            <x v="24"/>
          </reference>
        </references>
      </pivotArea>
    </format>
    <format dxfId="11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43"/>
          </reference>
          <reference field="17" count="1">
            <x v="34"/>
          </reference>
        </references>
      </pivotArea>
    </format>
    <format dxfId="11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44"/>
          </reference>
          <reference field="17" count="1">
            <x v="33"/>
          </reference>
        </references>
      </pivotArea>
    </format>
    <format dxfId="11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"/>
          </reference>
          <reference field="17" count="1">
            <x v="14"/>
          </reference>
        </references>
      </pivotArea>
    </format>
    <format dxfId="11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"/>
          </reference>
          <reference field="17" count="1">
            <x v="38"/>
          </reference>
        </references>
      </pivotArea>
    </format>
    <format dxfId="11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7"/>
          </reference>
          <reference field="17" count="1">
            <x v="29"/>
          </reference>
        </references>
      </pivotArea>
    </format>
    <format dxfId="11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9"/>
          </reference>
          <reference field="17" count="1">
            <x v="21"/>
          </reference>
        </references>
      </pivotArea>
    </format>
    <format dxfId="11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14"/>
          </reference>
          <reference field="17" count="1">
            <x v="27"/>
          </reference>
        </references>
      </pivotArea>
    </format>
    <format dxfId="10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15"/>
          </reference>
          <reference field="17" count="1">
            <x v="53"/>
          </reference>
        </references>
      </pivotArea>
    </format>
    <format dxfId="10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17"/>
          </reference>
          <reference field="17" count="1">
            <x v="6"/>
          </reference>
        </references>
      </pivotArea>
    </format>
    <format dxfId="10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18"/>
          </reference>
          <reference field="17" count="1">
            <x v="16"/>
          </reference>
        </references>
      </pivotArea>
    </format>
    <format dxfId="10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19"/>
          </reference>
          <reference field="17" count="1">
            <x v="28"/>
          </reference>
        </references>
      </pivotArea>
    </format>
    <format dxfId="10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0"/>
          </reference>
          <reference field="17" count="1">
            <x v="0"/>
          </reference>
        </references>
      </pivotArea>
    </format>
    <format dxfId="10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1"/>
          </reference>
          <reference field="17" count="1">
            <x v="2"/>
          </reference>
        </references>
      </pivotArea>
    </format>
    <format dxfId="10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2"/>
          </reference>
          <reference field="17" count="1">
            <x v="3"/>
          </reference>
        </references>
      </pivotArea>
    </format>
    <format dxfId="10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3"/>
          </reference>
          <reference field="17" count="1">
            <x v="1"/>
          </reference>
        </references>
      </pivotArea>
    </format>
    <format dxfId="10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4"/>
          </reference>
          <reference field="17" count="1">
            <x v="46"/>
          </reference>
        </references>
      </pivotArea>
    </format>
    <format dxfId="10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5"/>
          </reference>
          <reference field="17" count="1">
            <x v="47"/>
          </reference>
        </references>
      </pivotArea>
    </format>
    <format dxfId="9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6"/>
          </reference>
          <reference field="17" count="1">
            <x v="8"/>
          </reference>
        </references>
      </pivotArea>
    </format>
    <format dxfId="9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7"/>
          </reference>
          <reference field="17" count="1">
            <x v="4"/>
          </reference>
        </references>
      </pivotArea>
    </format>
    <format dxfId="9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31"/>
          </reference>
          <reference field="17" count="1">
            <x v="54"/>
          </reference>
        </references>
      </pivotArea>
    </format>
    <format dxfId="9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32"/>
          </reference>
          <reference field="17" count="1">
            <x v="18"/>
          </reference>
        </references>
      </pivotArea>
    </format>
    <format dxfId="9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33"/>
          </reference>
          <reference field="17" count="1">
            <x v="52"/>
          </reference>
        </references>
      </pivotArea>
    </format>
    <format dxfId="9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36"/>
          </reference>
          <reference field="17" count="1">
            <x v="32"/>
          </reference>
        </references>
      </pivotArea>
    </format>
    <format dxfId="9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3"/>
          </reference>
          <reference field="17" count="1">
            <x v="34"/>
          </reference>
        </references>
      </pivotArea>
    </format>
    <format dxfId="9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5"/>
          </reference>
          <reference field="17" count="1">
            <x v="23"/>
          </reference>
        </references>
      </pivotArea>
    </format>
    <format dxfId="9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6"/>
          </reference>
          <reference field="17" count="1">
            <x v="11"/>
          </reference>
        </references>
      </pivotArea>
    </format>
    <format dxfId="9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7"/>
          </reference>
          <reference field="17" count="1">
            <x v="9"/>
          </reference>
        </references>
      </pivotArea>
    </format>
    <format dxfId="8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8"/>
          </reference>
          <reference field="17" count="1">
            <x v="51"/>
          </reference>
        </references>
      </pivotArea>
    </format>
    <format dxfId="8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9"/>
          </reference>
          <reference field="17" count="1">
            <x v="43"/>
          </reference>
        </references>
      </pivotArea>
    </format>
    <format dxfId="8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50"/>
          </reference>
          <reference field="17" count="1">
            <x v="35"/>
          </reference>
        </references>
      </pivotArea>
    </format>
    <format dxfId="8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51"/>
          </reference>
          <reference field="17" count="1">
            <x v="12"/>
          </reference>
        </references>
      </pivotArea>
    </format>
    <format dxfId="8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52"/>
          </reference>
          <reference field="17" count="1">
            <x v="13"/>
          </reference>
        </references>
      </pivotArea>
    </format>
    <format dxfId="8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53"/>
          </reference>
          <reference field="17" count="1">
            <x v="44"/>
          </reference>
        </references>
      </pivotArea>
    </format>
    <format dxfId="8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54"/>
          </reference>
          <reference field="17" count="1">
            <x v="10"/>
          </reference>
        </references>
      </pivotArea>
    </format>
    <format dxfId="8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55"/>
          </reference>
          <reference field="17" count="1">
            <x v="22"/>
          </reference>
        </references>
      </pivotArea>
    </format>
    <format dxfId="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0">
      <pivotArea outline="0" fieldPosition="0">
        <references count="3">
          <reference field="4" count="0" selected="0"/>
          <reference field="5" count="1" selected="0" defaultSubtotal="1">
            <x v="0"/>
          </reference>
          <reference field="7" count="0" selected="0"/>
        </references>
      </pivotArea>
    </format>
    <format dxfId="79">
      <pivotArea dataOnly="0" labelOnly="1" outline="0" offset="IV30" fieldPosition="0">
        <references count="1">
          <reference field="4" count="0"/>
        </references>
      </pivotArea>
    </format>
    <format dxfId="78">
      <pivotArea dataOnly="0" labelOnly="1" outline="0" offset="IV30" fieldPosition="0">
        <references count="2">
          <reference field="4" count="0" selected="0"/>
          <reference field="7" count="0"/>
        </references>
      </pivotArea>
    </format>
    <format dxfId="77">
      <pivotArea dataOnly="0" labelOnly="1" outline="0" fieldPosition="0">
        <references count="3">
          <reference field="4" count="0" selected="0"/>
          <reference field="5" count="1" defaultSubtotal="1">
            <x v="0"/>
          </reference>
          <reference field="7" count="0" selected="0"/>
        </references>
      </pivotArea>
    </format>
    <format dxfId="76">
      <pivotArea outline="0" fieldPosition="0">
        <references count="3">
          <reference field="4" count="0" selected="0"/>
          <reference field="5" count="1" selected="0" defaultSubtotal="1">
            <x v="0"/>
          </reference>
          <reference field="7" count="0" selected="0"/>
        </references>
      </pivotArea>
    </format>
    <format dxfId="75">
      <pivotArea outline="0" fieldPosition="0">
        <references count="3">
          <reference field="4" count="0" selected="0"/>
          <reference field="5" count="1" selected="0" defaultSubtotal="1">
            <x v="1"/>
          </reference>
          <reference field="7" count="0" selected="0"/>
        </references>
      </pivotArea>
    </format>
    <format dxfId="74">
      <pivotArea dataOnly="0" labelOnly="1" outline="0" fieldPosition="0">
        <references count="1">
          <reference field="4" count="0"/>
        </references>
      </pivotArea>
    </format>
    <format dxfId="73">
      <pivotArea dataOnly="0" labelOnly="1" outline="0" fieldPosition="0">
        <references count="2">
          <reference field="4" count="0" selected="0"/>
          <reference field="7" count="0"/>
        </references>
      </pivotArea>
    </format>
    <format dxfId="72">
      <pivotArea dataOnly="0" labelOnly="1" outline="0" fieldPosition="0">
        <references count="3">
          <reference field="4" count="0" selected="0"/>
          <reference field="5" count="1" defaultSubtotal="1">
            <x v="1"/>
          </reference>
          <reference field="7" count="0" selected="0"/>
        </references>
      </pivotArea>
    </format>
    <format dxfId="71">
      <pivotArea outline="0" fieldPosition="0">
        <references count="3">
          <reference field="4" count="0" selected="0"/>
          <reference field="5" count="1" selected="0" defaultSubtotal="1">
            <x v="1"/>
          </reference>
          <reference field="7" count="0" selected="0"/>
        </references>
      </pivotArea>
    </format>
    <format dxfId="70">
      <pivotArea dataOnly="0" labelOnly="1" outline="0" offset="IV256" fieldPosition="0">
        <references count="1">
          <reference field="4" count="0"/>
        </references>
      </pivotArea>
    </format>
    <format dxfId="69">
      <pivotArea dataOnly="0" labelOnly="1" outline="0" offset="IV256" fieldPosition="0">
        <references count="2">
          <reference field="4" count="0" selected="0"/>
          <reference field="7" count="0"/>
        </references>
      </pivotArea>
    </format>
    <format dxfId="68">
      <pivotArea dataOnly="0" labelOnly="1" outline="0" fieldPosition="0">
        <references count="3">
          <reference field="4" count="0" selected="0"/>
          <reference field="5" count="1" defaultSubtotal="1">
            <x v="1"/>
          </reference>
          <reference field="7" count="0" selected="0"/>
        </references>
      </pivotArea>
    </format>
    <format dxfId="67">
      <pivotArea outline="0" collapsedLevelsAreSubtotals="1" fieldPosition="0"/>
    </format>
    <format dxfId="6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5">
      <pivotArea field="17" type="button" dataOnly="0" labelOnly="1" outline="0" axis="axisRow" fieldPosition="4"/>
    </format>
    <format dxfId="64">
      <pivotArea dataOnly="0" labelOnly="1" grandRow="1" outline="0" fieldPosition="0"/>
    </format>
    <format dxfId="63">
      <pivotArea dataOnly="0" labelOnly="1" outline="0" fieldPosition="0">
        <references count="3">
          <reference field="4" count="0" selected="0"/>
          <reference field="5" count="1" defaultSubtotal="1">
            <x v="0"/>
          </reference>
          <reference field="7" count="0" selected="0"/>
        </references>
      </pivotArea>
    </format>
    <format dxfId="62">
      <pivotArea dataOnly="0" labelOnly="1" outline="0" fieldPosition="0">
        <references count="3">
          <reference field="4" count="0" selected="0"/>
          <reference field="5" count="1" defaultSubtotal="1">
            <x v="1"/>
          </reference>
          <reference field="7" count="0" selected="0"/>
        </references>
      </pivotArea>
    </format>
    <format dxfId="6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0"/>
          </reference>
          <reference field="17" count="1">
            <x v="20"/>
          </reference>
        </references>
      </pivotArea>
    </format>
    <format dxfId="6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1"/>
          </reference>
          <reference field="17" count="1">
            <x v="31"/>
          </reference>
        </references>
      </pivotArea>
    </format>
    <format dxfId="5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2"/>
          </reference>
          <reference field="17" count="1">
            <x v="14"/>
          </reference>
        </references>
      </pivotArea>
    </format>
    <format dxfId="5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"/>
          </reference>
          <reference field="17" count="1">
            <x v="37"/>
          </reference>
        </references>
      </pivotArea>
    </format>
    <format dxfId="5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4"/>
          </reference>
          <reference field="17" count="1">
            <x v="38"/>
          </reference>
        </references>
      </pivotArea>
    </format>
    <format dxfId="5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5"/>
          </reference>
          <reference field="17" count="1">
            <x v="42"/>
          </reference>
        </references>
      </pivotArea>
    </format>
    <format dxfId="5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6"/>
          </reference>
          <reference field="17" count="1">
            <x v="41"/>
          </reference>
        </references>
      </pivotArea>
    </format>
    <format dxfId="5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8"/>
          </reference>
          <reference field="17" count="1">
            <x v="7"/>
          </reference>
        </references>
      </pivotArea>
    </format>
    <format dxfId="5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10"/>
          </reference>
          <reference field="17" count="1">
            <x v="19"/>
          </reference>
        </references>
      </pivotArea>
    </format>
    <format dxfId="5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11"/>
          </reference>
          <reference field="17" count="1">
            <x v="39"/>
          </reference>
        </references>
      </pivotArea>
    </format>
    <format dxfId="5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12"/>
          </reference>
          <reference field="17" count="1">
            <x v="5"/>
          </reference>
        </references>
      </pivotArea>
    </format>
    <format dxfId="5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13"/>
          </reference>
          <reference field="17" count="1">
            <x v="40"/>
          </reference>
        </references>
      </pivotArea>
    </format>
    <format dxfId="4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16"/>
          </reference>
          <reference field="17" count="1">
            <x v="30"/>
          </reference>
        </references>
      </pivotArea>
    </format>
    <format dxfId="4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24"/>
          </reference>
          <reference field="17" count="1">
            <x v="46"/>
          </reference>
        </references>
      </pivotArea>
    </format>
    <format dxfId="4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25"/>
          </reference>
          <reference field="17" count="1">
            <x v="47"/>
          </reference>
        </references>
      </pivotArea>
    </format>
    <format dxfId="4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26"/>
          </reference>
          <reference field="17" count="1">
            <x v="8"/>
          </reference>
        </references>
      </pivotArea>
    </format>
    <format dxfId="4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28"/>
          </reference>
          <reference field="17" count="1">
            <x v="36"/>
          </reference>
        </references>
      </pivotArea>
    </format>
    <format dxfId="4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29"/>
          </reference>
          <reference field="17" count="1">
            <x v="55"/>
          </reference>
        </references>
      </pivotArea>
    </format>
    <format dxfId="4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0"/>
          </reference>
          <reference field="17" count="1">
            <x v="50"/>
          </reference>
        </references>
      </pivotArea>
    </format>
    <format dxfId="4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4"/>
          </reference>
          <reference field="17" count="1">
            <x v="17"/>
          </reference>
        </references>
      </pivotArea>
    </format>
    <format dxfId="4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5"/>
          </reference>
          <reference field="17" count="1">
            <x v="15"/>
          </reference>
        </references>
      </pivotArea>
    </format>
    <format dxfId="4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7"/>
          </reference>
          <reference field="17" count="1">
            <x v="45"/>
          </reference>
        </references>
      </pivotArea>
    </format>
    <format dxfId="3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8"/>
          </reference>
          <reference field="17" count="1">
            <x v="49"/>
          </reference>
        </references>
      </pivotArea>
    </format>
    <format dxfId="3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39"/>
          </reference>
          <reference field="17" count="1">
            <x v="48"/>
          </reference>
        </references>
      </pivotArea>
    </format>
    <format dxfId="3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40"/>
          </reference>
          <reference field="17" count="1">
            <x v="25"/>
          </reference>
        </references>
      </pivotArea>
    </format>
    <format dxfId="3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41"/>
          </reference>
          <reference field="17" count="1">
            <x v="26"/>
          </reference>
        </references>
      </pivotArea>
    </format>
    <format dxfId="3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42"/>
          </reference>
          <reference field="17" count="1">
            <x v="24"/>
          </reference>
        </references>
      </pivotArea>
    </format>
    <format dxfId="3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43"/>
          </reference>
          <reference field="17" count="1">
            <x v="34"/>
          </reference>
        </references>
      </pivotArea>
    </format>
    <format dxfId="3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0" selected="0"/>
          <reference field="16" count="1" selected="0">
            <x v="44"/>
          </reference>
          <reference field="17" count="1">
            <x v="33"/>
          </reference>
        </references>
      </pivotArea>
    </format>
    <format dxfId="3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"/>
          </reference>
          <reference field="17" count="1">
            <x v="14"/>
          </reference>
        </references>
      </pivotArea>
    </format>
    <format dxfId="3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"/>
          </reference>
          <reference field="17" count="1">
            <x v="38"/>
          </reference>
        </references>
      </pivotArea>
    </format>
    <format dxfId="3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7"/>
          </reference>
          <reference field="17" count="1">
            <x v="29"/>
          </reference>
        </references>
      </pivotArea>
    </format>
    <format dxfId="2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9"/>
          </reference>
          <reference field="17" count="1">
            <x v="21"/>
          </reference>
        </references>
      </pivotArea>
    </format>
    <format dxfId="2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14"/>
          </reference>
          <reference field="17" count="1">
            <x v="27"/>
          </reference>
        </references>
      </pivotArea>
    </format>
    <format dxfId="2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15"/>
          </reference>
          <reference field="17" count="1">
            <x v="53"/>
          </reference>
        </references>
      </pivotArea>
    </format>
    <format dxfId="2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17"/>
          </reference>
          <reference field="17" count="1">
            <x v="6"/>
          </reference>
        </references>
      </pivotArea>
    </format>
    <format dxfId="2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18"/>
          </reference>
          <reference field="17" count="1">
            <x v="16"/>
          </reference>
        </references>
      </pivotArea>
    </format>
    <format dxfId="2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19"/>
          </reference>
          <reference field="17" count="1">
            <x v="28"/>
          </reference>
        </references>
      </pivotArea>
    </format>
    <format dxfId="2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0"/>
          </reference>
          <reference field="17" count="1">
            <x v="0"/>
          </reference>
        </references>
      </pivotArea>
    </format>
    <format dxfId="2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1"/>
          </reference>
          <reference field="17" count="1">
            <x v="2"/>
          </reference>
        </references>
      </pivotArea>
    </format>
    <format dxfId="2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2"/>
          </reference>
          <reference field="17" count="1">
            <x v="3"/>
          </reference>
        </references>
      </pivotArea>
    </format>
    <format dxfId="2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3"/>
          </reference>
          <reference field="17" count="1">
            <x v="1"/>
          </reference>
        </references>
      </pivotArea>
    </format>
    <format dxfId="1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4"/>
          </reference>
          <reference field="17" count="1">
            <x v="46"/>
          </reference>
        </references>
      </pivotArea>
    </format>
    <format dxfId="1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5"/>
          </reference>
          <reference field="17" count="1">
            <x v="47"/>
          </reference>
        </references>
      </pivotArea>
    </format>
    <format dxfId="1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6"/>
          </reference>
          <reference field="17" count="1">
            <x v="8"/>
          </reference>
        </references>
      </pivotArea>
    </format>
    <format dxfId="1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27"/>
          </reference>
          <reference field="17" count="1">
            <x v="4"/>
          </reference>
        </references>
      </pivotArea>
    </format>
    <format dxfId="1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31"/>
          </reference>
          <reference field="17" count="1">
            <x v="54"/>
          </reference>
        </references>
      </pivotArea>
    </format>
    <format dxfId="1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32"/>
          </reference>
          <reference field="17" count="1">
            <x v="18"/>
          </reference>
        </references>
      </pivotArea>
    </format>
    <format dxfId="1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33"/>
          </reference>
          <reference field="17" count="1">
            <x v="52"/>
          </reference>
        </references>
      </pivotArea>
    </format>
    <format dxfId="1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36"/>
          </reference>
          <reference field="17" count="1">
            <x v="32"/>
          </reference>
        </references>
      </pivotArea>
    </format>
    <format dxfId="1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3"/>
          </reference>
          <reference field="17" count="1">
            <x v="34"/>
          </reference>
        </references>
      </pivotArea>
    </format>
    <format dxfId="1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5"/>
          </reference>
          <reference field="17" count="1">
            <x v="23"/>
          </reference>
        </references>
      </pivotArea>
    </format>
    <format dxfId="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6"/>
          </reference>
          <reference field="17" count="1">
            <x v="11"/>
          </reference>
        </references>
      </pivotArea>
    </format>
    <format dxfId="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7"/>
          </reference>
          <reference field="17" count="1">
            <x v="9"/>
          </reference>
        </references>
      </pivotArea>
    </format>
    <format dxfId="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8"/>
          </reference>
          <reference field="17" count="1">
            <x v="51"/>
          </reference>
        </references>
      </pivotArea>
    </format>
    <format dxfId="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49"/>
          </reference>
          <reference field="17" count="1">
            <x v="43"/>
          </reference>
        </references>
      </pivotArea>
    </format>
    <format dxfId="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50"/>
          </reference>
          <reference field="17" count="1">
            <x v="35"/>
          </reference>
        </references>
      </pivotArea>
    </format>
    <format dxfId="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51"/>
          </reference>
          <reference field="17" count="1">
            <x v="12"/>
          </reference>
        </references>
      </pivotArea>
    </format>
    <format dxfId="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52"/>
          </reference>
          <reference field="17" count="1">
            <x v="13"/>
          </reference>
        </references>
      </pivotArea>
    </format>
    <format dxfId="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53"/>
          </reference>
          <reference field="17" count="1">
            <x v="44"/>
          </reference>
        </references>
      </pivotArea>
    </format>
    <format dxfId="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54"/>
          </reference>
          <reference field="17" count="1">
            <x v="10"/>
          </reference>
        </references>
      </pivotArea>
    </format>
    <format dxfId="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0" selected="0"/>
          <reference field="16" count="1" selected="0">
            <x v="55"/>
          </reference>
          <reference field="17" count="1">
            <x v="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D63" totalsRowShown="0">
  <autoFilter ref="A1:AD63" xr:uid="{00000000-0009-0000-0100-000001000000}"/>
  <tableColumns count="30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Поздний заказ"/>
    <tableColumn id="4" xr3:uid="{00000000-0010-0000-0000-000004000000}" name="Заказ на продажу"/>
    <tableColumn id="5" xr3:uid="{00000000-0010-0000-0000-000005000000}" name="Запрошенная дата отгрузки"/>
    <tableColumn id="6" xr3:uid="{00000000-0010-0000-0000-000006000000}" name="Внешний номер заказа"/>
    <tableColumn id="7" xr3:uid="{00000000-0010-0000-0000-000007000000}" name="Время отгрузки"/>
    <tableColumn id="8" xr3:uid="{00000000-0010-0000-0000-000008000000}" name="Внешний код клиента"/>
    <tableColumn id="9" xr3:uid="{00000000-0010-0000-0000-000009000000}" name="Запрошенная дата прихода"/>
    <tableColumn id="10" xr3:uid="{00000000-0010-0000-0000-00000A000000}" name="Время прихода"/>
    <tableColumn id="11" xr3:uid="{00000000-0010-0000-0000-00000B000000}" name="Код адреса поставки"/>
    <tableColumn id="12" xr3:uid="{00000000-0010-0000-0000-00000C000000}" name="Сайт"/>
    <tableColumn id="13" xr3:uid="{00000000-0010-0000-0000-00000D000000}" name="Склад"/>
    <tableColumn id="14" xr3:uid="{00000000-0010-0000-0000-00000E000000}" name="ИОСГ"/>
    <tableColumn id="15" xr3:uid="{00000000-0010-0000-0000-00000F000000}" name="Внешний код"/>
    <tableColumn id="16" xr3:uid="{00000000-0010-0000-0000-000010000000}" name="Окончательная"/>
    <tableColumn id="17" xr3:uid="{00000000-0010-0000-0000-000011000000}" name="Код единицы продаж"/>
    <tableColumn id="18" xr3:uid="{00000000-0010-0000-0000-000012000000}" name="Наименование для бланков"/>
    <tableColumn id="19" xr3:uid="{00000000-0010-0000-0000-000013000000}" name="Заказано"/>
    <tableColumn id="20" xr3:uid="{00000000-0010-0000-0000-000014000000}" name="Согласовано"/>
    <tableColumn id="21" xr3:uid="{00000000-0010-0000-0000-000015000000}" name="Отгружено"/>
    <tableColumn id="22" xr3:uid="{00000000-0010-0000-0000-000016000000}" name="Урезание"/>
    <tableColumn id="23" xr3:uid="{00000000-0010-0000-0000-000017000000}" name="ПСУС (урезание/пусто)"/>
    <tableColumn id="24" xr3:uid="{00000000-0010-0000-0000-000018000000}" name="Зона ответственности (урезание/пусто)"/>
    <tableColumn id="25" xr3:uid="{00000000-0010-0000-0000-000019000000}" name="Окончательная (урезание/пусто)"/>
    <tableColumn id="26" xr3:uid="{00000000-0010-0000-0000-00001A000000}" name="Недогруз"/>
    <tableColumn id="27" xr3:uid="{00000000-0010-0000-0000-00001B000000}" name="ПСУС (недогруз)"/>
    <tableColumn id="28" xr3:uid="{00000000-0010-0000-0000-00001C000000}" name="Зона ответственности (недогруз)"/>
    <tableColumn id="29" xr3:uid="{00000000-0010-0000-0000-00001D000000}" name="Окончательная (недогруз)"/>
    <tableColumn id="30" xr3:uid="{00000000-0010-0000-0000-00001E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68"/>
  <sheetViews>
    <sheetView tabSelected="1" topLeftCell="A37" workbookViewId="0">
      <selection activeCell="C67" sqref="C67"/>
    </sheetView>
  </sheetViews>
  <sheetFormatPr defaultRowHeight="15" x14ac:dyDescent="0.25"/>
  <cols>
    <col min="1" max="1" width="17.28515625" customWidth="1"/>
    <col min="2" max="2" width="14.5703125" customWidth="1"/>
    <col min="3" max="3" width="15.42578125" customWidth="1"/>
    <col min="4" max="4" width="15" customWidth="1"/>
    <col min="5" max="5" width="83.140625" style="16" customWidth="1"/>
    <col min="6" max="6" width="24.42578125" style="12" bestFit="1" customWidth="1"/>
    <col min="7" max="7" width="27.85546875" style="12" bestFit="1" customWidth="1"/>
    <col min="8" max="8" width="25" style="12" bestFit="1" customWidth="1"/>
  </cols>
  <sheetData>
    <row r="3" spans="1:8" x14ac:dyDescent="0.25">
      <c r="A3" s="5" t="s">
        <v>4</v>
      </c>
      <c r="B3" s="5" t="s">
        <v>7</v>
      </c>
      <c r="C3" s="5" t="s">
        <v>5</v>
      </c>
      <c r="D3" s="5" t="s">
        <v>16</v>
      </c>
      <c r="E3" s="13" t="s">
        <v>17</v>
      </c>
      <c r="F3" s="10" t="s">
        <v>159</v>
      </c>
      <c r="G3" s="10" t="s">
        <v>160</v>
      </c>
      <c r="H3" s="10" t="s">
        <v>161</v>
      </c>
    </row>
    <row r="4" spans="1:8" x14ac:dyDescent="0.25">
      <c r="A4" s="7">
        <v>46244</v>
      </c>
      <c r="B4" s="6" t="s">
        <v>35</v>
      </c>
      <c r="C4" s="6" t="s">
        <v>109</v>
      </c>
      <c r="D4" s="6" t="s">
        <v>140</v>
      </c>
      <c r="E4" s="14" t="s">
        <v>141</v>
      </c>
      <c r="F4" s="10">
        <v>300</v>
      </c>
      <c r="G4" s="10">
        <v>300</v>
      </c>
      <c r="H4" s="10"/>
    </row>
    <row r="5" spans="1:8" x14ac:dyDescent="0.25">
      <c r="A5" s="6"/>
      <c r="B5" s="6"/>
      <c r="C5" s="6"/>
      <c r="D5" s="6" t="s">
        <v>136</v>
      </c>
      <c r="E5" s="14" t="s">
        <v>137</v>
      </c>
      <c r="F5" s="10">
        <v>202.8</v>
      </c>
      <c r="G5" s="10">
        <v>202.8</v>
      </c>
      <c r="H5" s="10"/>
    </row>
    <row r="6" spans="1:8" x14ac:dyDescent="0.25">
      <c r="A6" s="6"/>
      <c r="B6" s="6"/>
      <c r="C6" s="6"/>
      <c r="D6" s="6" t="s">
        <v>39</v>
      </c>
      <c r="E6" s="14" t="s">
        <v>40</v>
      </c>
      <c r="F6" s="10">
        <v>52</v>
      </c>
      <c r="G6" s="10">
        <v>52</v>
      </c>
      <c r="H6" s="10"/>
    </row>
    <row r="7" spans="1:8" x14ac:dyDescent="0.25">
      <c r="A7" s="6"/>
      <c r="B7" s="6"/>
      <c r="C7" s="6"/>
      <c r="D7" s="6" t="s">
        <v>112</v>
      </c>
      <c r="E7" s="14" t="s">
        <v>113</v>
      </c>
      <c r="F7" s="10">
        <v>153.9</v>
      </c>
      <c r="G7" s="10">
        <v>153.9</v>
      </c>
      <c r="H7" s="10"/>
    </row>
    <row r="8" spans="1:8" x14ac:dyDescent="0.25">
      <c r="A8" s="6"/>
      <c r="B8" s="6"/>
      <c r="C8" s="6"/>
      <c r="D8" s="6" t="s">
        <v>51</v>
      </c>
      <c r="E8" s="14" t="s">
        <v>52</v>
      </c>
      <c r="F8" s="10">
        <v>202.5</v>
      </c>
      <c r="G8" s="10">
        <v>202.5</v>
      </c>
      <c r="H8" s="10"/>
    </row>
    <row r="9" spans="1:8" x14ac:dyDescent="0.25">
      <c r="A9" s="6"/>
      <c r="B9" s="6"/>
      <c r="C9" s="6"/>
      <c r="D9" s="6" t="s">
        <v>118</v>
      </c>
      <c r="E9" s="14" t="s">
        <v>119</v>
      </c>
      <c r="F9" s="10">
        <v>351</v>
      </c>
      <c r="G9" s="10">
        <v>351</v>
      </c>
      <c r="H9" s="10"/>
    </row>
    <row r="10" spans="1:8" x14ac:dyDescent="0.25">
      <c r="A10" s="6"/>
      <c r="B10" s="6"/>
      <c r="C10" s="6"/>
      <c r="D10" s="6" t="s">
        <v>116</v>
      </c>
      <c r="E10" s="14" t="s">
        <v>117</v>
      </c>
      <c r="F10" s="10">
        <v>251.1</v>
      </c>
      <c r="G10" s="10">
        <v>251.1</v>
      </c>
      <c r="H10" s="10"/>
    </row>
    <row r="11" spans="1:8" x14ac:dyDescent="0.25">
      <c r="A11" s="6"/>
      <c r="B11" s="6"/>
      <c r="C11" s="6"/>
      <c r="D11" s="6" t="s">
        <v>152</v>
      </c>
      <c r="E11" s="14" t="s">
        <v>153</v>
      </c>
      <c r="F11" s="10">
        <v>501.6</v>
      </c>
      <c r="G11" s="10">
        <v>501.6</v>
      </c>
      <c r="H11" s="10"/>
    </row>
    <row r="12" spans="1:8" x14ac:dyDescent="0.25">
      <c r="A12" s="6"/>
      <c r="B12" s="6"/>
      <c r="C12" s="6"/>
      <c r="D12" s="6" t="s">
        <v>154</v>
      </c>
      <c r="E12" s="14" t="s">
        <v>155</v>
      </c>
      <c r="F12" s="10">
        <v>501.6</v>
      </c>
      <c r="G12" s="10">
        <v>501.6</v>
      </c>
      <c r="H12" s="10"/>
    </row>
    <row r="13" spans="1:8" x14ac:dyDescent="0.25">
      <c r="A13" s="6"/>
      <c r="B13" s="6"/>
      <c r="C13" s="6"/>
      <c r="D13" s="6" t="s">
        <v>144</v>
      </c>
      <c r="E13" s="14" t="s">
        <v>145</v>
      </c>
      <c r="F13" s="10">
        <v>702</v>
      </c>
      <c r="G13" s="10">
        <v>702</v>
      </c>
      <c r="H13" s="10"/>
    </row>
    <row r="14" spans="1:8" x14ac:dyDescent="0.25">
      <c r="A14" s="6"/>
      <c r="B14" s="6"/>
      <c r="C14" s="6"/>
      <c r="D14" s="6" t="s">
        <v>148</v>
      </c>
      <c r="E14" s="14" t="s">
        <v>149</v>
      </c>
      <c r="F14" s="10">
        <v>501.6</v>
      </c>
      <c r="G14" s="10"/>
      <c r="H14" s="10">
        <v>-501.6</v>
      </c>
    </row>
    <row r="15" spans="1:8" x14ac:dyDescent="0.25">
      <c r="A15" s="6"/>
      <c r="B15" s="6"/>
      <c r="C15" s="6"/>
      <c r="D15" s="6" t="s">
        <v>146</v>
      </c>
      <c r="E15" s="14" t="s">
        <v>147</v>
      </c>
      <c r="F15" s="10">
        <v>151.19999999999999</v>
      </c>
      <c r="G15" s="10"/>
      <c r="H15" s="10">
        <v>-151.19999999999999</v>
      </c>
    </row>
    <row r="16" spans="1:8" x14ac:dyDescent="0.25">
      <c r="A16" s="6"/>
      <c r="B16" s="6"/>
      <c r="C16" s="6"/>
      <c r="D16" s="6" t="s">
        <v>142</v>
      </c>
      <c r="E16" s="14" t="s">
        <v>143</v>
      </c>
      <c r="F16" s="10">
        <v>54</v>
      </c>
      <c r="G16" s="10"/>
      <c r="H16" s="10">
        <v>-54</v>
      </c>
    </row>
    <row r="17" spans="1:8" x14ac:dyDescent="0.25">
      <c r="A17" s="6"/>
      <c r="B17" s="6"/>
      <c r="C17" s="6"/>
      <c r="D17" s="6" t="s">
        <v>65</v>
      </c>
      <c r="E17" s="14" t="s">
        <v>66</v>
      </c>
      <c r="F17" s="10">
        <v>201.6</v>
      </c>
      <c r="G17" s="10">
        <v>201.6</v>
      </c>
      <c r="H17" s="10"/>
    </row>
    <row r="18" spans="1:8" x14ac:dyDescent="0.25">
      <c r="A18" s="6"/>
      <c r="B18" s="6"/>
      <c r="C18" s="6"/>
      <c r="D18" s="6" t="s">
        <v>67</v>
      </c>
      <c r="E18" s="14" t="s">
        <v>68</v>
      </c>
      <c r="F18" s="10">
        <v>201.6</v>
      </c>
      <c r="G18" s="10">
        <v>201.6</v>
      </c>
      <c r="H18" s="10"/>
    </row>
    <row r="19" spans="1:8" x14ac:dyDescent="0.25">
      <c r="A19" s="6"/>
      <c r="B19" s="6"/>
      <c r="C19" s="6"/>
      <c r="D19" s="6" t="s">
        <v>104</v>
      </c>
      <c r="E19" s="14" t="s">
        <v>105</v>
      </c>
      <c r="F19" s="10">
        <v>302.39999999999998</v>
      </c>
      <c r="G19" s="10">
        <v>302.39999999999998</v>
      </c>
      <c r="H19" s="10"/>
    </row>
    <row r="20" spans="1:8" x14ac:dyDescent="0.25">
      <c r="A20" s="6"/>
      <c r="B20" s="6"/>
      <c r="C20" s="6"/>
      <c r="D20" s="6" t="s">
        <v>156</v>
      </c>
      <c r="E20" s="14" t="s">
        <v>157</v>
      </c>
      <c r="F20" s="10">
        <v>207</v>
      </c>
      <c r="G20" s="10"/>
      <c r="H20" s="10">
        <v>-207</v>
      </c>
    </row>
    <row r="21" spans="1:8" x14ac:dyDescent="0.25">
      <c r="A21" s="6"/>
      <c r="B21" s="6"/>
      <c r="C21" s="6"/>
      <c r="D21" s="6" t="s">
        <v>132</v>
      </c>
      <c r="E21" s="14" t="s">
        <v>133</v>
      </c>
      <c r="F21" s="10">
        <v>151.19999999999999</v>
      </c>
      <c r="G21" s="10">
        <v>151.19999999999999</v>
      </c>
      <c r="H21" s="10"/>
    </row>
    <row r="22" spans="1:8" x14ac:dyDescent="0.25">
      <c r="A22" s="6"/>
      <c r="B22" s="6"/>
      <c r="C22" s="6"/>
      <c r="D22" s="6" t="s">
        <v>128</v>
      </c>
      <c r="E22" s="14" t="s">
        <v>129</v>
      </c>
      <c r="F22" s="10">
        <v>200.1</v>
      </c>
      <c r="G22" s="10"/>
      <c r="H22" s="10">
        <v>-200.1</v>
      </c>
    </row>
    <row r="23" spans="1:8" x14ac:dyDescent="0.25">
      <c r="A23" s="6"/>
      <c r="B23" s="6"/>
      <c r="C23" s="6"/>
      <c r="D23" s="6" t="s">
        <v>110</v>
      </c>
      <c r="E23" s="14" t="s">
        <v>111</v>
      </c>
      <c r="F23" s="10">
        <v>54</v>
      </c>
      <c r="G23" s="10">
        <v>54</v>
      </c>
      <c r="H23" s="10"/>
    </row>
    <row r="24" spans="1:8" x14ac:dyDescent="0.25">
      <c r="A24" s="6"/>
      <c r="B24" s="6"/>
      <c r="C24" s="6"/>
      <c r="D24" s="6" t="s">
        <v>114</v>
      </c>
      <c r="E24" s="14" t="s">
        <v>115</v>
      </c>
      <c r="F24" s="10">
        <v>54</v>
      </c>
      <c r="G24" s="10">
        <v>54</v>
      </c>
      <c r="H24" s="10"/>
    </row>
    <row r="25" spans="1:8" x14ac:dyDescent="0.25">
      <c r="A25" s="6"/>
      <c r="B25" s="6"/>
      <c r="C25" s="6"/>
      <c r="D25" s="6" t="s">
        <v>130</v>
      </c>
      <c r="E25" s="14" t="s">
        <v>131</v>
      </c>
      <c r="F25" s="10">
        <v>151.19999999999999</v>
      </c>
      <c r="G25" s="10">
        <v>151.19999999999999</v>
      </c>
      <c r="H25" s="10"/>
    </row>
    <row r="26" spans="1:8" x14ac:dyDescent="0.25">
      <c r="A26" s="6"/>
      <c r="B26" s="6"/>
      <c r="C26" s="6"/>
      <c r="D26" s="6" t="s">
        <v>134</v>
      </c>
      <c r="E26" s="14" t="s">
        <v>135</v>
      </c>
      <c r="F26" s="10">
        <v>151.19999999999999</v>
      </c>
      <c r="G26" s="10">
        <v>151.19999999999999</v>
      </c>
      <c r="H26" s="10"/>
    </row>
    <row r="27" spans="1:8" x14ac:dyDescent="0.25">
      <c r="A27" s="6"/>
      <c r="B27" s="6"/>
      <c r="C27" s="6"/>
      <c r="D27" s="6" t="s">
        <v>126</v>
      </c>
      <c r="E27" s="14" t="s">
        <v>127</v>
      </c>
      <c r="F27" s="10">
        <v>56.7</v>
      </c>
      <c r="G27" s="10">
        <v>56.7</v>
      </c>
      <c r="H27" s="10"/>
    </row>
    <row r="28" spans="1:8" x14ac:dyDescent="0.25">
      <c r="A28" s="6"/>
      <c r="B28" s="6"/>
      <c r="C28" s="6"/>
      <c r="D28" s="6" t="s">
        <v>122</v>
      </c>
      <c r="E28" s="14" t="s">
        <v>123</v>
      </c>
      <c r="F28" s="10">
        <v>151.19999999999999</v>
      </c>
      <c r="G28" s="10">
        <v>151.19999999999999</v>
      </c>
      <c r="H28" s="10"/>
    </row>
    <row r="29" spans="1:8" x14ac:dyDescent="0.25">
      <c r="A29" s="6"/>
      <c r="B29" s="6"/>
      <c r="C29" s="6"/>
      <c r="D29" s="6" t="s">
        <v>124</v>
      </c>
      <c r="E29" s="14" t="s">
        <v>125</v>
      </c>
      <c r="F29" s="10">
        <v>151.19999999999999</v>
      </c>
      <c r="G29" s="10">
        <v>151.19999999999999</v>
      </c>
      <c r="H29" s="10"/>
    </row>
    <row r="30" spans="1:8" x14ac:dyDescent="0.25">
      <c r="A30" s="6"/>
      <c r="B30" s="6"/>
      <c r="C30" s="6"/>
      <c r="D30" s="6" t="s">
        <v>120</v>
      </c>
      <c r="E30" s="14" t="s">
        <v>121</v>
      </c>
      <c r="F30" s="10">
        <v>100.8</v>
      </c>
      <c r="G30" s="10">
        <v>100.8</v>
      </c>
      <c r="H30" s="10"/>
    </row>
    <row r="31" spans="1:8" x14ac:dyDescent="0.25">
      <c r="A31" s="6"/>
      <c r="B31" s="6"/>
      <c r="C31" s="6"/>
      <c r="D31" s="6" t="s">
        <v>87</v>
      </c>
      <c r="E31" s="14" t="s">
        <v>88</v>
      </c>
      <c r="F31" s="10">
        <v>50.4</v>
      </c>
      <c r="G31" s="10"/>
      <c r="H31" s="10">
        <v>-50.4</v>
      </c>
    </row>
    <row r="32" spans="1:8" x14ac:dyDescent="0.25">
      <c r="A32" s="6"/>
      <c r="B32" s="6"/>
      <c r="C32" s="6"/>
      <c r="D32" s="6" t="s">
        <v>138</v>
      </c>
      <c r="E32" s="14" t="s">
        <v>139</v>
      </c>
      <c r="F32" s="10">
        <v>31.5</v>
      </c>
      <c r="G32" s="10">
        <v>31.5</v>
      </c>
      <c r="H32" s="10"/>
    </row>
    <row r="33" spans="1:8" s="9" customFormat="1" x14ac:dyDescent="0.25">
      <c r="A33" s="8"/>
      <c r="B33" s="8"/>
      <c r="C33" s="8" t="s">
        <v>162</v>
      </c>
      <c r="D33" s="8"/>
      <c r="E33" s="15"/>
      <c r="F33" s="11">
        <v>6141.3999999999987</v>
      </c>
      <c r="G33" s="11">
        <v>4977.0999999999985</v>
      </c>
      <c r="H33" s="11">
        <v>-1164.3</v>
      </c>
    </row>
    <row r="34" spans="1:8" x14ac:dyDescent="0.25">
      <c r="A34" s="6"/>
      <c r="B34" s="6"/>
      <c r="C34" s="6" t="s">
        <v>34</v>
      </c>
      <c r="D34" s="6" t="s">
        <v>39</v>
      </c>
      <c r="E34" s="14" t="s">
        <v>40</v>
      </c>
      <c r="F34" s="10">
        <v>120</v>
      </c>
      <c r="G34" s="10">
        <v>120</v>
      </c>
      <c r="H34" s="10"/>
    </row>
    <row r="35" spans="1:8" x14ac:dyDescent="0.25">
      <c r="A35" s="6"/>
      <c r="B35" s="6"/>
      <c r="C35" s="6"/>
      <c r="D35" s="6" t="s">
        <v>51</v>
      </c>
      <c r="E35" s="14" t="s">
        <v>52</v>
      </c>
      <c r="F35" s="10">
        <v>216</v>
      </c>
      <c r="G35" s="10">
        <v>216</v>
      </c>
      <c r="H35" s="10"/>
    </row>
    <row r="36" spans="1:8" x14ac:dyDescent="0.25">
      <c r="A36" s="6"/>
      <c r="B36" s="6"/>
      <c r="C36" s="6"/>
      <c r="D36" s="6" t="s">
        <v>83</v>
      </c>
      <c r="E36" s="14" t="s">
        <v>84</v>
      </c>
      <c r="F36" s="10">
        <v>10.199999999999999</v>
      </c>
      <c r="G36" s="10">
        <v>10.199999999999999</v>
      </c>
      <c r="H36" s="10"/>
    </row>
    <row r="37" spans="1:8" x14ac:dyDescent="0.25">
      <c r="A37" s="6"/>
      <c r="B37" s="6"/>
      <c r="C37" s="6"/>
      <c r="D37" s="6" t="s">
        <v>92</v>
      </c>
      <c r="E37" s="14" t="s">
        <v>93</v>
      </c>
      <c r="F37" s="10">
        <v>44</v>
      </c>
      <c r="G37" s="10">
        <v>44</v>
      </c>
      <c r="H37" s="10"/>
    </row>
    <row r="38" spans="1:8" x14ac:dyDescent="0.25">
      <c r="A38" s="6"/>
      <c r="B38" s="6"/>
      <c r="C38" s="6"/>
      <c r="D38" s="6" t="s">
        <v>81</v>
      </c>
      <c r="E38" s="14" t="s">
        <v>82</v>
      </c>
      <c r="F38" s="10">
        <v>30.6</v>
      </c>
      <c r="G38" s="10">
        <v>30.6</v>
      </c>
      <c r="H38" s="10"/>
    </row>
    <row r="39" spans="1:8" x14ac:dyDescent="0.25">
      <c r="A39" s="6"/>
      <c r="B39" s="6"/>
      <c r="C39" s="6"/>
      <c r="D39" s="6" t="s">
        <v>100</v>
      </c>
      <c r="E39" s="14" t="s">
        <v>101</v>
      </c>
      <c r="F39" s="10">
        <v>36</v>
      </c>
      <c r="G39" s="10">
        <v>36</v>
      </c>
      <c r="H39" s="10"/>
    </row>
    <row r="40" spans="1:8" x14ac:dyDescent="0.25">
      <c r="A40" s="6"/>
      <c r="B40" s="6"/>
      <c r="C40" s="6"/>
      <c r="D40" s="6" t="s">
        <v>49</v>
      </c>
      <c r="E40" s="14" t="s">
        <v>50</v>
      </c>
      <c r="F40" s="10">
        <v>13.6</v>
      </c>
      <c r="G40" s="10">
        <v>13.6</v>
      </c>
      <c r="H40" s="10"/>
    </row>
    <row r="41" spans="1:8" x14ac:dyDescent="0.25">
      <c r="A41" s="6"/>
      <c r="B41" s="6"/>
      <c r="C41" s="6"/>
      <c r="D41" s="6" t="s">
        <v>55</v>
      </c>
      <c r="E41" s="14" t="s">
        <v>56</v>
      </c>
      <c r="F41" s="10">
        <v>15</v>
      </c>
      <c r="G41" s="10">
        <v>15</v>
      </c>
      <c r="H41" s="10"/>
    </row>
    <row r="42" spans="1:8" x14ac:dyDescent="0.25">
      <c r="A42" s="6"/>
      <c r="B42" s="6"/>
      <c r="C42" s="6"/>
      <c r="D42" s="6" t="s">
        <v>85</v>
      </c>
      <c r="E42" s="14" t="s">
        <v>86</v>
      </c>
      <c r="F42" s="10">
        <v>24</v>
      </c>
      <c r="G42" s="10">
        <v>24</v>
      </c>
      <c r="H42" s="10"/>
    </row>
    <row r="43" spans="1:8" x14ac:dyDescent="0.25">
      <c r="A43" s="6"/>
      <c r="B43" s="6"/>
      <c r="C43" s="6"/>
      <c r="D43" s="6" t="s">
        <v>94</v>
      </c>
      <c r="E43" s="14" t="s">
        <v>95</v>
      </c>
      <c r="F43" s="10">
        <v>31.5</v>
      </c>
      <c r="G43" s="10">
        <v>31.5</v>
      </c>
      <c r="H43" s="10"/>
    </row>
    <row r="44" spans="1:8" x14ac:dyDescent="0.25">
      <c r="A44" s="6"/>
      <c r="B44" s="6"/>
      <c r="C44" s="6"/>
      <c r="D44" s="6" t="s">
        <v>98</v>
      </c>
      <c r="E44" s="14" t="s">
        <v>99</v>
      </c>
      <c r="F44" s="10">
        <v>8.4</v>
      </c>
      <c r="G44" s="10">
        <v>8.4</v>
      </c>
      <c r="H44" s="10"/>
    </row>
    <row r="45" spans="1:8" x14ac:dyDescent="0.25">
      <c r="A45" s="6"/>
      <c r="B45" s="6"/>
      <c r="C45" s="6"/>
      <c r="D45" s="6" t="s">
        <v>96</v>
      </c>
      <c r="E45" s="14" t="s">
        <v>97</v>
      </c>
      <c r="F45" s="10">
        <v>12.6</v>
      </c>
      <c r="G45" s="10">
        <v>12.6</v>
      </c>
      <c r="H45" s="10"/>
    </row>
    <row r="46" spans="1:8" x14ac:dyDescent="0.25">
      <c r="A46" s="6"/>
      <c r="B46" s="6"/>
      <c r="C46" s="6"/>
      <c r="D46" s="6" t="s">
        <v>79</v>
      </c>
      <c r="E46" s="14" t="s">
        <v>80</v>
      </c>
      <c r="F46" s="10">
        <v>71.400000000000006</v>
      </c>
      <c r="G46" s="10"/>
      <c r="H46" s="10">
        <v>-71.400000000000006</v>
      </c>
    </row>
    <row r="47" spans="1:8" x14ac:dyDescent="0.25">
      <c r="A47" s="6"/>
      <c r="B47" s="6"/>
      <c r="C47" s="6"/>
      <c r="D47" s="6" t="s">
        <v>65</v>
      </c>
      <c r="E47" s="14" t="s">
        <v>66</v>
      </c>
      <c r="F47" s="10">
        <v>168</v>
      </c>
      <c r="G47" s="10">
        <v>168</v>
      </c>
      <c r="H47" s="10"/>
    </row>
    <row r="48" spans="1:8" x14ac:dyDescent="0.25">
      <c r="A48" s="6"/>
      <c r="B48" s="6"/>
      <c r="C48" s="6"/>
      <c r="D48" s="6" t="s">
        <v>67</v>
      </c>
      <c r="E48" s="14" t="s">
        <v>68</v>
      </c>
      <c r="F48" s="10">
        <v>168</v>
      </c>
      <c r="G48" s="10">
        <v>168</v>
      </c>
      <c r="H48" s="10"/>
    </row>
    <row r="49" spans="1:8" x14ac:dyDescent="0.25">
      <c r="A49" s="6"/>
      <c r="B49" s="6"/>
      <c r="C49" s="6"/>
      <c r="D49" s="6" t="s">
        <v>104</v>
      </c>
      <c r="E49" s="14" t="s">
        <v>105</v>
      </c>
      <c r="F49" s="10">
        <v>182.4</v>
      </c>
      <c r="G49" s="10">
        <v>182.4</v>
      </c>
      <c r="H49" s="10"/>
    </row>
    <row r="50" spans="1:8" x14ac:dyDescent="0.25">
      <c r="A50" s="6"/>
      <c r="B50" s="6"/>
      <c r="C50" s="6"/>
      <c r="D50" s="6" t="s">
        <v>102</v>
      </c>
      <c r="E50" s="14" t="s">
        <v>103</v>
      </c>
      <c r="F50" s="10">
        <v>273.60000000000002</v>
      </c>
      <c r="G50" s="10">
        <v>273.60000000000002</v>
      </c>
      <c r="H50" s="10"/>
    </row>
    <row r="51" spans="1:8" x14ac:dyDescent="0.25">
      <c r="A51" s="6"/>
      <c r="B51" s="6"/>
      <c r="C51" s="6"/>
      <c r="D51" s="6" t="s">
        <v>73</v>
      </c>
      <c r="E51" s="14" t="s">
        <v>74</v>
      </c>
      <c r="F51" s="10">
        <v>48</v>
      </c>
      <c r="G51" s="10">
        <v>48</v>
      </c>
      <c r="H51" s="10"/>
    </row>
    <row r="52" spans="1:8" x14ac:dyDescent="0.25">
      <c r="A52" s="6"/>
      <c r="B52" s="6"/>
      <c r="C52" s="6"/>
      <c r="D52" s="6" t="s">
        <v>41</v>
      </c>
      <c r="E52" s="14" t="s">
        <v>42</v>
      </c>
      <c r="F52" s="10">
        <v>105.3</v>
      </c>
      <c r="G52" s="10">
        <v>105.3</v>
      </c>
      <c r="H52" s="10"/>
    </row>
    <row r="53" spans="1:8" x14ac:dyDescent="0.25">
      <c r="A53" s="6"/>
      <c r="B53" s="6"/>
      <c r="C53" s="6"/>
      <c r="D53" s="6" t="s">
        <v>43</v>
      </c>
      <c r="E53" s="14" t="s">
        <v>44</v>
      </c>
      <c r="F53" s="10">
        <v>30.6</v>
      </c>
      <c r="G53" s="10">
        <v>30.6</v>
      </c>
      <c r="H53" s="10"/>
    </row>
    <row r="54" spans="1:8" x14ac:dyDescent="0.25">
      <c r="A54" s="6"/>
      <c r="B54" s="6"/>
      <c r="C54" s="6"/>
      <c r="D54" s="6" t="s">
        <v>47</v>
      </c>
      <c r="E54" s="14" t="s">
        <v>48</v>
      </c>
      <c r="F54" s="10">
        <v>43.2</v>
      </c>
      <c r="G54" s="10">
        <v>43.2</v>
      </c>
      <c r="H54" s="10"/>
    </row>
    <row r="55" spans="1:8" x14ac:dyDescent="0.25">
      <c r="A55" s="6"/>
      <c r="B55" s="6"/>
      <c r="C55" s="6"/>
      <c r="D55" s="6" t="s">
        <v>87</v>
      </c>
      <c r="E55" s="14" t="s">
        <v>88</v>
      </c>
      <c r="F55" s="10">
        <v>84</v>
      </c>
      <c r="G55" s="10"/>
      <c r="H55" s="10">
        <v>-84</v>
      </c>
    </row>
    <row r="56" spans="1:8" x14ac:dyDescent="0.25">
      <c r="A56" s="6"/>
      <c r="B56" s="6"/>
      <c r="C56" s="6"/>
      <c r="D56" s="6" t="s">
        <v>61</v>
      </c>
      <c r="E56" s="14" t="s">
        <v>62</v>
      </c>
      <c r="F56" s="10">
        <v>8</v>
      </c>
      <c r="G56" s="10"/>
      <c r="H56" s="10">
        <v>-8</v>
      </c>
    </row>
    <row r="57" spans="1:8" x14ac:dyDescent="0.25">
      <c r="A57" s="6"/>
      <c r="B57" s="6"/>
      <c r="C57" s="6"/>
      <c r="D57" s="6" t="s">
        <v>71</v>
      </c>
      <c r="E57" s="14" t="s">
        <v>72</v>
      </c>
      <c r="F57" s="10">
        <v>84</v>
      </c>
      <c r="G57" s="10">
        <v>84</v>
      </c>
      <c r="H57" s="10"/>
    </row>
    <row r="58" spans="1:8" x14ac:dyDescent="0.25">
      <c r="A58" s="6"/>
      <c r="B58" s="6"/>
      <c r="C58" s="6"/>
      <c r="D58" s="6" t="s">
        <v>69</v>
      </c>
      <c r="E58" s="14" t="s">
        <v>70</v>
      </c>
      <c r="F58" s="10">
        <v>120</v>
      </c>
      <c r="G58" s="10">
        <v>120</v>
      </c>
      <c r="H58" s="10"/>
    </row>
    <row r="59" spans="1:8" x14ac:dyDescent="0.25">
      <c r="A59" s="6"/>
      <c r="B59" s="6"/>
      <c r="C59" s="6"/>
      <c r="D59" s="6" t="s">
        <v>45</v>
      </c>
      <c r="E59" s="14" t="s">
        <v>46</v>
      </c>
      <c r="F59" s="10">
        <v>27</v>
      </c>
      <c r="G59" s="10">
        <v>27</v>
      </c>
      <c r="H59" s="10"/>
    </row>
    <row r="60" spans="1:8" x14ac:dyDescent="0.25">
      <c r="A60" s="6"/>
      <c r="B60" s="6"/>
      <c r="C60" s="6"/>
      <c r="D60" s="6" t="s">
        <v>57</v>
      </c>
      <c r="E60" s="14" t="s">
        <v>58</v>
      </c>
      <c r="F60" s="10">
        <v>82.8</v>
      </c>
      <c r="G60" s="10">
        <v>82.8</v>
      </c>
      <c r="H60" s="10"/>
    </row>
    <row r="61" spans="1:8" x14ac:dyDescent="0.25">
      <c r="A61" s="6"/>
      <c r="B61" s="6"/>
      <c r="C61" s="6"/>
      <c r="D61" s="6" t="s">
        <v>75</v>
      </c>
      <c r="E61" s="14" t="s">
        <v>76</v>
      </c>
      <c r="F61" s="10">
        <v>43.2</v>
      </c>
      <c r="G61" s="10">
        <v>43.2</v>
      </c>
      <c r="H61" s="10"/>
    </row>
    <row r="62" spans="1:8" x14ac:dyDescent="0.25">
      <c r="A62" s="6"/>
      <c r="B62" s="6"/>
      <c r="C62" s="6"/>
      <c r="D62" s="6" t="s">
        <v>77</v>
      </c>
      <c r="E62" s="14" t="s">
        <v>78</v>
      </c>
      <c r="F62" s="10">
        <v>24</v>
      </c>
      <c r="G62" s="10">
        <v>24</v>
      </c>
      <c r="H62" s="10"/>
    </row>
    <row r="63" spans="1:8" x14ac:dyDescent="0.25">
      <c r="A63" s="6"/>
      <c r="B63" s="6"/>
      <c r="C63" s="6"/>
      <c r="D63" s="6" t="s">
        <v>90</v>
      </c>
      <c r="E63" s="14" t="s">
        <v>91</v>
      </c>
      <c r="F63" s="10">
        <v>150</v>
      </c>
      <c r="G63" s="10">
        <v>150</v>
      </c>
      <c r="H63" s="10"/>
    </row>
    <row r="64" spans="1:8" x14ac:dyDescent="0.25">
      <c r="A64" s="6"/>
      <c r="B64" s="6"/>
      <c r="C64" s="6"/>
      <c r="D64" s="6" t="s">
        <v>106</v>
      </c>
      <c r="E64" s="14" t="s">
        <v>107</v>
      </c>
      <c r="F64" s="10">
        <v>36</v>
      </c>
      <c r="G64" s="10">
        <v>36</v>
      </c>
      <c r="H64" s="10"/>
    </row>
    <row r="65" spans="1:8" x14ac:dyDescent="0.25">
      <c r="A65" s="6"/>
      <c r="B65" s="6"/>
      <c r="C65" s="6"/>
      <c r="D65" s="6" t="s">
        <v>53</v>
      </c>
      <c r="E65" s="14" t="s">
        <v>54</v>
      </c>
      <c r="F65" s="10">
        <v>2.2000000000000002</v>
      </c>
      <c r="G65" s="10">
        <v>2.2000000000000002</v>
      </c>
      <c r="H65" s="10"/>
    </row>
    <row r="66" spans="1:8" x14ac:dyDescent="0.25">
      <c r="A66" s="6"/>
      <c r="B66" s="6"/>
      <c r="C66" s="6"/>
      <c r="D66" s="6" t="s">
        <v>59</v>
      </c>
      <c r="E66" s="14" t="s">
        <v>60</v>
      </c>
      <c r="F66" s="10">
        <v>3.2</v>
      </c>
      <c r="G66" s="10">
        <v>3.2</v>
      </c>
      <c r="H66" s="10"/>
    </row>
    <row r="67" spans="1:8" s="9" customFormat="1" x14ac:dyDescent="0.25">
      <c r="A67" s="8"/>
      <c r="B67" s="8"/>
      <c r="C67" s="8" t="s">
        <v>163</v>
      </c>
      <c r="D67" s="8"/>
      <c r="E67" s="15"/>
      <c r="F67" s="11">
        <v>2316.7999999999997</v>
      </c>
      <c r="G67" s="11">
        <v>2153.3999999999996</v>
      </c>
      <c r="H67" s="11">
        <v>-163.4</v>
      </c>
    </row>
    <row r="68" spans="1:8" x14ac:dyDescent="0.25">
      <c r="A68" s="7" t="s">
        <v>158</v>
      </c>
      <c r="B68" s="6"/>
      <c r="C68" s="6"/>
      <c r="D68" s="6"/>
      <c r="E68" s="14"/>
      <c r="F68" s="10">
        <v>8458.2000000000007</v>
      </c>
      <c r="G68" s="10">
        <v>7130.4999999999991</v>
      </c>
      <c r="H68" s="10">
        <v>-1327.7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3"/>
  <sheetViews>
    <sheetView topLeftCell="A2" workbookViewId="0"/>
  </sheetViews>
  <sheetFormatPr defaultRowHeight="15" x14ac:dyDescent="0.25"/>
  <cols>
    <col min="1" max="1" width="16" style="1"/>
    <col min="2" max="2" width="68" style="1"/>
    <col min="3" max="3" width="17" style="1"/>
    <col min="4" max="4" width="20" style="1"/>
    <col min="5" max="5" width="29" style="2"/>
    <col min="6" max="6" width="24" style="1"/>
    <col min="7" max="7" width="18" style="3"/>
    <col min="8" max="8" width="23" style="1"/>
    <col min="9" max="9" width="28" style="2"/>
    <col min="10" max="10" width="17" style="3"/>
    <col min="11" max="11" width="23" style="1"/>
    <col min="12" max="12" width="8" style="1"/>
    <col min="13" max="13" width="9" style="1"/>
    <col min="14" max="14" width="8" style="1"/>
    <col min="15" max="15" width="15" style="1"/>
    <col min="16" max="16" width="17" style="1"/>
    <col min="17" max="17" width="22" style="1"/>
    <col min="18" max="18" width="119" style="1"/>
    <col min="19" max="19" width="12" style="4"/>
    <col min="20" max="20" width="15" style="4"/>
    <col min="21" max="22" width="13" style="4"/>
    <col min="23" max="23" width="25" style="1"/>
    <col min="24" max="24" width="41" style="1"/>
    <col min="25" max="25" width="34" style="1"/>
    <col min="26" max="26" width="12" style="4"/>
    <col min="27" max="27" width="19" style="1"/>
    <col min="28" max="28" width="35" style="1"/>
    <col min="29" max="29" width="28" style="1"/>
    <col min="30" max="30" width="18" style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30</v>
      </c>
      <c r="B2" s="1" t="s">
        <v>31</v>
      </c>
      <c r="C2" s="1" t="s">
        <v>32</v>
      </c>
      <c r="D2" s="1" t="s">
        <v>33</v>
      </c>
      <c r="E2" s="2">
        <v>46244</v>
      </c>
      <c r="F2" s="1" t="s">
        <v>34</v>
      </c>
      <c r="G2" s="3">
        <v>46244.666666666701</v>
      </c>
      <c r="H2" s="1" t="s">
        <v>35</v>
      </c>
      <c r="I2" s="2">
        <v>46244</v>
      </c>
      <c r="J2" s="3">
        <v>46244.666666666701</v>
      </c>
      <c r="K2" s="1" t="s">
        <v>36</v>
      </c>
      <c r="L2" s="1" t="s">
        <v>37</v>
      </c>
      <c r="M2" s="1" t="s">
        <v>38</v>
      </c>
      <c r="N2" s="1" t="s">
        <v>32</v>
      </c>
      <c r="P2" s="1" t="s">
        <v>32</v>
      </c>
      <c r="Q2" s="1" t="s">
        <v>39</v>
      </c>
      <c r="R2" s="1" t="s">
        <v>40</v>
      </c>
      <c r="S2" s="4">
        <v>120</v>
      </c>
      <c r="T2" s="4">
        <v>120</v>
      </c>
      <c r="U2" s="4">
        <v>120</v>
      </c>
      <c r="Y2" s="1" t="s">
        <v>32</v>
      </c>
      <c r="AC2" s="1" t="s">
        <v>32</v>
      </c>
    </row>
    <row r="3" spans="1:30" x14ac:dyDescent="0.25">
      <c r="A3" s="1" t="s">
        <v>30</v>
      </c>
      <c r="B3" s="1" t="s">
        <v>31</v>
      </c>
      <c r="C3" s="1" t="s">
        <v>32</v>
      </c>
      <c r="D3" s="1" t="s">
        <v>33</v>
      </c>
      <c r="E3" s="2">
        <v>46244</v>
      </c>
      <c r="F3" s="1" t="s">
        <v>34</v>
      </c>
      <c r="G3" s="3">
        <v>46244.666666666701</v>
      </c>
      <c r="H3" s="1" t="s">
        <v>35</v>
      </c>
      <c r="I3" s="2">
        <v>46244</v>
      </c>
      <c r="J3" s="3">
        <v>46244.666666666701</v>
      </c>
      <c r="K3" s="1" t="s">
        <v>36</v>
      </c>
      <c r="L3" s="1" t="s">
        <v>37</v>
      </c>
      <c r="M3" s="1" t="s">
        <v>38</v>
      </c>
      <c r="N3" s="1" t="s">
        <v>32</v>
      </c>
      <c r="P3" s="1" t="s">
        <v>32</v>
      </c>
      <c r="Q3" s="1" t="s">
        <v>41</v>
      </c>
      <c r="R3" s="1" t="s">
        <v>42</v>
      </c>
      <c r="S3" s="4">
        <v>105.3</v>
      </c>
      <c r="T3" s="4">
        <v>105.3</v>
      </c>
      <c r="U3" s="4">
        <v>105.3</v>
      </c>
      <c r="Y3" s="1" t="s">
        <v>32</v>
      </c>
      <c r="AC3" s="1" t="s">
        <v>32</v>
      </c>
    </row>
    <row r="4" spans="1:30" x14ac:dyDescent="0.25">
      <c r="A4" s="1" t="s">
        <v>30</v>
      </c>
      <c r="B4" s="1" t="s">
        <v>31</v>
      </c>
      <c r="C4" s="1" t="s">
        <v>32</v>
      </c>
      <c r="D4" s="1" t="s">
        <v>33</v>
      </c>
      <c r="E4" s="2">
        <v>46244</v>
      </c>
      <c r="F4" s="1" t="s">
        <v>34</v>
      </c>
      <c r="G4" s="3">
        <v>46244.666666666701</v>
      </c>
      <c r="H4" s="1" t="s">
        <v>35</v>
      </c>
      <c r="I4" s="2">
        <v>46244</v>
      </c>
      <c r="J4" s="3">
        <v>46244.666666666701</v>
      </c>
      <c r="K4" s="1" t="s">
        <v>36</v>
      </c>
      <c r="L4" s="1" t="s">
        <v>37</v>
      </c>
      <c r="M4" s="1" t="s">
        <v>38</v>
      </c>
      <c r="N4" s="1" t="s">
        <v>32</v>
      </c>
      <c r="P4" s="1" t="s">
        <v>32</v>
      </c>
      <c r="Q4" s="1" t="s">
        <v>43</v>
      </c>
      <c r="R4" s="1" t="s">
        <v>44</v>
      </c>
      <c r="S4" s="4">
        <v>30.6</v>
      </c>
      <c r="T4" s="4">
        <v>30.6</v>
      </c>
      <c r="U4" s="4">
        <v>30.6</v>
      </c>
      <c r="Y4" s="1" t="s">
        <v>32</v>
      </c>
      <c r="AC4" s="1" t="s">
        <v>32</v>
      </c>
    </row>
    <row r="5" spans="1:30" x14ac:dyDescent="0.25">
      <c r="A5" s="1" t="s">
        <v>30</v>
      </c>
      <c r="B5" s="1" t="s">
        <v>31</v>
      </c>
      <c r="C5" s="1" t="s">
        <v>32</v>
      </c>
      <c r="D5" s="1" t="s">
        <v>33</v>
      </c>
      <c r="E5" s="2">
        <v>46244</v>
      </c>
      <c r="F5" s="1" t="s">
        <v>34</v>
      </c>
      <c r="G5" s="3">
        <v>46244.666666666701</v>
      </c>
      <c r="H5" s="1" t="s">
        <v>35</v>
      </c>
      <c r="I5" s="2">
        <v>46244</v>
      </c>
      <c r="J5" s="3">
        <v>46244.666666666701</v>
      </c>
      <c r="K5" s="1" t="s">
        <v>36</v>
      </c>
      <c r="L5" s="1" t="s">
        <v>37</v>
      </c>
      <c r="M5" s="1" t="s">
        <v>38</v>
      </c>
      <c r="N5" s="1" t="s">
        <v>32</v>
      </c>
      <c r="P5" s="1" t="s">
        <v>32</v>
      </c>
      <c r="Q5" s="1" t="s">
        <v>45</v>
      </c>
      <c r="R5" s="1" t="s">
        <v>46</v>
      </c>
      <c r="S5" s="4">
        <v>27</v>
      </c>
      <c r="T5" s="4">
        <v>27</v>
      </c>
      <c r="U5" s="4">
        <v>27</v>
      </c>
      <c r="Y5" s="1" t="s">
        <v>32</v>
      </c>
      <c r="AC5" s="1" t="s">
        <v>32</v>
      </c>
    </row>
    <row r="6" spans="1:30" x14ac:dyDescent="0.25">
      <c r="A6" s="1" t="s">
        <v>30</v>
      </c>
      <c r="B6" s="1" t="s">
        <v>31</v>
      </c>
      <c r="C6" s="1" t="s">
        <v>32</v>
      </c>
      <c r="D6" s="1" t="s">
        <v>33</v>
      </c>
      <c r="E6" s="2">
        <v>46244</v>
      </c>
      <c r="F6" s="1" t="s">
        <v>34</v>
      </c>
      <c r="G6" s="3">
        <v>46244.666666666701</v>
      </c>
      <c r="H6" s="1" t="s">
        <v>35</v>
      </c>
      <c r="I6" s="2">
        <v>46244</v>
      </c>
      <c r="J6" s="3">
        <v>46244.666666666701</v>
      </c>
      <c r="K6" s="1" t="s">
        <v>36</v>
      </c>
      <c r="L6" s="1" t="s">
        <v>37</v>
      </c>
      <c r="M6" s="1" t="s">
        <v>38</v>
      </c>
      <c r="N6" s="1" t="s">
        <v>32</v>
      </c>
      <c r="P6" s="1" t="s">
        <v>32</v>
      </c>
      <c r="Q6" s="1" t="s">
        <v>47</v>
      </c>
      <c r="R6" s="1" t="s">
        <v>48</v>
      </c>
      <c r="S6" s="4">
        <v>43.2</v>
      </c>
      <c r="T6" s="4">
        <v>43.2</v>
      </c>
      <c r="U6" s="4">
        <v>43.2</v>
      </c>
      <c r="Y6" s="1" t="s">
        <v>32</v>
      </c>
      <c r="AC6" s="1" t="s">
        <v>32</v>
      </c>
    </row>
    <row r="7" spans="1:30" x14ac:dyDescent="0.25">
      <c r="A7" s="1" t="s">
        <v>30</v>
      </c>
      <c r="B7" s="1" t="s">
        <v>31</v>
      </c>
      <c r="C7" s="1" t="s">
        <v>32</v>
      </c>
      <c r="D7" s="1" t="s">
        <v>33</v>
      </c>
      <c r="E7" s="2">
        <v>46244</v>
      </c>
      <c r="F7" s="1" t="s">
        <v>34</v>
      </c>
      <c r="G7" s="3">
        <v>46244.666666666701</v>
      </c>
      <c r="H7" s="1" t="s">
        <v>35</v>
      </c>
      <c r="I7" s="2">
        <v>46244</v>
      </c>
      <c r="J7" s="3">
        <v>46244.666666666701</v>
      </c>
      <c r="K7" s="1" t="s">
        <v>36</v>
      </c>
      <c r="L7" s="1" t="s">
        <v>37</v>
      </c>
      <c r="M7" s="1" t="s">
        <v>38</v>
      </c>
      <c r="N7" s="1" t="s">
        <v>32</v>
      </c>
      <c r="P7" s="1" t="s">
        <v>32</v>
      </c>
      <c r="Q7" s="1" t="s">
        <v>49</v>
      </c>
      <c r="R7" s="1" t="s">
        <v>50</v>
      </c>
      <c r="S7" s="4">
        <v>13.6</v>
      </c>
      <c r="T7" s="4">
        <v>13.6</v>
      </c>
      <c r="U7" s="4">
        <v>13.6</v>
      </c>
      <c r="Y7" s="1" t="s">
        <v>32</v>
      </c>
      <c r="AC7" s="1" t="s">
        <v>32</v>
      </c>
    </row>
    <row r="8" spans="1:30" x14ac:dyDescent="0.25">
      <c r="A8" s="1" t="s">
        <v>30</v>
      </c>
      <c r="B8" s="1" t="s">
        <v>31</v>
      </c>
      <c r="C8" s="1" t="s">
        <v>32</v>
      </c>
      <c r="D8" s="1" t="s">
        <v>33</v>
      </c>
      <c r="E8" s="2">
        <v>46244</v>
      </c>
      <c r="F8" s="1" t="s">
        <v>34</v>
      </c>
      <c r="G8" s="3">
        <v>46244.666666666701</v>
      </c>
      <c r="H8" s="1" t="s">
        <v>35</v>
      </c>
      <c r="I8" s="2">
        <v>46244</v>
      </c>
      <c r="J8" s="3">
        <v>46244.666666666701</v>
      </c>
      <c r="K8" s="1" t="s">
        <v>36</v>
      </c>
      <c r="L8" s="1" t="s">
        <v>37</v>
      </c>
      <c r="M8" s="1" t="s">
        <v>38</v>
      </c>
      <c r="N8" s="1" t="s">
        <v>32</v>
      </c>
      <c r="P8" s="1" t="s">
        <v>32</v>
      </c>
      <c r="Q8" s="1" t="s">
        <v>51</v>
      </c>
      <c r="R8" s="1" t="s">
        <v>52</v>
      </c>
      <c r="S8" s="4">
        <v>216</v>
      </c>
      <c r="T8" s="4">
        <v>216</v>
      </c>
      <c r="U8" s="4">
        <v>216</v>
      </c>
      <c r="Y8" s="1" t="s">
        <v>32</v>
      </c>
      <c r="AC8" s="1" t="s">
        <v>32</v>
      </c>
    </row>
    <row r="9" spans="1:30" x14ac:dyDescent="0.25">
      <c r="A9" s="1" t="s">
        <v>30</v>
      </c>
      <c r="B9" s="1" t="s">
        <v>31</v>
      </c>
      <c r="C9" s="1" t="s">
        <v>32</v>
      </c>
      <c r="D9" s="1" t="s">
        <v>33</v>
      </c>
      <c r="E9" s="2">
        <v>46244</v>
      </c>
      <c r="F9" s="1" t="s">
        <v>34</v>
      </c>
      <c r="G9" s="3">
        <v>46244.666666666701</v>
      </c>
      <c r="H9" s="1" t="s">
        <v>35</v>
      </c>
      <c r="I9" s="2">
        <v>46244</v>
      </c>
      <c r="J9" s="3">
        <v>46244.666666666701</v>
      </c>
      <c r="K9" s="1" t="s">
        <v>36</v>
      </c>
      <c r="L9" s="1" t="s">
        <v>37</v>
      </c>
      <c r="M9" s="1" t="s">
        <v>38</v>
      </c>
      <c r="N9" s="1" t="s">
        <v>32</v>
      </c>
      <c r="P9" s="1" t="s">
        <v>32</v>
      </c>
      <c r="Q9" s="1" t="s">
        <v>53</v>
      </c>
      <c r="R9" s="1" t="s">
        <v>54</v>
      </c>
      <c r="S9" s="4">
        <v>2.2000000000000002</v>
      </c>
      <c r="T9" s="4">
        <v>2.2000000000000002</v>
      </c>
      <c r="U9" s="4">
        <v>2.2000000000000002</v>
      </c>
      <c r="Y9" s="1" t="s">
        <v>32</v>
      </c>
      <c r="AC9" s="1" t="s">
        <v>32</v>
      </c>
    </row>
    <row r="10" spans="1:30" x14ac:dyDescent="0.25">
      <c r="A10" s="1" t="s">
        <v>30</v>
      </c>
      <c r="B10" s="1" t="s">
        <v>31</v>
      </c>
      <c r="C10" s="1" t="s">
        <v>32</v>
      </c>
      <c r="D10" s="1" t="s">
        <v>33</v>
      </c>
      <c r="E10" s="2">
        <v>46244</v>
      </c>
      <c r="F10" s="1" t="s">
        <v>34</v>
      </c>
      <c r="G10" s="3">
        <v>46244.666666666701</v>
      </c>
      <c r="H10" s="1" t="s">
        <v>35</v>
      </c>
      <c r="I10" s="2">
        <v>46244</v>
      </c>
      <c r="J10" s="3">
        <v>46244.666666666701</v>
      </c>
      <c r="K10" s="1" t="s">
        <v>36</v>
      </c>
      <c r="L10" s="1" t="s">
        <v>37</v>
      </c>
      <c r="M10" s="1" t="s">
        <v>38</v>
      </c>
      <c r="N10" s="1" t="s">
        <v>32</v>
      </c>
      <c r="P10" s="1" t="s">
        <v>32</v>
      </c>
      <c r="Q10" s="1" t="s">
        <v>55</v>
      </c>
      <c r="R10" s="1" t="s">
        <v>56</v>
      </c>
      <c r="S10" s="4">
        <v>15</v>
      </c>
      <c r="T10" s="4">
        <v>15</v>
      </c>
      <c r="U10" s="4">
        <v>15</v>
      </c>
      <c r="Y10" s="1" t="s">
        <v>32</v>
      </c>
      <c r="AC10" s="1" t="s">
        <v>32</v>
      </c>
    </row>
    <row r="11" spans="1:30" x14ac:dyDescent="0.25">
      <c r="A11" s="1" t="s">
        <v>30</v>
      </c>
      <c r="B11" s="1" t="s">
        <v>31</v>
      </c>
      <c r="C11" s="1" t="s">
        <v>32</v>
      </c>
      <c r="D11" s="1" t="s">
        <v>33</v>
      </c>
      <c r="E11" s="2">
        <v>46244</v>
      </c>
      <c r="F11" s="1" t="s">
        <v>34</v>
      </c>
      <c r="G11" s="3">
        <v>46244.666666666701</v>
      </c>
      <c r="H11" s="1" t="s">
        <v>35</v>
      </c>
      <c r="I11" s="2">
        <v>46244</v>
      </c>
      <c r="J11" s="3">
        <v>46244.666666666701</v>
      </c>
      <c r="K11" s="1" t="s">
        <v>36</v>
      </c>
      <c r="L11" s="1" t="s">
        <v>37</v>
      </c>
      <c r="M11" s="1" t="s">
        <v>38</v>
      </c>
      <c r="N11" s="1" t="s">
        <v>32</v>
      </c>
      <c r="P11" s="1" t="s">
        <v>32</v>
      </c>
      <c r="Q11" s="1" t="s">
        <v>57</v>
      </c>
      <c r="R11" s="1" t="s">
        <v>58</v>
      </c>
      <c r="S11" s="4">
        <v>82.8</v>
      </c>
      <c r="T11" s="4">
        <v>82.8</v>
      </c>
      <c r="U11" s="4">
        <v>82.8</v>
      </c>
      <c r="Y11" s="1" t="s">
        <v>32</v>
      </c>
      <c r="AC11" s="1" t="s">
        <v>32</v>
      </c>
    </row>
    <row r="12" spans="1:30" x14ac:dyDescent="0.25">
      <c r="A12" s="1" t="s">
        <v>30</v>
      </c>
      <c r="B12" s="1" t="s">
        <v>31</v>
      </c>
      <c r="C12" s="1" t="s">
        <v>32</v>
      </c>
      <c r="D12" s="1" t="s">
        <v>33</v>
      </c>
      <c r="E12" s="2">
        <v>46244</v>
      </c>
      <c r="F12" s="1" t="s">
        <v>34</v>
      </c>
      <c r="G12" s="3">
        <v>46244.666666666701</v>
      </c>
      <c r="H12" s="1" t="s">
        <v>35</v>
      </c>
      <c r="I12" s="2">
        <v>46244</v>
      </c>
      <c r="J12" s="3">
        <v>46244.666666666701</v>
      </c>
      <c r="K12" s="1" t="s">
        <v>36</v>
      </c>
      <c r="L12" s="1" t="s">
        <v>37</v>
      </c>
      <c r="M12" s="1" t="s">
        <v>38</v>
      </c>
      <c r="N12" s="1" t="s">
        <v>32</v>
      </c>
      <c r="P12" s="1" t="s">
        <v>32</v>
      </c>
      <c r="Q12" s="1" t="s">
        <v>59</v>
      </c>
      <c r="R12" s="1" t="s">
        <v>60</v>
      </c>
      <c r="S12" s="4">
        <v>3.2</v>
      </c>
      <c r="T12" s="4">
        <v>3.2</v>
      </c>
      <c r="U12" s="4">
        <v>3.2</v>
      </c>
      <c r="Y12" s="1" t="s">
        <v>32</v>
      </c>
      <c r="AC12" s="1" t="s">
        <v>32</v>
      </c>
    </row>
    <row r="13" spans="1:30" x14ac:dyDescent="0.25">
      <c r="A13" s="1" t="s">
        <v>30</v>
      </c>
      <c r="B13" s="1" t="s">
        <v>31</v>
      </c>
      <c r="C13" s="1" t="s">
        <v>32</v>
      </c>
      <c r="D13" s="1" t="s">
        <v>33</v>
      </c>
      <c r="E13" s="2">
        <v>46244</v>
      </c>
      <c r="F13" s="1" t="s">
        <v>34</v>
      </c>
      <c r="G13" s="3">
        <v>46244.666666666701</v>
      </c>
      <c r="H13" s="1" t="s">
        <v>35</v>
      </c>
      <c r="I13" s="2">
        <v>46244</v>
      </c>
      <c r="J13" s="3">
        <v>46244.666666666701</v>
      </c>
      <c r="K13" s="1" t="s">
        <v>36</v>
      </c>
      <c r="L13" s="1" t="s">
        <v>37</v>
      </c>
      <c r="M13" s="1" t="s">
        <v>38</v>
      </c>
      <c r="N13" s="1" t="s">
        <v>32</v>
      </c>
      <c r="P13" s="1" t="s">
        <v>32</v>
      </c>
      <c r="Q13" s="1" t="s">
        <v>61</v>
      </c>
      <c r="R13" s="1" t="s">
        <v>62</v>
      </c>
      <c r="S13" s="4">
        <v>8</v>
      </c>
      <c r="V13" s="4">
        <v>-8</v>
      </c>
      <c r="W13" s="1" t="s">
        <v>63</v>
      </c>
      <c r="X13" s="1" t="s">
        <v>64</v>
      </c>
      <c r="Y13" s="1" t="s">
        <v>32</v>
      </c>
      <c r="AC13" s="1" t="s">
        <v>32</v>
      </c>
    </row>
    <row r="14" spans="1:30" x14ac:dyDescent="0.25">
      <c r="A14" s="1" t="s">
        <v>30</v>
      </c>
      <c r="B14" s="1" t="s">
        <v>31</v>
      </c>
      <c r="C14" s="1" t="s">
        <v>32</v>
      </c>
      <c r="D14" s="1" t="s">
        <v>33</v>
      </c>
      <c r="E14" s="2">
        <v>46244</v>
      </c>
      <c r="F14" s="1" t="s">
        <v>34</v>
      </c>
      <c r="G14" s="3">
        <v>46244.666666666701</v>
      </c>
      <c r="H14" s="1" t="s">
        <v>35</v>
      </c>
      <c r="I14" s="2">
        <v>46244</v>
      </c>
      <c r="J14" s="3">
        <v>46244.666666666701</v>
      </c>
      <c r="K14" s="1" t="s">
        <v>36</v>
      </c>
      <c r="L14" s="1" t="s">
        <v>37</v>
      </c>
      <c r="M14" s="1" t="s">
        <v>38</v>
      </c>
      <c r="N14" s="1" t="s">
        <v>32</v>
      </c>
      <c r="P14" s="1" t="s">
        <v>32</v>
      </c>
      <c r="Q14" s="1" t="s">
        <v>65</v>
      </c>
      <c r="R14" s="1" t="s">
        <v>66</v>
      </c>
      <c r="S14" s="4">
        <v>168</v>
      </c>
      <c r="T14" s="4">
        <v>168</v>
      </c>
      <c r="U14" s="4">
        <v>168</v>
      </c>
      <c r="Y14" s="1" t="s">
        <v>32</v>
      </c>
      <c r="AC14" s="1" t="s">
        <v>32</v>
      </c>
    </row>
    <row r="15" spans="1:30" x14ac:dyDescent="0.25">
      <c r="A15" s="1" t="s">
        <v>30</v>
      </c>
      <c r="B15" s="1" t="s">
        <v>31</v>
      </c>
      <c r="C15" s="1" t="s">
        <v>32</v>
      </c>
      <c r="D15" s="1" t="s">
        <v>33</v>
      </c>
      <c r="E15" s="2">
        <v>46244</v>
      </c>
      <c r="F15" s="1" t="s">
        <v>34</v>
      </c>
      <c r="G15" s="3">
        <v>46244.666666666701</v>
      </c>
      <c r="H15" s="1" t="s">
        <v>35</v>
      </c>
      <c r="I15" s="2">
        <v>46244</v>
      </c>
      <c r="J15" s="3">
        <v>46244.666666666701</v>
      </c>
      <c r="K15" s="1" t="s">
        <v>36</v>
      </c>
      <c r="L15" s="1" t="s">
        <v>37</v>
      </c>
      <c r="M15" s="1" t="s">
        <v>38</v>
      </c>
      <c r="N15" s="1" t="s">
        <v>32</v>
      </c>
      <c r="P15" s="1" t="s">
        <v>32</v>
      </c>
      <c r="Q15" s="1" t="s">
        <v>67</v>
      </c>
      <c r="R15" s="1" t="s">
        <v>68</v>
      </c>
      <c r="S15" s="4">
        <v>168</v>
      </c>
      <c r="T15" s="4">
        <v>168</v>
      </c>
      <c r="U15" s="4">
        <v>168</v>
      </c>
      <c r="Y15" s="1" t="s">
        <v>32</v>
      </c>
      <c r="AC15" s="1" t="s">
        <v>32</v>
      </c>
    </row>
    <row r="16" spans="1:30" x14ac:dyDescent="0.25">
      <c r="A16" s="1" t="s">
        <v>30</v>
      </c>
      <c r="B16" s="1" t="s">
        <v>31</v>
      </c>
      <c r="C16" s="1" t="s">
        <v>32</v>
      </c>
      <c r="D16" s="1" t="s">
        <v>33</v>
      </c>
      <c r="E16" s="2">
        <v>46244</v>
      </c>
      <c r="F16" s="1" t="s">
        <v>34</v>
      </c>
      <c r="G16" s="3">
        <v>46244.666666666701</v>
      </c>
      <c r="H16" s="1" t="s">
        <v>35</v>
      </c>
      <c r="I16" s="2">
        <v>46244</v>
      </c>
      <c r="J16" s="3">
        <v>46244.666666666701</v>
      </c>
      <c r="K16" s="1" t="s">
        <v>36</v>
      </c>
      <c r="L16" s="1" t="s">
        <v>37</v>
      </c>
      <c r="M16" s="1" t="s">
        <v>38</v>
      </c>
      <c r="N16" s="1" t="s">
        <v>32</v>
      </c>
      <c r="P16" s="1" t="s">
        <v>32</v>
      </c>
      <c r="Q16" s="1" t="s">
        <v>69</v>
      </c>
      <c r="R16" s="1" t="s">
        <v>70</v>
      </c>
      <c r="S16" s="4">
        <v>120</v>
      </c>
      <c r="T16" s="4">
        <v>120</v>
      </c>
      <c r="U16" s="4">
        <v>120</v>
      </c>
      <c r="Y16" s="1" t="s">
        <v>32</v>
      </c>
      <c r="AC16" s="1" t="s">
        <v>32</v>
      </c>
    </row>
    <row r="17" spans="1:30" x14ac:dyDescent="0.25">
      <c r="A17" s="1" t="s">
        <v>30</v>
      </c>
      <c r="B17" s="1" t="s">
        <v>31</v>
      </c>
      <c r="C17" s="1" t="s">
        <v>32</v>
      </c>
      <c r="D17" s="1" t="s">
        <v>33</v>
      </c>
      <c r="E17" s="2">
        <v>46244</v>
      </c>
      <c r="F17" s="1" t="s">
        <v>34</v>
      </c>
      <c r="G17" s="3">
        <v>46244.666666666701</v>
      </c>
      <c r="H17" s="1" t="s">
        <v>35</v>
      </c>
      <c r="I17" s="2">
        <v>46244</v>
      </c>
      <c r="J17" s="3">
        <v>46244.666666666701</v>
      </c>
      <c r="K17" s="1" t="s">
        <v>36</v>
      </c>
      <c r="L17" s="1" t="s">
        <v>37</v>
      </c>
      <c r="M17" s="1" t="s">
        <v>38</v>
      </c>
      <c r="N17" s="1" t="s">
        <v>32</v>
      </c>
      <c r="P17" s="1" t="s">
        <v>32</v>
      </c>
      <c r="Q17" s="1" t="s">
        <v>71</v>
      </c>
      <c r="R17" s="1" t="s">
        <v>72</v>
      </c>
      <c r="S17" s="4">
        <v>84</v>
      </c>
      <c r="T17" s="4">
        <v>84</v>
      </c>
      <c r="U17" s="4">
        <v>84</v>
      </c>
      <c r="Y17" s="1" t="s">
        <v>32</v>
      </c>
      <c r="AC17" s="1" t="s">
        <v>32</v>
      </c>
    </row>
    <row r="18" spans="1:30" x14ac:dyDescent="0.25">
      <c r="A18" s="1" t="s">
        <v>30</v>
      </c>
      <c r="B18" s="1" t="s">
        <v>31</v>
      </c>
      <c r="C18" s="1" t="s">
        <v>32</v>
      </c>
      <c r="D18" s="1" t="s">
        <v>33</v>
      </c>
      <c r="E18" s="2">
        <v>46244</v>
      </c>
      <c r="F18" s="1" t="s">
        <v>34</v>
      </c>
      <c r="G18" s="3">
        <v>46244.666666666701</v>
      </c>
      <c r="H18" s="1" t="s">
        <v>35</v>
      </c>
      <c r="I18" s="2">
        <v>46244</v>
      </c>
      <c r="J18" s="3">
        <v>46244.666666666701</v>
      </c>
      <c r="K18" s="1" t="s">
        <v>36</v>
      </c>
      <c r="L18" s="1" t="s">
        <v>37</v>
      </c>
      <c r="M18" s="1" t="s">
        <v>38</v>
      </c>
      <c r="N18" s="1" t="s">
        <v>32</v>
      </c>
      <c r="P18" s="1" t="s">
        <v>32</v>
      </c>
      <c r="Q18" s="1" t="s">
        <v>73</v>
      </c>
      <c r="R18" s="1" t="s">
        <v>74</v>
      </c>
      <c r="S18" s="4">
        <v>48</v>
      </c>
      <c r="T18" s="4">
        <v>48</v>
      </c>
      <c r="U18" s="4">
        <v>48</v>
      </c>
      <c r="Y18" s="1" t="s">
        <v>32</v>
      </c>
      <c r="AC18" s="1" t="s">
        <v>32</v>
      </c>
    </row>
    <row r="19" spans="1:30" x14ac:dyDescent="0.25">
      <c r="A19" s="1" t="s">
        <v>30</v>
      </c>
      <c r="B19" s="1" t="s">
        <v>31</v>
      </c>
      <c r="C19" s="1" t="s">
        <v>32</v>
      </c>
      <c r="D19" s="1" t="s">
        <v>33</v>
      </c>
      <c r="E19" s="2">
        <v>46244</v>
      </c>
      <c r="F19" s="1" t="s">
        <v>34</v>
      </c>
      <c r="G19" s="3">
        <v>46244.666666666701</v>
      </c>
      <c r="H19" s="1" t="s">
        <v>35</v>
      </c>
      <c r="I19" s="2">
        <v>46244</v>
      </c>
      <c r="J19" s="3">
        <v>46244.666666666701</v>
      </c>
      <c r="K19" s="1" t="s">
        <v>36</v>
      </c>
      <c r="L19" s="1" t="s">
        <v>37</v>
      </c>
      <c r="M19" s="1" t="s">
        <v>38</v>
      </c>
      <c r="N19" s="1" t="s">
        <v>32</v>
      </c>
      <c r="P19" s="1" t="s">
        <v>32</v>
      </c>
      <c r="Q19" s="1" t="s">
        <v>75</v>
      </c>
      <c r="R19" s="1" t="s">
        <v>76</v>
      </c>
      <c r="S19" s="4">
        <v>43.2</v>
      </c>
      <c r="T19" s="4">
        <v>43.2</v>
      </c>
      <c r="U19" s="4">
        <v>43.2</v>
      </c>
      <c r="Y19" s="1" t="s">
        <v>32</v>
      </c>
      <c r="AC19" s="1" t="s">
        <v>32</v>
      </c>
    </row>
    <row r="20" spans="1:30" x14ac:dyDescent="0.25">
      <c r="A20" s="1" t="s">
        <v>30</v>
      </c>
      <c r="B20" s="1" t="s">
        <v>31</v>
      </c>
      <c r="C20" s="1" t="s">
        <v>32</v>
      </c>
      <c r="D20" s="1" t="s">
        <v>33</v>
      </c>
      <c r="E20" s="2">
        <v>46244</v>
      </c>
      <c r="F20" s="1" t="s">
        <v>34</v>
      </c>
      <c r="G20" s="3">
        <v>46244.666666666701</v>
      </c>
      <c r="H20" s="1" t="s">
        <v>35</v>
      </c>
      <c r="I20" s="2">
        <v>46244</v>
      </c>
      <c r="J20" s="3">
        <v>46244.666666666701</v>
      </c>
      <c r="K20" s="1" t="s">
        <v>36</v>
      </c>
      <c r="L20" s="1" t="s">
        <v>37</v>
      </c>
      <c r="M20" s="1" t="s">
        <v>38</v>
      </c>
      <c r="N20" s="1" t="s">
        <v>32</v>
      </c>
      <c r="P20" s="1" t="s">
        <v>32</v>
      </c>
      <c r="Q20" s="1" t="s">
        <v>77</v>
      </c>
      <c r="R20" s="1" t="s">
        <v>78</v>
      </c>
      <c r="S20" s="4">
        <v>24</v>
      </c>
      <c r="T20" s="4">
        <v>24</v>
      </c>
      <c r="U20" s="4">
        <v>24</v>
      </c>
      <c r="Y20" s="1" t="s">
        <v>32</v>
      </c>
      <c r="AC20" s="1" t="s">
        <v>32</v>
      </c>
    </row>
    <row r="21" spans="1:30" x14ac:dyDescent="0.25">
      <c r="A21" s="1" t="s">
        <v>30</v>
      </c>
      <c r="B21" s="1" t="s">
        <v>31</v>
      </c>
      <c r="C21" s="1" t="s">
        <v>32</v>
      </c>
      <c r="D21" s="1" t="s">
        <v>33</v>
      </c>
      <c r="E21" s="2">
        <v>46244</v>
      </c>
      <c r="F21" s="1" t="s">
        <v>34</v>
      </c>
      <c r="G21" s="3">
        <v>46244.666666666701</v>
      </c>
      <c r="H21" s="1" t="s">
        <v>35</v>
      </c>
      <c r="I21" s="2">
        <v>46244</v>
      </c>
      <c r="J21" s="3">
        <v>46244.666666666701</v>
      </c>
      <c r="K21" s="1" t="s">
        <v>36</v>
      </c>
      <c r="L21" s="1" t="s">
        <v>37</v>
      </c>
      <c r="M21" s="1" t="s">
        <v>38</v>
      </c>
      <c r="N21" s="1" t="s">
        <v>32</v>
      </c>
      <c r="P21" s="1" t="s">
        <v>32</v>
      </c>
      <c r="Q21" s="1" t="s">
        <v>79</v>
      </c>
      <c r="R21" s="1" t="s">
        <v>80</v>
      </c>
      <c r="S21" s="4">
        <v>71.400000000000006</v>
      </c>
      <c r="V21" s="4">
        <v>-71.400000000000006</v>
      </c>
      <c r="W21" s="1" t="s">
        <v>63</v>
      </c>
      <c r="X21" s="1" t="s">
        <v>64</v>
      </c>
      <c r="Y21" s="1" t="s">
        <v>32</v>
      </c>
      <c r="AC21" s="1" t="s">
        <v>32</v>
      </c>
    </row>
    <row r="22" spans="1:30" x14ac:dyDescent="0.25">
      <c r="A22" s="1" t="s">
        <v>30</v>
      </c>
      <c r="B22" s="1" t="s">
        <v>31</v>
      </c>
      <c r="C22" s="1" t="s">
        <v>32</v>
      </c>
      <c r="D22" s="1" t="s">
        <v>33</v>
      </c>
      <c r="E22" s="2">
        <v>46244</v>
      </c>
      <c r="F22" s="1" t="s">
        <v>34</v>
      </c>
      <c r="G22" s="3">
        <v>46244.666666666701</v>
      </c>
      <c r="H22" s="1" t="s">
        <v>35</v>
      </c>
      <c r="I22" s="2">
        <v>46244</v>
      </c>
      <c r="J22" s="3">
        <v>46244.666666666701</v>
      </c>
      <c r="K22" s="1" t="s">
        <v>36</v>
      </c>
      <c r="L22" s="1" t="s">
        <v>37</v>
      </c>
      <c r="M22" s="1" t="s">
        <v>38</v>
      </c>
      <c r="N22" s="1" t="s">
        <v>32</v>
      </c>
      <c r="P22" s="1" t="s">
        <v>32</v>
      </c>
      <c r="Q22" s="1" t="s">
        <v>81</v>
      </c>
      <c r="R22" s="1" t="s">
        <v>82</v>
      </c>
      <c r="S22" s="4">
        <v>30.6</v>
      </c>
      <c r="T22" s="4">
        <v>30.6</v>
      </c>
      <c r="U22" s="4">
        <v>30.6</v>
      </c>
      <c r="Y22" s="1" t="s">
        <v>32</v>
      </c>
      <c r="AC22" s="1" t="s">
        <v>32</v>
      </c>
    </row>
    <row r="23" spans="1:30" x14ac:dyDescent="0.25">
      <c r="A23" s="1" t="s">
        <v>30</v>
      </c>
      <c r="B23" s="1" t="s">
        <v>31</v>
      </c>
      <c r="C23" s="1" t="s">
        <v>32</v>
      </c>
      <c r="D23" s="1" t="s">
        <v>33</v>
      </c>
      <c r="E23" s="2">
        <v>46244</v>
      </c>
      <c r="F23" s="1" t="s">
        <v>34</v>
      </c>
      <c r="G23" s="3">
        <v>46244.666666666701</v>
      </c>
      <c r="H23" s="1" t="s">
        <v>35</v>
      </c>
      <c r="I23" s="2">
        <v>46244</v>
      </c>
      <c r="J23" s="3">
        <v>46244.666666666701</v>
      </c>
      <c r="K23" s="1" t="s">
        <v>36</v>
      </c>
      <c r="L23" s="1" t="s">
        <v>37</v>
      </c>
      <c r="M23" s="1" t="s">
        <v>38</v>
      </c>
      <c r="N23" s="1" t="s">
        <v>32</v>
      </c>
      <c r="P23" s="1" t="s">
        <v>32</v>
      </c>
      <c r="Q23" s="1" t="s">
        <v>83</v>
      </c>
      <c r="R23" s="1" t="s">
        <v>84</v>
      </c>
      <c r="S23" s="4">
        <v>10.199999999999999</v>
      </c>
      <c r="T23" s="4">
        <v>10.199999999999999</v>
      </c>
      <c r="U23" s="4">
        <v>10.199999999999999</v>
      </c>
      <c r="Y23" s="1" t="s">
        <v>32</v>
      </c>
      <c r="AC23" s="1" t="s">
        <v>32</v>
      </c>
    </row>
    <row r="24" spans="1:30" x14ac:dyDescent="0.25">
      <c r="A24" s="1" t="s">
        <v>30</v>
      </c>
      <c r="B24" s="1" t="s">
        <v>31</v>
      </c>
      <c r="C24" s="1" t="s">
        <v>32</v>
      </c>
      <c r="D24" s="1" t="s">
        <v>33</v>
      </c>
      <c r="E24" s="2">
        <v>46244</v>
      </c>
      <c r="F24" s="1" t="s">
        <v>34</v>
      </c>
      <c r="G24" s="3">
        <v>46244.666666666701</v>
      </c>
      <c r="H24" s="1" t="s">
        <v>35</v>
      </c>
      <c r="I24" s="2">
        <v>46244</v>
      </c>
      <c r="J24" s="3">
        <v>46244.666666666701</v>
      </c>
      <c r="K24" s="1" t="s">
        <v>36</v>
      </c>
      <c r="L24" s="1" t="s">
        <v>37</v>
      </c>
      <c r="M24" s="1" t="s">
        <v>38</v>
      </c>
      <c r="N24" s="1" t="s">
        <v>32</v>
      </c>
      <c r="P24" s="1" t="s">
        <v>32</v>
      </c>
      <c r="Q24" s="1" t="s">
        <v>85</v>
      </c>
      <c r="R24" s="1" t="s">
        <v>86</v>
      </c>
      <c r="S24" s="4">
        <v>24</v>
      </c>
      <c r="T24" s="4">
        <v>24</v>
      </c>
      <c r="U24" s="4">
        <v>24</v>
      </c>
      <c r="Y24" s="1" t="s">
        <v>32</v>
      </c>
      <c r="AC24" s="1" t="s">
        <v>32</v>
      </c>
    </row>
    <row r="25" spans="1:30" x14ac:dyDescent="0.25">
      <c r="A25" s="1" t="s">
        <v>30</v>
      </c>
      <c r="B25" s="1" t="s">
        <v>31</v>
      </c>
      <c r="C25" s="1" t="s">
        <v>32</v>
      </c>
      <c r="D25" s="1" t="s">
        <v>33</v>
      </c>
      <c r="E25" s="2">
        <v>46244</v>
      </c>
      <c r="F25" s="1" t="s">
        <v>34</v>
      </c>
      <c r="G25" s="3">
        <v>46244.666666666701</v>
      </c>
      <c r="H25" s="1" t="s">
        <v>35</v>
      </c>
      <c r="I25" s="2">
        <v>46244</v>
      </c>
      <c r="J25" s="3">
        <v>46244.666666666701</v>
      </c>
      <c r="K25" s="1" t="s">
        <v>36</v>
      </c>
      <c r="L25" s="1" t="s">
        <v>37</v>
      </c>
      <c r="M25" s="1" t="s">
        <v>38</v>
      </c>
      <c r="N25" s="1" t="s">
        <v>32</v>
      </c>
      <c r="P25" s="1" t="s">
        <v>32</v>
      </c>
      <c r="Q25" s="1" t="s">
        <v>87</v>
      </c>
      <c r="R25" s="1" t="s">
        <v>88</v>
      </c>
      <c r="S25" s="4">
        <v>84</v>
      </c>
      <c r="V25" s="4">
        <v>-84</v>
      </c>
      <c r="W25" s="1" t="s">
        <v>63</v>
      </c>
      <c r="X25" s="1" t="s">
        <v>64</v>
      </c>
      <c r="Y25" s="1" t="s">
        <v>32</v>
      </c>
      <c r="AC25" s="1" t="s">
        <v>32</v>
      </c>
      <c r="AD25" s="1" t="s">
        <v>89</v>
      </c>
    </row>
    <row r="26" spans="1:30" x14ac:dyDescent="0.25">
      <c r="A26" s="1" t="s">
        <v>30</v>
      </c>
      <c r="B26" s="1" t="s">
        <v>31</v>
      </c>
      <c r="C26" s="1" t="s">
        <v>32</v>
      </c>
      <c r="D26" s="1" t="s">
        <v>33</v>
      </c>
      <c r="E26" s="2">
        <v>46244</v>
      </c>
      <c r="F26" s="1" t="s">
        <v>34</v>
      </c>
      <c r="G26" s="3">
        <v>46244.666666666701</v>
      </c>
      <c r="H26" s="1" t="s">
        <v>35</v>
      </c>
      <c r="I26" s="2">
        <v>46244</v>
      </c>
      <c r="J26" s="3">
        <v>46244.666666666701</v>
      </c>
      <c r="K26" s="1" t="s">
        <v>36</v>
      </c>
      <c r="L26" s="1" t="s">
        <v>37</v>
      </c>
      <c r="M26" s="1" t="s">
        <v>38</v>
      </c>
      <c r="N26" s="1" t="s">
        <v>32</v>
      </c>
      <c r="P26" s="1" t="s">
        <v>32</v>
      </c>
      <c r="Q26" s="1" t="s">
        <v>90</v>
      </c>
      <c r="R26" s="1" t="s">
        <v>91</v>
      </c>
      <c r="S26" s="4">
        <v>150</v>
      </c>
      <c r="T26" s="4">
        <v>150</v>
      </c>
      <c r="U26" s="4">
        <v>150</v>
      </c>
      <c r="Y26" s="1" t="s">
        <v>32</v>
      </c>
      <c r="AC26" s="1" t="s">
        <v>32</v>
      </c>
    </row>
    <row r="27" spans="1:30" x14ac:dyDescent="0.25">
      <c r="A27" s="1" t="s">
        <v>30</v>
      </c>
      <c r="B27" s="1" t="s">
        <v>31</v>
      </c>
      <c r="C27" s="1" t="s">
        <v>32</v>
      </c>
      <c r="D27" s="1" t="s">
        <v>33</v>
      </c>
      <c r="E27" s="2">
        <v>46244</v>
      </c>
      <c r="F27" s="1" t="s">
        <v>34</v>
      </c>
      <c r="G27" s="3">
        <v>46244.666666666701</v>
      </c>
      <c r="H27" s="1" t="s">
        <v>35</v>
      </c>
      <c r="I27" s="2">
        <v>46244</v>
      </c>
      <c r="J27" s="3">
        <v>46244.666666666701</v>
      </c>
      <c r="K27" s="1" t="s">
        <v>36</v>
      </c>
      <c r="L27" s="1" t="s">
        <v>37</v>
      </c>
      <c r="M27" s="1" t="s">
        <v>38</v>
      </c>
      <c r="N27" s="1" t="s">
        <v>32</v>
      </c>
      <c r="P27" s="1" t="s">
        <v>32</v>
      </c>
      <c r="Q27" s="1" t="s">
        <v>92</v>
      </c>
      <c r="R27" s="1" t="s">
        <v>93</v>
      </c>
      <c r="S27" s="4">
        <v>44</v>
      </c>
      <c r="T27" s="4">
        <v>44</v>
      </c>
      <c r="U27" s="4">
        <v>44</v>
      </c>
      <c r="Y27" s="1" t="s">
        <v>32</v>
      </c>
      <c r="AC27" s="1" t="s">
        <v>32</v>
      </c>
    </row>
    <row r="28" spans="1:30" x14ac:dyDescent="0.25">
      <c r="A28" s="1" t="s">
        <v>30</v>
      </c>
      <c r="B28" s="1" t="s">
        <v>31</v>
      </c>
      <c r="C28" s="1" t="s">
        <v>32</v>
      </c>
      <c r="D28" s="1" t="s">
        <v>33</v>
      </c>
      <c r="E28" s="2">
        <v>46244</v>
      </c>
      <c r="F28" s="1" t="s">
        <v>34</v>
      </c>
      <c r="G28" s="3">
        <v>46244.666666666701</v>
      </c>
      <c r="H28" s="1" t="s">
        <v>35</v>
      </c>
      <c r="I28" s="2">
        <v>46244</v>
      </c>
      <c r="J28" s="3">
        <v>46244.666666666701</v>
      </c>
      <c r="K28" s="1" t="s">
        <v>36</v>
      </c>
      <c r="L28" s="1" t="s">
        <v>37</v>
      </c>
      <c r="M28" s="1" t="s">
        <v>38</v>
      </c>
      <c r="N28" s="1" t="s">
        <v>32</v>
      </c>
      <c r="P28" s="1" t="s">
        <v>32</v>
      </c>
      <c r="Q28" s="1" t="s">
        <v>94</v>
      </c>
      <c r="R28" s="1" t="s">
        <v>95</v>
      </c>
      <c r="S28" s="4">
        <v>31.5</v>
      </c>
      <c r="T28" s="4">
        <v>31.5</v>
      </c>
      <c r="U28" s="4">
        <v>31.5</v>
      </c>
      <c r="Y28" s="1" t="s">
        <v>32</v>
      </c>
      <c r="AC28" s="1" t="s">
        <v>32</v>
      </c>
    </row>
    <row r="29" spans="1:30" x14ac:dyDescent="0.25">
      <c r="A29" s="1" t="s">
        <v>30</v>
      </c>
      <c r="B29" s="1" t="s">
        <v>31</v>
      </c>
      <c r="C29" s="1" t="s">
        <v>32</v>
      </c>
      <c r="D29" s="1" t="s">
        <v>33</v>
      </c>
      <c r="E29" s="2">
        <v>46244</v>
      </c>
      <c r="F29" s="1" t="s">
        <v>34</v>
      </c>
      <c r="G29" s="3">
        <v>46244.666666666701</v>
      </c>
      <c r="H29" s="1" t="s">
        <v>35</v>
      </c>
      <c r="I29" s="2">
        <v>46244</v>
      </c>
      <c r="J29" s="3">
        <v>46244.666666666701</v>
      </c>
      <c r="K29" s="1" t="s">
        <v>36</v>
      </c>
      <c r="L29" s="1" t="s">
        <v>37</v>
      </c>
      <c r="M29" s="1" t="s">
        <v>38</v>
      </c>
      <c r="N29" s="1" t="s">
        <v>32</v>
      </c>
      <c r="P29" s="1" t="s">
        <v>32</v>
      </c>
      <c r="Q29" s="1" t="s">
        <v>96</v>
      </c>
      <c r="R29" s="1" t="s">
        <v>97</v>
      </c>
      <c r="S29" s="4">
        <v>12.6</v>
      </c>
      <c r="T29" s="4">
        <v>12.6</v>
      </c>
      <c r="U29" s="4">
        <v>12.6</v>
      </c>
      <c r="Y29" s="1" t="s">
        <v>32</v>
      </c>
      <c r="AC29" s="1" t="s">
        <v>32</v>
      </c>
    </row>
    <row r="30" spans="1:30" x14ac:dyDescent="0.25">
      <c r="A30" s="1" t="s">
        <v>30</v>
      </c>
      <c r="B30" s="1" t="s">
        <v>31</v>
      </c>
      <c r="C30" s="1" t="s">
        <v>32</v>
      </c>
      <c r="D30" s="1" t="s">
        <v>33</v>
      </c>
      <c r="E30" s="2">
        <v>46244</v>
      </c>
      <c r="F30" s="1" t="s">
        <v>34</v>
      </c>
      <c r="G30" s="3">
        <v>46244.666666666701</v>
      </c>
      <c r="H30" s="1" t="s">
        <v>35</v>
      </c>
      <c r="I30" s="2">
        <v>46244</v>
      </c>
      <c r="J30" s="3">
        <v>46244.666666666701</v>
      </c>
      <c r="K30" s="1" t="s">
        <v>36</v>
      </c>
      <c r="L30" s="1" t="s">
        <v>37</v>
      </c>
      <c r="M30" s="1" t="s">
        <v>38</v>
      </c>
      <c r="N30" s="1" t="s">
        <v>32</v>
      </c>
      <c r="P30" s="1" t="s">
        <v>32</v>
      </c>
      <c r="Q30" s="1" t="s">
        <v>98</v>
      </c>
      <c r="R30" s="1" t="s">
        <v>99</v>
      </c>
      <c r="S30" s="4">
        <v>8.4</v>
      </c>
      <c r="T30" s="4">
        <v>8.4</v>
      </c>
      <c r="U30" s="4">
        <v>8.4</v>
      </c>
      <c r="Y30" s="1" t="s">
        <v>32</v>
      </c>
      <c r="AC30" s="1" t="s">
        <v>32</v>
      </c>
    </row>
    <row r="31" spans="1:30" x14ac:dyDescent="0.25">
      <c r="A31" s="1" t="s">
        <v>30</v>
      </c>
      <c r="B31" s="1" t="s">
        <v>31</v>
      </c>
      <c r="C31" s="1" t="s">
        <v>32</v>
      </c>
      <c r="D31" s="1" t="s">
        <v>33</v>
      </c>
      <c r="E31" s="2">
        <v>46244</v>
      </c>
      <c r="F31" s="1" t="s">
        <v>34</v>
      </c>
      <c r="G31" s="3">
        <v>46244.666666666701</v>
      </c>
      <c r="H31" s="1" t="s">
        <v>35</v>
      </c>
      <c r="I31" s="2">
        <v>46244</v>
      </c>
      <c r="J31" s="3">
        <v>46244.666666666701</v>
      </c>
      <c r="K31" s="1" t="s">
        <v>36</v>
      </c>
      <c r="L31" s="1" t="s">
        <v>37</v>
      </c>
      <c r="M31" s="1" t="s">
        <v>38</v>
      </c>
      <c r="N31" s="1" t="s">
        <v>32</v>
      </c>
      <c r="P31" s="1" t="s">
        <v>32</v>
      </c>
      <c r="Q31" s="1" t="s">
        <v>100</v>
      </c>
      <c r="R31" s="1" t="s">
        <v>101</v>
      </c>
      <c r="S31" s="4">
        <v>36</v>
      </c>
      <c r="T31" s="4">
        <v>36</v>
      </c>
      <c r="U31" s="4">
        <v>36</v>
      </c>
      <c r="Y31" s="1" t="s">
        <v>32</v>
      </c>
      <c r="AC31" s="1" t="s">
        <v>32</v>
      </c>
    </row>
    <row r="32" spans="1:30" x14ac:dyDescent="0.25">
      <c r="A32" s="1" t="s">
        <v>30</v>
      </c>
      <c r="B32" s="1" t="s">
        <v>31</v>
      </c>
      <c r="C32" s="1" t="s">
        <v>32</v>
      </c>
      <c r="D32" s="1" t="s">
        <v>33</v>
      </c>
      <c r="E32" s="2">
        <v>46244</v>
      </c>
      <c r="F32" s="1" t="s">
        <v>34</v>
      </c>
      <c r="G32" s="3">
        <v>46244.666666666701</v>
      </c>
      <c r="H32" s="1" t="s">
        <v>35</v>
      </c>
      <c r="I32" s="2">
        <v>46244</v>
      </c>
      <c r="J32" s="3">
        <v>46244.666666666701</v>
      </c>
      <c r="K32" s="1" t="s">
        <v>36</v>
      </c>
      <c r="L32" s="1" t="s">
        <v>37</v>
      </c>
      <c r="M32" s="1" t="s">
        <v>38</v>
      </c>
      <c r="N32" s="1" t="s">
        <v>32</v>
      </c>
      <c r="P32" s="1" t="s">
        <v>32</v>
      </c>
      <c r="Q32" s="1" t="s">
        <v>102</v>
      </c>
      <c r="R32" s="1" t="s">
        <v>103</v>
      </c>
      <c r="S32" s="4">
        <v>273.60000000000002</v>
      </c>
      <c r="T32" s="4">
        <v>273.60000000000002</v>
      </c>
      <c r="U32" s="4">
        <v>273.60000000000002</v>
      </c>
      <c r="Y32" s="1" t="s">
        <v>32</v>
      </c>
      <c r="AC32" s="1" t="s">
        <v>32</v>
      </c>
    </row>
    <row r="33" spans="1:29" x14ac:dyDescent="0.25">
      <c r="A33" s="1" t="s">
        <v>30</v>
      </c>
      <c r="B33" s="1" t="s">
        <v>31</v>
      </c>
      <c r="C33" s="1" t="s">
        <v>32</v>
      </c>
      <c r="D33" s="1" t="s">
        <v>33</v>
      </c>
      <c r="E33" s="2">
        <v>46244</v>
      </c>
      <c r="F33" s="1" t="s">
        <v>34</v>
      </c>
      <c r="G33" s="3">
        <v>46244.666666666701</v>
      </c>
      <c r="H33" s="1" t="s">
        <v>35</v>
      </c>
      <c r="I33" s="2">
        <v>46244</v>
      </c>
      <c r="J33" s="3">
        <v>46244.666666666701</v>
      </c>
      <c r="K33" s="1" t="s">
        <v>36</v>
      </c>
      <c r="L33" s="1" t="s">
        <v>37</v>
      </c>
      <c r="M33" s="1" t="s">
        <v>38</v>
      </c>
      <c r="N33" s="1" t="s">
        <v>32</v>
      </c>
      <c r="P33" s="1" t="s">
        <v>32</v>
      </c>
      <c r="Q33" s="1" t="s">
        <v>104</v>
      </c>
      <c r="R33" s="1" t="s">
        <v>105</v>
      </c>
      <c r="S33" s="4">
        <v>182.4</v>
      </c>
      <c r="T33" s="4">
        <v>182.4</v>
      </c>
      <c r="U33" s="4">
        <v>182.4</v>
      </c>
      <c r="Y33" s="1" t="s">
        <v>32</v>
      </c>
      <c r="AC33" s="1" t="s">
        <v>32</v>
      </c>
    </row>
    <row r="34" spans="1:29" x14ac:dyDescent="0.25">
      <c r="A34" s="1" t="s">
        <v>30</v>
      </c>
      <c r="B34" s="1" t="s">
        <v>31</v>
      </c>
      <c r="C34" s="1" t="s">
        <v>32</v>
      </c>
      <c r="D34" s="1" t="s">
        <v>33</v>
      </c>
      <c r="E34" s="2">
        <v>46244</v>
      </c>
      <c r="F34" s="1" t="s">
        <v>34</v>
      </c>
      <c r="G34" s="3">
        <v>46244.666666666701</v>
      </c>
      <c r="H34" s="1" t="s">
        <v>35</v>
      </c>
      <c r="I34" s="2">
        <v>46244</v>
      </c>
      <c r="J34" s="3">
        <v>46244.666666666701</v>
      </c>
      <c r="K34" s="1" t="s">
        <v>36</v>
      </c>
      <c r="L34" s="1" t="s">
        <v>37</v>
      </c>
      <c r="M34" s="1" t="s">
        <v>38</v>
      </c>
      <c r="N34" s="1" t="s">
        <v>32</v>
      </c>
      <c r="P34" s="1" t="s">
        <v>32</v>
      </c>
      <c r="Q34" s="1" t="s">
        <v>106</v>
      </c>
      <c r="R34" s="1" t="s">
        <v>107</v>
      </c>
      <c r="S34" s="4">
        <v>36</v>
      </c>
      <c r="T34" s="4">
        <v>36</v>
      </c>
      <c r="U34" s="4">
        <v>36</v>
      </c>
      <c r="Y34" s="1" t="s">
        <v>32</v>
      </c>
      <c r="AC34" s="1" t="s">
        <v>32</v>
      </c>
    </row>
    <row r="35" spans="1:29" x14ac:dyDescent="0.25">
      <c r="A35" s="1" t="s">
        <v>30</v>
      </c>
      <c r="B35" s="1" t="s">
        <v>31</v>
      </c>
      <c r="C35" s="1" t="s">
        <v>32</v>
      </c>
      <c r="D35" s="1" t="s">
        <v>108</v>
      </c>
      <c r="E35" s="2">
        <v>46244</v>
      </c>
      <c r="F35" s="1" t="s">
        <v>109</v>
      </c>
      <c r="G35" s="3">
        <v>46244.666666666701</v>
      </c>
      <c r="H35" s="1" t="s">
        <v>35</v>
      </c>
      <c r="I35" s="2">
        <v>46244</v>
      </c>
      <c r="J35" s="3">
        <v>46244.666666666701</v>
      </c>
      <c r="K35" s="1" t="s">
        <v>36</v>
      </c>
      <c r="L35" s="1" t="s">
        <v>37</v>
      </c>
      <c r="M35" s="1" t="s">
        <v>38</v>
      </c>
      <c r="N35" s="1" t="s">
        <v>32</v>
      </c>
      <c r="P35" s="1" t="s">
        <v>32</v>
      </c>
      <c r="Q35" s="1" t="s">
        <v>110</v>
      </c>
      <c r="R35" s="1" t="s">
        <v>111</v>
      </c>
      <c r="S35" s="4">
        <v>54</v>
      </c>
      <c r="T35" s="4">
        <v>54</v>
      </c>
      <c r="U35" s="4">
        <v>54</v>
      </c>
      <c r="Y35" s="1" t="s">
        <v>32</v>
      </c>
      <c r="AC35" s="1" t="s">
        <v>32</v>
      </c>
    </row>
    <row r="36" spans="1:29" x14ac:dyDescent="0.25">
      <c r="A36" s="1" t="s">
        <v>30</v>
      </c>
      <c r="B36" s="1" t="s">
        <v>31</v>
      </c>
      <c r="C36" s="1" t="s">
        <v>32</v>
      </c>
      <c r="D36" s="1" t="s">
        <v>108</v>
      </c>
      <c r="E36" s="2">
        <v>46244</v>
      </c>
      <c r="F36" s="1" t="s">
        <v>109</v>
      </c>
      <c r="G36" s="3">
        <v>46244.666666666701</v>
      </c>
      <c r="H36" s="1" t="s">
        <v>35</v>
      </c>
      <c r="I36" s="2">
        <v>46244</v>
      </c>
      <c r="J36" s="3">
        <v>46244.666666666701</v>
      </c>
      <c r="K36" s="1" t="s">
        <v>36</v>
      </c>
      <c r="L36" s="1" t="s">
        <v>37</v>
      </c>
      <c r="M36" s="1" t="s">
        <v>38</v>
      </c>
      <c r="N36" s="1" t="s">
        <v>32</v>
      </c>
      <c r="P36" s="1" t="s">
        <v>32</v>
      </c>
      <c r="Q36" s="1" t="s">
        <v>112</v>
      </c>
      <c r="R36" s="1" t="s">
        <v>113</v>
      </c>
      <c r="S36" s="4">
        <v>153.9</v>
      </c>
      <c r="T36" s="4">
        <v>153.9</v>
      </c>
      <c r="U36" s="4">
        <v>153.9</v>
      </c>
      <c r="Y36" s="1" t="s">
        <v>32</v>
      </c>
      <c r="AC36" s="1" t="s">
        <v>32</v>
      </c>
    </row>
    <row r="37" spans="1:29" x14ac:dyDescent="0.25">
      <c r="A37" s="1" t="s">
        <v>30</v>
      </c>
      <c r="B37" s="1" t="s">
        <v>31</v>
      </c>
      <c r="C37" s="1" t="s">
        <v>32</v>
      </c>
      <c r="D37" s="1" t="s">
        <v>108</v>
      </c>
      <c r="E37" s="2">
        <v>46244</v>
      </c>
      <c r="F37" s="1" t="s">
        <v>109</v>
      </c>
      <c r="G37" s="3">
        <v>46244.666666666701</v>
      </c>
      <c r="H37" s="1" t="s">
        <v>35</v>
      </c>
      <c r="I37" s="2">
        <v>46244</v>
      </c>
      <c r="J37" s="3">
        <v>46244.666666666701</v>
      </c>
      <c r="K37" s="1" t="s">
        <v>36</v>
      </c>
      <c r="L37" s="1" t="s">
        <v>37</v>
      </c>
      <c r="M37" s="1" t="s">
        <v>38</v>
      </c>
      <c r="N37" s="1" t="s">
        <v>32</v>
      </c>
      <c r="P37" s="1" t="s">
        <v>32</v>
      </c>
      <c r="Q37" s="1" t="s">
        <v>51</v>
      </c>
      <c r="R37" s="1" t="s">
        <v>52</v>
      </c>
      <c r="S37" s="4">
        <v>202.5</v>
      </c>
      <c r="T37" s="4">
        <v>202.5</v>
      </c>
      <c r="U37" s="4">
        <v>202.5</v>
      </c>
      <c r="Y37" s="1" t="s">
        <v>32</v>
      </c>
      <c r="AC37" s="1" t="s">
        <v>32</v>
      </c>
    </row>
    <row r="38" spans="1:29" x14ac:dyDescent="0.25">
      <c r="A38" s="1" t="s">
        <v>30</v>
      </c>
      <c r="B38" s="1" t="s">
        <v>31</v>
      </c>
      <c r="C38" s="1" t="s">
        <v>32</v>
      </c>
      <c r="D38" s="1" t="s">
        <v>108</v>
      </c>
      <c r="E38" s="2">
        <v>46244</v>
      </c>
      <c r="F38" s="1" t="s">
        <v>109</v>
      </c>
      <c r="G38" s="3">
        <v>46244.666666666701</v>
      </c>
      <c r="H38" s="1" t="s">
        <v>35</v>
      </c>
      <c r="I38" s="2">
        <v>46244</v>
      </c>
      <c r="J38" s="3">
        <v>46244.666666666701</v>
      </c>
      <c r="K38" s="1" t="s">
        <v>36</v>
      </c>
      <c r="L38" s="1" t="s">
        <v>37</v>
      </c>
      <c r="M38" s="1" t="s">
        <v>38</v>
      </c>
      <c r="N38" s="1" t="s">
        <v>32</v>
      </c>
      <c r="P38" s="1" t="s">
        <v>32</v>
      </c>
      <c r="Q38" s="1" t="s">
        <v>114</v>
      </c>
      <c r="R38" s="1" t="s">
        <v>115</v>
      </c>
      <c r="S38" s="4">
        <v>54</v>
      </c>
      <c r="T38" s="4">
        <v>54</v>
      </c>
      <c r="U38" s="4">
        <v>54</v>
      </c>
      <c r="Y38" s="1" t="s">
        <v>32</v>
      </c>
      <c r="AC38" s="1" t="s">
        <v>32</v>
      </c>
    </row>
    <row r="39" spans="1:29" x14ac:dyDescent="0.25">
      <c r="A39" s="1" t="s">
        <v>30</v>
      </c>
      <c r="B39" s="1" t="s">
        <v>31</v>
      </c>
      <c r="C39" s="1" t="s">
        <v>32</v>
      </c>
      <c r="D39" s="1" t="s">
        <v>108</v>
      </c>
      <c r="E39" s="2">
        <v>46244</v>
      </c>
      <c r="F39" s="1" t="s">
        <v>109</v>
      </c>
      <c r="G39" s="3">
        <v>46244.666666666701</v>
      </c>
      <c r="H39" s="1" t="s">
        <v>35</v>
      </c>
      <c r="I39" s="2">
        <v>46244</v>
      </c>
      <c r="J39" s="3">
        <v>46244.666666666701</v>
      </c>
      <c r="K39" s="1" t="s">
        <v>36</v>
      </c>
      <c r="L39" s="1" t="s">
        <v>37</v>
      </c>
      <c r="M39" s="1" t="s">
        <v>38</v>
      </c>
      <c r="N39" s="1" t="s">
        <v>32</v>
      </c>
      <c r="P39" s="1" t="s">
        <v>32</v>
      </c>
      <c r="Q39" s="1" t="s">
        <v>116</v>
      </c>
      <c r="R39" s="1" t="s">
        <v>117</v>
      </c>
      <c r="S39" s="4">
        <v>251.1</v>
      </c>
      <c r="T39" s="4">
        <v>251.1</v>
      </c>
      <c r="U39" s="4">
        <v>251.1</v>
      </c>
      <c r="Y39" s="1" t="s">
        <v>32</v>
      </c>
      <c r="AC39" s="1" t="s">
        <v>32</v>
      </c>
    </row>
    <row r="40" spans="1:29" x14ac:dyDescent="0.25">
      <c r="A40" s="1" t="s">
        <v>30</v>
      </c>
      <c r="B40" s="1" t="s">
        <v>31</v>
      </c>
      <c r="C40" s="1" t="s">
        <v>32</v>
      </c>
      <c r="D40" s="1" t="s">
        <v>108</v>
      </c>
      <c r="E40" s="2">
        <v>46244</v>
      </c>
      <c r="F40" s="1" t="s">
        <v>109</v>
      </c>
      <c r="G40" s="3">
        <v>46244.666666666701</v>
      </c>
      <c r="H40" s="1" t="s">
        <v>35</v>
      </c>
      <c r="I40" s="2">
        <v>46244</v>
      </c>
      <c r="J40" s="3">
        <v>46244.666666666701</v>
      </c>
      <c r="K40" s="1" t="s">
        <v>36</v>
      </c>
      <c r="L40" s="1" t="s">
        <v>37</v>
      </c>
      <c r="M40" s="1" t="s">
        <v>38</v>
      </c>
      <c r="N40" s="1" t="s">
        <v>32</v>
      </c>
      <c r="P40" s="1" t="s">
        <v>32</v>
      </c>
      <c r="Q40" s="1" t="s">
        <v>118</v>
      </c>
      <c r="R40" s="1" t="s">
        <v>119</v>
      </c>
      <c r="S40" s="4">
        <v>351</v>
      </c>
      <c r="T40" s="4">
        <v>351</v>
      </c>
      <c r="U40" s="4">
        <v>351</v>
      </c>
      <c r="Y40" s="1" t="s">
        <v>32</v>
      </c>
      <c r="AC40" s="1" t="s">
        <v>32</v>
      </c>
    </row>
    <row r="41" spans="1:29" x14ac:dyDescent="0.25">
      <c r="A41" s="1" t="s">
        <v>30</v>
      </c>
      <c r="B41" s="1" t="s">
        <v>31</v>
      </c>
      <c r="C41" s="1" t="s">
        <v>32</v>
      </c>
      <c r="D41" s="1" t="s">
        <v>108</v>
      </c>
      <c r="E41" s="2">
        <v>46244</v>
      </c>
      <c r="F41" s="1" t="s">
        <v>109</v>
      </c>
      <c r="G41" s="3">
        <v>46244.666666666701</v>
      </c>
      <c r="H41" s="1" t="s">
        <v>35</v>
      </c>
      <c r="I41" s="2">
        <v>46244</v>
      </c>
      <c r="J41" s="3">
        <v>46244.666666666701</v>
      </c>
      <c r="K41" s="1" t="s">
        <v>36</v>
      </c>
      <c r="L41" s="1" t="s">
        <v>37</v>
      </c>
      <c r="M41" s="1" t="s">
        <v>38</v>
      </c>
      <c r="N41" s="1" t="s">
        <v>32</v>
      </c>
      <c r="P41" s="1" t="s">
        <v>32</v>
      </c>
      <c r="Q41" s="1" t="s">
        <v>120</v>
      </c>
      <c r="R41" s="1" t="s">
        <v>121</v>
      </c>
      <c r="S41" s="4">
        <v>100.8</v>
      </c>
      <c r="T41" s="4">
        <v>100.8</v>
      </c>
      <c r="U41" s="4">
        <v>100.8</v>
      </c>
      <c r="Y41" s="1" t="s">
        <v>32</v>
      </c>
      <c r="AC41" s="1" t="s">
        <v>32</v>
      </c>
    </row>
    <row r="42" spans="1:29" x14ac:dyDescent="0.25">
      <c r="A42" s="1" t="s">
        <v>30</v>
      </c>
      <c r="B42" s="1" t="s">
        <v>31</v>
      </c>
      <c r="C42" s="1" t="s">
        <v>32</v>
      </c>
      <c r="D42" s="1" t="s">
        <v>108</v>
      </c>
      <c r="E42" s="2">
        <v>46244</v>
      </c>
      <c r="F42" s="1" t="s">
        <v>109</v>
      </c>
      <c r="G42" s="3">
        <v>46244.666666666701</v>
      </c>
      <c r="H42" s="1" t="s">
        <v>35</v>
      </c>
      <c r="I42" s="2">
        <v>46244</v>
      </c>
      <c r="J42" s="3">
        <v>46244.666666666701</v>
      </c>
      <c r="K42" s="1" t="s">
        <v>36</v>
      </c>
      <c r="L42" s="1" t="s">
        <v>37</v>
      </c>
      <c r="M42" s="1" t="s">
        <v>38</v>
      </c>
      <c r="N42" s="1" t="s">
        <v>32</v>
      </c>
      <c r="P42" s="1" t="s">
        <v>32</v>
      </c>
      <c r="Q42" s="1" t="s">
        <v>122</v>
      </c>
      <c r="R42" s="1" t="s">
        <v>123</v>
      </c>
      <c r="S42" s="4">
        <v>151.19999999999999</v>
      </c>
      <c r="T42" s="4">
        <v>151.19999999999999</v>
      </c>
      <c r="U42" s="4">
        <v>151.19999999999999</v>
      </c>
      <c r="Y42" s="1" t="s">
        <v>32</v>
      </c>
      <c r="AC42" s="1" t="s">
        <v>32</v>
      </c>
    </row>
    <row r="43" spans="1:29" x14ac:dyDescent="0.25">
      <c r="A43" s="1" t="s">
        <v>30</v>
      </c>
      <c r="B43" s="1" t="s">
        <v>31</v>
      </c>
      <c r="C43" s="1" t="s">
        <v>32</v>
      </c>
      <c r="D43" s="1" t="s">
        <v>108</v>
      </c>
      <c r="E43" s="2">
        <v>46244</v>
      </c>
      <c r="F43" s="1" t="s">
        <v>109</v>
      </c>
      <c r="G43" s="3">
        <v>46244.666666666701</v>
      </c>
      <c r="H43" s="1" t="s">
        <v>35</v>
      </c>
      <c r="I43" s="2">
        <v>46244</v>
      </c>
      <c r="J43" s="3">
        <v>46244.666666666701</v>
      </c>
      <c r="K43" s="1" t="s">
        <v>36</v>
      </c>
      <c r="L43" s="1" t="s">
        <v>37</v>
      </c>
      <c r="M43" s="1" t="s">
        <v>38</v>
      </c>
      <c r="N43" s="1" t="s">
        <v>32</v>
      </c>
      <c r="P43" s="1" t="s">
        <v>32</v>
      </c>
      <c r="Q43" s="1" t="s">
        <v>124</v>
      </c>
      <c r="R43" s="1" t="s">
        <v>125</v>
      </c>
      <c r="S43" s="4">
        <v>151.19999999999999</v>
      </c>
      <c r="T43" s="4">
        <v>151.19999999999999</v>
      </c>
      <c r="U43" s="4">
        <v>151.19999999999999</v>
      </c>
      <c r="Y43" s="1" t="s">
        <v>32</v>
      </c>
      <c r="AC43" s="1" t="s">
        <v>32</v>
      </c>
    </row>
    <row r="44" spans="1:29" x14ac:dyDescent="0.25">
      <c r="A44" s="1" t="s">
        <v>30</v>
      </c>
      <c r="B44" s="1" t="s">
        <v>31</v>
      </c>
      <c r="C44" s="1" t="s">
        <v>32</v>
      </c>
      <c r="D44" s="1" t="s">
        <v>108</v>
      </c>
      <c r="E44" s="2">
        <v>46244</v>
      </c>
      <c r="F44" s="1" t="s">
        <v>109</v>
      </c>
      <c r="G44" s="3">
        <v>46244.666666666701</v>
      </c>
      <c r="H44" s="1" t="s">
        <v>35</v>
      </c>
      <c r="I44" s="2">
        <v>46244</v>
      </c>
      <c r="J44" s="3">
        <v>46244.666666666701</v>
      </c>
      <c r="K44" s="1" t="s">
        <v>36</v>
      </c>
      <c r="L44" s="1" t="s">
        <v>37</v>
      </c>
      <c r="M44" s="1" t="s">
        <v>38</v>
      </c>
      <c r="N44" s="1" t="s">
        <v>32</v>
      </c>
      <c r="P44" s="1" t="s">
        <v>32</v>
      </c>
      <c r="Q44" s="1" t="s">
        <v>126</v>
      </c>
      <c r="R44" s="1" t="s">
        <v>127</v>
      </c>
      <c r="S44" s="4">
        <v>56.7</v>
      </c>
      <c r="T44" s="4">
        <v>56.7</v>
      </c>
      <c r="U44" s="4">
        <v>56.7</v>
      </c>
      <c r="Y44" s="1" t="s">
        <v>32</v>
      </c>
      <c r="AC44" s="1" t="s">
        <v>32</v>
      </c>
    </row>
    <row r="45" spans="1:29" x14ac:dyDescent="0.25">
      <c r="A45" s="1" t="s">
        <v>30</v>
      </c>
      <c r="B45" s="1" t="s">
        <v>31</v>
      </c>
      <c r="C45" s="1" t="s">
        <v>32</v>
      </c>
      <c r="D45" s="1" t="s">
        <v>108</v>
      </c>
      <c r="E45" s="2">
        <v>46244</v>
      </c>
      <c r="F45" s="1" t="s">
        <v>109</v>
      </c>
      <c r="G45" s="3">
        <v>46244.666666666701</v>
      </c>
      <c r="H45" s="1" t="s">
        <v>35</v>
      </c>
      <c r="I45" s="2">
        <v>46244</v>
      </c>
      <c r="J45" s="3">
        <v>46244.666666666701</v>
      </c>
      <c r="K45" s="1" t="s">
        <v>36</v>
      </c>
      <c r="L45" s="1" t="s">
        <v>37</v>
      </c>
      <c r="M45" s="1" t="s">
        <v>38</v>
      </c>
      <c r="N45" s="1" t="s">
        <v>32</v>
      </c>
      <c r="P45" s="1" t="s">
        <v>32</v>
      </c>
      <c r="Q45" s="1" t="s">
        <v>128</v>
      </c>
      <c r="R45" s="1" t="s">
        <v>129</v>
      </c>
      <c r="S45" s="4">
        <v>200.1</v>
      </c>
      <c r="V45" s="4">
        <v>-200.1</v>
      </c>
      <c r="W45" s="1" t="s">
        <v>63</v>
      </c>
      <c r="X45" s="1" t="s">
        <v>64</v>
      </c>
      <c r="Y45" s="1" t="s">
        <v>32</v>
      </c>
      <c r="AC45" s="1" t="s">
        <v>32</v>
      </c>
    </row>
    <row r="46" spans="1:29" x14ac:dyDescent="0.25">
      <c r="A46" s="1" t="s">
        <v>30</v>
      </c>
      <c r="B46" s="1" t="s">
        <v>31</v>
      </c>
      <c r="C46" s="1" t="s">
        <v>32</v>
      </c>
      <c r="D46" s="1" t="s">
        <v>108</v>
      </c>
      <c r="E46" s="2">
        <v>46244</v>
      </c>
      <c r="F46" s="1" t="s">
        <v>109</v>
      </c>
      <c r="G46" s="3">
        <v>46244.666666666701</v>
      </c>
      <c r="H46" s="1" t="s">
        <v>35</v>
      </c>
      <c r="I46" s="2">
        <v>46244</v>
      </c>
      <c r="J46" s="3">
        <v>46244.666666666701</v>
      </c>
      <c r="K46" s="1" t="s">
        <v>36</v>
      </c>
      <c r="L46" s="1" t="s">
        <v>37</v>
      </c>
      <c r="M46" s="1" t="s">
        <v>38</v>
      </c>
      <c r="N46" s="1" t="s">
        <v>32</v>
      </c>
      <c r="P46" s="1" t="s">
        <v>32</v>
      </c>
      <c r="Q46" s="1" t="s">
        <v>130</v>
      </c>
      <c r="R46" s="1" t="s">
        <v>131</v>
      </c>
      <c r="S46" s="4">
        <v>151.19999999999999</v>
      </c>
      <c r="T46" s="4">
        <v>151.19999999999999</v>
      </c>
      <c r="U46" s="4">
        <v>151.19999999999999</v>
      </c>
      <c r="Y46" s="1" t="s">
        <v>32</v>
      </c>
      <c r="AC46" s="1" t="s">
        <v>32</v>
      </c>
    </row>
    <row r="47" spans="1:29" x14ac:dyDescent="0.25">
      <c r="A47" s="1" t="s">
        <v>30</v>
      </c>
      <c r="B47" s="1" t="s">
        <v>31</v>
      </c>
      <c r="C47" s="1" t="s">
        <v>32</v>
      </c>
      <c r="D47" s="1" t="s">
        <v>108</v>
      </c>
      <c r="E47" s="2">
        <v>46244</v>
      </c>
      <c r="F47" s="1" t="s">
        <v>109</v>
      </c>
      <c r="G47" s="3">
        <v>46244.666666666701</v>
      </c>
      <c r="H47" s="1" t="s">
        <v>35</v>
      </c>
      <c r="I47" s="2">
        <v>46244</v>
      </c>
      <c r="J47" s="3">
        <v>46244.666666666701</v>
      </c>
      <c r="K47" s="1" t="s">
        <v>36</v>
      </c>
      <c r="L47" s="1" t="s">
        <v>37</v>
      </c>
      <c r="M47" s="1" t="s">
        <v>38</v>
      </c>
      <c r="N47" s="1" t="s">
        <v>32</v>
      </c>
      <c r="P47" s="1" t="s">
        <v>32</v>
      </c>
      <c r="Q47" s="1" t="s">
        <v>65</v>
      </c>
      <c r="R47" s="1" t="s">
        <v>66</v>
      </c>
      <c r="S47" s="4">
        <v>201.6</v>
      </c>
      <c r="T47" s="4">
        <v>201.6</v>
      </c>
      <c r="U47" s="4">
        <v>201.6</v>
      </c>
      <c r="Y47" s="1" t="s">
        <v>32</v>
      </c>
      <c r="AC47" s="1" t="s">
        <v>32</v>
      </c>
    </row>
    <row r="48" spans="1:29" x14ac:dyDescent="0.25">
      <c r="A48" s="1" t="s">
        <v>30</v>
      </c>
      <c r="B48" s="1" t="s">
        <v>31</v>
      </c>
      <c r="C48" s="1" t="s">
        <v>32</v>
      </c>
      <c r="D48" s="1" t="s">
        <v>108</v>
      </c>
      <c r="E48" s="2">
        <v>46244</v>
      </c>
      <c r="F48" s="1" t="s">
        <v>109</v>
      </c>
      <c r="G48" s="3">
        <v>46244.666666666701</v>
      </c>
      <c r="H48" s="1" t="s">
        <v>35</v>
      </c>
      <c r="I48" s="2">
        <v>46244</v>
      </c>
      <c r="J48" s="3">
        <v>46244.666666666701</v>
      </c>
      <c r="K48" s="1" t="s">
        <v>36</v>
      </c>
      <c r="L48" s="1" t="s">
        <v>37</v>
      </c>
      <c r="M48" s="1" t="s">
        <v>38</v>
      </c>
      <c r="N48" s="1" t="s">
        <v>32</v>
      </c>
      <c r="P48" s="1" t="s">
        <v>32</v>
      </c>
      <c r="Q48" s="1" t="s">
        <v>67</v>
      </c>
      <c r="R48" s="1" t="s">
        <v>68</v>
      </c>
      <c r="S48" s="4">
        <v>201.6</v>
      </c>
      <c r="T48" s="4">
        <v>201.6</v>
      </c>
      <c r="U48" s="4">
        <v>201.6</v>
      </c>
      <c r="Y48" s="1" t="s">
        <v>32</v>
      </c>
      <c r="AC48" s="1" t="s">
        <v>32</v>
      </c>
    </row>
    <row r="49" spans="1:30" x14ac:dyDescent="0.25">
      <c r="A49" s="1" t="s">
        <v>30</v>
      </c>
      <c r="B49" s="1" t="s">
        <v>31</v>
      </c>
      <c r="C49" s="1" t="s">
        <v>32</v>
      </c>
      <c r="D49" s="1" t="s">
        <v>108</v>
      </c>
      <c r="E49" s="2">
        <v>46244</v>
      </c>
      <c r="F49" s="1" t="s">
        <v>109</v>
      </c>
      <c r="G49" s="3">
        <v>46244.666666666701</v>
      </c>
      <c r="H49" s="1" t="s">
        <v>35</v>
      </c>
      <c r="I49" s="2">
        <v>46244</v>
      </c>
      <c r="J49" s="3">
        <v>46244.666666666701</v>
      </c>
      <c r="K49" s="1" t="s">
        <v>36</v>
      </c>
      <c r="L49" s="1" t="s">
        <v>37</v>
      </c>
      <c r="M49" s="1" t="s">
        <v>38</v>
      </c>
      <c r="N49" s="1" t="s">
        <v>32</v>
      </c>
      <c r="P49" s="1" t="s">
        <v>32</v>
      </c>
      <c r="Q49" s="1" t="s">
        <v>132</v>
      </c>
      <c r="R49" s="1" t="s">
        <v>133</v>
      </c>
      <c r="S49" s="4">
        <v>151.19999999999999</v>
      </c>
      <c r="T49" s="4">
        <v>151.19999999999999</v>
      </c>
      <c r="U49" s="4">
        <v>151.19999999999999</v>
      </c>
      <c r="Y49" s="1" t="s">
        <v>32</v>
      </c>
      <c r="AC49" s="1" t="s">
        <v>32</v>
      </c>
    </row>
    <row r="50" spans="1:30" x14ac:dyDescent="0.25">
      <c r="A50" s="1" t="s">
        <v>30</v>
      </c>
      <c r="B50" s="1" t="s">
        <v>31</v>
      </c>
      <c r="C50" s="1" t="s">
        <v>32</v>
      </c>
      <c r="D50" s="1" t="s">
        <v>108</v>
      </c>
      <c r="E50" s="2">
        <v>46244</v>
      </c>
      <c r="F50" s="1" t="s">
        <v>109</v>
      </c>
      <c r="G50" s="3">
        <v>46244.666666666701</v>
      </c>
      <c r="H50" s="1" t="s">
        <v>35</v>
      </c>
      <c r="I50" s="2">
        <v>46244</v>
      </c>
      <c r="J50" s="3">
        <v>46244.666666666701</v>
      </c>
      <c r="K50" s="1" t="s">
        <v>36</v>
      </c>
      <c r="L50" s="1" t="s">
        <v>37</v>
      </c>
      <c r="M50" s="1" t="s">
        <v>38</v>
      </c>
      <c r="N50" s="1" t="s">
        <v>32</v>
      </c>
      <c r="P50" s="1" t="s">
        <v>32</v>
      </c>
      <c r="Q50" s="1" t="s">
        <v>134</v>
      </c>
      <c r="R50" s="1" t="s">
        <v>135</v>
      </c>
      <c r="S50" s="4">
        <v>151.19999999999999</v>
      </c>
      <c r="T50" s="4">
        <v>151.19999999999999</v>
      </c>
      <c r="U50" s="4">
        <v>151.19999999999999</v>
      </c>
      <c r="Y50" s="1" t="s">
        <v>32</v>
      </c>
      <c r="AC50" s="1" t="s">
        <v>32</v>
      </c>
    </row>
    <row r="51" spans="1:30" x14ac:dyDescent="0.25">
      <c r="A51" s="1" t="s">
        <v>30</v>
      </c>
      <c r="B51" s="1" t="s">
        <v>31</v>
      </c>
      <c r="C51" s="1" t="s">
        <v>32</v>
      </c>
      <c r="D51" s="1" t="s">
        <v>108</v>
      </c>
      <c r="E51" s="2">
        <v>46244</v>
      </c>
      <c r="F51" s="1" t="s">
        <v>109</v>
      </c>
      <c r="G51" s="3">
        <v>46244.666666666701</v>
      </c>
      <c r="H51" s="1" t="s">
        <v>35</v>
      </c>
      <c r="I51" s="2">
        <v>46244</v>
      </c>
      <c r="J51" s="3">
        <v>46244.666666666701</v>
      </c>
      <c r="K51" s="1" t="s">
        <v>36</v>
      </c>
      <c r="L51" s="1" t="s">
        <v>37</v>
      </c>
      <c r="M51" s="1" t="s">
        <v>38</v>
      </c>
      <c r="N51" s="1" t="s">
        <v>32</v>
      </c>
      <c r="P51" s="1" t="s">
        <v>32</v>
      </c>
      <c r="Q51" s="1" t="s">
        <v>136</v>
      </c>
      <c r="R51" s="1" t="s">
        <v>137</v>
      </c>
      <c r="S51" s="4">
        <v>202.8</v>
      </c>
      <c r="T51" s="4">
        <v>202.8</v>
      </c>
      <c r="U51" s="4">
        <v>202.8</v>
      </c>
      <c r="Y51" s="1" t="s">
        <v>32</v>
      </c>
      <c r="AC51" s="1" t="s">
        <v>32</v>
      </c>
    </row>
    <row r="52" spans="1:30" x14ac:dyDescent="0.25">
      <c r="A52" s="1" t="s">
        <v>30</v>
      </c>
      <c r="B52" s="1" t="s">
        <v>31</v>
      </c>
      <c r="C52" s="1" t="s">
        <v>32</v>
      </c>
      <c r="D52" s="1" t="s">
        <v>108</v>
      </c>
      <c r="E52" s="2">
        <v>46244</v>
      </c>
      <c r="F52" s="1" t="s">
        <v>109</v>
      </c>
      <c r="G52" s="3">
        <v>46244.666666666701</v>
      </c>
      <c r="H52" s="1" t="s">
        <v>35</v>
      </c>
      <c r="I52" s="2">
        <v>46244</v>
      </c>
      <c r="J52" s="3">
        <v>46244.666666666701</v>
      </c>
      <c r="K52" s="1" t="s">
        <v>36</v>
      </c>
      <c r="L52" s="1" t="s">
        <v>37</v>
      </c>
      <c r="M52" s="1" t="s">
        <v>38</v>
      </c>
      <c r="N52" s="1" t="s">
        <v>32</v>
      </c>
      <c r="P52" s="1" t="s">
        <v>32</v>
      </c>
      <c r="Q52" s="1" t="s">
        <v>87</v>
      </c>
      <c r="R52" s="1" t="s">
        <v>88</v>
      </c>
      <c r="S52" s="4">
        <v>50.4</v>
      </c>
      <c r="V52" s="4">
        <v>-50.4</v>
      </c>
      <c r="W52" s="1" t="s">
        <v>63</v>
      </c>
      <c r="X52" s="1" t="s">
        <v>64</v>
      </c>
      <c r="Y52" s="1" t="s">
        <v>32</v>
      </c>
      <c r="AC52" s="1" t="s">
        <v>32</v>
      </c>
      <c r="AD52" s="1" t="s">
        <v>89</v>
      </c>
    </row>
    <row r="53" spans="1:30" x14ac:dyDescent="0.25">
      <c r="A53" s="1" t="s">
        <v>30</v>
      </c>
      <c r="B53" s="1" t="s">
        <v>31</v>
      </c>
      <c r="C53" s="1" t="s">
        <v>32</v>
      </c>
      <c r="D53" s="1" t="s">
        <v>108</v>
      </c>
      <c r="E53" s="2">
        <v>46244</v>
      </c>
      <c r="F53" s="1" t="s">
        <v>109</v>
      </c>
      <c r="G53" s="3">
        <v>46244.666666666701</v>
      </c>
      <c r="H53" s="1" t="s">
        <v>35</v>
      </c>
      <c r="I53" s="2">
        <v>46244</v>
      </c>
      <c r="J53" s="3">
        <v>46244.666666666701</v>
      </c>
      <c r="K53" s="1" t="s">
        <v>36</v>
      </c>
      <c r="L53" s="1" t="s">
        <v>37</v>
      </c>
      <c r="M53" s="1" t="s">
        <v>38</v>
      </c>
      <c r="N53" s="1" t="s">
        <v>32</v>
      </c>
      <c r="P53" s="1" t="s">
        <v>32</v>
      </c>
      <c r="Q53" s="1" t="s">
        <v>138</v>
      </c>
      <c r="R53" s="1" t="s">
        <v>139</v>
      </c>
      <c r="S53" s="4">
        <v>31.5</v>
      </c>
      <c r="T53" s="4">
        <v>31.5</v>
      </c>
      <c r="U53" s="4">
        <v>31.5</v>
      </c>
      <c r="Y53" s="1" t="s">
        <v>32</v>
      </c>
      <c r="AC53" s="1" t="s">
        <v>32</v>
      </c>
    </row>
    <row r="54" spans="1:30" x14ac:dyDescent="0.25">
      <c r="A54" s="1" t="s">
        <v>30</v>
      </c>
      <c r="B54" s="1" t="s">
        <v>31</v>
      </c>
      <c r="C54" s="1" t="s">
        <v>32</v>
      </c>
      <c r="D54" s="1" t="s">
        <v>108</v>
      </c>
      <c r="E54" s="2">
        <v>46244</v>
      </c>
      <c r="F54" s="1" t="s">
        <v>109</v>
      </c>
      <c r="G54" s="3">
        <v>46244.666666666701</v>
      </c>
      <c r="H54" s="1" t="s">
        <v>35</v>
      </c>
      <c r="I54" s="2">
        <v>46244</v>
      </c>
      <c r="J54" s="3">
        <v>46244.666666666701</v>
      </c>
      <c r="K54" s="1" t="s">
        <v>36</v>
      </c>
      <c r="L54" s="1" t="s">
        <v>37</v>
      </c>
      <c r="M54" s="1" t="s">
        <v>38</v>
      </c>
      <c r="N54" s="1" t="s">
        <v>32</v>
      </c>
      <c r="P54" s="1" t="s">
        <v>32</v>
      </c>
      <c r="Q54" s="1" t="s">
        <v>140</v>
      </c>
      <c r="R54" s="1" t="s">
        <v>141</v>
      </c>
      <c r="S54" s="4">
        <v>300</v>
      </c>
      <c r="T54" s="4">
        <v>300</v>
      </c>
      <c r="U54" s="4">
        <v>300</v>
      </c>
      <c r="Y54" s="1" t="s">
        <v>32</v>
      </c>
      <c r="AC54" s="1" t="s">
        <v>32</v>
      </c>
    </row>
    <row r="55" spans="1:30" x14ac:dyDescent="0.25">
      <c r="A55" s="1" t="s">
        <v>30</v>
      </c>
      <c r="B55" s="1" t="s">
        <v>31</v>
      </c>
      <c r="C55" s="1" t="s">
        <v>32</v>
      </c>
      <c r="D55" s="1" t="s">
        <v>108</v>
      </c>
      <c r="E55" s="2">
        <v>46244</v>
      </c>
      <c r="F55" s="1" t="s">
        <v>109</v>
      </c>
      <c r="G55" s="3">
        <v>46244.666666666701</v>
      </c>
      <c r="H55" s="1" t="s">
        <v>35</v>
      </c>
      <c r="I55" s="2">
        <v>46244</v>
      </c>
      <c r="J55" s="3">
        <v>46244.666666666701</v>
      </c>
      <c r="K55" s="1" t="s">
        <v>36</v>
      </c>
      <c r="L55" s="1" t="s">
        <v>37</v>
      </c>
      <c r="M55" s="1" t="s">
        <v>38</v>
      </c>
      <c r="N55" s="1" t="s">
        <v>32</v>
      </c>
      <c r="P55" s="1" t="s">
        <v>32</v>
      </c>
      <c r="Q55" s="1" t="s">
        <v>142</v>
      </c>
      <c r="R55" s="1" t="s">
        <v>143</v>
      </c>
      <c r="S55" s="4">
        <v>54</v>
      </c>
      <c r="V55" s="4">
        <v>-54</v>
      </c>
      <c r="W55" s="1" t="s">
        <v>63</v>
      </c>
      <c r="X55" s="1" t="s">
        <v>64</v>
      </c>
      <c r="Y55" s="1" t="s">
        <v>32</v>
      </c>
      <c r="AC55" s="1" t="s">
        <v>32</v>
      </c>
    </row>
    <row r="56" spans="1:30" x14ac:dyDescent="0.25">
      <c r="A56" s="1" t="s">
        <v>30</v>
      </c>
      <c r="B56" s="1" t="s">
        <v>31</v>
      </c>
      <c r="C56" s="1" t="s">
        <v>32</v>
      </c>
      <c r="D56" s="1" t="s">
        <v>108</v>
      </c>
      <c r="E56" s="2">
        <v>46244</v>
      </c>
      <c r="F56" s="1" t="s">
        <v>109</v>
      </c>
      <c r="G56" s="3">
        <v>46244.666666666701</v>
      </c>
      <c r="H56" s="1" t="s">
        <v>35</v>
      </c>
      <c r="I56" s="2">
        <v>46244</v>
      </c>
      <c r="J56" s="3">
        <v>46244.666666666701</v>
      </c>
      <c r="K56" s="1" t="s">
        <v>36</v>
      </c>
      <c r="L56" s="1" t="s">
        <v>37</v>
      </c>
      <c r="M56" s="1" t="s">
        <v>38</v>
      </c>
      <c r="N56" s="1" t="s">
        <v>32</v>
      </c>
      <c r="P56" s="1" t="s">
        <v>32</v>
      </c>
      <c r="Q56" s="1" t="s">
        <v>144</v>
      </c>
      <c r="R56" s="1" t="s">
        <v>145</v>
      </c>
      <c r="S56" s="4">
        <v>702</v>
      </c>
      <c r="T56" s="4">
        <v>702</v>
      </c>
      <c r="U56" s="4">
        <v>702</v>
      </c>
      <c r="Y56" s="1" t="s">
        <v>32</v>
      </c>
      <c r="AC56" s="1" t="s">
        <v>32</v>
      </c>
    </row>
    <row r="57" spans="1:30" x14ac:dyDescent="0.25">
      <c r="A57" s="1" t="s">
        <v>30</v>
      </c>
      <c r="B57" s="1" t="s">
        <v>31</v>
      </c>
      <c r="C57" s="1" t="s">
        <v>32</v>
      </c>
      <c r="D57" s="1" t="s">
        <v>108</v>
      </c>
      <c r="E57" s="2">
        <v>46244</v>
      </c>
      <c r="F57" s="1" t="s">
        <v>109</v>
      </c>
      <c r="G57" s="3">
        <v>46244.666666666701</v>
      </c>
      <c r="H57" s="1" t="s">
        <v>35</v>
      </c>
      <c r="I57" s="2">
        <v>46244</v>
      </c>
      <c r="J57" s="3">
        <v>46244.666666666701</v>
      </c>
      <c r="K57" s="1" t="s">
        <v>36</v>
      </c>
      <c r="L57" s="1" t="s">
        <v>37</v>
      </c>
      <c r="M57" s="1" t="s">
        <v>38</v>
      </c>
      <c r="N57" s="1" t="s">
        <v>32</v>
      </c>
      <c r="P57" s="1" t="s">
        <v>32</v>
      </c>
      <c r="Q57" s="1" t="s">
        <v>146</v>
      </c>
      <c r="R57" s="1" t="s">
        <v>147</v>
      </c>
      <c r="S57" s="4">
        <v>151.19999999999999</v>
      </c>
      <c r="V57" s="4">
        <v>-151.19999999999999</v>
      </c>
      <c r="W57" s="1" t="s">
        <v>63</v>
      </c>
      <c r="X57" s="1" t="s">
        <v>64</v>
      </c>
      <c r="Y57" s="1" t="s">
        <v>32</v>
      </c>
      <c r="AC57" s="1" t="s">
        <v>32</v>
      </c>
    </row>
    <row r="58" spans="1:30" x14ac:dyDescent="0.25">
      <c r="A58" s="1" t="s">
        <v>30</v>
      </c>
      <c r="B58" s="1" t="s">
        <v>31</v>
      </c>
      <c r="C58" s="1" t="s">
        <v>32</v>
      </c>
      <c r="D58" s="1" t="s">
        <v>108</v>
      </c>
      <c r="E58" s="2">
        <v>46244</v>
      </c>
      <c r="F58" s="1" t="s">
        <v>109</v>
      </c>
      <c r="G58" s="3">
        <v>46244.666666666701</v>
      </c>
      <c r="H58" s="1" t="s">
        <v>35</v>
      </c>
      <c r="I58" s="2">
        <v>46244</v>
      </c>
      <c r="J58" s="3">
        <v>46244.666666666701</v>
      </c>
      <c r="K58" s="1" t="s">
        <v>36</v>
      </c>
      <c r="L58" s="1" t="s">
        <v>37</v>
      </c>
      <c r="M58" s="1" t="s">
        <v>38</v>
      </c>
      <c r="N58" s="1" t="s">
        <v>32</v>
      </c>
      <c r="P58" s="1" t="s">
        <v>32</v>
      </c>
      <c r="Q58" s="1" t="s">
        <v>148</v>
      </c>
      <c r="R58" s="1" t="s">
        <v>149</v>
      </c>
      <c r="S58" s="4">
        <v>501.6</v>
      </c>
      <c r="V58" s="4">
        <v>-501.6</v>
      </c>
      <c r="W58" s="1" t="s">
        <v>150</v>
      </c>
      <c r="X58" s="1" t="s">
        <v>151</v>
      </c>
      <c r="Y58" s="1" t="s">
        <v>32</v>
      </c>
      <c r="AC58" s="1" t="s">
        <v>32</v>
      </c>
    </row>
    <row r="59" spans="1:30" x14ac:dyDescent="0.25">
      <c r="A59" s="1" t="s">
        <v>30</v>
      </c>
      <c r="B59" s="1" t="s">
        <v>31</v>
      </c>
      <c r="C59" s="1" t="s">
        <v>32</v>
      </c>
      <c r="D59" s="1" t="s">
        <v>108</v>
      </c>
      <c r="E59" s="2">
        <v>46244</v>
      </c>
      <c r="F59" s="1" t="s">
        <v>109</v>
      </c>
      <c r="G59" s="3">
        <v>46244.666666666701</v>
      </c>
      <c r="H59" s="1" t="s">
        <v>35</v>
      </c>
      <c r="I59" s="2">
        <v>46244</v>
      </c>
      <c r="J59" s="3">
        <v>46244.666666666701</v>
      </c>
      <c r="K59" s="1" t="s">
        <v>36</v>
      </c>
      <c r="L59" s="1" t="s">
        <v>37</v>
      </c>
      <c r="M59" s="1" t="s">
        <v>38</v>
      </c>
      <c r="N59" s="1" t="s">
        <v>32</v>
      </c>
      <c r="P59" s="1" t="s">
        <v>32</v>
      </c>
      <c r="Q59" s="1" t="s">
        <v>152</v>
      </c>
      <c r="R59" s="1" t="s">
        <v>153</v>
      </c>
      <c r="S59" s="4">
        <v>501.6</v>
      </c>
      <c r="T59" s="4">
        <v>501.6</v>
      </c>
      <c r="U59" s="4">
        <v>501.6</v>
      </c>
      <c r="Y59" s="1" t="s">
        <v>32</v>
      </c>
      <c r="AC59" s="1" t="s">
        <v>32</v>
      </c>
    </row>
    <row r="60" spans="1:30" x14ac:dyDescent="0.25">
      <c r="A60" s="1" t="s">
        <v>30</v>
      </c>
      <c r="B60" s="1" t="s">
        <v>31</v>
      </c>
      <c r="C60" s="1" t="s">
        <v>32</v>
      </c>
      <c r="D60" s="1" t="s">
        <v>108</v>
      </c>
      <c r="E60" s="2">
        <v>46244</v>
      </c>
      <c r="F60" s="1" t="s">
        <v>109</v>
      </c>
      <c r="G60" s="3">
        <v>46244.666666666701</v>
      </c>
      <c r="H60" s="1" t="s">
        <v>35</v>
      </c>
      <c r="I60" s="2">
        <v>46244</v>
      </c>
      <c r="J60" s="3">
        <v>46244.666666666701</v>
      </c>
      <c r="K60" s="1" t="s">
        <v>36</v>
      </c>
      <c r="L60" s="1" t="s">
        <v>37</v>
      </c>
      <c r="M60" s="1" t="s">
        <v>38</v>
      </c>
      <c r="N60" s="1" t="s">
        <v>32</v>
      </c>
      <c r="P60" s="1" t="s">
        <v>32</v>
      </c>
      <c r="Q60" s="1" t="s">
        <v>104</v>
      </c>
      <c r="R60" s="1" t="s">
        <v>105</v>
      </c>
      <c r="S60" s="4">
        <v>302.39999999999998</v>
      </c>
      <c r="T60" s="4">
        <v>302.39999999999998</v>
      </c>
      <c r="U60" s="4">
        <v>302.39999999999998</v>
      </c>
      <c r="Y60" s="1" t="s">
        <v>32</v>
      </c>
      <c r="AC60" s="1" t="s">
        <v>32</v>
      </c>
    </row>
    <row r="61" spans="1:30" x14ac:dyDescent="0.25">
      <c r="A61" s="1" t="s">
        <v>30</v>
      </c>
      <c r="B61" s="1" t="s">
        <v>31</v>
      </c>
      <c r="C61" s="1" t="s">
        <v>32</v>
      </c>
      <c r="D61" s="1" t="s">
        <v>108</v>
      </c>
      <c r="E61" s="2">
        <v>46244</v>
      </c>
      <c r="F61" s="1" t="s">
        <v>109</v>
      </c>
      <c r="G61" s="3">
        <v>46244.666666666701</v>
      </c>
      <c r="H61" s="1" t="s">
        <v>35</v>
      </c>
      <c r="I61" s="2">
        <v>46244</v>
      </c>
      <c r="J61" s="3">
        <v>46244.666666666701</v>
      </c>
      <c r="K61" s="1" t="s">
        <v>36</v>
      </c>
      <c r="L61" s="1" t="s">
        <v>37</v>
      </c>
      <c r="M61" s="1" t="s">
        <v>38</v>
      </c>
      <c r="N61" s="1" t="s">
        <v>32</v>
      </c>
      <c r="P61" s="1" t="s">
        <v>32</v>
      </c>
      <c r="Q61" s="1" t="s">
        <v>154</v>
      </c>
      <c r="R61" s="1" t="s">
        <v>155</v>
      </c>
      <c r="S61" s="4">
        <v>501.6</v>
      </c>
      <c r="T61" s="4">
        <v>501.6</v>
      </c>
      <c r="U61" s="4">
        <v>501.6</v>
      </c>
      <c r="Y61" s="1" t="s">
        <v>32</v>
      </c>
      <c r="AC61" s="1" t="s">
        <v>32</v>
      </c>
    </row>
    <row r="62" spans="1:30" x14ac:dyDescent="0.25">
      <c r="A62" s="1" t="s">
        <v>30</v>
      </c>
      <c r="B62" s="1" t="s">
        <v>31</v>
      </c>
      <c r="C62" s="1" t="s">
        <v>32</v>
      </c>
      <c r="D62" s="1" t="s">
        <v>108</v>
      </c>
      <c r="E62" s="2">
        <v>46244</v>
      </c>
      <c r="F62" s="1" t="s">
        <v>109</v>
      </c>
      <c r="G62" s="3">
        <v>46244.666666666701</v>
      </c>
      <c r="H62" s="1" t="s">
        <v>35</v>
      </c>
      <c r="I62" s="2">
        <v>46244</v>
      </c>
      <c r="J62" s="3">
        <v>46244.666666666701</v>
      </c>
      <c r="K62" s="1" t="s">
        <v>36</v>
      </c>
      <c r="L62" s="1" t="s">
        <v>37</v>
      </c>
      <c r="M62" s="1" t="s">
        <v>38</v>
      </c>
      <c r="N62" s="1" t="s">
        <v>32</v>
      </c>
      <c r="P62" s="1" t="s">
        <v>32</v>
      </c>
      <c r="Q62" s="1" t="s">
        <v>156</v>
      </c>
      <c r="R62" s="1" t="s">
        <v>157</v>
      </c>
      <c r="S62" s="4">
        <v>207</v>
      </c>
      <c r="V62" s="4">
        <v>-207</v>
      </c>
      <c r="W62" s="1" t="s">
        <v>63</v>
      </c>
      <c r="X62" s="1" t="s">
        <v>64</v>
      </c>
      <c r="Y62" s="1" t="s">
        <v>32</v>
      </c>
      <c r="AC62" s="1" t="s">
        <v>32</v>
      </c>
    </row>
    <row r="63" spans="1:30" x14ac:dyDescent="0.25">
      <c r="A63" s="1" t="s">
        <v>30</v>
      </c>
      <c r="B63" s="1" t="s">
        <v>31</v>
      </c>
      <c r="C63" s="1" t="s">
        <v>32</v>
      </c>
      <c r="D63" s="1" t="s">
        <v>108</v>
      </c>
      <c r="E63" s="2">
        <v>46244</v>
      </c>
      <c r="F63" s="1" t="s">
        <v>109</v>
      </c>
      <c r="G63" s="3">
        <v>46244.666666666701</v>
      </c>
      <c r="H63" s="1" t="s">
        <v>35</v>
      </c>
      <c r="I63" s="2">
        <v>46244</v>
      </c>
      <c r="J63" s="3">
        <v>46244.666666666701</v>
      </c>
      <c r="K63" s="1" t="s">
        <v>36</v>
      </c>
      <c r="L63" s="1" t="s">
        <v>37</v>
      </c>
      <c r="M63" s="1" t="s">
        <v>38</v>
      </c>
      <c r="N63" s="1" t="s">
        <v>32</v>
      </c>
      <c r="P63" s="1" t="s">
        <v>32</v>
      </c>
      <c r="Q63" s="1" t="s">
        <v>39</v>
      </c>
      <c r="R63" s="1" t="s">
        <v>40</v>
      </c>
      <c r="S63" s="4">
        <v>52</v>
      </c>
      <c r="T63" s="4">
        <v>52</v>
      </c>
      <c r="U63" s="4">
        <v>52</v>
      </c>
      <c r="Y63" s="1" t="s">
        <v>32</v>
      </c>
      <c r="AC63" s="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2026-08-10T09:04:49Z</dcterms:modified>
</cp:coreProperties>
</file>