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отчеты для СН\29,10,26 дефицит Мариуполь\"/>
    </mc:Choice>
  </mc:AlternateContent>
  <xr:revisionPtr revIDLastSave="0" documentId="13_ncr:1_{E2A66309-9CD6-4663-A86C-8721FDF240B1}" xr6:coauthVersionLast="45" xr6:coauthVersionMax="47" xr10:uidLastSave="{00000000-0000-0000-0000-000000000000}"/>
  <bookViews>
    <workbookView xWindow="-120" yWindow="-120" windowWidth="29040" windowHeight="15840" activeTab="13" xr2:uid="{00000000-000D-0000-FFFF-FFFF00000000}"/>
  </bookViews>
  <sheets>
    <sheet name="17.10 (3)" sheetId="14" r:id="rId1"/>
    <sheet name="20.10 (2)" sheetId="15" r:id="rId2"/>
    <sheet name="21.10 (2)" sheetId="16" r:id="rId3"/>
    <sheet name="22.10" sheetId="12" r:id="rId4"/>
    <sheet name="23.10" sheetId="18" r:id="rId5"/>
    <sheet name="24.10" sheetId="19" r:id="rId6"/>
    <sheet name="27.10" sheetId="20" r:id="rId7"/>
    <sheet name="28.10" sheetId="21" r:id="rId8"/>
    <sheet name="29.10" sheetId="22" r:id="rId9"/>
    <sheet name="30.10" sheetId="23" r:id="rId10"/>
    <sheet name="Лист1" sheetId="24" r:id="rId11"/>
    <sheet name="ПОКОМ" sheetId="25" r:id="rId12"/>
    <sheet name="Останкино" sheetId="26" r:id="rId13"/>
    <sheet name="Заморозка" sheetId="27" r:id="rId14"/>
  </sheets>
  <externalReferences>
    <externalReference r:id="rId15"/>
    <externalReference r:id="rId16"/>
    <externalReference r:id="rId17"/>
    <externalReference r:id="rId18"/>
  </externalReferences>
  <definedNames>
    <definedName name="_xlnm._FilterDatabase" localSheetId="10" hidden="1">Лист1!$A$1:$B$56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7" l="1"/>
  <c r="C4" i="27"/>
  <c r="C5" i="27"/>
  <c r="D3" i="27" l="1"/>
  <c r="D4" i="27"/>
  <c r="D5" i="27"/>
  <c r="D2" i="27"/>
  <c r="E2" i="27"/>
  <c r="D5" i="26" l="1"/>
  <c r="D6" i="26"/>
  <c r="D9" i="26"/>
  <c r="D10" i="26"/>
  <c r="D13" i="26"/>
  <c r="D14" i="26"/>
  <c r="D15" i="26"/>
  <c r="D17" i="26"/>
  <c r="D19" i="26"/>
  <c r="D26" i="26"/>
  <c r="D2" i="26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2" i="26"/>
  <c r="C23" i="26"/>
  <c r="C24" i="26"/>
  <c r="C25" i="26"/>
  <c r="C26" i="26"/>
  <c r="C2" i="26"/>
  <c r="E3" i="26" l="1"/>
  <c r="E4" i="26"/>
  <c r="E5" i="26"/>
  <c r="E8" i="26"/>
  <c r="E9" i="26"/>
  <c r="E11" i="26"/>
  <c r="E12" i="26"/>
  <c r="E13" i="26"/>
  <c r="E17" i="26"/>
  <c r="E18" i="26"/>
  <c r="E19" i="26"/>
  <c r="E20" i="26"/>
  <c r="E22" i="26"/>
  <c r="B27" i="26" l="1"/>
  <c r="B6" i="27"/>
  <c r="G51" i="22" l="1"/>
  <c r="I51" i="22"/>
  <c r="J9" i="22"/>
  <c r="J10" i="22"/>
  <c r="J8" i="22"/>
  <c r="J8" i="12"/>
  <c r="C51" i="22"/>
  <c r="E51" i="22"/>
  <c r="C51" i="21"/>
  <c r="I51" i="20"/>
  <c r="J104" i="23"/>
  <c r="I44" i="23"/>
  <c r="G44" i="23"/>
  <c r="E44" i="23"/>
  <c r="C44" i="23"/>
  <c r="G37" i="23"/>
  <c r="G24" i="23"/>
  <c r="F24" i="23"/>
  <c r="L14" i="23"/>
  <c r="K14" i="23"/>
  <c r="H14" i="23"/>
  <c r="G14" i="23"/>
  <c r="J118" i="22"/>
  <c r="G44" i="22"/>
  <c r="G31" i="22"/>
  <c r="F31" i="22"/>
  <c r="L21" i="22"/>
  <c r="K21" i="22"/>
  <c r="H21" i="22"/>
  <c r="G21" i="22"/>
  <c r="J111" i="21"/>
  <c r="G51" i="21"/>
  <c r="I51" i="21"/>
  <c r="C51" i="18"/>
  <c r="I27" i="21"/>
  <c r="J11" i="21"/>
  <c r="J9" i="21"/>
  <c r="J10" i="21"/>
  <c r="J8" i="21"/>
  <c r="J147" i="20"/>
  <c r="G44" i="21"/>
  <c r="G31" i="21"/>
  <c r="L21" i="21"/>
  <c r="K21" i="21"/>
  <c r="H21" i="21"/>
  <c r="G21" i="21"/>
  <c r="J11" i="20"/>
  <c r="G51" i="20"/>
  <c r="E51" i="20"/>
  <c r="C51" i="20"/>
  <c r="G44" i="20" l="1"/>
  <c r="G31" i="20"/>
  <c r="F31" i="20"/>
  <c r="L21" i="20"/>
  <c r="K21" i="20"/>
  <c r="H21" i="20"/>
  <c r="G21" i="20"/>
  <c r="J79" i="19"/>
  <c r="I51" i="19"/>
  <c r="G44" i="19"/>
  <c r="G31" i="19"/>
  <c r="F31" i="19"/>
  <c r="N23" i="19"/>
  <c r="L21" i="19"/>
  <c r="K21" i="19"/>
  <c r="H21" i="19"/>
  <c r="G21" i="19"/>
  <c r="J11" i="19"/>
  <c r="J10" i="19"/>
  <c r="J9" i="19"/>
  <c r="J8" i="19"/>
  <c r="J116" i="12"/>
  <c r="I51" i="12"/>
  <c r="C51" i="12"/>
  <c r="J103" i="18" l="1"/>
  <c r="I51" i="18"/>
  <c r="G51" i="18"/>
  <c r="E51" i="18"/>
  <c r="G44" i="18"/>
  <c r="G31" i="18"/>
  <c r="F31" i="18"/>
  <c r="N23" i="18"/>
  <c r="L21" i="18"/>
  <c r="K21" i="18"/>
  <c r="H21" i="18"/>
  <c r="G21" i="18"/>
  <c r="J11" i="18"/>
  <c r="J10" i="18"/>
  <c r="J9" i="18"/>
  <c r="J8" i="18"/>
  <c r="I27" i="16" l="1"/>
  <c r="J92" i="16" l="1"/>
  <c r="I51" i="16"/>
  <c r="G51" i="16"/>
  <c r="E51" i="16"/>
  <c r="C51" i="16"/>
  <c r="G44" i="16"/>
  <c r="N23" i="16"/>
  <c r="L21" i="16"/>
  <c r="K21" i="16"/>
  <c r="H21" i="16"/>
  <c r="G21" i="16"/>
  <c r="J11" i="16"/>
  <c r="J10" i="16"/>
  <c r="J9" i="16"/>
  <c r="J8" i="16"/>
  <c r="N23" i="12"/>
  <c r="G31" i="12"/>
  <c r="J92" i="15"/>
  <c r="I51" i="15"/>
  <c r="G51" i="15"/>
  <c r="E51" i="15"/>
  <c r="C51" i="15"/>
  <c r="G44" i="15"/>
  <c r="G31" i="15"/>
  <c r="F31" i="15"/>
  <c r="I27" i="15"/>
  <c r="L21" i="15"/>
  <c r="K21" i="15"/>
  <c r="H21" i="15"/>
  <c r="G21" i="15"/>
  <c r="J11" i="15"/>
  <c r="J10" i="15"/>
  <c r="J9" i="15"/>
  <c r="J8" i="15"/>
  <c r="J92" i="14"/>
  <c r="I51" i="14"/>
  <c r="G51" i="14"/>
  <c r="E51" i="14"/>
  <c r="C51" i="14"/>
  <c r="G44" i="14"/>
  <c r="G31" i="14"/>
  <c r="F31" i="14"/>
  <c r="I27" i="14"/>
  <c r="L21" i="14"/>
  <c r="K21" i="14"/>
  <c r="H21" i="14"/>
  <c r="G21" i="14"/>
  <c r="J12" i="14"/>
  <c r="J11" i="14"/>
  <c r="J10" i="14"/>
  <c r="J9" i="14"/>
  <c r="J8" i="14"/>
  <c r="G51" i="12" l="1"/>
  <c r="E51" i="12"/>
  <c r="G44" i="12"/>
  <c r="F31" i="12"/>
  <c r="L21" i="12"/>
  <c r="K21" i="12"/>
  <c r="H21" i="12"/>
  <c r="G21" i="12"/>
  <c r="J11" i="12"/>
  <c r="J10" i="12"/>
  <c r="J9" i="12"/>
</calcChain>
</file>

<file path=xl/sharedStrings.xml><?xml version="1.0" encoding="utf-8"?>
<sst xmlns="http://schemas.openxmlformats.org/spreadsheetml/2006/main" count="1333" uniqueCount="206">
  <si>
    <t>Выезд Машин</t>
  </si>
  <si>
    <t>№ п/п</t>
  </si>
  <si>
    <t>Марка</t>
  </si>
  <si>
    <t>№ авто</t>
  </si>
  <si>
    <t>ФИО водителя</t>
  </si>
  <si>
    <t>Заполняет механник перед выездом машин</t>
  </si>
  <si>
    <t>Выехал (время)</t>
  </si>
  <si>
    <t>количество ТГ (АКБ)</t>
  </si>
  <si>
    <t>кг</t>
  </si>
  <si>
    <t>вернулся  (время)</t>
  </si>
  <si>
    <t>Не вывезено</t>
  </si>
  <si>
    <t>Исправность холодильного оборудования</t>
  </si>
  <si>
    <t>Неисправные</t>
  </si>
  <si>
    <t>сумма ремонта</t>
  </si>
  <si>
    <t>Дата поломки</t>
  </si>
  <si>
    <t>ИТОГО</t>
  </si>
  <si>
    <t>Сборка</t>
  </si>
  <si>
    <t>Заказано (день заказа)</t>
  </si>
  <si>
    <t>Собрано (факт.день сборки)</t>
  </si>
  <si>
    <t>Выехало (факт день выезда)</t>
  </si>
  <si>
    <t>Поком колбаса</t>
  </si>
  <si>
    <t>Поком заморозка</t>
  </si>
  <si>
    <t>Останкино</t>
  </si>
  <si>
    <t>Всего</t>
  </si>
  <si>
    <t>ВСЕГО МАШИН</t>
  </si>
  <si>
    <t>ИСПРАВНЫЕ АВТО</t>
  </si>
  <si>
    <t>НАЙМ АВТО</t>
  </si>
  <si>
    <t>Стоимость</t>
  </si>
  <si>
    <t>кол-во тт (АКБ)</t>
  </si>
  <si>
    <t>Вернулось (факт день выезда)</t>
  </si>
  <si>
    <t>Время на маршруте</t>
  </si>
  <si>
    <t>Вернулся  (время)</t>
  </si>
  <si>
    <t>Дефицит</t>
  </si>
  <si>
    <t>№</t>
  </si>
  <si>
    <t>Наименование позиций</t>
  </si>
  <si>
    <t>КГ</t>
  </si>
  <si>
    <t>Причина</t>
  </si>
  <si>
    <t>Ремонт одобрен +/-</t>
  </si>
  <si>
    <t>Дата окончания ремонта</t>
  </si>
  <si>
    <t>Дата постановки на ремонт</t>
  </si>
  <si>
    <t>Оплачено +/-</t>
  </si>
  <si>
    <t>Да</t>
  </si>
  <si>
    <t>Нет</t>
  </si>
  <si>
    <t>Газель</t>
  </si>
  <si>
    <t>4063 МЯСНАЯ Папа может вар п/о_Л   ОСТАНКИНО</t>
  </si>
  <si>
    <t>5931 ОХОТНИЧЬЯ Папа может с/к в/у 1/220 8шт.   ОСТАНКИНО</t>
  </si>
  <si>
    <t>6498 МОЛОЧНАЯ Папа может вар п/о  ОСТАНКИНО</t>
  </si>
  <si>
    <t>7157 СЕРВЕЛАТ ЗЕРНИСТЫЙ ПМ в/к в/у_50с  Останкино</t>
  </si>
  <si>
    <t>7166 СЕРВЕЛАТ ОХОТНИЧИЙ ПМ в/к в/у_50с  Останкино</t>
  </si>
  <si>
    <t>7603 БАЛЫКОВАЯ в/к в/у 0.33кг 8шт. ОСТАНКИНО</t>
  </si>
  <si>
    <t>6470 ВЕТЧ.МРАМОРНАЯ в/у_45с  ОСТАНКИНО</t>
  </si>
  <si>
    <t>МАРИУПОЛЬ</t>
  </si>
  <si>
    <t>Е792СР82</t>
  </si>
  <si>
    <t xml:space="preserve">Спринтер </t>
  </si>
  <si>
    <t>Дубинин Алексей</t>
  </si>
  <si>
    <t>Ковальский Дмитрий</t>
  </si>
  <si>
    <t>Е827УА82</t>
  </si>
  <si>
    <t>В952ХК82</t>
  </si>
  <si>
    <t>Махонько Игорь</t>
  </si>
  <si>
    <t>Приходько Виталий</t>
  </si>
  <si>
    <t xml:space="preserve">Е765МУ82 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</si>
  <si>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</si>
  <si>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</si>
  <si>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</si>
  <si>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5819 Сосиски Папа может 400г Мясные  ОСТАНКИНО</t>
  </si>
  <si>
    <t>6220 ГОВЯЖЬЯ папа может вар п/о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</si>
  <si>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</si>
  <si>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</si>
  <si>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</si>
  <si>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6550 МЯСНЫЕ Папа может сар б/о мгс 1*3 О 45с  Останкино</t>
  </si>
  <si>
    <t>6697 СЕРВЕЛАТ ФИНСКИЙ ПМ в/к в/у 0,35кг 8шт  ОСТАНКИНО</t>
  </si>
  <si>
    <t>6787 СЕРВЕЛАТ КРЕМЛЕВСКИЙ в/к в/у 0,33кг 8шт  Останкино</t>
  </si>
  <si>
    <t>6837 ФИЛЕЙНЫЕ Папа Может сос ц/о мгс 0,4кг  Останкино</t>
  </si>
  <si>
    <t>7066 СОЧНЫЕ ПМ сос п/о мгс 0,41кг 10шт 50с  Останкино</t>
  </si>
  <si>
    <t>7070 СОЧНЫЕ ПМ сос п/о 1,5*4_А_50с  Останкино</t>
  </si>
  <si>
    <t>7080 СЛИВОЧНЫЕ ПМ сос п/о мгс 0,41кг 10шт 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</si>
  <si>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</si>
  <si>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</si>
  <si>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</si>
  <si>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7241 САЛЯМИ Папа может п/к в/у 0,28кг ОСТАНКИНО</t>
  </si>
  <si>
    <t>7255 МЯСНЫЕ С ГОВЯД.ПМ сос п/о мгс 0.4кг 6шт.  ОСТАНКИНО</t>
  </si>
  <si>
    <t>7490 СОЧНЫЙ ГРИЛЬ сос ц/о мгс 0.41кг_Даблпак  ОСТАНКИНО</t>
  </si>
  <si>
    <t xml:space="preserve">7632 ЭКСТРА Папа может вар п/о 0.4кг 8шт_195к  ОСТАНКИНО        </t>
  </si>
  <si>
    <t>А341МХ</t>
  </si>
  <si>
    <t>Рено</t>
  </si>
  <si>
    <t>5483 ЭКСТРА Папа может с/к в/у 1/250 8шт.   ОСТАНКИНО</t>
  </si>
  <si>
    <t>5495 ВЕТЧ.С ИНДЕЙКОЙ Папа может п/о 400*6  Останкино</t>
  </si>
  <si>
    <t>6392 ФИЛЕЙНАЯ Папа может вар п/о 0,4кг  ОСТАНКИНО</t>
  </si>
  <si>
    <t>6475 Сосиски Папа может 400г С сыром  ОСТАНКИНО</t>
  </si>
  <si>
    <t>6616 МОЛОЧНЫЕ КЛАССИЧЕСКИЕ сос п/о в/у 0,3 кг  Останкино</t>
  </si>
  <si>
    <t>6829  МОЛОЧНЫЕ КЛАССИЧЕСКИЕ сос п/о мгс 2*4 С  Останккино</t>
  </si>
  <si>
    <t>6925 ВЕТЧ.КЛАССИЧЕСКАЯ в/у 0,6кг 8шт. ОСТАНКИНО</t>
  </si>
  <si>
    <t>7177 ЧЕСНОЧНАЯ ПМ п/к в/у 0,35кг 8шт_50с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</si>
  <si>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</si>
  <si>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</si>
  <si>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7601 ДЛЯ ДЕТЕЙ Папа может сос п/о мгс 0.264кг  ОСТАНКИНО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</si>
  <si>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</si>
  <si>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</si>
  <si>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239  Колбаса Салями запеч Дугушка, оболочка вектор, ВЕС, ТМ Стародворье  ПОКОМ</t>
  </si>
  <si>
    <t xml:space="preserve"> 255  Сосиски Молочные для завтрака ТМ Особый рецепт, п/а МГС, ВЕС, ТМ Стародворье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</si>
  <si>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</si>
  <si>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</si>
  <si>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347  Колбаса Сочинка рубленая с сочным окороком ТМ Стародворье ВЕС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</si>
  <si>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</si>
  <si>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</si>
  <si>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</si>
  <si>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556  Колбаса Сервелат Ореховый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</si>
  <si>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</si>
  <si>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>Наггетсы Хрустящие ТМ Зареченские ТС Зареченские продукты. Поком</t>
  </si>
  <si>
    <t>Пельмени Бульмени со сливочным маслом ТМ Горячая штучка  флоу-пак сфера 0,4 кг .  Поком</t>
  </si>
  <si>
    <t xml:space="preserve">Фольцваген </t>
  </si>
  <si>
    <t>Р633ВК18</t>
  </si>
  <si>
    <t>6661 СОЧНЫЙ ГРИЛЬ ПМ сос п/о мгс 1,5*4_Маяк Останкино</t>
  </si>
  <si>
    <t xml:space="preserve"> 030  Сосиски Вязанка Молочные, Вязанка вискофан МГС, 0.45кг,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</si>
  <si>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</si>
  <si>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</si>
  <si>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276  Колбаса Сливушка ТМ Вязанка в оболочке полиамид 0,45 кг  ПОКОМ</t>
  </si>
  <si>
    <t xml:space="preserve"> 377  Колбаса Молочная Дугушка 0,6кг ТМ Стародворье  ПОКОМ</t>
  </si>
  <si>
    <t>6797 С ИНДЕЙКОЙ Папа может вар п/о 0,4кг 8шт. ОСТАНКИНО</t>
  </si>
  <si>
    <t>Мини-шарики с курочкой и сыром ТМ Зареченские ВЕС ПОКОМ</t>
  </si>
  <si>
    <t>Пельмени Grandmeni со сливочным маслом  ТМ Горячая штучка флоу-пак сфера 0,7 кг.  Поком</t>
  </si>
  <si>
    <t>Пельмени Бульмени с говядиной и свининой ТМ Горячая штучка  флоу-пак сфера 0,4 кг  Поком</t>
  </si>
  <si>
    <t xml:space="preserve"> 005  Колбаса Докторская ГОСТ, Вязанка вектор,ВЕС. ПОКОМ</t>
  </si>
  <si>
    <t xml:space="preserve"> 032  Сосиски Вязанка Сливочные, Вязанка амицел МГС, 0.45кг,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</si>
  <si>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</si>
  <si>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</si>
  <si>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</si>
  <si>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312  Ветчина Филейская ВЕС ТМ  Вязанка ТС Столичная  ПОКОМ</t>
  </si>
  <si>
    <t xml:space="preserve"> 344  Колбаса Сочинка по-европейски с сочной грудинкой ТМ Стародворье, ВЕС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</si>
  <si>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</si>
  <si>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</si>
  <si>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</si>
  <si>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</si>
  <si>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>6527 ШПИКАЧКИ СОЧНЫЕ ПМ сар б/о мгс 1*3 45с ОСТАНКИНО</t>
  </si>
  <si>
    <t>7083 СЛИВОЧНЫЕ ПМ сос п/о мгс 1.5*4_А_50с  ОСТАНКИНО</t>
  </si>
  <si>
    <t>7085 ОСТАНКИНСКИЕ пельм пл.0,7кг 10шт.зам  ОСТАНКИНО</t>
  </si>
  <si>
    <t>7616 ЭКСТРА Папа может с/к с/н в/у 1/100_  ОСТАНКИНО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</si>
  <si>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</si>
  <si>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</si>
  <si>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Мясные с говядиной ТМ Стародворье сфера флоу-пак 1 кг  ПОКОМ</t>
  </si>
  <si>
    <t>Сыр полутвердый "Российский" с массовой долей жира 50%  Останкино</t>
  </si>
  <si>
    <t>Хрустящие крылышки ТМ Горячая штучка 0,3 кг зам  ПОКОМ</t>
  </si>
  <si>
    <t>Чебупицца Пепперони ТМ Горячая штучка ТС Чебупицца 0.25кг зам  ПОКОМ</t>
  </si>
  <si>
    <t>6209 Блинчики с куриным мясом пл. 1/350 зам. ОСТАНКИНО</t>
  </si>
  <si>
    <t>6620 РЕБРЫШКИ к/в в/у_30с  Останкино</t>
  </si>
  <si>
    <t>6724 МОЛОЧНЫЕ ПМ сос п/о мгс 0,41кг 10шт  Останкино</t>
  </si>
  <si>
    <t>7332 БОЯРСКАЯ ПМ п/к в/у 0,28кг ОСТАНКИНО</t>
  </si>
  <si>
    <t>7386 БАРСЕЛОНА ПМ с/к в/у 1/150  ОСТАНКИНО</t>
  </si>
  <si>
    <t>7612 БАЛЫК с/к с/н в/у 1/100 10шт_  ОСТАНКИНО</t>
  </si>
  <si>
    <t>7725 ВЕТ.МРАМОРНАЯ в/у срез 0.3кг 6шт_62  ОСТАНКИНО</t>
  </si>
  <si>
    <t>Сыр рассольный жирный Чечил 45% 100 гр  ОСТАНКИНО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</si>
  <si>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</si>
  <si>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</si>
  <si>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597  Колбаса Классическая ТМ Особый рецепт в оболочке полиамид ВЕС. ПОКОМ</t>
  </si>
  <si>
    <t>Мини-сосиски в ароматном тесте ВЕС ТМ Зареченские продукты  ПОКОМ</t>
  </si>
  <si>
    <t xml:space="preserve"> 247  Сардельки Нежные, ВЕС.  ПОКОМ</t>
  </si>
  <si>
    <t xml:space="preserve"> 273  Сосиски Сочинки с сочной грудинкой, МГС 0.4кг, 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</si>
  <si>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</si>
  <si>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</si>
  <si>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</si>
  <si>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Наггетсы Хрустящие НД2. ВЕС.  ПОКОМ</t>
  </si>
  <si>
    <t>Сыр полутвердый "Голландский" с массовой долей жира в пересчете на сухое  Останкино</t>
  </si>
  <si>
    <t xml:space="preserve"> 449  Колбаса Дугушка Стародворская ВЕС ТС Дугушка ПОКОМ</t>
  </si>
  <si>
    <t>4993 САЛЯМИ ИТАЛЬЯНСКАЯ с/к в/у 1/250*8_120c ОСТАНКИНО</t>
  </si>
  <si>
    <t>5708 ПОСОЛЬСКАЯ Папа может с/к в/у ОСТАНКИНО</t>
  </si>
  <si>
    <t>6807 СЕРВЕЛАТ ЕВРОПЕЙСКИЙ в/к в/у 0,33кг 8шт  Останкино</t>
  </si>
  <si>
    <t>7103 БЕКОН Останкино с/к с/н в/у 1/180_50с  Останкино</t>
  </si>
  <si>
    <t>7236 СЕРВЕЛАТ КАРЕЛЬСКИЙ в/к в/у 0,28кг_209к  Останкино</t>
  </si>
  <si>
    <t>7514 ЛЮБИТЕЛЬСКАЯ ОСТАНКИНСКАЯ вар п/о в/у  ОСТАНКИНО</t>
  </si>
  <si>
    <t>7564 Балыковая в/к в/у Останкино Вес  ОСТАНКИНО</t>
  </si>
  <si>
    <t xml:space="preserve"> </t>
  </si>
  <si>
    <t xml:space="preserve"> 557  Колбаса Сервелат Финский ТМ Вязанка в оболочке фиброуз в вакуумной упаковке, ВЕС  ПОКОМ</t>
  </si>
  <si>
    <t>7232 БОЯNСКАЯ ПМ п/к в/у 0,28кг 8шт_209к  Останкино</t>
  </si>
  <si>
    <t>7523 ГОВЯЖЬЯ Папа Может вар п/о 0,4кг 6шт. ОСТАНКИНО</t>
  </si>
  <si>
    <t>Пельмени Grandmeni с говядиной ТМ Горячаяштучка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</si>
  <si>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</si>
  <si>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со сливочным маслом ТМ Горячая штучка флоу-пак сфера 0,7 кг .  Поком</t>
  </si>
  <si>
    <t xml:space="preserve"> 250  Сардельки стародворские с говядиной в обол. NDX, ВЕС. ПОКОМ</t>
  </si>
  <si>
    <t xml:space="preserve">В558ВА86 </t>
  </si>
  <si>
    <t>6967 БУРГУНДИЯ Папа может с/к в/у 1/250 8шт  Останкино</t>
  </si>
  <si>
    <t>7539 ДОКТОРСКАЯ ГОСТ вар п/о 0,35кг ОСТАНКИНО</t>
  </si>
  <si>
    <t>7632 ЭКСТРА Папа может вар п/о 0.4кг 8шт_195к  ОСТАНКИНО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</si>
  <si>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</si>
  <si>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</si>
  <si>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</si>
  <si>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>Готовые чебупели с ветчиной и сыром 0,24 кг НОВАЯ ТМ Горячая штучка  ПОКОМ</t>
  </si>
  <si>
    <t>6713 СОЧНЫЙ ГРИЛЬ ПМ сос п/о мгс 0,41кг 8 шт. 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</si>
  <si>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</si>
  <si>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</si>
  <si>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 xml:space="preserve"> 281  Сосиски Молочные для завтрака ТМ Особый рецепт, 0,4кг  ПОКОМ</t>
  </si>
  <si>
    <t xml:space="preserve"> 319  Колбаса вареная Филейская ТМ Вязанка ТС Классическая, 0,45 кг. ПОКОМ</t>
  </si>
  <si>
    <t>36.1</t>
  </si>
  <si>
    <t xml:space="preserve">Приходько Виталий </t>
  </si>
  <si>
    <t>Пельмени Медвежье ушко Премиум со сливочным маслом 0,4 кг ТМ Медвежье ушко  ПОКОМ</t>
  </si>
  <si>
    <t>м</t>
  </si>
  <si>
    <t>не в матрице</t>
  </si>
  <si>
    <t>остаток, кг</t>
  </si>
  <si>
    <t>списано 209кг (пересчет 28,10,26)</t>
  </si>
  <si>
    <t>списано 114кг (27,10,26)</t>
  </si>
  <si>
    <t>списано 5кг (пересчет 28,10,26)</t>
  </si>
  <si>
    <t>списано 42кг (пересчет 28,10,26) + списано 9кг (27,10,26)</t>
  </si>
  <si>
    <t>списано 63кг (пересчет 28,10,26) + списано 25кг (27,10,26)</t>
  </si>
  <si>
    <t>списано 3кг (пересчет 28,10,26) + торгуем 2-ю неделю данным скю</t>
  </si>
  <si>
    <t>списано 12кг (пересчет 28,10,26)</t>
  </si>
  <si>
    <t>матрица</t>
  </si>
  <si>
    <t>рост продаж в 1,5 раза + машина выехала на день позже с завода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</si>
</sst>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\ _₽"/>
    <numFmt numFmtId="166" formatCode="[$-419]d\ mmm;@"/>
    <numFmt numFmtId="167" formatCode="0.0"/>
  </numFmts>
  <fonts count="43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28"/>
      <color theme="2" tint="-0.89999084444715716"/>
      <name val="Calibri"/>
      <family val="2"/>
      <scheme val="minor"/>
    </font>
    <font>
      <b/>
      <sz val="26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22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20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charset val="204"/>
      <scheme val="minor"/>
    </font>
    <font>
      <sz val="8"/>
      <color theme="2" tint="-0.89999084444715716"/>
      <name val="Arial"/>
      <family val="2"/>
    </font>
    <font>
      <b/>
      <sz val="14"/>
      <color theme="1"/>
      <name val="Calibri"/>
      <family val="2"/>
      <scheme val="minor"/>
    </font>
    <font>
      <sz val="11"/>
      <color theme="2" tint="-0.89999084444715716"/>
      <name val="Calibri (Основной текст)"/>
      <charset val="204"/>
    </font>
    <font>
      <sz val="11"/>
      <name val="Calibri"/>
      <family val="2"/>
      <scheme val="minor"/>
    </font>
    <font>
      <sz val="11"/>
      <color rgb="FF161616"/>
      <name val="Calibri"/>
      <family val="2"/>
      <scheme val="minor"/>
    </font>
    <font>
      <b/>
      <sz val="8"/>
      <color theme="2" tint="-0.89999084444715716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theme="2" tint="-0.89999084444715716"/>
      <name val="Calibri"/>
      <family val="2"/>
      <charset val="204"/>
      <scheme val="minor"/>
    </font>
    <font>
      <sz val="11"/>
      <color theme="2" tint="-0.89989928891872917"/>
      <name val="Calibri"/>
      <family val="2"/>
      <scheme val="minor"/>
    </font>
    <font>
      <b/>
      <sz val="11"/>
      <color theme="2" tint="-0.89989928891872917"/>
      <name val="Calibri"/>
      <family val="2"/>
      <scheme val="minor"/>
    </font>
    <font>
      <sz val="11"/>
      <color theme="2" tint="-0.89989928891872917"/>
      <name val="Calibri"/>
      <family val="2"/>
      <charset val="204"/>
      <scheme val="minor"/>
    </font>
    <font>
      <b/>
      <sz val="11"/>
      <color rgb="FF161616"/>
      <name val="Calibri"/>
      <family val="2"/>
      <charset val="204"/>
      <scheme val="minor"/>
    </font>
    <font>
      <sz val="11"/>
      <color indexed="6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indexed="63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theme="2" tint="-0.89989928891872917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89989928891872917"/>
      <name val="Calibri"/>
      <family val="2"/>
      <charset val="204"/>
      <scheme val="minor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24"/>
      </right>
      <top style="thin">
        <color auto="1"/>
      </top>
      <bottom style="thin">
        <color auto="1"/>
      </bottom>
      <diagonal/>
    </border>
    <border>
      <left style="thin">
        <color indexed="24"/>
      </left>
      <right style="thin">
        <color indexed="2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CCC085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9">
    <xf numFmtId="0" fontId="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7" fillId="0" borderId="0"/>
    <xf numFmtId="0" fontId="10" fillId="0" borderId="0"/>
    <xf numFmtId="0" fontId="10" fillId="0" borderId="0"/>
  </cellStyleXfs>
  <cellXfs count="382">
    <xf numFmtId="0" fontId="0" fillId="0" borderId="0" xfId="0"/>
    <xf numFmtId="0" fontId="11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wrapText="1"/>
    </xf>
    <xf numFmtId="0" fontId="20" fillId="0" borderId="0" xfId="0" applyFont="1"/>
    <xf numFmtId="165" fontId="20" fillId="0" borderId="17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21" fillId="0" borderId="0" xfId="1" applyFont="1" applyAlignment="1">
      <alignment vertical="top" wrapText="1"/>
    </xf>
    <xf numFmtId="20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4" fontId="21" fillId="0" borderId="0" xfId="2" applyNumberFormat="1" applyFont="1" applyAlignment="1">
      <alignment horizontal="center" vertical="top"/>
    </xf>
    <xf numFmtId="0" fontId="13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20" fontId="24" fillId="0" borderId="25" xfId="0" applyNumberFormat="1" applyFont="1" applyBorder="1" applyAlignment="1">
      <alignment horizontal="center" vertical="center"/>
    </xf>
    <xf numFmtId="1" fontId="27" fillId="2" borderId="25" xfId="0" applyNumberFormat="1" applyFont="1" applyFill="1" applyBorder="1" applyAlignment="1">
      <alignment horizontal="center" vertical="center"/>
    </xf>
    <xf numFmtId="20" fontId="27" fillId="0" borderId="25" xfId="0" applyNumberFormat="1" applyFont="1" applyBorder="1" applyAlignment="1">
      <alignment horizontal="center" vertical="center"/>
    </xf>
    <xf numFmtId="0" fontId="7" fillId="2" borderId="25" xfId="0" applyFont="1" applyFill="1" applyBorder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3" fontId="27" fillId="2" borderId="25" xfId="1" applyNumberFormat="1" applyFont="1" applyFill="1" applyBorder="1" applyAlignment="1">
      <alignment horizontal="center" vertical="center"/>
    </xf>
    <xf numFmtId="0" fontId="29" fillId="0" borderId="0" xfId="0" applyFont="1"/>
    <xf numFmtId="0" fontId="30" fillId="0" borderId="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 wrapText="1"/>
    </xf>
    <xf numFmtId="165" fontId="20" fillId="0" borderId="17" xfId="0" applyNumberFormat="1" applyFont="1" applyBorder="1" applyAlignment="1">
      <alignment horizontal="center" vertical="center"/>
    </xf>
    <xf numFmtId="20" fontId="17" fillId="0" borderId="17" xfId="0" applyNumberFormat="1" applyFont="1" applyBorder="1" applyAlignment="1">
      <alignment horizontal="center" vertical="center"/>
    </xf>
    <xf numFmtId="20" fontId="17" fillId="0" borderId="18" xfId="0" applyNumberFormat="1" applyFont="1" applyBorder="1" applyAlignment="1">
      <alignment horizontal="center" vertical="center"/>
    </xf>
    <xf numFmtId="20" fontId="28" fillId="2" borderId="25" xfId="0" applyNumberFormat="1" applyFont="1" applyFill="1" applyBorder="1" applyAlignment="1">
      <alignment horizontal="center" vertical="center" wrapText="1"/>
    </xf>
    <xf numFmtId="20" fontId="28" fillId="2" borderId="33" xfId="0" applyNumberFormat="1" applyFont="1" applyFill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20" fontId="27" fillId="2" borderId="25" xfId="0" applyNumberFormat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horizontal="center"/>
    </xf>
    <xf numFmtId="0" fontId="4" fillId="0" borderId="25" xfId="0" applyFont="1" applyBorder="1" applyAlignment="1">
      <alignment horizontal="left" vertical="center" wrapText="1"/>
    </xf>
    <xf numFmtId="0" fontId="4" fillId="2" borderId="25" xfId="0" applyFont="1" applyFill="1" applyBorder="1" applyAlignment="1">
      <alignment horizontal="center" vertical="center" wrapText="1"/>
    </xf>
    <xf numFmtId="166" fontId="13" fillId="0" borderId="0" xfId="0" applyNumberFormat="1" applyFont="1"/>
    <xf numFmtId="166" fontId="27" fillId="0" borderId="9" xfId="0" applyNumberFormat="1" applyFont="1" applyBorder="1" applyAlignment="1">
      <alignment horizontal="center" vertical="center"/>
    </xf>
    <xf numFmtId="0" fontId="20" fillId="0" borderId="0" xfId="0" applyFont="1" applyAlignment="1">
      <alignment horizontal="right"/>
    </xf>
    <xf numFmtId="165" fontId="20" fillId="0" borderId="0" xfId="0" applyNumberFormat="1" applyFont="1" applyAlignment="1">
      <alignment horizontal="center"/>
    </xf>
    <xf numFmtId="4" fontId="26" fillId="0" borderId="0" xfId="1" applyNumberFormat="1" applyFont="1"/>
    <xf numFmtId="0" fontId="20" fillId="0" borderId="0" xfId="0" applyFont="1" applyAlignment="1">
      <alignment horizontal="center"/>
    </xf>
    <xf numFmtId="49" fontId="27" fillId="0" borderId="9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0" xfId="0" applyFont="1"/>
    <xf numFmtId="0" fontId="17" fillId="3" borderId="15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2" borderId="38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3" fillId="4" borderId="25" xfId="3" applyFont="1" applyFill="1" applyBorder="1" applyAlignment="1">
      <alignment horizontal="left" vertical="center"/>
    </xf>
    <xf numFmtId="0" fontId="27" fillId="2" borderId="25" xfId="1" applyFont="1" applyFill="1" applyBorder="1" applyAlignment="1">
      <alignment horizontal="center" vertical="center" wrapText="1"/>
    </xf>
    <xf numFmtId="1" fontId="28" fillId="0" borderId="39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3" fontId="27" fillId="2" borderId="39" xfId="1" applyNumberFormat="1" applyFont="1" applyFill="1" applyBorder="1" applyAlignment="1">
      <alignment horizontal="center" vertical="center"/>
    </xf>
    <xf numFmtId="165" fontId="20" fillId="0" borderId="43" xfId="0" applyNumberFormat="1" applyFont="1" applyBorder="1" applyAlignment="1">
      <alignment horizontal="center"/>
    </xf>
    <xf numFmtId="20" fontId="20" fillId="0" borderId="43" xfId="0" applyNumberFormat="1" applyFont="1" applyBorder="1" applyAlignment="1">
      <alignment horizontal="center" vertical="center"/>
    </xf>
    <xf numFmtId="165" fontId="20" fillId="0" borderId="44" xfId="0" applyNumberFormat="1" applyFont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4" fillId="2" borderId="25" xfId="1" applyFont="1" applyFill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14" fontId="20" fillId="0" borderId="25" xfId="0" applyNumberFormat="1" applyFont="1" applyBorder="1" applyAlignment="1">
      <alignment vertical="center"/>
    </xf>
    <xf numFmtId="2" fontId="27" fillId="0" borderId="9" xfId="0" applyNumberFormat="1" applyFont="1" applyBorder="1" applyAlignment="1">
      <alignment horizontal="center" vertical="center"/>
    </xf>
    <xf numFmtId="166" fontId="35" fillId="0" borderId="25" xfId="0" applyNumberFormat="1" applyFont="1" applyBorder="1" applyAlignment="1">
      <alignment horizontal="center" vertical="center"/>
    </xf>
    <xf numFmtId="0" fontId="34" fillId="2" borderId="25" xfId="0" applyFont="1" applyFill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/>
    </xf>
    <xf numFmtId="1" fontId="35" fillId="0" borderId="25" xfId="0" applyNumberFormat="1" applyFont="1" applyBorder="1" applyAlignment="1">
      <alignment horizontal="center" vertical="center" wrapText="1"/>
    </xf>
    <xf numFmtId="1" fontId="27" fillId="0" borderId="25" xfId="0" applyNumberFormat="1" applyFont="1" applyBorder="1" applyAlignment="1">
      <alignment horizontal="center" vertical="center" wrapText="1"/>
    </xf>
    <xf numFmtId="166" fontId="35" fillId="0" borderId="25" xfId="0" applyNumberFormat="1" applyFont="1" applyBorder="1" applyAlignment="1">
      <alignment horizontal="left" vertical="top" wrapText="1"/>
    </xf>
    <xf numFmtId="49" fontId="35" fillId="0" borderId="25" xfId="0" applyNumberFormat="1" applyFont="1" applyBorder="1" applyAlignment="1">
      <alignment horizontal="center" vertical="center"/>
    </xf>
    <xf numFmtId="2" fontId="27" fillId="0" borderId="25" xfId="0" applyNumberFormat="1" applyFont="1" applyBorder="1" applyAlignment="1">
      <alignment horizontal="center" vertical="center"/>
    </xf>
    <xf numFmtId="1" fontId="13" fillId="0" borderId="25" xfId="0" applyNumberFormat="1" applyFont="1" applyBorder="1" applyAlignment="1">
      <alignment horizontal="center" vertical="center"/>
    </xf>
    <xf numFmtId="4" fontId="13" fillId="0" borderId="25" xfId="0" applyNumberFormat="1" applyFont="1" applyBorder="1" applyAlignment="1">
      <alignment horizontal="center" vertical="center"/>
    </xf>
    <xf numFmtId="166" fontId="27" fillId="0" borderId="25" xfId="0" applyNumberFormat="1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65" fontId="20" fillId="0" borderId="50" xfId="0" applyNumberFormat="1" applyFont="1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166" fontId="27" fillId="0" borderId="27" xfId="0" applyNumberFormat="1" applyFont="1" applyBorder="1" applyAlignment="1">
      <alignment horizontal="center" vertical="center"/>
    </xf>
    <xf numFmtId="165" fontId="35" fillId="0" borderId="43" xfId="0" applyNumberFormat="1" applyFont="1" applyBorder="1" applyAlignment="1">
      <alignment horizontal="center" vertical="center" wrapText="1"/>
    </xf>
    <xf numFmtId="49" fontId="27" fillId="0" borderId="27" xfId="0" applyNumberFormat="1" applyFont="1" applyBorder="1" applyAlignment="1">
      <alignment horizontal="center" vertical="center"/>
    </xf>
    <xf numFmtId="0" fontId="36" fillId="4" borderId="25" xfId="3" applyFont="1" applyFill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14" fontId="20" fillId="0" borderId="25" xfId="0" applyNumberFormat="1" applyFont="1" applyBorder="1" applyAlignment="1">
      <alignment horizontal="left"/>
    </xf>
    <xf numFmtId="0" fontId="34" fillId="2" borderId="14" xfId="0" applyFont="1" applyFill="1" applyBorder="1" applyAlignment="1">
      <alignment horizontal="left" vertical="center" wrapText="1"/>
    </xf>
    <xf numFmtId="0" fontId="30" fillId="0" borderId="57" xfId="0" applyFont="1" applyBorder="1" applyAlignment="1">
      <alignment horizontal="center" vertical="center"/>
    </xf>
    <xf numFmtId="165" fontId="30" fillId="0" borderId="58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165" fontId="31" fillId="0" borderId="25" xfId="0" applyNumberFormat="1" applyFont="1" applyBorder="1" applyAlignment="1">
      <alignment horizontal="center" vertical="center"/>
    </xf>
    <xf numFmtId="14" fontId="20" fillId="0" borderId="25" xfId="0" applyNumberFormat="1" applyFont="1" applyBorder="1" applyAlignment="1">
      <alignment horizontal="left" vertical="top" wrapText="1"/>
    </xf>
    <xf numFmtId="0" fontId="25" fillId="0" borderId="25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25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9" fillId="0" borderId="59" xfId="0" applyFont="1" applyBorder="1" applyAlignment="1">
      <alignment vertical="center"/>
    </xf>
    <xf numFmtId="0" fontId="29" fillId="0" borderId="8" xfId="0" applyFont="1" applyBorder="1" applyAlignment="1">
      <alignment vertical="center"/>
    </xf>
    <xf numFmtId="0" fontId="31" fillId="0" borderId="25" xfId="0" applyFont="1" applyBorder="1" applyAlignment="1">
      <alignment horizontal="center" vertical="center"/>
    </xf>
    <xf numFmtId="0" fontId="31" fillId="0" borderId="59" xfId="0" applyFont="1" applyBorder="1" applyAlignment="1">
      <alignment vertical="center"/>
    </xf>
    <xf numFmtId="0" fontId="31" fillId="0" borderId="8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8" fillId="0" borderId="0" xfId="0" applyFont="1"/>
    <xf numFmtId="1" fontId="27" fillId="2" borderId="62" xfId="0" applyNumberFormat="1" applyFont="1" applyFill="1" applyBorder="1" applyAlignment="1">
      <alignment horizontal="center" vertical="top"/>
    </xf>
    <xf numFmtId="167" fontId="27" fillId="2" borderId="62" xfId="0" applyNumberFormat="1" applyFont="1" applyFill="1" applyBorder="1" applyAlignment="1">
      <alignment horizontal="center" vertical="top"/>
    </xf>
    <xf numFmtId="164" fontId="27" fillId="2" borderId="62" xfId="0" applyNumberFormat="1" applyFont="1" applyFill="1" applyBorder="1" applyAlignment="1">
      <alignment horizontal="center" vertical="top"/>
    </xf>
    <xf numFmtId="2" fontId="27" fillId="2" borderId="62" xfId="0" applyNumberFormat="1" applyFont="1" applyFill="1" applyBorder="1" applyAlignment="1">
      <alignment horizontal="center" vertical="top"/>
    </xf>
    <xf numFmtId="0" fontId="29" fillId="2" borderId="62" xfId="0" applyFont="1" applyFill="1" applyBorder="1" applyAlignment="1">
      <alignment horizontal="center" vertical="center"/>
    </xf>
    <xf numFmtId="167" fontId="37" fillId="2" borderId="62" xfId="0" applyNumberFormat="1" applyFont="1" applyFill="1" applyBorder="1" applyAlignment="1">
      <alignment horizontal="center" vertical="top"/>
    </xf>
    <xf numFmtId="1" fontId="37" fillId="2" borderId="62" xfId="0" applyNumberFormat="1" applyFont="1" applyFill="1" applyBorder="1" applyAlignment="1">
      <alignment horizontal="center" vertical="top"/>
    </xf>
    <xf numFmtId="164" fontId="37" fillId="2" borderId="62" xfId="0" applyNumberFormat="1" applyFont="1" applyFill="1" applyBorder="1" applyAlignment="1">
      <alignment horizontal="center" vertical="top"/>
    </xf>
    <xf numFmtId="2" fontId="37" fillId="2" borderId="62" xfId="0" applyNumberFormat="1" applyFont="1" applyFill="1" applyBorder="1" applyAlignment="1">
      <alignment horizontal="center" vertical="top"/>
    </xf>
    <xf numFmtId="0" fontId="39" fillId="0" borderId="7" xfId="0" applyFont="1" applyBorder="1" applyAlignment="1">
      <alignment vertical="center"/>
    </xf>
    <xf numFmtId="0" fontId="39" fillId="0" borderId="59" xfId="0" applyFont="1" applyBorder="1" applyAlignment="1">
      <alignment vertical="center"/>
    </xf>
    <xf numFmtId="0" fontId="39" fillId="0" borderId="8" xfId="0" applyFont="1" applyBorder="1" applyAlignment="1">
      <alignment vertical="center"/>
    </xf>
    <xf numFmtId="1" fontId="40" fillId="2" borderId="62" xfId="0" applyNumberFormat="1" applyFont="1" applyFill="1" applyBorder="1" applyAlignment="1">
      <alignment horizontal="center" vertical="top"/>
    </xf>
    <xf numFmtId="167" fontId="40" fillId="2" borderId="62" xfId="0" applyNumberFormat="1" applyFont="1" applyFill="1" applyBorder="1" applyAlignment="1">
      <alignment horizontal="center" vertical="top"/>
    </xf>
    <xf numFmtId="164" fontId="40" fillId="2" borderId="62" xfId="0" applyNumberFormat="1" applyFont="1" applyFill="1" applyBorder="1" applyAlignment="1">
      <alignment horizontal="center" vertical="top"/>
    </xf>
    <xf numFmtId="2" fontId="40" fillId="2" borderId="62" xfId="0" applyNumberFormat="1" applyFont="1" applyFill="1" applyBorder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/>
    </xf>
    <xf numFmtId="0" fontId="29" fillId="0" borderId="65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9" fillId="0" borderId="64" xfId="0" applyFont="1" applyBorder="1" applyAlignment="1">
      <alignment horizontal="left" vertical="center"/>
    </xf>
    <xf numFmtId="165" fontId="31" fillId="0" borderId="65" xfId="0" applyNumberFormat="1" applyFont="1" applyBorder="1" applyAlignment="1">
      <alignment horizontal="center" vertical="center"/>
    </xf>
    <xf numFmtId="0" fontId="31" fillId="2" borderId="62" xfId="0" applyFont="1" applyFill="1" applyBorder="1" applyAlignment="1">
      <alignment vertical="center"/>
    </xf>
    <xf numFmtId="0" fontId="29" fillId="0" borderId="62" xfId="0" applyFont="1" applyBorder="1" applyAlignment="1">
      <alignment horizontal="center" vertical="center"/>
    </xf>
    <xf numFmtId="0" fontId="30" fillId="0" borderId="66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41" fillId="2" borderId="62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1" fontId="35" fillId="2" borderId="70" xfId="0" applyNumberFormat="1" applyFont="1" applyFill="1" applyBorder="1" applyAlignment="1">
      <alignment horizontal="center" vertical="top"/>
    </xf>
    <xf numFmtId="164" fontId="35" fillId="2" borderId="70" xfId="0" applyNumberFormat="1" applyFont="1" applyFill="1" applyBorder="1" applyAlignment="1">
      <alignment horizontal="center" vertical="top"/>
    </xf>
    <xf numFmtId="167" fontId="35" fillId="2" borderId="70" xfId="0" applyNumberFormat="1" applyFont="1" applyFill="1" applyBorder="1" applyAlignment="1">
      <alignment horizontal="center" vertical="top"/>
    </xf>
    <xf numFmtId="2" fontId="35" fillId="2" borderId="70" xfId="0" applyNumberFormat="1" applyFont="1" applyFill="1" applyBorder="1" applyAlignment="1">
      <alignment horizontal="center" vertical="top"/>
    </xf>
    <xf numFmtId="2" fontId="35" fillId="2" borderId="62" xfId="0" applyNumberFormat="1" applyFont="1" applyFill="1" applyBorder="1" applyAlignment="1">
      <alignment horizontal="center" vertical="center"/>
    </xf>
    <xf numFmtId="167" fontId="35" fillId="2" borderId="62" xfId="0" applyNumberFormat="1" applyFont="1" applyFill="1" applyBorder="1" applyAlignment="1">
      <alignment horizontal="center" vertical="center"/>
    </xf>
    <xf numFmtId="1" fontId="35" fillId="2" borderId="62" xfId="0" applyNumberFormat="1" applyFont="1" applyFill="1" applyBorder="1" applyAlignment="1">
      <alignment horizontal="center" vertical="center"/>
    </xf>
    <xf numFmtId="164" fontId="35" fillId="2" borderId="62" xfId="0" applyNumberFormat="1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164" fontId="37" fillId="2" borderId="25" xfId="0" applyNumberFormat="1" applyFont="1" applyFill="1" applyBorder="1" applyAlignment="1">
      <alignment horizontal="center" vertical="top"/>
    </xf>
    <xf numFmtId="167" fontId="37" fillId="2" borderId="25" xfId="0" applyNumberFormat="1" applyFont="1" applyFill="1" applyBorder="1" applyAlignment="1">
      <alignment horizontal="center" vertical="top"/>
    </xf>
    <xf numFmtId="1" fontId="37" fillId="2" borderId="25" xfId="0" applyNumberFormat="1" applyFont="1" applyFill="1" applyBorder="1" applyAlignment="1">
      <alignment horizontal="center" vertical="top"/>
    </xf>
    <xf numFmtId="2" fontId="37" fillId="2" borderId="25" xfId="0" applyNumberFormat="1" applyFont="1" applyFill="1" applyBorder="1" applyAlignment="1">
      <alignment horizontal="center" vertical="top"/>
    </xf>
    <xf numFmtId="0" fontId="30" fillId="0" borderId="25" xfId="0" applyFont="1" applyBorder="1" applyAlignment="1">
      <alignment horizontal="center" vertical="center"/>
    </xf>
    <xf numFmtId="165" fontId="30" fillId="0" borderId="25" xfId="0" applyNumberFormat="1" applyFont="1" applyBorder="1" applyAlignment="1">
      <alignment horizontal="center" vertical="center"/>
    </xf>
    <xf numFmtId="3" fontId="27" fillId="2" borderId="73" xfId="4" applyNumberFormat="1" applyFont="1" applyFill="1" applyBorder="1" applyAlignment="1">
      <alignment horizontal="center" vertical="top"/>
    </xf>
    <xf numFmtId="0" fontId="30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35" fillId="2" borderId="62" xfId="0" applyFont="1" applyFill="1" applyBorder="1" applyAlignment="1">
      <alignment vertical="top" wrapText="1"/>
    </xf>
    <xf numFmtId="0" fontId="30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/>
    </xf>
    <xf numFmtId="167" fontId="35" fillId="2" borderId="62" xfId="0" applyNumberFormat="1" applyFont="1" applyFill="1" applyBorder="1" applyAlignment="1">
      <alignment horizontal="center" vertical="top"/>
    </xf>
    <xf numFmtId="2" fontId="35" fillId="2" borderId="62" xfId="0" applyNumberFormat="1" applyFont="1" applyFill="1" applyBorder="1" applyAlignment="1">
      <alignment horizontal="center" vertical="top"/>
    </xf>
    <xf numFmtId="1" fontId="35" fillId="2" borderId="62" xfId="0" applyNumberFormat="1" applyFont="1" applyFill="1" applyBorder="1" applyAlignment="1">
      <alignment horizontal="center" vertical="top"/>
    </xf>
    <xf numFmtId="164" fontId="35" fillId="2" borderId="62" xfId="0" applyNumberFormat="1" applyFont="1" applyFill="1" applyBorder="1" applyAlignment="1">
      <alignment horizontal="center" vertical="top"/>
    </xf>
    <xf numFmtId="3" fontId="27" fillId="2" borderId="74" xfId="5" applyNumberFormat="1" applyFont="1" applyFill="1" applyBorder="1" applyAlignment="1">
      <alignment horizontal="center" vertical="top"/>
    </xf>
    <xf numFmtId="0" fontId="41" fillId="2" borderId="62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5" fillId="2" borderId="62" xfId="0" applyFont="1" applyFill="1" applyBorder="1" applyAlignment="1">
      <alignment horizontal="left" vertical="center" wrapText="1"/>
    </xf>
    <xf numFmtId="0" fontId="30" fillId="0" borderId="14" xfId="0" applyFont="1" applyBorder="1" applyAlignment="1">
      <alignment horizontal="center" vertical="center"/>
    </xf>
    <xf numFmtId="0" fontId="30" fillId="0" borderId="14" xfId="0" applyFont="1" applyBorder="1" applyAlignment="1">
      <alignment vertical="center"/>
    </xf>
    <xf numFmtId="0" fontId="35" fillId="2" borderId="78" xfId="0" applyFont="1" applyFill="1" applyBorder="1" applyAlignment="1">
      <alignment vertical="top" wrapText="1"/>
    </xf>
    <xf numFmtId="0" fontId="35" fillId="2" borderId="78" xfId="0" applyFont="1" applyFill="1" applyBorder="1" applyAlignment="1">
      <alignment horizontal="left" vertical="top" wrapText="1" indent="2"/>
    </xf>
    <xf numFmtId="1" fontId="35" fillId="2" borderId="78" xfId="0" applyNumberFormat="1" applyFont="1" applyFill="1" applyBorder="1" applyAlignment="1">
      <alignment horizontal="center" vertical="top"/>
    </xf>
    <xf numFmtId="2" fontId="34" fillId="2" borderId="78" xfId="0" applyNumberFormat="1" applyFont="1" applyFill="1" applyBorder="1" applyAlignment="1">
      <alignment horizontal="center" vertical="top"/>
    </xf>
    <xf numFmtId="167" fontId="35" fillId="2" borderId="78" xfId="0" applyNumberFormat="1" applyFont="1" applyFill="1" applyBorder="1" applyAlignment="1">
      <alignment horizontal="center" vertical="top"/>
    </xf>
    <xf numFmtId="2" fontId="35" fillId="2" borderId="78" xfId="0" applyNumberFormat="1" applyFont="1" applyFill="1" applyBorder="1" applyAlignment="1">
      <alignment horizontal="center" vertical="top"/>
    </xf>
    <xf numFmtId="164" fontId="35" fillId="2" borderId="78" xfId="0" applyNumberFormat="1" applyFont="1" applyFill="1" applyBorder="1" applyAlignment="1">
      <alignment horizontal="center" vertical="top"/>
    </xf>
    <xf numFmtId="0" fontId="41" fillId="2" borderId="78" xfId="0" applyFont="1" applyFill="1" applyBorder="1" applyAlignment="1">
      <alignment horizontal="center" vertical="center"/>
    </xf>
    <xf numFmtId="0" fontId="30" fillId="0" borderId="78" xfId="0" applyFont="1" applyBorder="1" applyAlignment="1">
      <alignment horizontal="center" vertical="center"/>
    </xf>
    <xf numFmtId="0" fontId="30" fillId="0" borderId="78" xfId="0" applyFont="1" applyBorder="1" applyAlignment="1">
      <alignment horizontal="center" vertical="center"/>
    </xf>
    <xf numFmtId="165" fontId="30" fillId="0" borderId="78" xfId="0" applyNumberFormat="1" applyFont="1" applyBorder="1" applyAlignment="1">
      <alignment horizontal="center" vertical="center"/>
    </xf>
    <xf numFmtId="3" fontId="27" fillId="2" borderId="74" xfId="7" applyNumberFormat="1" applyFont="1" applyFill="1" applyBorder="1" applyAlignment="1">
      <alignment horizontal="center" vertical="top"/>
    </xf>
    <xf numFmtId="0" fontId="20" fillId="0" borderId="25" xfId="0" applyFont="1" applyBorder="1" applyAlignment="1">
      <alignment horizontal="center" vertical="center" wrapText="1"/>
    </xf>
    <xf numFmtId="0" fontId="36" fillId="4" borderId="25" xfId="3" applyFont="1" applyFill="1" applyBorder="1" applyAlignment="1">
      <alignment horizontal="center" vertical="center" wrapText="1"/>
    </xf>
    <xf numFmtId="14" fontId="20" fillId="0" borderId="25" xfId="0" applyNumberFormat="1" applyFont="1" applyBorder="1" applyAlignment="1">
      <alignment horizontal="center" vertical="center" wrapText="1"/>
    </xf>
    <xf numFmtId="3" fontId="27" fillId="2" borderId="74" xfId="8" applyNumberFormat="1" applyFont="1" applyFill="1" applyBorder="1" applyAlignment="1">
      <alignment horizontal="center" vertical="top"/>
    </xf>
    <xf numFmtId="0" fontId="23" fillId="0" borderId="8" xfId="0" applyFont="1" applyBorder="1" applyAlignment="1">
      <alignment horizontal="center" vertical="center"/>
    </xf>
    <xf numFmtId="0" fontId="35" fillId="0" borderId="78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36" fillId="4" borderId="78" xfId="3" applyFont="1" applyFill="1" applyBorder="1" applyAlignment="1">
      <alignment horizontal="left" vertical="center"/>
    </xf>
    <xf numFmtId="20" fontId="27" fillId="2" borderId="78" xfId="0" applyNumberFormat="1" applyFont="1" applyFill="1" applyBorder="1" applyAlignment="1">
      <alignment horizontal="center" vertical="center"/>
    </xf>
    <xf numFmtId="1" fontId="27" fillId="2" borderId="78" xfId="0" applyNumberFormat="1" applyFont="1" applyFill="1" applyBorder="1" applyAlignment="1">
      <alignment horizontal="center" vertical="center"/>
    </xf>
    <xf numFmtId="3" fontId="27" fillId="2" borderId="74" xfId="4" applyNumberFormat="1" applyFont="1" applyFill="1" applyBorder="1" applyAlignment="1">
      <alignment horizontal="center" vertical="top"/>
    </xf>
    <xf numFmtId="20" fontId="27" fillId="0" borderId="62" xfId="0" applyNumberFormat="1" applyFont="1" applyBorder="1" applyAlignment="1">
      <alignment horizontal="center" vertical="center"/>
    </xf>
    <xf numFmtId="20" fontId="24" fillId="0" borderId="62" xfId="0" applyNumberFormat="1" applyFont="1" applyBorder="1" applyAlignment="1">
      <alignment horizontal="center" vertical="center"/>
    </xf>
    <xf numFmtId="3" fontId="27" fillId="2" borderId="62" xfId="1" applyNumberFormat="1" applyFont="1" applyFill="1" applyBorder="1" applyAlignment="1">
      <alignment horizontal="center" vertical="center"/>
    </xf>
    <xf numFmtId="1" fontId="28" fillId="0" borderId="79" xfId="0" applyNumberFormat="1" applyFont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36" fillId="4" borderId="62" xfId="3" applyFont="1" applyFill="1" applyBorder="1" applyAlignment="1">
      <alignment horizontal="left" vertical="center"/>
    </xf>
    <xf numFmtId="20" fontId="27" fillId="2" borderId="62" xfId="0" applyNumberFormat="1" applyFont="1" applyFill="1" applyBorder="1" applyAlignment="1">
      <alignment horizontal="center" vertical="center"/>
    </xf>
    <xf numFmtId="1" fontId="27" fillId="2" borderId="62" xfId="0" applyNumberFormat="1" applyFont="1" applyFill="1" applyBorder="1" applyAlignment="1">
      <alignment horizontal="center" vertical="center"/>
    </xf>
    <xf numFmtId="3" fontId="27" fillId="2" borderId="80" xfId="4" applyNumberFormat="1" applyFont="1" applyFill="1" applyBorder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19" fillId="2" borderId="39" xfId="0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right" vertical="center"/>
    </xf>
    <xf numFmtId="0" fontId="17" fillId="0" borderId="41" xfId="0" applyFont="1" applyBorder="1" applyAlignment="1">
      <alignment horizontal="right" vertical="center"/>
    </xf>
    <xf numFmtId="0" fontId="17" fillId="0" borderId="42" xfId="0" applyFont="1" applyBorder="1" applyAlignment="1">
      <alignment horizontal="right" vertical="center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1" fontId="17" fillId="3" borderId="25" xfId="0" applyNumberFormat="1" applyFont="1" applyFill="1" applyBorder="1" applyAlignment="1">
      <alignment horizontal="center" vertical="center" wrapText="1"/>
    </xf>
    <xf numFmtId="4" fontId="17" fillId="3" borderId="25" xfId="0" applyNumberFormat="1" applyFont="1" applyFill="1" applyBorder="1" applyAlignment="1">
      <alignment horizontal="center" vertical="center" wrapText="1"/>
    </xf>
    <xf numFmtId="0" fontId="17" fillId="3" borderId="54" xfId="0" applyFont="1" applyFill="1" applyBorder="1" applyAlignment="1">
      <alignment horizontal="center" vertical="center" wrapText="1"/>
    </xf>
    <xf numFmtId="0" fontId="17" fillId="3" borderId="55" xfId="0" applyFont="1" applyFill="1" applyBorder="1" applyAlignment="1">
      <alignment horizontal="center" vertical="center" wrapText="1"/>
    </xf>
    <xf numFmtId="0" fontId="17" fillId="3" borderId="56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14" fontId="35" fillId="0" borderId="7" xfId="0" applyNumberFormat="1" applyFont="1" applyBorder="1" applyAlignment="1">
      <alignment horizontal="left" vertical="top" wrapText="1"/>
    </xf>
    <xf numFmtId="14" fontId="35" fillId="0" borderId="4" xfId="0" applyNumberFormat="1" applyFont="1" applyBorder="1" applyAlignment="1">
      <alignment horizontal="left" vertical="top" wrapText="1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1" fontId="7" fillId="2" borderId="7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center" wrapText="1"/>
    </xf>
    <xf numFmtId="1" fontId="9" fillId="0" borderId="25" xfId="0" applyNumberFormat="1" applyFont="1" applyBorder="1" applyAlignment="1">
      <alignment horizontal="center" vertical="center" wrapText="1"/>
    </xf>
    <xf numFmtId="1" fontId="9" fillId="0" borderId="35" xfId="0" applyNumberFormat="1" applyFont="1" applyBorder="1" applyAlignment="1">
      <alignment horizontal="center" vertical="center" wrapText="1"/>
    </xf>
    <xf numFmtId="14" fontId="27" fillId="0" borderId="25" xfId="0" applyNumberFormat="1" applyFont="1" applyBorder="1" applyAlignment="1">
      <alignment horizontal="center" vertical="center"/>
    </xf>
    <xf numFmtId="14" fontId="27" fillId="0" borderId="39" xfId="0" applyNumberFormat="1" applyFont="1" applyBorder="1" applyAlignment="1">
      <alignment horizontal="center" vertical="center"/>
    </xf>
    <xf numFmtId="14" fontId="27" fillId="0" borderId="7" xfId="0" applyNumberFormat="1" applyFont="1" applyBorder="1" applyAlignment="1">
      <alignment horizontal="center" vertical="center"/>
    </xf>
    <xf numFmtId="14" fontId="27" fillId="0" borderId="4" xfId="0" applyNumberFormat="1" applyFont="1" applyBorder="1" applyAlignment="1">
      <alignment horizontal="center" vertical="center"/>
    </xf>
    <xf numFmtId="14" fontId="35" fillId="0" borderId="27" xfId="0" applyNumberFormat="1" applyFont="1" applyBorder="1" applyAlignment="1">
      <alignment horizontal="center" vertical="center"/>
    </xf>
    <xf numFmtId="14" fontId="35" fillId="0" borderId="37" xfId="0" applyNumberFormat="1" applyFont="1" applyBorder="1" applyAlignment="1">
      <alignment horizontal="center" vertical="center"/>
    </xf>
    <xf numFmtId="0" fontId="20" fillId="0" borderId="47" xfId="0" applyFont="1" applyBorder="1" applyAlignment="1">
      <alignment horizontal="right"/>
    </xf>
    <xf numFmtId="0" fontId="20" fillId="0" borderId="48" xfId="0" applyFont="1" applyBorder="1" applyAlignment="1">
      <alignment horizontal="right"/>
    </xf>
    <xf numFmtId="0" fontId="20" fillId="0" borderId="49" xfId="0" applyFont="1" applyBorder="1" applyAlignment="1">
      <alignment horizontal="right"/>
    </xf>
    <xf numFmtId="165" fontId="20" fillId="0" borderId="51" xfId="0" applyNumberFormat="1" applyFont="1" applyBorder="1" applyAlignment="1">
      <alignment horizontal="left"/>
    </xf>
    <xf numFmtId="165" fontId="20" fillId="0" borderId="48" xfId="0" applyNumberFormat="1" applyFont="1" applyBorder="1" applyAlignment="1">
      <alignment horizontal="left"/>
    </xf>
    <xf numFmtId="165" fontId="20" fillId="0" borderId="52" xfId="0" applyNumberFormat="1" applyFont="1" applyBorder="1" applyAlignment="1">
      <alignment horizontal="left"/>
    </xf>
    <xf numFmtId="0" fontId="22" fillId="0" borderId="3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3" fontId="8" fillId="0" borderId="21" xfId="0" applyNumberFormat="1" applyFont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2" xfId="0" applyNumberFormat="1" applyFont="1" applyFill="1" applyBorder="1" applyAlignment="1">
      <alignment horizontal="center" vertical="center"/>
    </xf>
    <xf numFmtId="3" fontId="8" fillId="2" borderId="23" xfId="0" applyNumberFormat="1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" fontId="0" fillId="2" borderId="35" xfId="0" applyNumberFormat="1" applyFill="1" applyBorder="1" applyAlignment="1">
      <alignment horizontal="center" vertical="center"/>
    </xf>
    <xf numFmtId="1" fontId="6" fillId="2" borderId="27" xfId="0" applyNumberFormat="1" applyFont="1" applyFill="1" applyBorder="1" applyAlignment="1">
      <alignment horizontal="center" vertical="center"/>
    </xf>
    <xf numFmtId="1" fontId="7" fillId="2" borderId="24" xfId="0" applyNumberFormat="1" applyFon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1" fontId="0" fillId="2" borderId="24" xfId="0" applyNumberFormat="1" applyFill="1" applyBorder="1" applyAlignment="1">
      <alignment horizontal="center" vertical="center"/>
    </xf>
    <xf numFmtId="0" fontId="29" fillId="0" borderId="25" xfId="0" applyFont="1" applyBorder="1" applyAlignment="1">
      <alignment horizontal="left" vertical="center"/>
    </xf>
    <xf numFmtId="0" fontId="30" fillId="0" borderId="51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27" fillId="2" borderId="60" xfId="0" applyNumberFormat="1" applyFont="1" applyFill="1" applyBorder="1" applyAlignment="1">
      <alignment vertical="top" wrapText="1" indent="2"/>
    </xf>
    <xf numFmtId="0" fontId="27" fillId="2" borderId="61" xfId="0" applyNumberFormat="1" applyFont="1" applyFill="1" applyBorder="1" applyAlignment="1">
      <alignment vertical="top" wrapText="1" indent="2"/>
    </xf>
    <xf numFmtId="0" fontId="37" fillId="2" borderId="62" xfId="0" applyFont="1" applyFill="1" applyBorder="1" applyAlignment="1">
      <alignment horizontal="left" vertical="top" wrapText="1" indent="2"/>
    </xf>
    <xf numFmtId="0" fontId="37" fillId="2" borderId="63" xfId="0" applyFont="1" applyFill="1" applyBorder="1" applyAlignment="1">
      <alignment horizontal="left" vertical="top" wrapText="1" indent="2"/>
    </xf>
    <xf numFmtId="0" fontId="38" fillId="2" borderId="25" xfId="0" applyNumberFormat="1" applyFont="1" applyFill="1" applyBorder="1" applyAlignment="1">
      <alignment vertical="top" wrapText="1" indent="2"/>
    </xf>
    <xf numFmtId="0" fontId="40" fillId="2" borderId="25" xfId="0" applyNumberFormat="1" applyFont="1" applyFill="1" applyBorder="1" applyAlignment="1">
      <alignment vertical="top" wrapText="1" indent="2"/>
    </xf>
    <xf numFmtId="0" fontId="40" fillId="2" borderId="60" xfId="0" applyNumberFormat="1" applyFont="1" applyFill="1" applyBorder="1" applyAlignment="1">
      <alignment vertical="top" wrapText="1" indent="2"/>
    </xf>
    <xf numFmtId="0" fontId="27" fillId="2" borderId="62" xfId="0" applyNumberFormat="1" applyFont="1" applyFill="1" applyBorder="1" applyAlignment="1">
      <alignment vertical="top" wrapText="1"/>
    </xf>
    <xf numFmtId="0" fontId="27" fillId="2" borderId="62" xfId="0" applyNumberFormat="1" applyFont="1" applyFill="1" applyBorder="1" applyAlignment="1">
      <alignment vertical="top"/>
    </xf>
    <xf numFmtId="0" fontId="31" fillId="2" borderId="62" xfId="0" applyFont="1" applyFill="1" applyBorder="1" applyAlignment="1">
      <alignment vertical="center"/>
    </xf>
    <xf numFmtId="0" fontId="2" fillId="2" borderId="62" xfId="0" applyNumberFormat="1" applyFont="1" applyFill="1" applyBorder="1" applyAlignment="1">
      <alignment vertical="top" wrapText="1"/>
    </xf>
    <xf numFmtId="0" fontId="35" fillId="2" borderId="62" xfId="0" applyFont="1" applyFill="1" applyBorder="1" applyAlignment="1">
      <alignment horizontal="left" vertical="top" wrapText="1"/>
    </xf>
    <xf numFmtId="0" fontId="35" fillId="2" borderId="62" xfId="0" applyFont="1" applyFill="1" applyBorder="1" applyAlignment="1">
      <alignment vertical="top" wrapText="1"/>
    </xf>
    <xf numFmtId="0" fontId="35" fillId="2" borderId="7" xfId="0" applyFont="1" applyFill="1" applyBorder="1" applyAlignment="1">
      <alignment vertical="top" wrapText="1"/>
    </xf>
    <xf numFmtId="0" fontId="35" fillId="2" borderId="59" xfId="0" applyFont="1" applyFill="1" applyBorder="1" applyAlignment="1">
      <alignment vertical="top" wrapText="1"/>
    </xf>
    <xf numFmtId="0" fontId="35" fillId="2" borderId="8" xfId="0" applyFont="1" applyFill="1" applyBorder="1" applyAlignment="1">
      <alignment vertical="top" wrapText="1"/>
    </xf>
    <xf numFmtId="0" fontId="34" fillId="2" borderId="7" xfId="0" applyFont="1" applyFill="1" applyBorder="1" applyAlignment="1">
      <alignment horizontal="left" vertical="top" wrapText="1"/>
    </xf>
    <xf numFmtId="0" fontId="34" fillId="2" borderId="59" xfId="0" applyFont="1" applyFill="1" applyBorder="1" applyAlignment="1">
      <alignment horizontal="left" vertical="top" wrapText="1"/>
    </xf>
    <xf numFmtId="0" fontId="34" fillId="2" borderId="8" xfId="0" applyFont="1" applyFill="1" applyBorder="1" applyAlignment="1">
      <alignment horizontal="left" vertical="top" wrapText="1"/>
    </xf>
    <xf numFmtId="0" fontId="30" fillId="0" borderId="68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/>
    </xf>
    <xf numFmtId="1" fontId="0" fillId="2" borderId="42" xfId="0" applyNumberFormat="1" applyFill="1" applyBorder="1" applyAlignment="1">
      <alignment horizontal="center"/>
    </xf>
    <xf numFmtId="0" fontId="42" fillId="2" borderId="25" xfId="0" applyFont="1" applyFill="1" applyBorder="1" applyAlignment="1">
      <alignment horizontal="left" vertical="top" wrapText="1" indent="2"/>
    </xf>
    <xf numFmtId="0" fontId="30" fillId="0" borderId="55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5" fillId="2" borderId="62" xfId="0" applyFont="1" applyFill="1" applyBorder="1" applyAlignment="1">
      <alignment horizontal="left" vertical="top" wrapText="1" indent="2"/>
    </xf>
    <xf numFmtId="1" fontId="9" fillId="0" borderId="4" xfId="0" applyNumberFormat="1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1" fontId="7" fillId="2" borderId="27" xfId="0" applyNumberFormat="1" applyFont="1" applyFill="1" applyBorder="1" applyAlignment="1">
      <alignment horizontal="center" vertical="center"/>
    </xf>
    <xf numFmtId="1" fontId="7" fillId="2" borderId="42" xfId="0" applyNumberFormat="1" applyFont="1" applyFill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35" fillId="2" borderId="75" xfId="0" applyFont="1" applyFill="1" applyBorder="1" applyAlignment="1">
      <alignment horizontal="left" vertical="top" wrapText="1"/>
    </xf>
    <xf numFmtId="0" fontId="35" fillId="2" borderId="76" xfId="0" applyFont="1" applyFill="1" applyBorder="1" applyAlignment="1">
      <alignment horizontal="left" vertical="top" wrapText="1"/>
    </xf>
    <xf numFmtId="0" fontId="35" fillId="2" borderId="77" xfId="0" applyFont="1" applyFill="1" applyBorder="1" applyAlignment="1">
      <alignment horizontal="left" vertical="top" wrapText="1"/>
    </xf>
    <xf numFmtId="1" fontId="0" fillId="2" borderId="37" xfId="0" applyNumberFormat="1" applyFill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5" fillId="2" borderId="78" xfId="0" applyFont="1" applyFill="1" applyBorder="1" applyAlignment="1">
      <alignment horizontal="left" vertical="top" wrapText="1" indent="2"/>
    </xf>
    <xf numFmtId="0" fontId="30" fillId="0" borderId="78" xfId="0" applyFont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167" fontId="0" fillId="0" borderId="0" xfId="0" applyNumberFormat="1"/>
    <xf numFmtId="0" fontId="0" fillId="0" borderId="78" xfId="0" applyBorder="1"/>
    <xf numFmtId="167" fontId="0" fillId="0" borderId="78" xfId="0" applyNumberFormat="1" applyBorder="1"/>
    <xf numFmtId="167" fontId="1" fillId="0" borderId="78" xfId="0" applyNumberFormat="1" applyFont="1" applyBorder="1"/>
    <xf numFmtId="0" fontId="1" fillId="0" borderId="78" xfId="0" applyFont="1" applyBorder="1"/>
    <xf numFmtId="0" fontId="0" fillId="7" borderId="78" xfId="0" applyFill="1" applyBorder="1"/>
  </cellXfs>
  <cellStyles count="9">
    <cellStyle name="Обычный" xfId="0" builtinId="0"/>
    <cellStyle name="Обычный 2" xfId="3" xr:uid="{00000000-0005-0000-0000-000001000000}"/>
    <cellStyle name="Обычный 3" xfId="6" xr:uid="{C3D812DF-4EE4-4E64-8630-2F5022BE46F3}"/>
    <cellStyle name="Обычный_26.10" xfId="4" xr:uid="{66C49544-7B9F-4685-8678-3DA52A5D01B9}"/>
    <cellStyle name="Обычный_28.10" xfId="5" xr:uid="{8F6CE5FA-E8AF-47EC-997C-35C9A57AC798}"/>
    <cellStyle name="Обычный_29.10" xfId="7" xr:uid="{EE2E4E83-20F9-4359-9852-5C7F94FCB542}"/>
    <cellStyle name="Обычный_30.10" xfId="8" xr:uid="{B11FD19A-6006-41AA-B76C-C8F846ECF11A}"/>
    <cellStyle name="Обычный_список 2024г (3)" xfId="1" xr:uid="{00000000-0005-0000-0000-000002000000}"/>
    <cellStyle name="Обычный_список 2024г (3)_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9;&#1090;&#1072;&#1088;_28,10,26_&#1085;&#1077;&#1076;&#1086;&#1075;&#1088;&#1091;&#1079;%20&#1052;&#1072;&#1088;&#1080;&#1091;&#1087;&#1086;&#1083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10,26/26,10,26%20&#1054;&#1089;&#1090;&#1072;&#1085;&#1082;&#1080;&#1085;&#1086;%20&#1050;&#1048;%20&#1080;%20&#1047;&#1055;&#1060;/&#1076;&#1074;%2026,10,26%20&#1084;&#1088;&#1088;&#1089;&#1095;%20&#1086;&#1089;&#1090;%20&#1082;&#10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2;&#1085;&#1085;&#1099;&#1077;/&#1086;&#1089;&#1090;%20&#1084;&#1088;%2029,10,26-30,10,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5;&#1054;&#1050;&#1054;&#1052;%20&#1047;&#1055;&#1060;/&#1076;&#1074;%2029,10,26%20&#1084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нкино"/>
      <sheetName val="заморозка"/>
      <sheetName val="ПОКОМ"/>
    </sheetNames>
    <sheetDataSet>
      <sheetData sheetId="0">
        <row r="1">
          <cell r="A1" t="str">
            <v>Номенклатура</v>
          </cell>
          <cell r="B1" t="str">
            <v>недогруз, кг</v>
          </cell>
          <cell r="D1" t="str">
            <v>остаток, кг</v>
          </cell>
        </row>
        <row r="2">
          <cell r="A2" t="str">
            <v>0614 ПРАЗДНИЧНАЯ с/к в/с дек.спец.мгс  Останкино</v>
          </cell>
          <cell r="B2">
            <v>1</v>
          </cell>
        </row>
        <row r="3">
          <cell r="A3" t="str">
            <v>3215 ВЕТЧ.МЯСНАЯ Папа может п/о 0.4кг 8шт.    ОСТАНКИНО</v>
          </cell>
          <cell r="B3">
            <v>3.2</v>
          </cell>
          <cell r="C3" t="str">
            <v>матрица</v>
          </cell>
          <cell r="D3">
            <v>15.2</v>
          </cell>
        </row>
        <row r="4">
          <cell r="A4" t="str">
            <v>3323 Сыр Российский цилиндр 1/4 пленка ЮКМП м.д.ж. 50%  ОСТАНКИНО</v>
          </cell>
          <cell r="B4">
            <v>1.226</v>
          </cell>
        </row>
        <row r="5">
          <cell r="A5" t="str">
            <v>4063 МЯСНАЯ Папа может вар п/о_Л   ОСТАНКИНО</v>
          </cell>
          <cell r="B5">
            <v>2.6</v>
          </cell>
          <cell r="C5" t="str">
            <v>матрица</v>
          </cell>
          <cell r="D5">
            <v>379.34300000000002</v>
          </cell>
        </row>
        <row r="6">
          <cell r="A6" t="str">
            <v>4813 ФИЛЕЙНАЯ Папа может вар п/о_Л   ОСТАНКИНО</v>
          </cell>
          <cell r="B6">
            <v>5.8929999999999998</v>
          </cell>
          <cell r="C6" t="str">
            <v>матрица</v>
          </cell>
          <cell r="D6">
            <v>89.277000000000001</v>
          </cell>
        </row>
        <row r="7">
          <cell r="A7" t="str">
            <v>4931  Сыр полутвердый "Купеческий" с ароматом топленого молока, с м.д.ж. 50% ОСТАНКИНО</v>
          </cell>
          <cell r="B7">
            <v>0.40799999999999997</v>
          </cell>
        </row>
        <row r="8">
          <cell r="A8" t="str">
            <v>4993 САЛЯМИ ИТАЛЬЯНСКАЯ с/к в/у 1/250*8_120c ОСТАНКИНО</v>
          </cell>
          <cell r="B8">
            <v>5.75</v>
          </cell>
          <cell r="C8" t="str">
            <v>матрица</v>
          </cell>
          <cell r="D8">
            <v>0</v>
          </cell>
          <cell r="E8" t="str">
            <v>списано 23кг (пересчет 28,10,26)</v>
          </cell>
        </row>
        <row r="9">
          <cell r="A9" t="str">
            <v>5452 ВЕТЧ.МЯСНАЯ Папа может п/о    ОСТАНКИНО</v>
          </cell>
          <cell r="B9">
            <v>0.43</v>
          </cell>
        </row>
        <row r="10">
          <cell r="A10" t="str">
            <v>5483 ЭКСТРА Папа может с/к в/у 1/250 8шт.   ОСТАНКИНО</v>
          </cell>
          <cell r="B10">
            <v>11.5</v>
          </cell>
          <cell r="C10" t="str">
            <v>матрица</v>
          </cell>
          <cell r="D10">
            <v>0</v>
          </cell>
          <cell r="E10" t="str">
            <v>списано 48кг (пересчет 28,10,26)</v>
          </cell>
        </row>
        <row r="11">
          <cell r="A11" t="str">
            <v>5495 ВЕТЧ.С ИНДЕЙКОЙ Папа может п/о 400*6  Останкино</v>
          </cell>
          <cell r="B11">
            <v>1.6</v>
          </cell>
        </row>
        <row r="12">
          <cell r="A12" t="str">
            <v>5544 Сервелат Финский в/к в/у_45с НОВАЯ ОСТАНКИНО</v>
          </cell>
          <cell r="B12">
            <v>4.2</v>
          </cell>
          <cell r="C12" t="str">
            <v>матрица</v>
          </cell>
          <cell r="D12">
            <v>0</v>
          </cell>
          <cell r="E12" t="str">
            <v>списано 42кг (пересчет 28,10,26)</v>
          </cell>
        </row>
        <row r="13">
          <cell r="A13" t="str">
            <v>5708 ПОСОЛЬСКАЯ Папа может с/к в/у ОСТАНКИНО</v>
          </cell>
          <cell r="B13">
            <v>1.5</v>
          </cell>
        </row>
        <row r="14">
          <cell r="A14" t="str">
            <v>5819 Сосиски Папа может 400г Мясные  ОСТАНКИНО</v>
          </cell>
          <cell r="B14">
            <v>1.2</v>
          </cell>
        </row>
        <row r="15">
          <cell r="A15" t="str">
            <v>5931 ОХОТНИЧЬЯ Папа может с/к в/у 1/220 8шт.   ОСТАНКИНО</v>
          </cell>
          <cell r="B15">
            <v>5.0599999999999996</v>
          </cell>
          <cell r="C15" t="str">
            <v>матрица</v>
          </cell>
          <cell r="D15">
            <v>0</v>
          </cell>
          <cell r="E15" t="str">
            <v>списано 19,8кг (пересчет 28,10,26)</v>
          </cell>
        </row>
        <row r="16">
          <cell r="A16" t="str">
            <v>6220 ГОВЯЖЬЯ папа может вар п/о  Останкино</v>
          </cell>
          <cell r="B16">
            <v>2.5</v>
          </cell>
          <cell r="C16" t="str">
            <v>матрица</v>
          </cell>
          <cell r="D16">
            <v>60.707999999999998</v>
          </cell>
        </row>
        <row r="17">
          <cell r="A17" t="str">
            <v>6325 ДОКТОРСКАЯ ПРЕМИУМ вар п/о 0.4кг 8шт.  ОСТАНКИНО</v>
          </cell>
          <cell r="B17">
            <v>10</v>
          </cell>
          <cell r="C17" t="str">
            <v>матрица</v>
          </cell>
          <cell r="D17">
            <v>18.399999999999999</v>
          </cell>
        </row>
        <row r="18">
          <cell r="A18" t="str">
            <v>6333 МЯСНАЯ Папа может вар п/о 0.4кг 8шт.  ОСТАНКИНО</v>
          </cell>
          <cell r="B18">
            <v>23.2</v>
          </cell>
          <cell r="C18" t="str">
            <v>матрица</v>
          </cell>
          <cell r="D18">
            <v>0</v>
          </cell>
          <cell r="E18" t="str">
            <v>списано 84кг (пересчет 28,10,26)</v>
          </cell>
        </row>
        <row r="19">
          <cell r="A19" t="str">
            <v>6392 ФИЛЕЙНАЯ Папа может вар п/о 0,4кг  ОСТАНКИНО</v>
          </cell>
          <cell r="B19">
            <v>14.4</v>
          </cell>
          <cell r="C19" t="str">
            <v>матрица</v>
          </cell>
          <cell r="D19">
            <v>6.4</v>
          </cell>
          <cell r="E19" t="str">
            <v>списано 100кг (пересчет 28,10,26)</v>
          </cell>
        </row>
        <row r="20">
          <cell r="A20" t="str">
            <v>6470 ВЕТЧ.МРАМОРНАЯ в/у_45с  ОСТАНКИНО</v>
          </cell>
          <cell r="B20">
            <v>16.2</v>
          </cell>
          <cell r="C20" t="str">
            <v>не в матрице</v>
          </cell>
        </row>
        <row r="21">
          <cell r="A21" t="str">
            <v>6475 Сосиски Папа может 400г С сыром  ОСТАНКИНО</v>
          </cell>
          <cell r="B21">
            <v>2</v>
          </cell>
        </row>
        <row r="22">
          <cell r="A22" t="str">
            <v>6498 МОЛОЧНАЯ Папа может вар п/о  ОСТАНКИНО</v>
          </cell>
          <cell r="B22">
            <v>22</v>
          </cell>
          <cell r="C22" t="str">
            <v>матрица</v>
          </cell>
          <cell r="D22">
            <v>235.131</v>
          </cell>
        </row>
        <row r="23">
          <cell r="A23" t="str">
            <v>6550 МЯСНЫЕ Папа может сар б/о мгс 1*3 О 45с  Останкино</v>
          </cell>
          <cell r="B23">
            <v>25</v>
          </cell>
          <cell r="C23" t="str">
            <v>матрица</v>
          </cell>
          <cell r="D23">
            <v>0</v>
          </cell>
          <cell r="E23" t="str">
            <v>списание по срокам 68кг (27,10,26)</v>
          </cell>
        </row>
        <row r="24">
          <cell r="A24" t="str">
            <v>6616 МОЛОЧНЫЕ КЛАССИЧЕСКИЕ сос п/о в/у 0,3 кг  Останкино</v>
          </cell>
          <cell r="B24">
            <v>0.3</v>
          </cell>
        </row>
        <row r="25">
          <cell r="A25" t="str">
            <v>6661 СОЧНЫЙ ГРИЛЬ ПМ сос п/о мгс 1,5*4_Маяк Останкино</v>
          </cell>
          <cell r="B25">
            <v>6</v>
          </cell>
          <cell r="C25" t="str">
            <v>матрица</v>
          </cell>
          <cell r="D25">
            <v>41.41</v>
          </cell>
        </row>
        <row r="26">
          <cell r="A26" t="str">
            <v>6697 СЕРВЕЛАТ ФИНСКИЙ ПМ в/к в/у 0,35кг 8шт  ОСТАНКИНО</v>
          </cell>
          <cell r="B26">
            <v>35</v>
          </cell>
          <cell r="C26" t="str">
            <v>матрица</v>
          </cell>
          <cell r="D26">
            <v>0</v>
          </cell>
          <cell r="E26" t="str">
            <v>списано 90кг (пересчет 28,10,26)</v>
          </cell>
        </row>
        <row r="27">
          <cell r="A27" t="str">
            <v>6724 МОЛОЧНЫЕ ПМ сос п/о мгс 0,41кг 10шт  Останкино</v>
          </cell>
          <cell r="B27">
            <v>12.71</v>
          </cell>
          <cell r="C27" t="str">
            <v>матрица</v>
          </cell>
          <cell r="D27">
            <v>2.0499999999999998</v>
          </cell>
          <cell r="E27" t="str">
            <v>списано 54кг (пересчет 28,10,26)</v>
          </cell>
        </row>
        <row r="28">
          <cell r="A28" t="str">
            <v>6829  МОЛОЧНЫЕ КЛАССИЧЕСКИЕ сос п/о мгс 2*4 С  Останккино</v>
          </cell>
          <cell r="B28">
            <v>4</v>
          </cell>
          <cell r="C28" t="str">
            <v>матрица</v>
          </cell>
          <cell r="D28">
            <v>85.921000000000006</v>
          </cell>
        </row>
        <row r="29">
          <cell r="A29" t="str">
            <v>6837 ФИЛЕЙНЫЕ Папа Может сос ц/о мгс 0,4кг  Останкино</v>
          </cell>
          <cell r="B29">
            <v>1.2</v>
          </cell>
        </row>
        <row r="30">
          <cell r="A30" t="str">
            <v>6967 БУРГУНДИЯ Папа может с/к в/у 1/250 8шт  Останкино</v>
          </cell>
          <cell r="B30">
            <v>4</v>
          </cell>
          <cell r="C30" t="str">
            <v>матрица</v>
          </cell>
          <cell r="D30">
            <v>0</v>
          </cell>
          <cell r="E30" t="str">
            <v>списано 23кг (пересчет 28,10,26)</v>
          </cell>
        </row>
        <row r="31">
          <cell r="A31" t="str">
            <v>7066 СОЧНЫЕ ПМ сос п/о мгс 0,41кг 10шт 50с  Останкино</v>
          </cell>
          <cell r="B31">
            <v>1.64</v>
          </cell>
        </row>
        <row r="32">
          <cell r="A32" t="str">
            <v>7070 СОЧНЫЕ ПМ сос п/о 1,5*4_А_50с  Останкино</v>
          </cell>
          <cell r="B32">
            <v>3.3319999999999999</v>
          </cell>
          <cell r="C32" t="str">
            <v>матрица</v>
          </cell>
          <cell r="D32">
            <v>10.847</v>
          </cell>
        </row>
        <row r="33">
          <cell r="A33" t="str">
            <v>7073 МОЛОЧ.ПРЕМИУМ ПМ сос п/о в/у 1/350_50с  Останкино</v>
          </cell>
          <cell r="B33">
            <v>1.4</v>
          </cell>
        </row>
        <row r="34">
          <cell r="A34" t="str">
            <v>7080 СЛИВОЧНЫЕ ПМ сос п/о мгс 0,41кг 10шт 50с  Останкино</v>
          </cell>
          <cell r="B34">
            <v>1.23</v>
          </cell>
        </row>
        <row r="35">
          <cell r="A35" t="str">
            <v>7090 СВИНИНА ПО-ДОМ.к/в мл/к в/у 0,3кг_50с  Останкино</v>
          </cell>
          <cell r="B35">
            <v>1.5</v>
          </cell>
        </row>
        <row r="36">
          <cell r="A36" t="str">
            <v>7103 БЕКОН Останкино с/к с/н в/у 1/180_50с  Останкино</v>
          </cell>
          <cell r="B36">
            <v>0.72</v>
          </cell>
        </row>
        <row r="37">
          <cell r="A37" t="str">
            <v>7154 СЕРВЕЛАТ ЗЕРНИСТЫЙ ПМ в/к в/у 0,35кг_50с  Останкино</v>
          </cell>
          <cell r="B37">
            <v>5.95</v>
          </cell>
          <cell r="C37" t="str">
            <v>матрица</v>
          </cell>
          <cell r="D37">
            <v>2.8</v>
          </cell>
          <cell r="E37" t="str">
            <v>списано 86кг (пересчет 28,10,26)</v>
          </cell>
        </row>
        <row r="38">
          <cell r="A38" t="str">
            <v>7157 СЕРВЕЛАТ ЗЕРНИСТЫЙ ПМ в/к в/у_50с  Останкино</v>
          </cell>
          <cell r="B38">
            <v>15.7</v>
          </cell>
          <cell r="C38" t="str">
            <v>матрица</v>
          </cell>
          <cell r="D38">
            <v>0</v>
          </cell>
          <cell r="E38" t="str">
            <v>списание по срокам 42кг (27,10,26)</v>
          </cell>
        </row>
        <row r="39">
          <cell r="A39" t="str">
            <v>7166 СЕРВЕЛАТ ОХОТНИЧИЙ ПМ в/к в/у_50с  Останкино</v>
          </cell>
          <cell r="B39">
            <v>20.399999999999999</v>
          </cell>
          <cell r="C39" t="str">
            <v>матрица</v>
          </cell>
          <cell r="D39">
            <v>1.4</v>
          </cell>
          <cell r="E39" t="str">
            <v>списание по срокам 53кг (27,10,26)</v>
          </cell>
        </row>
        <row r="40">
          <cell r="A40" t="str">
            <v>7169 СЕРВЕЛАТ ОХОТНИЧИЙ ПМ в/к в/у 0,35кг_50с  Останкино</v>
          </cell>
          <cell r="B40">
            <v>26.6</v>
          </cell>
          <cell r="C40" t="str">
            <v>матрица</v>
          </cell>
          <cell r="D40">
            <v>0</v>
          </cell>
          <cell r="E40" t="str">
            <v>списано 47кг (пересчет 28,10,26)</v>
          </cell>
        </row>
        <row r="41">
          <cell r="A41" t="str">
            <v>7177 ЧЕСНОЧНАЯ ПМ п/к в/у 0,35кг 8шт_50с  Останкино</v>
          </cell>
          <cell r="B41">
            <v>1.4</v>
          </cell>
        </row>
        <row r="42">
          <cell r="A42" t="str">
            <v>7232 БОЯNСКАЯ ПМ п/к в/у 0,28кг 8шт_209к  Останкино</v>
          </cell>
          <cell r="B42">
            <v>5.04</v>
          </cell>
          <cell r="C42" t="str">
            <v>матрица</v>
          </cell>
          <cell r="D42">
            <v>1.1200000000000001</v>
          </cell>
          <cell r="E42" t="str">
            <v>списано 52кг (пересчет 28,10,26)</v>
          </cell>
        </row>
        <row r="43">
          <cell r="A43" t="str">
            <v>7236 СЕРВЕЛАТ КАРЕЛЬСКИЙ в/к в/у 0,28кг_209к  Останкино</v>
          </cell>
          <cell r="B43">
            <v>18.760000000000002</v>
          </cell>
          <cell r="C43" t="str">
            <v>матрица</v>
          </cell>
          <cell r="D43">
            <v>0</v>
          </cell>
          <cell r="E43" t="str">
            <v>списано 46кг (пересчет 28,10,26)</v>
          </cell>
        </row>
        <row r="44">
          <cell r="A44" t="str">
            <v>7241 САЛЯМИ Папа может п/к в/у 0,28кг ОСТАНКИНО</v>
          </cell>
          <cell r="B44">
            <v>5.04</v>
          </cell>
          <cell r="C44" t="str">
            <v>матрица</v>
          </cell>
          <cell r="D44">
            <v>10.92</v>
          </cell>
        </row>
        <row r="45">
          <cell r="A45" t="str">
            <v>7255 МЯСНЫЕ С ГОВЯД.ПМ сос п/о мгс 0.4кг 6шт.  ОСТАНКИНО</v>
          </cell>
          <cell r="B45">
            <v>0.4</v>
          </cell>
        </row>
        <row r="46">
          <cell r="A46" t="str">
            <v>7382  САЛЯМИ МЕЛКОЗЕРНЕНАЯ с/к в/у1/120 8шт.  ОСТАНКИНО</v>
          </cell>
          <cell r="B46">
            <v>0.12</v>
          </cell>
        </row>
        <row r="47">
          <cell r="A47" t="str">
            <v>7386 БАРСЕЛОНА ПМ с/к в/у 1/150  ОСТАНКИНО</v>
          </cell>
          <cell r="B47">
            <v>1.35</v>
          </cell>
        </row>
        <row r="48">
          <cell r="A48" t="str">
            <v>7456 САЛЯМИ ФИНСКАЯ Папа может с/к в/у 1/150  ОСТАНКИНО</v>
          </cell>
          <cell r="B48">
            <v>0.15</v>
          </cell>
        </row>
        <row r="49">
          <cell r="A49" t="str">
            <v>7485 РИЕТ МЯСНОЙ С ГРИБАМИ ПМ п/о 1/150  ОСТАНКИНО</v>
          </cell>
          <cell r="B49">
            <v>2.85</v>
          </cell>
          <cell r="C49" t="str">
            <v>матрица</v>
          </cell>
          <cell r="D49">
            <v>0</v>
          </cell>
          <cell r="E49" t="str">
            <v>торгуем данным скю в Мариуполе 2-ю неделю</v>
          </cell>
        </row>
        <row r="50">
          <cell r="A50" t="str">
            <v>7489 СЫРРРВЕЛАТ Папа Может в/к в/у 0,28кг 8шт. ОСТАНКИНО</v>
          </cell>
          <cell r="B50">
            <v>1.1200000000000001</v>
          </cell>
        </row>
        <row r="51">
          <cell r="A51" t="str">
            <v>7490 СОЧНЫЙ ГРИЛЬ сос ц/о мгс 0.41кг_Даблпак  ОСТАНКИНО</v>
          </cell>
          <cell r="B51">
            <v>1.64</v>
          </cell>
        </row>
        <row r="52">
          <cell r="A52" t="str">
            <v>7512 ЧАЙНАЯ Останкино вар н/о мгс 1*3  ОСТАНКИНО</v>
          </cell>
          <cell r="B52">
            <v>2</v>
          </cell>
        </row>
        <row r="53">
          <cell r="A53" t="str">
            <v>7513 ВОСКРЕСЕНСКАЯ ВЯЛЕНАЯ в/к в/у срез 1/260  ОСТАНКИНО</v>
          </cell>
          <cell r="B53">
            <v>0.78</v>
          </cell>
        </row>
        <row r="54">
          <cell r="A54" t="str">
            <v>7523 ГОВЯЖЬЯ Папа Может вар п/о 0,4кг 6шт. ОСТАНКИНО</v>
          </cell>
          <cell r="B54">
            <v>0.4</v>
          </cell>
        </row>
        <row r="55">
          <cell r="A55" t="str">
            <v>7539 ДОКТОРСКАЯ ГОСТ вар п/о 0,35кг ОСТАНКИНО</v>
          </cell>
          <cell r="B55">
            <v>5.6</v>
          </cell>
          <cell r="C55" t="str">
            <v>матрица</v>
          </cell>
          <cell r="D55">
            <v>17.149999999999999</v>
          </cell>
        </row>
        <row r="56">
          <cell r="A56" t="str">
            <v>7564 Балыковая в/к в/у Останкино Вес  ОСТАНКИНО</v>
          </cell>
          <cell r="B56">
            <v>0.7</v>
          </cell>
        </row>
        <row r="57">
          <cell r="A57" t="str">
            <v>7603 БАЛЫКОВАЯ в/к в/у 0.33кг 8шт. ОСТАНКИНО</v>
          </cell>
          <cell r="B57">
            <v>0.66</v>
          </cell>
        </row>
        <row r="58">
          <cell r="A58" t="str">
            <v>7612 БАЛЫК с/к с/н в/у 1/100 10шт_  ОСТАНКИНО</v>
          </cell>
          <cell r="B58">
            <v>0.4</v>
          </cell>
        </row>
        <row r="59">
          <cell r="A59" t="str">
            <v>7632 ЭКСТРА Папа может вар п/о 0.4кг 8шт_195к  ОСТАНКИНО</v>
          </cell>
          <cell r="B59">
            <v>14.8</v>
          </cell>
          <cell r="C59" t="str">
            <v>матрица</v>
          </cell>
          <cell r="D59">
            <v>108</v>
          </cell>
        </row>
        <row r="60">
          <cell r="A60" t="str">
            <v>7710 КРАКОВСКАЯ ГОСТ п/к н/о мгс 0.3кг  ОСТАНКИНО</v>
          </cell>
          <cell r="B60">
            <v>0.9</v>
          </cell>
        </row>
        <row r="61">
          <cell r="A61" t="str">
            <v>Масло сливочное 72,5 % 180 гр.(10 шт) СЛАВЯНА  Останкино</v>
          </cell>
          <cell r="B61">
            <v>0.54</v>
          </cell>
        </row>
        <row r="62">
          <cell r="A62" t="str">
            <v>Сыр Косичка сырная 45% 100г/8шт Папа Может Останкино</v>
          </cell>
          <cell r="B62">
            <v>1</v>
          </cell>
        </row>
        <row r="63">
          <cell r="A63" t="str">
            <v>Сыр рассольный жирный Чечил 45% 100 гр  ОСТАНКИНО</v>
          </cell>
          <cell r="B63">
            <v>1</v>
          </cell>
        </row>
        <row r="64">
          <cell r="A64" t="str">
            <v>Сыч/Прод Коровино Тильзитер 50% 200г СЗМЖ  ОСТАНКИНО</v>
          </cell>
          <cell r="B64">
            <v>0.2</v>
          </cell>
        </row>
        <row r="65">
          <cell r="B65">
            <v>369.39899999999994</v>
          </cell>
        </row>
      </sheetData>
      <sheetData sheetId="1">
        <row r="1">
          <cell r="A1" t="str">
            <v>Номенклатура</v>
          </cell>
          <cell r="B1" t="str">
            <v>недогруз, кг</v>
          </cell>
          <cell r="C1"/>
          <cell r="D1" t="str">
            <v>Остаток, кг</v>
          </cell>
          <cell r="E1"/>
        </row>
        <row r="2">
          <cell r="A2" t="str">
            <v>Готовая чебупицца курочка по-итальянски 0,25кг ТМ Горячая штучка  ПОКОМ</v>
          </cell>
          <cell r="B2">
            <v>1</v>
          </cell>
        </row>
        <row r="3">
          <cell r="A3" t="str">
            <v>Готовые бельмеши сочные с мясом ТМ Горячая штучка 0,3кг зам  ПОКОМ</v>
          </cell>
          <cell r="B3">
            <v>0.6</v>
          </cell>
        </row>
        <row r="4">
          <cell r="A4" t="str">
            <v>Готовые круггетсы сочные ТМ Горячая штучка флоу пак 0,2кг  ПОКОМ</v>
          </cell>
          <cell r="B4">
            <v>0.6</v>
          </cell>
        </row>
        <row r="5">
          <cell r="A5" t="str">
            <v>Готовые чебупели с ветчиной и сыром 0,24 кг НОВАЯ ТМ Горячая штучка  ПОКОМ</v>
          </cell>
          <cell r="B5">
            <v>20.88</v>
          </cell>
          <cell r="C5" t="str">
            <v>матрица</v>
          </cell>
          <cell r="D5">
            <v>4.08</v>
          </cell>
          <cell r="E5" t="str">
            <v>рост продаж в 1,8 раза</v>
          </cell>
        </row>
        <row r="6">
          <cell r="A6" t="str">
            <v>Готовые чебупели с мясом ТМ Горячая штучка 0,24 кг  ПОКОМ</v>
          </cell>
          <cell r="B6">
            <v>0.48</v>
          </cell>
          <cell r="C6"/>
          <cell r="D6"/>
          <cell r="E6"/>
        </row>
        <row r="7">
          <cell r="A7" t="str">
            <v>Готовые чебупели сочные с мясом 0,24 кг НОВАЯ ТМ Горячая штучка флоу-пак  ПОКОМ</v>
          </cell>
          <cell r="B7">
            <v>2.4</v>
          </cell>
          <cell r="C7" t="str">
            <v>матрица</v>
          </cell>
          <cell r="D7">
            <v>94.56</v>
          </cell>
          <cell r="E7"/>
        </row>
        <row r="8">
          <cell r="A8" t="str">
            <v>Готовые чебупели сочные с мясом 0,48 кг НОВАЯ ТМ Горячая штучка флоу-пак МЕГАпачка  ПОКОМ</v>
          </cell>
          <cell r="B8">
            <v>1.92</v>
          </cell>
          <cell r="C8" t="str">
            <v>матрица</v>
          </cell>
          <cell r="D8">
            <v>168.96</v>
          </cell>
          <cell r="E8"/>
        </row>
        <row r="9">
          <cell r="A9" t="str">
            <v>Готовые чебуреки с мясом ТМ Горячая штучка 0,09 кг флоу-пак ПОКОМ</v>
          </cell>
          <cell r="B9">
            <v>0.18</v>
          </cell>
          <cell r="C9"/>
          <cell r="D9"/>
          <cell r="E9"/>
        </row>
        <row r="10">
          <cell r="A10" t="str">
            <v>Круггетсы с сырным соусом ТМ Горячая штучка ТС Круггетсы флоу-пак 0,2 кг  ПОКОМ</v>
          </cell>
          <cell r="B10">
            <v>1.2</v>
          </cell>
          <cell r="C10" t="str">
            <v>дубль</v>
          </cell>
          <cell r="D10">
            <v>0</v>
          </cell>
          <cell r="E10" t="str">
            <v>продукция оприходована на выведенное скю - "Круггетсы с сырным соусом ТМ Горячая штучка 0,25 кг зам  ПОКОМ" - 87кг</v>
          </cell>
        </row>
        <row r="11">
          <cell r="A11" t="str">
            <v>Наггетсы Нагетосы Сочная курочка со сметаной и зеленью ТМ Горячая штучка флоу-пак 0,25 кг  Поком</v>
          </cell>
          <cell r="B11">
            <v>3</v>
          </cell>
          <cell r="C11" t="str">
            <v>матрица</v>
          </cell>
          <cell r="D11">
            <v>60.75</v>
          </cell>
          <cell r="E11"/>
        </row>
        <row r="12">
          <cell r="A12" t="str">
            <v>Пельмени Бигбули #МЕГАВКУСИЩЕ с сочной грудинкой  ТМ Горячая штучка  флоу-пак сфера 0,7 кг.  Поком</v>
          </cell>
          <cell r="B12">
            <v>0.7</v>
          </cell>
          <cell r="C12"/>
          <cell r="D12"/>
          <cell r="E12"/>
        </row>
        <row r="13">
          <cell r="A13" t="str">
            <v>ХБИ Готовые чебуманы с говядиной 0,28кг ТМ Горячая штучка  ПОКОМ</v>
          </cell>
          <cell r="B13">
            <v>3.36</v>
          </cell>
          <cell r="C13" t="str">
            <v>матрица</v>
          </cell>
          <cell r="D13">
            <v>57.4</v>
          </cell>
          <cell r="E13"/>
        </row>
        <row r="14">
          <cell r="A14" t="str">
            <v>6209 Блинчики с куриным мясом пл. 1/350 зам. ОСТАНКИНО</v>
          </cell>
          <cell r="B14">
            <v>2.1</v>
          </cell>
          <cell r="C14" t="str">
            <v>матрица</v>
          </cell>
          <cell r="D14">
            <v>0</v>
          </cell>
          <cell r="E14" t="str">
            <v>торгуем данным скю в Мариуполе 2-ю неделю</v>
          </cell>
        </row>
        <row r="15">
          <cell r="A15" t="str">
            <v>ХБИ Готовые чебупели с курицей ТМ Горячая штучка (курочка гриль) флоу-пак 0,3 кг  ПОКОМ</v>
          </cell>
          <cell r="B15">
            <v>2.4</v>
          </cell>
          <cell r="C15" t="str">
            <v>матрица</v>
          </cell>
          <cell r="D15">
            <v>25.8</v>
          </cell>
          <cell r="E15"/>
        </row>
        <row r="16">
          <cell r="A16" t="str">
            <v>Хотстеры Васаби-чили ТМ Горячая штучка ТС Хотстеры 0,23кг жареные ПОКОМ</v>
          </cell>
          <cell r="B16">
            <v>0.46</v>
          </cell>
        </row>
        <row r="17">
          <cell r="A17" t="str">
            <v>Чебупицца Пепперони ТМ Горячая штучка ТС Чебупицца 0.25кг зам  ПОКОМ</v>
          </cell>
          <cell r="B17">
            <v>1</v>
          </cell>
        </row>
        <row r="18">
          <cell r="B18">
            <v>42.279999999999994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4893.9210000000012</v>
          </cell>
          <cell r="F5">
            <v>12464.47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40.781999999999996</v>
          </cell>
          <cell r="D6">
            <v>0.52900000000000003</v>
          </cell>
          <cell r="E6">
            <v>3.7519999999999998</v>
          </cell>
          <cell r="F6">
            <v>36.485999999999997</v>
          </cell>
          <cell r="G6">
            <v>1</v>
          </cell>
          <cell r="H6">
            <v>120</v>
          </cell>
          <cell r="I6" t="str">
            <v>матрица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263</v>
          </cell>
          <cell r="D7">
            <v>104</v>
          </cell>
          <cell r="E7">
            <v>106</v>
          </cell>
          <cell r="F7">
            <v>255</v>
          </cell>
          <cell r="G7">
            <v>0.4</v>
          </cell>
          <cell r="H7">
            <v>60</v>
          </cell>
          <cell r="I7" t="str">
            <v>матрица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55.414999999999999</v>
          </cell>
          <cell r="D8">
            <v>48.154000000000003</v>
          </cell>
          <cell r="E8">
            <v>6.45</v>
          </cell>
          <cell r="F8">
            <v>94.631</v>
          </cell>
          <cell r="G8">
            <v>1</v>
          </cell>
          <cell r="H8">
            <v>120</v>
          </cell>
          <cell r="I8" t="str">
            <v>матрица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45</v>
          </cell>
          <cell r="D9">
            <v>165</v>
          </cell>
          <cell r="E9">
            <v>62</v>
          </cell>
          <cell r="F9">
            <v>138</v>
          </cell>
          <cell r="G9">
            <v>0.25</v>
          </cell>
          <cell r="H9">
            <v>120</v>
          </cell>
          <cell r="I9" t="str">
            <v>матрица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186.697</v>
          </cell>
          <cell r="D10">
            <v>76.923000000000002</v>
          </cell>
          <cell r="E10">
            <v>88.691000000000003</v>
          </cell>
          <cell r="F10">
            <v>151.4</v>
          </cell>
          <cell r="G10">
            <v>1</v>
          </cell>
          <cell r="H10">
            <v>60</v>
          </cell>
          <cell r="I10" t="str">
            <v>матрица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100.49299999999999</v>
          </cell>
          <cell r="D11">
            <v>20.315999999999999</v>
          </cell>
          <cell r="E11">
            <v>5.0789999999999997</v>
          </cell>
          <cell r="F11">
            <v>112.488</v>
          </cell>
          <cell r="G11">
            <v>1</v>
          </cell>
          <cell r="H11">
            <v>120</v>
          </cell>
          <cell r="I11" t="str">
            <v>матрица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55.207999999999998</v>
          </cell>
          <cell r="D12">
            <v>48.48</v>
          </cell>
          <cell r="E12">
            <v>13.484</v>
          </cell>
          <cell r="F12">
            <v>80.697999999999993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78.135000000000005</v>
          </cell>
          <cell r="D13">
            <v>301.12700000000001</v>
          </cell>
          <cell r="E13">
            <v>111.48699999999999</v>
          </cell>
          <cell r="F13">
            <v>244.72800000000001</v>
          </cell>
          <cell r="G13">
            <v>1</v>
          </cell>
          <cell r="H13">
            <v>60</v>
          </cell>
          <cell r="I13" t="str">
            <v>матрица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120</v>
          </cell>
          <cell r="D14">
            <v>53</v>
          </cell>
          <cell r="E14">
            <v>73</v>
          </cell>
          <cell r="F14">
            <v>94</v>
          </cell>
          <cell r="G14">
            <v>0.25</v>
          </cell>
          <cell r="H14">
            <v>120</v>
          </cell>
          <cell r="I14" t="str">
            <v>матрица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73.355000000000004</v>
          </cell>
          <cell r="D15">
            <v>74.656000000000006</v>
          </cell>
          <cell r="E15">
            <v>39.536000000000001</v>
          </cell>
          <cell r="F15">
            <v>94.679000000000002</v>
          </cell>
          <cell r="G15">
            <v>1</v>
          </cell>
          <cell r="H15">
            <v>60</v>
          </cell>
          <cell r="I15" t="str">
            <v>матрица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166</v>
          </cell>
          <cell r="D16">
            <v>96</v>
          </cell>
          <cell r="E16">
            <v>65</v>
          </cell>
          <cell r="F16">
            <v>195</v>
          </cell>
          <cell r="G16">
            <v>0.25</v>
          </cell>
          <cell r="H16">
            <v>120</v>
          </cell>
          <cell r="I16" t="str">
            <v>матрица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71</v>
          </cell>
          <cell r="D17">
            <v>100</v>
          </cell>
          <cell r="E17">
            <v>41</v>
          </cell>
          <cell r="F17">
            <v>129</v>
          </cell>
          <cell r="G17">
            <v>0.4</v>
          </cell>
          <cell r="H17">
            <v>60</v>
          </cell>
          <cell r="I17" t="str">
            <v>матрица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144.64699999999999</v>
          </cell>
          <cell r="D18">
            <v>30.42</v>
          </cell>
          <cell r="E18">
            <v>72.620999999999995</v>
          </cell>
          <cell r="F18">
            <v>77.239000000000004</v>
          </cell>
          <cell r="G18">
            <v>1</v>
          </cell>
          <cell r="H18">
            <v>45</v>
          </cell>
          <cell r="I18" t="str">
            <v>матрица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422</v>
          </cell>
          <cell r="D19">
            <v>2</v>
          </cell>
          <cell r="E19">
            <v>42</v>
          </cell>
          <cell r="F19">
            <v>225</v>
          </cell>
          <cell r="G19">
            <v>0.4</v>
          </cell>
          <cell r="H19">
            <v>45</v>
          </cell>
          <cell r="I19" t="str">
            <v>матрица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18.971</v>
          </cell>
          <cell r="D20">
            <v>179.18700000000001</v>
          </cell>
          <cell r="E20">
            <v>47.540999999999997</v>
          </cell>
          <cell r="F20">
            <v>132.976</v>
          </cell>
          <cell r="G20">
            <v>1</v>
          </cell>
          <cell r="H20">
            <v>60</v>
          </cell>
          <cell r="I20" t="str">
            <v>матрица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-8</v>
          </cell>
          <cell r="D21">
            <v>193</v>
          </cell>
          <cell r="E21">
            <v>71</v>
          </cell>
          <cell r="F21">
            <v>105</v>
          </cell>
          <cell r="G21">
            <v>0.22</v>
          </cell>
          <cell r="H21">
            <v>120</v>
          </cell>
          <cell r="I21" t="str">
            <v>матрица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30.6</v>
          </cell>
          <cell r="D22">
            <v>0.59799999999999998</v>
          </cell>
          <cell r="E22">
            <v>8.2379999999999995</v>
          </cell>
          <cell r="F22">
            <v>17.611999999999998</v>
          </cell>
          <cell r="G22">
            <v>1</v>
          </cell>
          <cell r="H22">
            <v>40</v>
          </cell>
          <cell r="I22" t="str">
            <v>матрица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20.440000000000001</v>
          </cell>
          <cell r="D23">
            <v>40.286000000000001</v>
          </cell>
          <cell r="E23">
            <v>28.282</v>
          </cell>
          <cell r="F23">
            <v>22.902999999999999</v>
          </cell>
          <cell r="G23">
            <v>1</v>
          </cell>
          <cell r="H23">
            <v>60</v>
          </cell>
          <cell r="I23" t="str">
            <v>матрица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86</v>
          </cell>
          <cell r="D24">
            <v>320</v>
          </cell>
          <cell r="E24">
            <v>50</v>
          </cell>
          <cell r="F24">
            <v>348</v>
          </cell>
          <cell r="G24">
            <v>0.09</v>
          </cell>
          <cell r="H24">
            <v>60</v>
          </cell>
          <cell r="I24" t="str">
            <v>матрица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136</v>
          </cell>
          <cell r="D25">
            <v>80</v>
          </cell>
          <cell r="E25">
            <v>31</v>
          </cell>
          <cell r="F25">
            <v>178</v>
          </cell>
          <cell r="G25">
            <v>0.09</v>
          </cell>
          <cell r="H25">
            <v>45</v>
          </cell>
          <cell r="I25" t="str">
            <v>матрица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53</v>
          </cell>
          <cell r="D26">
            <v>48</v>
          </cell>
          <cell r="E26">
            <v>7</v>
          </cell>
          <cell r="F26">
            <v>90</v>
          </cell>
          <cell r="G26">
            <v>0.15</v>
          </cell>
          <cell r="H26">
            <v>45</v>
          </cell>
          <cell r="I26" t="str">
            <v>матрица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C27">
            <v>497.26400000000001</v>
          </cell>
          <cell r="D27">
            <v>4.7629999999999999</v>
          </cell>
          <cell r="E27">
            <v>28.756</v>
          </cell>
          <cell r="F27">
            <v>468.50799999999998</v>
          </cell>
          <cell r="G27">
            <v>1</v>
          </cell>
          <cell r="H27">
            <v>45</v>
          </cell>
          <cell r="I27" t="str">
            <v>матрица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7</v>
          </cell>
          <cell r="D28">
            <v>130</v>
          </cell>
          <cell r="E28">
            <v>34</v>
          </cell>
          <cell r="F28">
            <v>95</v>
          </cell>
          <cell r="G28">
            <v>0.4</v>
          </cell>
          <cell r="H28">
            <v>60</v>
          </cell>
          <cell r="I28" t="str">
            <v>матрица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234</v>
          </cell>
          <cell r="D29">
            <v>148</v>
          </cell>
          <cell r="E29">
            <v>151</v>
          </cell>
          <cell r="F29">
            <v>218</v>
          </cell>
          <cell r="G29">
            <v>0.4</v>
          </cell>
          <cell r="H29">
            <v>60</v>
          </cell>
          <cell r="I29" t="str">
            <v>матрица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201</v>
          </cell>
          <cell r="D30">
            <v>195</v>
          </cell>
          <cell r="E30">
            <v>119</v>
          </cell>
          <cell r="F30">
            <v>264</v>
          </cell>
          <cell r="G30">
            <v>0.4</v>
          </cell>
          <cell r="H30">
            <v>60</v>
          </cell>
          <cell r="I30" t="str">
            <v>матрица</v>
          </cell>
        </row>
        <row r="31">
          <cell r="A31" t="str">
            <v>6495 ВЕТЧ.МРАМОРНАЯ в/у срез 0,3кг 6шт_45с  Останкино</v>
          </cell>
          <cell r="B31" t="str">
            <v>шт</v>
          </cell>
          <cell r="C31">
            <v>-19</v>
          </cell>
          <cell r="D31">
            <v>24</v>
          </cell>
          <cell r="E31">
            <v>3</v>
          </cell>
          <cell r="F31">
            <v>-1</v>
          </cell>
          <cell r="G31">
            <v>0</v>
          </cell>
          <cell r="H31">
            <v>45</v>
          </cell>
          <cell r="I31" t="str">
            <v>вывод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143.86199999999999</v>
          </cell>
          <cell r="E32">
            <v>28.388999999999999</v>
          </cell>
          <cell r="F32">
            <v>101.399</v>
          </cell>
          <cell r="G32">
            <v>1</v>
          </cell>
          <cell r="H32">
            <v>60</v>
          </cell>
          <cell r="I32" t="str">
            <v>матрица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59.886000000000003</v>
          </cell>
          <cell r="E33">
            <v>6.335</v>
          </cell>
          <cell r="F33">
            <v>53.551000000000002</v>
          </cell>
          <cell r="G33">
            <v>1</v>
          </cell>
          <cell r="H33">
            <v>45</v>
          </cell>
          <cell r="I33" t="str">
            <v>матрица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76.161000000000001</v>
          </cell>
          <cell r="D34">
            <v>6.3559999999999999</v>
          </cell>
          <cell r="E34">
            <v>8.3810000000000002</v>
          </cell>
          <cell r="F34">
            <v>67.872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6608 С ГОВЯДИНОЙ ОРИГИН. сар б/о мгс 1*3_45с  ОСТАНКИНО</v>
          </cell>
          <cell r="B35" t="str">
            <v>кг</v>
          </cell>
          <cell r="C35">
            <v>59.622</v>
          </cell>
          <cell r="E35">
            <v>4.218</v>
          </cell>
          <cell r="F35">
            <v>53.277000000000001</v>
          </cell>
          <cell r="G35">
            <v>1</v>
          </cell>
          <cell r="H35">
            <v>45</v>
          </cell>
          <cell r="I35" t="str">
            <v>матрица</v>
          </cell>
        </row>
        <row r="36">
          <cell r="A36" t="str">
            <v>6616 МОЛОЧНЫЕ КЛАССИЧЕСКИЕ сос п/о в/у 0,3 кг  Останкино</v>
          </cell>
          <cell r="B36" t="str">
            <v>шт</v>
          </cell>
          <cell r="C36">
            <v>77</v>
          </cell>
          <cell r="D36">
            <v>250</v>
          </cell>
          <cell r="E36">
            <v>31</v>
          </cell>
          <cell r="F36">
            <v>280</v>
          </cell>
          <cell r="G36">
            <v>0.3</v>
          </cell>
          <cell r="H36">
            <v>45</v>
          </cell>
          <cell r="I36" t="str">
            <v>матрица</v>
          </cell>
        </row>
        <row r="37">
          <cell r="A37" t="str">
            <v>6620 РЕБРЫШКИ к/в в/у_30с  Останкино</v>
          </cell>
          <cell r="B37" t="str">
            <v>кг</v>
          </cell>
          <cell r="C37">
            <v>59.79</v>
          </cell>
          <cell r="D37">
            <v>1.1220000000000001</v>
          </cell>
          <cell r="E37">
            <v>7.8040000000000003</v>
          </cell>
          <cell r="F37">
            <v>51.985999999999997</v>
          </cell>
          <cell r="G37">
            <v>1</v>
          </cell>
          <cell r="I37" t="str">
            <v>матрица</v>
          </cell>
        </row>
        <row r="38">
          <cell r="A38" t="str">
            <v>6661 СОЧНЫЙ ГРИЛЬ ПМ сос п/о мгс 1,5*4_Маяк Останкино</v>
          </cell>
          <cell r="B38" t="str">
            <v>кг</v>
          </cell>
          <cell r="C38">
            <v>224.85300000000001</v>
          </cell>
          <cell r="D38">
            <v>4.5810000000000004</v>
          </cell>
          <cell r="E38">
            <v>7.6609999999999996</v>
          </cell>
          <cell r="F38">
            <v>106.752</v>
          </cell>
          <cell r="G38">
            <v>1</v>
          </cell>
          <cell r="H38">
            <v>45</v>
          </cell>
          <cell r="I38" t="str">
            <v>матрица</v>
          </cell>
        </row>
        <row r="39">
          <cell r="A39" t="str">
            <v>6697 СЕРВЕЛАТ ФИНСКИЙ ПМ в/к в/у 0,35кг 8шт  ОСТАНКИНО</v>
          </cell>
          <cell r="B39" t="str">
            <v>шт</v>
          </cell>
          <cell r="C39">
            <v>33</v>
          </cell>
          <cell r="D39">
            <v>559</v>
          </cell>
          <cell r="E39">
            <v>321</v>
          </cell>
          <cell r="F39">
            <v>261</v>
          </cell>
          <cell r="G39">
            <v>0.35</v>
          </cell>
          <cell r="H39">
            <v>45</v>
          </cell>
          <cell r="I39" t="str">
            <v>матрица</v>
          </cell>
        </row>
        <row r="40">
          <cell r="A40" t="str">
            <v>6713 СОЧНЫЙ ГРИЛЬ ПМ сос п/о мгс 0,41кг 8 шт.  ОСТАНКИНО</v>
          </cell>
          <cell r="B40" t="str">
            <v>шт</v>
          </cell>
          <cell r="C40">
            <v>-47</v>
          </cell>
          <cell r="D40">
            <v>91</v>
          </cell>
          <cell r="E40">
            <v>39</v>
          </cell>
          <cell r="G40">
            <v>0</v>
          </cell>
          <cell r="H40">
            <v>45</v>
          </cell>
          <cell r="I40" t="str">
            <v>вывод</v>
          </cell>
        </row>
        <row r="41">
          <cell r="A41" t="str">
            <v>6724 МОЛОЧНЫЕ ПМ сос п/о мгс 0,41кг 10шт  Останкино</v>
          </cell>
          <cell r="B41" t="str">
            <v>шт</v>
          </cell>
          <cell r="C41">
            <v>150</v>
          </cell>
          <cell r="D41">
            <v>62</v>
          </cell>
          <cell r="E41">
            <v>55</v>
          </cell>
          <cell r="F41">
            <v>144</v>
          </cell>
          <cell r="G41">
            <v>0.41</v>
          </cell>
          <cell r="H41">
            <v>45</v>
          </cell>
          <cell r="I41" t="str">
            <v>матрица</v>
          </cell>
        </row>
        <row r="42">
          <cell r="A42" t="str">
            <v>6765 РУБЛЕНЫЕ сос ц/о мгс 0,36кг 6шт  Останкино</v>
          </cell>
          <cell r="B42" t="str">
            <v>шт</v>
          </cell>
          <cell r="C42">
            <v>-2</v>
          </cell>
          <cell r="D42">
            <v>66</v>
          </cell>
          <cell r="F42">
            <v>64</v>
          </cell>
          <cell r="G42">
            <v>0.36</v>
          </cell>
          <cell r="H42">
            <v>45</v>
          </cell>
          <cell r="I42" t="str">
            <v>ротация на код 7520</v>
          </cell>
        </row>
        <row r="43">
          <cell r="A43" t="str">
            <v>6787 СЕРВЕЛАТ КРЕМЛЕВСКИЙ в/к в/у 0,33кг 8шт  Останкино</v>
          </cell>
          <cell r="B43" t="str">
            <v>шт</v>
          </cell>
          <cell r="C43">
            <v>16</v>
          </cell>
          <cell r="D43">
            <v>16</v>
          </cell>
          <cell r="F43">
            <v>32</v>
          </cell>
          <cell r="G43">
            <v>0.33</v>
          </cell>
          <cell r="H43">
            <v>45</v>
          </cell>
          <cell r="I43" t="str">
            <v>матрица</v>
          </cell>
        </row>
        <row r="44">
          <cell r="A44" t="str">
            <v>6797 С ИНДЕЙКОЙ Папа может вар п/о 0,4кг 8шт. ОСТАНКИНО</v>
          </cell>
          <cell r="B44" t="str">
            <v>шт</v>
          </cell>
          <cell r="C44">
            <v>19</v>
          </cell>
          <cell r="D44">
            <v>76</v>
          </cell>
          <cell r="E44">
            <v>30</v>
          </cell>
          <cell r="F44">
            <v>62</v>
          </cell>
          <cell r="G44">
            <v>0.4</v>
          </cell>
          <cell r="H44">
            <v>60</v>
          </cell>
          <cell r="I44" t="str">
            <v>матрица</v>
          </cell>
        </row>
        <row r="45">
          <cell r="A45" t="str">
            <v>6807 СЕРВЕЛАТ ЕВРОПЕЙСКИЙ в/к в/у 0,33кг 8шт  Останкино</v>
          </cell>
          <cell r="B45" t="str">
            <v>шт</v>
          </cell>
          <cell r="C45">
            <v>16</v>
          </cell>
          <cell r="F45">
            <v>16</v>
          </cell>
          <cell r="G45">
            <v>0.33</v>
          </cell>
          <cell r="H45">
            <v>45</v>
          </cell>
          <cell r="I45" t="str">
            <v>матрица</v>
          </cell>
        </row>
        <row r="46">
          <cell r="A46" t="str">
            <v>6829  МОЛОЧНЫЕ КЛАССИЧЕСКИЕ сос п/о мгс 2*4 С  Останккино</v>
          </cell>
          <cell r="B46" t="str">
            <v>кг</v>
          </cell>
          <cell r="C46">
            <v>-8</v>
          </cell>
          <cell r="D46">
            <v>130.84899999999999</v>
          </cell>
          <cell r="E46">
            <v>18.317</v>
          </cell>
          <cell r="F46">
            <v>100.456</v>
          </cell>
          <cell r="G46">
            <v>1</v>
          </cell>
          <cell r="H46">
            <v>45</v>
          </cell>
          <cell r="I46" t="str">
            <v>матрица</v>
          </cell>
        </row>
        <row r="47">
          <cell r="A47" t="str">
            <v>6837 ФИЛЕЙНЫЕ Папа Может сос ц/о мгс 0,4кг  Останкино</v>
          </cell>
          <cell r="B47" t="str">
            <v>шт</v>
          </cell>
          <cell r="C47">
            <v>219</v>
          </cell>
          <cell r="D47">
            <v>30</v>
          </cell>
          <cell r="E47">
            <v>22</v>
          </cell>
          <cell r="F47">
            <v>207</v>
          </cell>
          <cell r="G47">
            <v>0.4</v>
          </cell>
          <cell r="H47">
            <v>45</v>
          </cell>
          <cell r="I47" t="str">
            <v>матрица</v>
          </cell>
        </row>
        <row r="48">
          <cell r="A48" t="str">
            <v>6866 ВЕТЧ.НЕЖНАЯ Коровино п/о_Маяк  Останкино</v>
          </cell>
          <cell r="B48" t="str">
            <v>кг</v>
          </cell>
          <cell r="C48">
            <v>39.07</v>
          </cell>
          <cell r="E48">
            <v>1.5</v>
          </cell>
          <cell r="F48">
            <v>37.57</v>
          </cell>
          <cell r="G48">
            <v>1</v>
          </cell>
          <cell r="H48">
            <v>60</v>
          </cell>
          <cell r="I48" t="str">
            <v>матрица</v>
          </cell>
        </row>
        <row r="49">
          <cell r="A49" t="str">
            <v>6929 КАРБОНАД ДОМАШНИЙ ПМ к/в кр/к в/у  ОСТАНКИНО</v>
          </cell>
          <cell r="B49" t="str">
            <v>кг</v>
          </cell>
          <cell r="C49">
            <v>111.6</v>
          </cell>
          <cell r="D49">
            <v>1.028</v>
          </cell>
          <cell r="E49">
            <v>9.09</v>
          </cell>
          <cell r="F49">
            <v>101.492</v>
          </cell>
          <cell r="G49">
            <v>1</v>
          </cell>
          <cell r="H49">
            <v>45</v>
          </cell>
          <cell r="I49" t="str">
            <v>матрица</v>
          </cell>
        </row>
        <row r="50">
          <cell r="A50" t="str">
            <v>6937 САЛЯМИ Папа может с/к в/у 1/250 8шт  Останкино</v>
          </cell>
          <cell r="B50" t="str">
            <v>шт</v>
          </cell>
          <cell r="C50">
            <v>111</v>
          </cell>
          <cell r="F50">
            <v>111</v>
          </cell>
          <cell r="G50">
            <v>0</v>
          </cell>
          <cell r="I50" t="str">
            <v>не в матрице</v>
          </cell>
        </row>
        <row r="51">
          <cell r="A51" t="str">
            <v>6967 БУРГУНДИЯ Папа может с/к в/у 1/250 8шт  Останкино</v>
          </cell>
          <cell r="B51" t="str">
            <v>шт</v>
          </cell>
          <cell r="C51">
            <v>130</v>
          </cell>
          <cell r="D51">
            <v>1</v>
          </cell>
          <cell r="E51">
            <v>39</v>
          </cell>
          <cell r="F51">
            <v>91</v>
          </cell>
          <cell r="G51">
            <v>0.25</v>
          </cell>
          <cell r="H51">
            <v>120</v>
          </cell>
          <cell r="I51" t="str">
            <v>матрица</v>
          </cell>
        </row>
        <row r="52">
          <cell r="A52" t="str">
            <v>7001 КЛАССИЧЕСКИЕ Папа может сар б/о мгс 1*3  Останкино</v>
          </cell>
          <cell r="B52" t="str">
            <v>кг</v>
          </cell>
          <cell r="C52">
            <v>44.823</v>
          </cell>
          <cell r="E52">
            <v>6.2119999999999997</v>
          </cell>
          <cell r="F52">
            <v>36.520000000000003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7040 С ИНДЕЙКОЙ ПМ сос ц/о в/у 1/270 8шт.  ОСТАНКИНО</v>
          </cell>
          <cell r="B53" t="str">
            <v>шт</v>
          </cell>
          <cell r="C53">
            <v>96</v>
          </cell>
          <cell r="F53">
            <v>96</v>
          </cell>
          <cell r="G53">
            <v>0.27</v>
          </cell>
          <cell r="I53" t="str">
            <v>матрица</v>
          </cell>
        </row>
        <row r="54">
          <cell r="A54" t="str">
            <v>7059 ШПИКАЧКИ СОЧНЫЕ С БЕК. п/о мгс 0,3кг 60с ОСТАНКИНО</v>
          </cell>
          <cell r="B54" t="str">
            <v>шт</v>
          </cell>
          <cell r="C54">
            <v>55</v>
          </cell>
          <cell r="D54">
            <v>18</v>
          </cell>
          <cell r="E54">
            <v>20</v>
          </cell>
          <cell r="F54">
            <v>47</v>
          </cell>
          <cell r="G54">
            <v>0.3</v>
          </cell>
          <cell r="H54">
            <v>60</v>
          </cell>
          <cell r="I54" t="str">
            <v>матрица</v>
          </cell>
        </row>
        <row r="55">
          <cell r="A55" t="str">
            <v>7066 СОЧНЫЕ ПМ сос п/о мгс 0,41кг 10шт 50с  Останкино</v>
          </cell>
          <cell r="B55" t="str">
            <v>шт</v>
          </cell>
          <cell r="C55">
            <v>383</v>
          </cell>
          <cell r="D55">
            <v>509</v>
          </cell>
          <cell r="E55">
            <v>354</v>
          </cell>
          <cell r="F55">
            <v>473</v>
          </cell>
          <cell r="G55">
            <v>0.41</v>
          </cell>
          <cell r="H55">
            <v>50</v>
          </cell>
          <cell r="I55" t="str">
            <v>матрица</v>
          </cell>
        </row>
        <row r="56">
          <cell r="A56" t="str">
            <v>7070 СОЧНЫЕ ПМ сос п/о 1,5*4_А_50с  Останкино</v>
          </cell>
          <cell r="B56" t="str">
            <v>кг</v>
          </cell>
          <cell r="C56">
            <v>65</v>
          </cell>
          <cell r="D56">
            <v>49.204999999999998</v>
          </cell>
          <cell r="E56">
            <v>38.476999999999997</v>
          </cell>
          <cell r="F56">
            <v>69.477999999999994</v>
          </cell>
          <cell r="G56">
            <v>1</v>
          </cell>
          <cell r="H56">
            <v>50</v>
          </cell>
          <cell r="I56" t="str">
            <v>матрица</v>
          </cell>
        </row>
        <row r="57">
          <cell r="A57" t="str">
            <v>7073 МОЛОЧ.ПРЕМИУМ ПМ сос п/о в/у 1/350_50с  Останкино</v>
          </cell>
          <cell r="B57" t="str">
            <v>шт</v>
          </cell>
          <cell r="C57">
            <v>-2</v>
          </cell>
          <cell r="D57">
            <v>333</v>
          </cell>
          <cell r="E57">
            <v>104</v>
          </cell>
          <cell r="F57">
            <v>209</v>
          </cell>
          <cell r="G57">
            <v>0.35</v>
          </cell>
          <cell r="H57">
            <v>50</v>
          </cell>
          <cell r="I57" t="str">
            <v>матрица</v>
          </cell>
        </row>
        <row r="58">
          <cell r="A58" t="str">
            <v>7075 МОЛОЧ.ПРЕМИУМ ПМ сос п/о мгс 1,5*4_О_50с  Останкино</v>
          </cell>
          <cell r="B58" t="str">
            <v>кг</v>
          </cell>
          <cell r="C58">
            <v>6.2690000000000001</v>
          </cell>
          <cell r="F58">
            <v>6.2690000000000001</v>
          </cell>
          <cell r="G58">
            <v>1</v>
          </cell>
          <cell r="H58">
            <v>50</v>
          </cell>
          <cell r="I58" t="str">
            <v>матрица</v>
          </cell>
        </row>
        <row r="59">
          <cell r="A59" t="str">
            <v>7080 СЛИВОЧНЫЕ ПМ сос п/о мгс 0,41кг 10шт 50с  Останкино</v>
          </cell>
          <cell r="B59" t="str">
            <v>шт</v>
          </cell>
          <cell r="C59">
            <v>195</v>
          </cell>
          <cell r="D59">
            <v>654</v>
          </cell>
          <cell r="E59">
            <v>247</v>
          </cell>
          <cell r="F59">
            <v>582</v>
          </cell>
          <cell r="G59">
            <v>0.41</v>
          </cell>
          <cell r="H59">
            <v>50</v>
          </cell>
          <cell r="I59" t="str">
            <v>матрица</v>
          </cell>
        </row>
        <row r="60">
          <cell r="A60" t="str">
            <v>7083 СЛИВОЧНЫЕ ПМ сос п/о мгс 1.5*4_А_50с  ОСТАНКИНО</v>
          </cell>
          <cell r="B60" t="str">
            <v>кг</v>
          </cell>
          <cell r="D60">
            <v>12.544</v>
          </cell>
          <cell r="E60">
            <v>1.571</v>
          </cell>
          <cell r="F60">
            <v>10.973000000000001</v>
          </cell>
          <cell r="G60">
            <v>1</v>
          </cell>
          <cell r="H60">
            <v>50</v>
          </cell>
          <cell r="I60" t="str">
            <v>матрица</v>
          </cell>
        </row>
        <row r="61">
          <cell r="A61" t="str">
            <v>7090 СВИНИНА ПО-ДОМ.к/в мл/к в/у 0,3кг_50с  Останкино</v>
          </cell>
          <cell r="B61" t="str">
            <v>шт</v>
          </cell>
          <cell r="C61">
            <v>223</v>
          </cell>
          <cell r="D61">
            <v>3</v>
          </cell>
          <cell r="E61">
            <v>19</v>
          </cell>
          <cell r="F61">
            <v>203</v>
          </cell>
          <cell r="G61">
            <v>0.3</v>
          </cell>
          <cell r="H61">
            <v>50</v>
          </cell>
          <cell r="I61" t="str">
            <v>матрица</v>
          </cell>
        </row>
        <row r="62">
          <cell r="A62" t="str">
            <v>7092 БЕКОН Папа может с/к с/н в/у 1/140_50с  Останкино</v>
          </cell>
          <cell r="B62" t="str">
            <v>шт</v>
          </cell>
          <cell r="C62">
            <v>-2</v>
          </cell>
          <cell r="F62">
            <v>-2</v>
          </cell>
          <cell r="G62">
            <v>0</v>
          </cell>
          <cell r="I62" t="str">
            <v>не в матрице</v>
          </cell>
        </row>
        <row r="63">
          <cell r="A63" t="str">
            <v>7103 БЕКОН Останкино с/к с/н в/у 1/180_50с  Останкино</v>
          </cell>
          <cell r="B63" t="str">
            <v>шт</v>
          </cell>
          <cell r="C63">
            <v>33</v>
          </cell>
          <cell r="D63">
            <v>90</v>
          </cell>
          <cell r="E63">
            <v>46</v>
          </cell>
          <cell r="F63">
            <v>67</v>
          </cell>
          <cell r="G63">
            <v>0.18</v>
          </cell>
          <cell r="H63">
            <v>50</v>
          </cell>
          <cell r="I63" t="str">
            <v>матрица</v>
          </cell>
        </row>
        <row r="64">
          <cell r="A64" t="str">
            <v>7143 БРАУНШВЕЙГСКАЯ ГОСТ с/к в/у 1/220 8шт.  ОСТАНКИНО</v>
          </cell>
          <cell r="B64" t="str">
            <v>шт</v>
          </cell>
          <cell r="C64">
            <v>8</v>
          </cell>
          <cell r="E64">
            <v>3</v>
          </cell>
          <cell r="F64">
            <v>5</v>
          </cell>
          <cell r="G64">
            <v>0.22</v>
          </cell>
          <cell r="H64">
            <v>120</v>
          </cell>
          <cell r="I64" t="str">
            <v>матрица</v>
          </cell>
        </row>
        <row r="65">
          <cell r="A65" t="str">
            <v>7149 БАЛЫКОВАЯ Коровино п/к в/у 0,84кг_50с  Останкино</v>
          </cell>
          <cell r="B65" t="str">
            <v>кг</v>
          </cell>
          <cell r="G65">
            <v>0</v>
          </cell>
          <cell r="I65" t="str">
            <v>матрица</v>
          </cell>
        </row>
        <row r="66">
          <cell r="A66" t="str">
            <v>7154 СЕРВЕЛАТ ЗЕРНИСТЫЙ ПМ в/к в/у 0,35кг_50с  Останкино</v>
          </cell>
          <cell r="B66" t="str">
            <v>шт</v>
          </cell>
          <cell r="C66">
            <v>192</v>
          </cell>
          <cell r="D66">
            <v>411</v>
          </cell>
          <cell r="E66">
            <v>175</v>
          </cell>
          <cell r="F66">
            <v>386</v>
          </cell>
          <cell r="G66">
            <v>0.35</v>
          </cell>
          <cell r="H66">
            <v>50</v>
          </cell>
          <cell r="I66" t="str">
            <v>матрица</v>
          </cell>
        </row>
        <row r="67">
          <cell r="A67" t="str">
            <v>7156 СЕРВЕЛАТ КОПЧ.НА БУКЕ в/к в/у 0.35кг_50с  ОСТАНКИНО</v>
          </cell>
          <cell r="B67" t="str">
            <v>шт</v>
          </cell>
          <cell r="G67">
            <v>0</v>
          </cell>
          <cell r="I67" t="str">
            <v>матрица</v>
          </cell>
        </row>
        <row r="68">
          <cell r="A68" t="str">
            <v>7157 СЕРВЕЛАТ ЗЕРНИСТЫЙ ПМ в/к в/у_50с  Останкино</v>
          </cell>
          <cell r="B68" t="str">
            <v>кг</v>
          </cell>
          <cell r="C68">
            <v>19.251000000000001</v>
          </cell>
          <cell r="D68">
            <v>54.305999999999997</v>
          </cell>
          <cell r="E68">
            <v>29.812000000000001</v>
          </cell>
          <cell r="F68">
            <v>42.344999999999999</v>
          </cell>
          <cell r="G68">
            <v>1</v>
          </cell>
          <cell r="H68">
            <v>50</v>
          </cell>
          <cell r="I68" t="str">
            <v>матрица</v>
          </cell>
        </row>
        <row r="69">
          <cell r="A69" t="str">
            <v>7166 СЕРВЕЛАТ ОХОТНИЧИЙ ПМ в/к в/у_50с  Останкино</v>
          </cell>
          <cell r="B69" t="str">
            <v>кг</v>
          </cell>
          <cell r="C69">
            <v>55.332000000000001</v>
          </cell>
          <cell r="D69">
            <v>100.82299999999999</v>
          </cell>
          <cell r="E69">
            <v>59.234999999999999</v>
          </cell>
          <cell r="F69">
            <v>73.144000000000005</v>
          </cell>
          <cell r="G69">
            <v>1</v>
          </cell>
          <cell r="H69">
            <v>50</v>
          </cell>
          <cell r="I69" t="str">
            <v>матрица</v>
          </cell>
        </row>
        <row r="70">
          <cell r="A70" t="str">
            <v>7169 СЕРВЕЛАТ ОХОТНИЧИЙ ПМ в/к в/у 0,35кг_50с  Останкино</v>
          </cell>
          <cell r="B70" t="str">
            <v>шт</v>
          </cell>
          <cell r="C70">
            <v>92</v>
          </cell>
          <cell r="D70">
            <v>146</v>
          </cell>
          <cell r="E70">
            <v>101</v>
          </cell>
          <cell r="F70">
            <v>134</v>
          </cell>
          <cell r="G70">
            <v>0.35</v>
          </cell>
          <cell r="H70">
            <v>50</v>
          </cell>
          <cell r="I70" t="str">
            <v>матрица</v>
          </cell>
        </row>
        <row r="71">
          <cell r="A71" t="str">
            <v>7187 ГРУДИНКА ПРЕМИУМ к/в мл/к в/у 0,3кг_50с  Останкино</v>
          </cell>
          <cell r="B71" t="str">
            <v>шт</v>
          </cell>
          <cell r="C71">
            <v>1</v>
          </cell>
          <cell r="D71">
            <v>259</v>
          </cell>
          <cell r="E71">
            <v>60</v>
          </cell>
          <cell r="F71">
            <v>186</v>
          </cell>
          <cell r="G71">
            <v>0.3</v>
          </cell>
          <cell r="H71">
            <v>50</v>
          </cell>
          <cell r="I71" t="str">
            <v>матрица</v>
          </cell>
        </row>
        <row r="72">
          <cell r="A72" t="str">
            <v>7231 КЛАССИЧЕСКАЯ ПМ вар п/о 0,3кг 8 шт_209к  Останкино</v>
          </cell>
          <cell r="B72" t="str">
            <v>шт</v>
          </cell>
          <cell r="C72">
            <v>78</v>
          </cell>
          <cell r="E72">
            <v>10</v>
          </cell>
          <cell r="F72">
            <v>68</v>
          </cell>
          <cell r="G72">
            <v>0.3</v>
          </cell>
          <cell r="H72">
            <v>60</v>
          </cell>
          <cell r="I72" t="str">
            <v>матрица</v>
          </cell>
        </row>
        <row r="73">
          <cell r="A73" t="str">
            <v>7232 БОЯNСКАЯ ПМ п/к в/у 0,28кг 8шт_209к  Останкино</v>
          </cell>
          <cell r="B73" t="str">
            <v>шт</v>
          </cell>
          <cell r="C73">
            <v>4</v>
          </cell>
          <cell r="D73">
            <v>333</v>
          </cell>
          <cell r="E73">
            <v>108</v>
          </cell>
          <cell r="F73">
            <v>204</v>
          </cell>
          <cell r="G73">
            <v>0.28000000000000003</v>
          </cell>
          <cell r="H73">
            <v>50</v>
          </cell>
          <cell r="I73" t="str">
            <v>матрица</v>
          </cell>
        </row>
        <row r="74">
          <cell r="A74" t="str">
            <v>7236 СЕРВЕЛАТ КАРЕЛЬСКИЙ в/к в/у 0,28кг_209к  Останкино</v>
          </cell>
          <cell r="B74" t="str">
            <v>шт</v>
          </cell>
          <cell r="C74">
            <v>239</v>
          </cell>
          <cell r="D74">
            <v>97</v>
          </cell>
          <cell r="E74">
            <v>167</v>
          </cell>
          <cell r="F74">
            <v>166</v>
          </cell>
          <cell r="G74">
            <v>0.28000000000000003</v>
          </cell>
          <cell r="H74">
            <v>45</v>
          </cell>
          <cell r="I74" t="str">
            <v>матрица</v>
          </cell>
        </row>
        <row r="75">
          <cell r="A75" t="str">
            <v>7241 САЛЯМИ Папа может п/к в/у 0,28кг ОСТАНКИНО</v>
          </cell>
          <cell r="B75" t="str">
            <v>шт</v>
          </cell>
          <cell r="C75">
            <v>3</v>
          </cell>
          <cell r="D75">
            <v>460</v>
          </cell>
          <cell r="E75">
            <v>146</v>
          </cell>
          <cell r="F75">
            <v>302</v>
          </cell>
          <cell r="G75">
            <v>0.28000000000000003</v>
          </cell>
          <cell r="H75">
            <v>45</v>
          </cell>
          <cell r="I75" t="str">
            <v>матрица</v>
          </cell>
        </row>
        <row r="76">
          <cell r="A76" t="str">
            <v>7255 МЯСНЫЕ С ГОВЯД.ПМ сос п/о мгс 0.4кг 6шт.  ОСТАНКИНО</v>
          </cell>
          <cell r="B76" t="str">
            <v>шт</v>
          </cell>
          <cell r="C76">
            <v>9</v>
          </cell>
          <cell r="D76">
            <v>712</v>
          </cell>
          <cell r="E76">
            <v>362</v>
          </cell>
          <cell r="F76">
            <v>321</v>
          </cell>
          <cell r="G76">
            <v>0.4</v>
          </cell>
          <cell r="H76">
            <v>50</v>
          </cell>
          <cell r="I76" t="str">
            <v>матрица</v>
          </cell>
        </row>
        <row r="77">
          <cell r="A77" t="str">
            <v>7299 НАБОР ДЛЯ ПИЦЦЫ Папа Может с/к в/у  ОСТАНКИНО</v>
          </cell>
          <cell r="B77" t="str">
            <v>кг</v>
          </cell>
          <cell r="C77">
            <v>87.177999999999997</v>
          </cell>
          <cell r="D77">
            <v>0.73499999999999999</v>
          </cell>
          <cell r="E77">
            <v>3.86</v>
          </cell>
          <cell r="F77">
            <v>83.317999999999998</v>
          </cell>
          <cell r="G77">
            <v>1</v>
          </cell>
          <cell r="H77">
            <v>30</v>
          </cell>
          <cell r="I77" t="str">
            <v>матрица</v>
          </cell>
        </row>
        <row r="78">
          <cell r="A78" t="str">
            <v>7332 БОЯРСКАЯ ПМ п/к в/у 0,28кг ОСТАНКИНО</v>
          </cell>
          <cell r="B78" t="str">
            <v>шт</v>
          </cell>
          <cell r="C78">
            <v>-1</v>
          </cell>
          <cell r="D78">
            <v>1</v>
          </cell>
          <cell r="E78">
            <v>1</v>
          </cell>
          <cell r="F78">
            <v>-1</v>
          </cell>
          <cell r="G78">
            <v>0</v>
          </cell>
          <cell r="I78" t="str">
            <v>не в матрице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197</v>
          </cell>
          <cell r="E79">
            <v>5</v>
          </cell>
          <cell r="F79">
            <v>192</v>
          </cell>
          <cell r="G79">
            <v>0.33800000000000002</v>
          </cell>
          <cell r="H79" t="str">
            <v>3 года</v>
          </cell>
          <cell r="I79" t="str">
            <v>матрица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153</v>
          </cell>
          <cell r="D80">
            <v>1</v>
          </cell>
          <cell r="E80">
            <v>3</v>
          </cell>
          <cell r="F80">
            <v>149</v>
          </cell>
          <cell r="G80">
            <v>0.32500000000000001</v>
          </cell>
          <cell r="H80" t="str">
            <v>3 года</v>
          </cell>
          <cell r="I80" t="str">
            <v>матрица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82</v>
          </cell>
          <cell r="D81">
            <v>122</v>
          </cell>
          <cell r="E81">
            <v>74</v>
          </cell>
          <cell r="F81">
            <v>110</v>
          </cell>
          <cell r="G81">
            <v>0.12</v>
          </cell>
          <cell r="H81">
            <v>60</v>
          </cell>
          <cell r="I81" t="str">
            <v>матрица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40</v>
          </cell>
          <cell r="E82">
            <v>23</v>
          </cell>
          <cell r="F82">
            <v>17</v>
          </cell>
          <cell r="G82">
            <v>0.15</v>
          </cell>
          <cell r="H82">
            <v>90</v>
          </cell>
          <cell r="I82" t="str">
            <v>матрица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30</v>
          </cell>
          <cell r="D83">
            <v>72</v>
          </cell>
          <cell r="E83">
            <v>59</v>
          </cell>
          <cell r="F83">
            <v>34</v>
          </cell>
          <cell r="G83">
            <v>0.15</v>
          </cell>
          <cell r="H83">
            <v>90</v>
          </cell>
          <cell r="I83" t="str">
            <v>матрица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7</v>
          </cell>
          <cell r="D84">
            <v>60</v>
          </cell>
          <cell r="E84">
            <v>17</v>
          </cell>
          <cell r="F84">
            <v>43</v>
          </cell>
          <cell r="G84">
            <v>0.33</v>
          </cell>
          <cell r="H84">
            <v>30</v>
          </cell>
          <cell r="I84" t="str">
            <v>матрица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16</v>
          </cell>
          <cell r="D85">
            <v>2</v>
          </cell>
          <cell r="E85">
            <v>16</v>
          </cell>
          <cell r="G85">
            <v>0.15</v>
          </cell>
          <cell r="H85">
            <v>60</v>
          </cell>
          <cell r="I85" t="str">
            <v>матрица</v>
          </cell>
        </row>
        <row r="86">
          <cell r="A86" t="str">
            <v>7490 СОЧНЫЙ ГРИЛЬ сос ц/о мгс 0.41кг_Даблпак  ОСТАНКИНО</v>
          </cell>
          <cell r="B86" t="str">
            <v>шт</v>
          </cell>
          <cell r="C86">
            <v>267</v>
          </cell>
          <cell r="D86">
            <v>33</v>
          </cell>
          <cell r="E86">
            <v>116</v>
          </cell>
          <cell r="F86">
            <v>133</v>
          </cell>
          <cell r="G86">
            <v>0.41</v>
          </cell>
          <cell r="H86">
            <v>45</v>
          </cell>
          <cell r="I86" t="str">
            <v>матрица</v>
          </cell>
        </row>
        <row r="87">
          <cell r="A87" t="str">
            <v>7512 ЧАЙНАЯ Останкино вар н/о 1*3</v>
          </cell>
          <cell r="B87" t="str">
            <v>кг</v>
          </cell>
          <cell r="D87">
            <v>51.762999999999998</v>
          </cell>
          <cell r="F87">
            <v>51.762999999999998</v>
          </cell>
          <cell r="G87">
            <v>0</v>
          </cell>
          <cell r="I87" t="str">
            <v>РАЗОВО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D88">
            <v>274</v>
          </cell>
          <cell r="E88">
            <v>26</v>
          </cell>
          <cell r="F88">
            <v>234</v>
          </cell>
          <cell r="G88">
            <v>0.26</v>
          </cell>
          <cell r="H88">
            <v>45</v>
          </cell>
          <cell r="I88" t="str">
            <v>матрица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C89">
            <v>30.744</v>
          </cell>
          <cell r="E89">
            <v>30.78</v>
          </cell>
          <cell r="F89">
            <v>-3.5999999999999997E-2</v>
          </cell>
          <cell r="G89">
            <v>1</v>
          </cell>
          <cell r="H89">
            <v>30</v>
          </cell>
          <cell r="I89" t="str">
            <v>матрица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C90">
            <v>176</v>
          </cell>
          <cell r="D90">
            <v>12</v>
          </cell>
          <cell r="E90">
            <v>26</v>
          </cell>
          <cell r="F90">
            <v>153</v>
          </cell>
          <cell r="G90">
            <v>0.31</v>
          </cell>
          <cell r="H90">
            <v>45</v>
          </cell>
          <cell r="I90" t="str">
            <v>матрица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C91">
            <v>32.723999999999997</v>
          </cell>
          <cell r="D91">
            <v>1.544</v>
          </cell>
          <cell r="E91">
            <v>22.462</v>
          </cell>
          <cell r="F91">
            <v>4.3490000000000002</v>
          </cell>
          <cell r="G91">
            <v>1</v>
          </cell>
          <cell r="H91">
            <v>30</v>
          </cell>
          <cell r="I91" t="str">
            <v>матрица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28</v>
          </cell>
          <cell r="D92">
            <v>202</v>
          </cell>
          <cell r="E92">
            <v>84</v>
          </cell>
          <cell r="F92">
            <v>141</v>
          </cell>
          <cell r="G92">
            <v>0.4</v>
          </cell>
          <cell r="H92">
            <v>60</v>
          </cell>
          <cell r="I92" t="str">
            <v>матрица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C93">
            <v>34</v>
          </cell>
          <cell r="E93">
            <v>33</v>
          </cell>
          <cell r="F93">
            <v>1</v>
          </cell>
          <cell r="G93">
            <v>0.35</v>
          </cell>
          <cell r="H93">
            <v>60</v>
          </cell>
          <cell r="I93" t="str">
            <v>матрица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C94">
            <v>85.774000000000001</v>
          </cell>
          <cell r="E94">
            <v>0.51400000000000001</v>
          </cell>
          <cell r="F94">
            <v>83.98</v>
          </cell>
          <cell r="G94">
            <v>1</v>
          </cell>
          <cell r="H94">
            <v>45</v>
          </cell>
          <cell r="I94" t="str">
            <v>матрица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C95">
            <v>19.452999999999999</v>
          </cell>
          <cell r="E95">
            <v>19.385999999999999</v>
          </cell>
          <cell r="F95">
            <v>6.7000000000000004E-2</v>
          </cell>
          <cell r="G95">
            <v>1</v>
          </cell>
          <cell r="H95">
            <v>45</v>
          </cell>
          <cell r="I95" t="str">
            <v>матрица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C96">
            <v>61</v>
          </cell>
          <cell r="D96">
            <v>104</v>
          </cell>
          <cell r="E96">
            <v>18</v>
          </cell>
          <cell r="F96">
            <v>143</v>
          </cell>
          <cell r="G96">
            <v>0.33</v>
          </cell>
          <cell r="H96">
            <v>45</v>
          </cell>
          <cell r="I96" t="str">
            <v>матрица</v>
          </cell>
        </row>
        <row r="97">
          <cell r="A97" t="str">
            <v>7612 БАЛЫК с/к с/н в/у 1/100 10шт_  ОСТАНКИНО</v>
          </cell>
          <cell r="B97" t="str">
            <v>шт</v>
          </cell>
          <cell r="D97">
            <v>90</v>
          </cell>
          <cell r="F97">
            <v>90</v>
          </cell>
          <cell r="G97">
            <v>0</v>
          </cell>
          <cell r="I97" t="str">
            <v>не в матрице</v>
          </cell>
        </row>
        <row r="98">
          <cell r="A98" t="str">
            <v>7613 АРОМАТНАЯ с/к с/н в/у 1/100 10шт_Л10  ОСТАНКИНО</v>
          </cell>
          <cell r="B98" t="str">
            <v>шт</v>
          </cell>
          <cell r="C98">
            <v>9</v>
          </cell>
          <cell r="D98">
            <v>330</v>
          </cell>
          <cell r="E98">
            <v>26</v>
          </cell>
          <cell r="F98">
            <v>293</v>
          </cell>
          <cell r="G98">
            <v>0.1</v>
          </cell>
          <cell r="H98">
            <v>60</v>
          </cell>
          <cell r="I98" t="str">
            <v>матрица</v>
          </cell>
        </row>
        <row r="99">
          <cell r="A99" t="str">
            <v>7616 ЭКСТРА Папа может с/к с/н в/у 1/100_  ОСТАНКИНО</v>
          </cell>
          <cell r="B99" t="str">
            <v>шт</v>
          </cell>
          <cell r="D99">
            <v>530</v>
          </cell>
          <cell r="E99">
            <v>32</v>
          </cell>
          <cell r="F99">
            <v>487</v>
          </cell>
          <cell r="G99">
            <v>0.1</v>
          </cell>
          <cell r="H99">
            <v>60</v>
          </cell>
          <cell r="I99" t="str">
            <v>матрица</v>
          </cell>
        </row>
        <row r="100">
          <cell r="A100" t="str">
            <v>7632 ЭКСТРА Папа может вар п/о 0.4кг 8шт_195к  ОСТАНКИНО</v>
          </cell>
          <cell r="B100" t="str">
            <v>шт</v>
          </cell>
          <cell r="D100">
            <v>579</v>
          </cell>
          <cell r="E100">
            <v>195</v>
          </cell>
          <cell r="F100">
            <v>370</v>
          </cell>
          <cell r="G100">
            <v>0.4</v>
          </cell>
          <cell r="H100">
            <v>60</v>
          </cell>
          <cell r="I100" t="str">
            <v>матрица</v>
          </cell>
        </row>
        <row r="101">
          <cell r="A101" t="str">
            <v>7700 ЛИТОВСКАЯ с/к в/у</v>
          </cell>
          <cell r="B101" t="str">
            <v>кг</v>
          </cell>
          <cell r="D101">
            <v>13.597</v>
          </cell>
          <cell r="F101">
            <v>13.597</v>
          </cell>
          <cell r="G101">
            <v>1</v>
          </cell>
          <cell r="H101">
            <v>120</v>
          </cell>
          <cell r="I101" t="str">
            <v>матрица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C102">
            <v>71</v>
          </cell>
          <cell r="D102">
            <v>41</v>
          </cell>
          <cell r="E102">
            <v>30</v>
          </cell>
          <cell r="F102">
            <v>67</v>
          </cell>
          <cell r="G102">
            <v>0.3</v>
          </cell>
          <cell r="H102">
            <v>45</v>
          </cell>
          <cell r="I102" t="str">
            <v>матрица</v>
          </cell>
        </row>
        <row r="103">
          <cell r="A103" t="str">
            <v>7725 ВЕТ.МРАМОРНАЯ в/у срез 0.3кг 6шт_62  ОСТАНКИНО</v>
          </cell>
          <cell r="B103" t="str">
            <v>шт</v>
          </cell>
          <cell r="C103">
            <v>19</v>
          </cell>
          <cell r="D103">
            <v>99</v>
          </cell>
          <cell r="E103">
            <v>31</v>
          </cell>
          <cell r="F103">
            <v>62</v>
          </cell>
          <cell r="G103">
            <v>0.3</v>
          </cell>
          <cell r="H103">
            <v>62</v>
          </cell>
          <cell r="I103" t="str">
            <v>матрица</v>
          </cell>
        </row>
        <row r="104">
          <cell r="A104" t="str">
            <v>7730 ХОЧУ ВЕТЧ.ИЗ СВ.ОТРУБА мгс 1/100_45с_Л11  ОСТАНКИНО</v>
          </cell>
          <cell r="B104" t="str">
            <v>шт</v>
          </cell>
          <cell r="D104">
            <v>24</v>
          </cell>
          <cell r="E104">
            <v>3</v>
          </cell>
          <cell r="F104">
            <v>19</v>
          </cell>
          <cell r="G104">
            <v>0.1</v>
          </cell>
          <cell r="H104">
            <v>45</v>
          </cell>
          <cell r="I104" t="str">
            <v>матрица</v>
          </cell>
        </row>
        <row r="105">
          <cell r="A105" t="str">
            <v>7731 ХОЧУ ВЕТЧ. МРАМОР. с/н мгс 1/100_45с_Л11  ОСТАНКИНО</v>
          </cell>
          <cell r="B105" t="str">
            <v>шт</v>
          </cell>
          <cell r="E105">
            <v>4</v>
          </cell>
          <cell r="F105">
            <v>-5</v>
          </cell>
          <cell r="G105">
            <v>0.1</v>
          </cell>
          <cell r="H105">
            <v>45</v>
          </cell>
          <cell r="I105" t="str">
            <v>матрица</v>
          </cell>
        </row>
        <row r="106">
          <cell r="A106" t="str">
            <v>7754 ДОМАШНИЙ РЕЦЕПТ Коровино вар п/о_332к</v>
          </cell>
          <cell r="B106" t="str">
            <v>кг</v>
          </cell>
          <cell r="G106">
            <v>0</v>
          </cell>
          <cell r="H106">
            <v>60</v>
          </cell>
          <cell r="I106" t="str">
            <v>матрица</v>
          </cell>
        </row>
        <row r="107">
          <cell r="A107" t="str">
            <v>8014 ДОКТОРСКАЯ ПРЕМИУМ вар п/о(п)    ОСТАНКИНО</v>
          </cell>
          <cell r="B107" t="str">
            <v>кг</v>
          </cell>
          <cell r="G107">
            <v>0</v>
          </cell>
          <cell r="I107" t="str">
            <v>матрица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29.10.2026 - 30.10.2026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ПОКОМ; АСП Мариуполь Останкино; АСП Мариуполь Заморозка; АСП Мариуполь Молоко Оста..." И
Номенклатура В группе из списка "ПОКОМ Логистический Партн...; ООО Останкино-Краснодар; ООО Останкино-Краснодар (...; Останкино КОРОВИНО (ВЕС); Останкино КОРОВИНО (ШТ); Останкино КУМАЧ (ШТ); Останкино Заморозка; Останкино СЫР; Останкино (соусы, майонез..."</v>
          </cell>
        </row>
        <row r="8">
          <cell r="A8" t="str">
            <v>(Вместе)</v>
          </cell>
          <cell r="E8" t="str">
            <v>Ед. изм.</v>
          </cell>
          <cell r="F8" t="str">
            <v>Количество</v>
          </cell>
          <cell r="K8" t="str">
            <v>Вес (нетто), кг</v>
          </cell>
        </row>
        <row r="9">
          <cell r="A9" t="str">
            <v>Номенклатура</v>
          </cell>
          <cell r="F9" t="str">
            <v>Начальный остаток</v>
          </cell>
          <cell r="H9" t="str">
            <v>Приход</v>
          </cell>
          <cell r="I9" t="str">
            <v>Расход</v>
          </cell>
          <cell r="J9" t="str">
            <v>Конечный остаток</v>
          </cell>
          <cell r="K9" t="str">
            <v>Начальный остаток</v>
          </cell>
          <cell r="L9" t="str">
            <v>Приход</v>
          </cell>
          <cell r="M9" t="str">
            <v>Расход</v>
          </cell>
          <cell r="N9" t="str">
            <v>Конечный остаток</v>
          </cell>
        </row>
        <row r="10">
          <cell r="A10" t="str">
            <v xml:space="preserve"> 005  Колбаса Докторская ГОСТ, Вязанка вектор,ВЕС. ПОКОМ</v>
          </cell>
          <cell r="E10" t="str">
            <v>кг</v>
          </cell>
          <cell r="F10">
            <v>118.34399999999999</v>
          </cell>
          <cell r="H10">
            <v>18.917999999999999</v>
          </cell>
          <cell r="I10">
            <v>13.34</v>
          </cell>
          <cell r="J10">
            <v>123.922</v>
          </cell>
          <cell r="K10">
            <v>118.34399999999999</v>
          </cell>
          <cell r="L10">
            <v>18.917999999999999</v>
          </cell>
          <cell r="M10">
            <v>13.34</v>
          </cell>
          <cell r="N10">
            <v>123.922</v>
          </cell>
        </row>
        <row r="11">
          <cell r="A11" t="str">
            <v xml:space="preserve"> 016  Сосиски Вязанка Молочные, Вязанка вискофан  ВЕС.ПОКОМ</v>
          </cell>
          <cell r="E11" t="str">
            <v>кг</v>
          </cell>
          <cell r="F11">
            <v>17.635999999999999</v>
          </cell>
          <cell r="I11">
            <v>16.343</v>
          </cell>
          <cell r="J11">
            <v>1.2929999999999999</v>
          </cell>
          <cell r="K11">
            <v>17.635999999999999</v>
          </cell>
          <cell r="M11">
            <v>16.343</v>
          </cell>
          <cell r="N11">
            <v>1.2929999999999999</v>
          </cell>
        </row>
        <row r="12">
          <cell r="A12" t="str">
            <v xml:space="preserve"> 017  Сосиски Вязанка Сливочные, Вязанка амицел ВЕС.ПОКОМ</v>
          </cell>
          <cell r="E12" t="str">
            <v>кг</v>
          </cell>
          <cell r="F12">
            <v>-10.33</v>
          </cell>
          <cell r="H12">
            <v>16.108000000000001</v>
          </cell>
          <cell r="I12">
            <v>2.6680000000000001</v>
          </cell>
          <cell r="J12">
            <v>3.11</v>
          </cell>
          <cell r="K12">
            <v>-10.33</v>
          </cell>
          <cell r="L12">
            <v>16.108000000000001</v>
          </cell>
          <cell r="M12">
            <v>2.6680000000000001</v>
          </cell>
          <cell r="N12">
            <v>3.11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E13" t="str">
            <v>шт</v>
          </cell>
          <cell r="F13">
            <v>258</v>
          </cell>
          <cell r="H13">
            <v>7</v>
          </cell>
          <cell r="I13">
            <v>99</v>
          </cell>
          <cell r="J13">
            <v>166</v>
          </cell>
          <cell r="K13">
            <v>116.1</v>
          </cell>
          <cell r="L13">
            <v>3.15</v>
          </cell>
          <cell r="M13">
            <v>44.55</v>
          </cell>
          <cell r="N13">
            <v>74.7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E14" t="str">
            <v>шт</v>
          </cell>
          <cell r="F14">
            <v>194</v>
          </cell>
          <cell r="H14">
            <v>1</v>
          </cell>
          <cell r="I14">
            <v>3</v>
          </cell>
          <cell r="J14">
            <v>192</v>
          </cell>
          <cell r="K14">
            <v>87.3</v>
          </cell>
          <cell r="L14">
            <v>0.45</v>
          </cell>
          <cell r="M14">
            <v>1.35</v>
          </cell>
          <cell r="N14">
            <v>86.4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E15" t="str">
            <v>шт</v>
          </cell>
          <cell r="F15">
            <v>244</v>
          </cell>
          <cell r="I15">
            <v>10</v>
          </cell>
          <cell r="J15">
            <v>234</v>
          </cell>
          <cell r="K15">
            <v>41.48</v>
          </cell>
          <cell r="M15">
            <v>1.7</v>
          </cell>
          <cell r="N15">
            <v>39.78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E16" t="str">
            <v>шт</v>
          </cell>
          <cell r="F16">
            <v>9</v>
          </cell>
          <cell r="H16">
            <v>24</v>
          </cell>
          <cell r="I16">
            <v>6</v>
          </cell>
          <cell r="J16">
            <v>27</v>
          </cell>
          <cell r="K16">
            <v>2.7</v>
          </cell>
          <cell r="L16">
            <v>7.2</v>
          </cell>
          <cell r="M16">
            <v>1.8</v>
          </cell>
          <cell r="N16">
            <v>8.1</v>
          </cell>
        </row>
        <row r="17">
          <cell r="A17" t="str">
            <v xml:space="preserve"> 083  Колбаса Швейцарская 0,17 кг., ШТ., сырокопченая   ПОКОМ</v>
          </cell>
          <cell r="E17" t="str">
            <v>шт</v>
          </cell>
          <cell r="F17">
            <v>229</v>
          </cell>
          <cell r="I17">
            <v>14</v>
          </cell>
          <cell r="J17">
            <v>215</v>
          </cell>
          <cell r="K17">
            <v>38.93</v>
          </cell>
          <cell r="M17">
            <v>2.38</v>
          </cell>
          <cell r="N17">
            <v>36.549999999999997</v>
          </cell>
        </row>
        <row r="18">
          <cell r="A18" t="str">
            <v xml:space="preserve"> 200  Ветчина Дугушка ТМ Стародворье, вектор в/у    ПОКОМ</v>
          </cell>
          <cell r="E18" t="str">
            <v>кг</v>
          </cell>
          <cell r="F18">
            <v>504.274</v>
          </cell>
          <cell r="H18">
            <v>202.50800000000001</v>
          </cell>
          <cell r="I18">
            <v>25.501000000000001</v>
          </cell>
          <cell r="J18">
            <v>681.28099999999995</v>
          </cell>
          <cell r="K18">
            <v>504.274</v>
          </cell>
          <cell r="L18">
            <v>202.50800000000001</v>
          </cell>
          <cell r="M18">
            <v>25.501000000000001</v>
          </cell>
          <cell r="N18">
            <v>681.28099999999995</v>
          </cell>
        </row>
        <row r="19">
          <cell r="A19" t="str">
            <v xml:space="preserve"> 201  Ветчина Нежная ТМ Особый рецепт, (2,5кг), ПОКОМ</v>
          </cell>
          <cell r="E19" t="str">
            <v>кг</v>
          </cell>
          <cell r="F19">
            <v>225.69200000000001</v>
          </cell>
          <cell r="H19">
            <v>783.09900000000005</v>
          </cell>
          <cell r="I19">
            <v>91.778000000000006</v>
          </cell>
          <cell r="J19">
            <v>917.01300000000003</v>
          </cell>
          <cell r="K19">
            <v>225.69200000000001</v>
          </cell>
          <cell r="L19">
            <v>783.09900000000005</v>
          </cell>
          <cell r="M19">
            <v>91.778000000000006</v>
          </cell>
          <cell r="N19">
            <v>917.01300000000003</v>
          </cell>
        </row>
        <row r="20">
          <cell r="A20" t="str">
            <v xml:space="preserve"> 215  Колбаса Докторская ГОСТ Дугушка, ВЕС, ТМ Стародворье ПОКОМ</v>
          </cell>
          <cell r="E20" t="str">
            <v>кг</v>
          </cell>
          <cell r="F20">
            <v>77.912000000000006</v>
          </cell>
          <cell r="H20">
            <v>7.9560000000000004</v>
          </cell>
          <cell r="I20">
            <v>3.5430000000000001</v>
          </cell>
          <cell r="J20">
            <v>82.325000000000003</v>
          </cell>
          <cell r="K20">
            <v>77.912000000000006</v>
          </cell>
          <cell r="L20">
            <v>7.9560000000000004</v>
          </cell>
          <cell r="M20">
            <v>3.5430000000000001</v>
          </cell>
          <cell r="N20">
            <v>82.325000000000003</v>
          </cell>
        </row>
        <row r="21">
          <cell r="A21" t="str">
            <v xml:space="preserve"> 225  Колбаса Дугушка со шпиком, ВЕС, ТМ Стародворье   ПОКОМ</v>
          </cell>
          <cell r="E21" t="str">
            <v>кг</v>
          </cell>
          <cell r="F21">
            <v>62.625</v>
          </cell>
          <cell r="H21">
            <v>10.529</v>
          </cell>
          <cell r="I21">
            <v>4.4729999999999999</v>
          </cell>
          <cell r="J21">
            <v>68.680999999999997</v>
          </cell>
          <cell r="K21">
            <v>62.625</v>
          </cell>
          <cell r="L21">
            <v>10.529</v>
          </cell>
          <cell r="M21">
            <v>4.4729999999999999</v>
          </cell>
          <cell r="N21">
            <v>68.680999999999997</v>
          </cell>
        </row>
        <row r="22">
          <cell r="A22" t="str">
            <v xml:space="preserve"> 226  Колбаса Княжеская, с/к белков.обол в термоусад. пакете, ВЕС, ТМ Стародворье ПОКОМ</v>
          </cell>
          <cell r="E22" t="str">
            <v>кг</v>
          </cell>
          <cell r="F22">
            <v>65.655000000000001</v>
          </cell>
          <cell r="I22">
            <v>0.34300000000000003</v>
          </cell>
          <cell r="J22">
            <v>65.311999999999998</v>
          </cell>
          <cell r="K22">
            <v>65.655000000000001</v>
          </cell>
          <cell r="M22">
            <v>0.34300000000000003</v>
          </cell>
          <cell r="N22">
            <v>65.311999999999998</v>
          </cell>
        </row>
        <row r="23">
          <cell r="A23" t="str">
            <v xml:space="preserve"> 229  Колбаса Молочная Дугушка, в/у, ВЕС, ТМ Стародворье   ПОКОМ</v>
          </cell>
          <cell r="E23" t="str">
            <v>кг</v>
          </cell>
          <cell r="F23">
            <v>269.08600000000001</v>
          </cell>
          <cell r="H23">
            <v>208.70400000000001</v>
          </cell>
          <cell r="I23">
            <v>22.951000000000001</v>
          </cell>
          <cell r="J23">
            <v>454.839</v>
          </cell>
          <cell r="K23">
            <v>269.08600000000001</v>
          </cell>
          <cell r="L23">
            <v>208.70400000000001</v>
          </cell>
          <cell r="M23">
            <v>22.951000000000001</v>
          </cell>
          <cell r="N23">
            <v>454.839</v>
          </cell>
        </row>
        <row r="24">
          <cell r="A24" t="str">
            <v xml:space="preserve"> 230  Колбаса Молочная Особая ТМ Особый рецепт, п/а, ВЕС. ПОКОМ</v>
          </cell>
          <cell r="E24" t="str">
            <v>кг</v>
          </cell>
          <cell r="F24">
            <v>-2.4980000000000002</v>
          </cell>
          <cell r="J24">
            <v>-2.4980000000000002</v>
          </cell>
          <cell r="K24">
            <v>-2.4980000000000002</v>
          </cell>
          <cell r="N24">
            <v>-2.4980000000000002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E25" t="str">
            <v>кг</v>
          </cell>
          <cell r="F25">
            <v>90.998999999999995</v>
          </cell>
          <cell r="H25">
            <v>2.6339999999999999</v>
          </cell>
          <cell r="I25">
            <v>12.241</v>
          </cell>
          <cell r="J25">
            <v>81.391999999999996</v>
          </cell>
          <cell r="K25">
            <v>90.998999999999995</v>
          </cell>
          <cell r="L25">
            <v>2.6339999999999999</v>
          </cell>
          <cell r="M25">
            <v>12.241</v>
          </cell>
          <cell r="N25">
            <v>81.391999999999996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E26" t="str">
            <v>кг</v>
          </cell>
          <cell r="F26">
            <v>288.73500000000001</v>
          </cell>
          <cell r="H26">
            <v>305.24</v>
          </cell>
          <cell r="I26">
            <v>14.911</v>
          </cell>
          <cell r="J26">
            <v>579.06399999999996</v>
          </cell>
          <cell r="K26">
            <v>288.73500000000001</v>
          </cell>
          <cell r="L26">
            <v>305.24</v>
          </cell>
          <cell r="M26">
            <v>14.911</v>
          </cell>
          <cell r="N26">
            <v>579.06399999999996</v>
          </cell>
        </row>
        <row r="27">
          <cell r="A27" t="str">
            <v xml:space="preserve"> 240  Колбаса Салями охотничья, ВЕС. ПОКОМ</v>
          </cell>
          <cell r="E27" t="str">
            <v>кг</v>
          </cell>
          <cell r="F27">
            <v>41.787999999999997</v>
          </cell>
          <cell r="I27">
            <v>0.70299999999999996</v>
          </cell>
          <cell r="J27">
            <v>41.085000000000001</v>
          </cell>
          <cell r="K27">
            <v>41.787999999999997</v>
          </cell>
          <cell r="M27">
            <v>0.70299999999999996</v>
          </cell>
          <cell r="N27">
            <v>41.085000000000001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E28" t="str">
            <v>кг</v>
          </cell>
          <cell r="F28">
            <v>300.87799999999999</v>
          </cell>
          <cell r="H28">
            <v>262.5</v>
          </cell>
          <cell r="I28">
            <v>20.692</v>
          </cell>
          <cell r="J28">
            <v>542.68600000000004</v>
          </cell>
          <cell r="K28">
            <v>300.87799999999999</v>
          </cell>
          <cell r="L28">
            <v>262.5</v>
          </cell>
          <cell r="M28">
            <v>20.692</v>
          </cell>
          <cell r="N28">
            <v>542.68600000000004</v>
          </cell>
        </row>
        <row r="29">
          <cell r="A29" t="str">
            <v xml:space="preserve"> 247  Сардельки Нежные, ВЕС.  ПОКОМ</v>
          </cell>
          <cell r="E29" t="str">
            <v>кг</v>
          </cell>
          <cell r="F29">
            <v>52.485999999999997</v>
          </cell>
          <cell r="I29">
            <v>1.452</v>
          </cell>
          <cell r="J29">
            <v>51.033999999999999</v>
          </cell>
          <cell r="K29">
            <v>52.485999999999997</v>
          </cell>
          <cell r="M29">
            <v>1.452</v>
          </cell>
          <cell r="N29">
            <v>51.033999999999999</v>
          </cell>
        </row>
        <row r="30">
          <cell r="A30" t="str">
            <v xml:space="preserve"> 248  Сардельки Сочные ТМ Особый рецепт,   ПОКОМ</v>
          </cell>
          <cell r="E30" t="str">
            <v>кг</v>
          </cell>
          <cell r="F30">
            <v>35.011000000000003</v>
          </cell>
          <cell r="I30">
            <v>2.895</v>
          </cell>
          <cell r="J30">
            <v>32.116</v>
          </cell>
          <cell r="K30">
            <v>35.011000000000003</v>
          </cell>
          <cell r="M30">
            <v>2.895</v>
          </cell>
          <cell r="N30">
            <v>32.116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E31" t="str">
            <v>кг</v>
          </cell>
          <cell r="F31">
            <v>267.57799999999997</v>
          </cell>
          <cell r="H31">
            <v>1.341</v>
          </cell>
          <cell r="I31">
            <v>16.123999999999999</v>
          </cell>
          <cell r="J31">
            <v>252.79499999999999</v>
          </cell>
          <cell r="K31">
            <v>267.57799999999997</v>
          </cell>
          <cell r="L31">
            <v>1.341</v>
          </cell>
          <cell r="M31">
            <v>16.123999999999999</v>
          </cell>
          <cell r="N31">
            <v>252.79499999999999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E32" t="str">
            <v>кг</v>
          </cell>
          <cell r="F32">
            <v>334.76499999999999</v>
          </cell>
          <cell r="I32">
            <v>25.867999999999999</v>
          </cell>
          <cell r="J32">
            <v>308.89699999999999</v>
          </cell>
          <cell r="K32">
            <v>334.76499999999999</v>
          </cell>
          <cell r="M32">
            <v>25.867999999999999</v>
          </cell>
          <cell r="N32">
            <v>308.89699999999999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E33" t="str">
            <v>кг</v>
          </cell>
          <cell r="F33">
            <v>36.276000000000003</v>
          </cell>
          <cell r="I33">
            <v>2.93</v>
          </cell>
          <cell r="J33">
            <v>33.345999999999997</v>
          </cell>
          <cell r="K33">
            <v>36.276000000000003</v>
          </cell>
          <cell r="M33">
            <v>2.93</v>
          </cell>
          <cell r="N33">
            <v>33.345999999999997</v>
          </cell>
        </row>
        <row r="34">
          <cell r="A34" t="str">
            <v xml:space="preserve"> 265  Колбаса Балыкбургская, ВЕС, ТМ Баварушка  ПОКОМ</v>
          </cell>
          <cell r="E34" t="str">
            <v>кг</v>
          </cell>
          <cell r="F34">
            <v>167.40600000000001</v>
          </cell>
          <cell r="I34">
            <v>0.90700000000000003</v>
          </cell>
          <cell r="J34">
            <v>166.499</v>
          </cell>
          <cell r="K34">
            <v>167.40600000000001</v>
          </cell>
          <cell r="M34">
            <v>0.90700000000000003</v>
          </cell>
          <cell r="N34">
            <v>166.499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E35" t="str">
            <v>кг</v>
          </cell>
          <cell r="F35">
            <v>66.771000000000001</v>
          </cell>
          <cell r="J35">
            <v>66.771000000000001</v>
          </cell>
          <cell r="K35">
            <v>66.771000000000001</v>
          </cell>
          <cell r="N35">
            <v>66.771000000000001</v>
          </cell>
        </row>
        <row r="36">
          <cell r="A36" t="str">
            <v xml:space="preserve"> 273  Сосиски Сочинки с сочной грудинкой, МГС 0.4кг,   ПОКОМ</v>
          </cell>
          <cell r="E36" t="str">
            <v>шт</v>
          </cell>
          <cell r="F36">
            <v>-109</v>
          </cell>
          <cell r="H36">
            <v>876</v>
          </cell>
          <cell r="I36">
            <v>57</v>
          </cell>
          <cell r="J36">
            <v>710</v>
          </cell>
          <cell r="K36">
            <v>-43.6</v>
          </cell>
          <cell r="L36">
            <v>350.4</v>
          </cell>
          <cell r="M36">
            <v>22.8</v>
          </cell>
          <cell r="N36">
            <v>284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E37" t="str">
            <v>шт</v>
          </cell>
          <cell r="F37">
            <v>132</v>
          </cell>
          <cell r="H37">
            <v>30</v>
          </cell>
          <cell r="I37">
            <v>2</v>
          </cell>
          <cell r="J37">
            <v>160</v>
          </cell>
          <cell r="K37">
            <v>59.4</v>
          </cell>
          <cell r="L37">
            <v>13.5</v>
          </cell>
          <cell r="M37">
            <v>0.9</v>
          </cell>
          <cell r="N37">
            <v>72</v>
          </cell>
        </row>
        <row r="38">
          <cell r="A38" t="str">
            <v xml:space="preserve"> 278  Сосиски Сочинки с сочным окороком, МГС 0.4кг,   ПОКОМ</v>
          </cell>
          <cell r="E38" t="str">
            <v>шт</v>
          </cell>
          <cell r="F38">
            <v>110</v>
          </cell>
          <cell r="H38">
            <v>362</v>
          </cell>
          <cell r="I38">
            <v>49</v>
          </cell>
          <cell r="J38">
            <v>423</v>
          </cell>
          <cell r="K38">
            <v>44</v>
          </cell>
          <cell r="L38">
            <v>144.80000000000001</v>
          </cell>
          <cell r="M38">
            <v>19.600000000000001</v>
          </cell>
          <cell r="N38">
            <v>169.2</v>
          </cell>
        </row>
        <row r="39">
          <cell r="A39" t="str">
            <v xml:space="preserve"> 281  Сосиски Молочные для завтрака ТМ Особый рецепт, 0,4кг  ПОКОМ</v>
          </cell>
          <cell r="E39" t="str">
            <v>шт</v>
          </cell>
          <cell r="F39">
            <v>129</v>
          </cell>
          <cell r="I39">
            <v>4</v>
          </cell>
          <cell r="J39">
            <v>125</v>
          </cell>
          <cell r="K39">
            <v>51.6</v>
          </cell>
          <cell r="M39">
            <v>1.6</v>
          </cell>
          <cell r="N39">
            <v>50</v>
          </cell>
        </row>
        <row r="40">
          <cell r="A40" t="str">
            <v xml:space="preserve"> 283  Сосиски Сочинки, ВЕС, ТМ Стародворье ПОКОМ</v>
          </cell>
          <cell r="E40" t="str">
            <v>кг</v>
          </cell>
          <cell r="F40">
            <v>28.18</v>
          </cell>
          <cell r="I40">
            <v>1.405</v>
          </cell>
          <cell r="J40">
            <v>26.774999999999999</v>
          </cell>
          <cell r="K40">
            <v>28.18</v>
          </cell>
          <cell r="M40">
            <v>1.405</v>
          </cell>
          <cell r="N40">
            <v>26.774999999999999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E41" t="str">
            <v>шт</v>
          </cell>
          <cell r="F41">
            <v>173</v>
          </cell>
          <cell r="I41">
            <v>4</v>
          </cell>
          <cell r="J41">
            <v>169</v>
          </cell>
          <cell r="K41">
            <v>17.3</v>
          </cell>
          <cell r="M41">
            <v>0.4</v>
          </cell>
          <cell r="N41">
            <v>16.899999999999999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E42" t="str">
            <v>шт</v>
          </cell>
          <cell r="F42">
            <v>174</v>
          </cell>
          <cell r="I42">
            <v>5</v>
          </cell>
          <cell r="J42">
            <v>169</v>
          </cell>
          <cell r="K42">
            <v>60.9</v>
          </cell>
          <cell r="M42">
            <v>1.75</v>
          </cell>
          <cell r="N42">
            <v>59.15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E43" t="str">
            <v>кг</v>
          </cell>
          <cell r="F43">
            <v>124.166</v>
          </cell>
          <cell r="H43">
            <v>21.45</v>
          </cell>
          <cell r="I43">
            <v>2.1789999999999998</v>
          </cell>
          <cell r="J43">
            <v>143.43700000000001</v>
          </cell>
          <cell r="K43">
            <v>124.166</v>
          </cell>
          <cell r="L43">
            <v>21.45</v>
          </cell>
          <cell r="M43">
            <v>2.1789999999999998</v>
          </cell>
          <cell r="N43">
            <v>143.43700000000001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E44" t="str">
            <v>шт</v>
          </cell>
          <cell r="F44">
            <v>157</v>
          </cell>
          <cell r="H44">
            <v>25</v>
          </cell>
          <cell r="I44">
            <v>1</v>
          </cell>
          <cell r="J44">
            <v>181</v>
          </cell>
          <cell r="K44">
            <v>62.8</v>
          </cell>
          <cell r="L44">
            <v>10</v>
          </cell>
          <cell r="M44">
            <v>0.4</v>
          </cell>
          <cell r="N44">
            <v>72.400000000000006</v>
          </cell>
        </row>
        <row r="45">
          <cell r="A45" t="str">
            <v xml:space="preserve"> 302  Сосиски Сочинки по-баварски,  0.4кг, ТМ Стародворье  ПОКОМ</v>
          </cell>
          <cell r="E45" t="str">
            <v>шт</v>
          </cell>
          <cell r="F45">
            <v>283</v>
          </cell>
          <cell r="H45">
            <v>2</v>
          </cell>
          <cell r="I45">
            <v>6</v>
          </cell>
          <cell r="J45">
            <v>279</v>
          </cell>
          <cell r="K45">
            <v>113.2</v>
          </cell>
          <cell r="L45">
            <v>0.8</v>
          </cell>
          <cell r="M45">
            <v>2.4</v>
          </cell>
          <cell r="N45">
            <v>111.6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E46" t="str">
            <v>кг</v>
          </cell>
          <cell r="F46">
            <v>149.971</v>
          </cell>
          <cell r="H46">
            <v>74.63</v>
          </cell>
          <cell r="I46">
            <v>2.1749999999999998</v>
          </cell>
          <cell r="J46">
            <v>222.42599999999999</v>
          </cell>
          <cell r="K46">
            <v>149.971</v>
          </cell>
          <cell r="L46">
            <v>74.63</v>
          </cell>
          <cell r="M46">
            <v>2.1749999999999998</v>
          </cell>
          <cell r="N46">
            <v>222.42599999999999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E47" t="str">
            <v>шт</v>
          </cell>
          <cell r="F47">
            <v>142</v>
          </cell>
          <cell r="H47">
            <v>2</v>
          </cell>
          <cell r="I47">
            <v>4</v>
          </cell>
          <cell r="J47">
            <v>140</v>
          </cell>
          <cell r="K47">
            <v>49.7</v>
          </cell>
          <cell r="L47">
            <v>0.7</v>
          </cell>
          <cell r="M47">
            <v>1.4</v>
          </cell>
          <cell r="N47">
            <v>49</v>
          </cell>
        </row>
        <row r="48">
          <cell r="A48" t="str">
            <v xml:space="preserve"> 309  Сосиски Сочинки с сыром 0,4 кг ТМ Стародворье  ПОКОМ</v>
          </cell>
          <cell r="E48" t="str">
            <v>шт</v>
          </cell>
          <cell r="F48">
            <v>82</v>
          </cell>
          <cell r="H48">
            <v>152</v>
          </cell>
          <cell r="I48">
            <v>6</v>
          </cell>
          <cell r="J48">
            <v>228</v>
          </cell>
          <cell r="K48">
            <v>32.799999999999997</v>
          </cell>
          <cell r="L48">
            <v>60.8</v>
          </cell>
          <cell r="M48">
            <v>2.4</v>
          </cell>
          <cell r="N48">
            <v>91.2</v>
          </cell>
        </row>
        <row r="49">
          <cell r="A49" t="str">
            <v xml:space="preserve"> 312  Ветчина Филейская ВЕС ТМ  Вязанка ТС Столичная  ПОКОМ</v>
          </cell>
          <cell r="E49" t="str">
            <v>кг</v>
          </cell>
          <cell r="F49">
            <v>119.58499999999999</v>
          </cell>
          <cell r="H49">
            <v>33.93</v>
          </cell>
          <cell r="I49">
            <v>8.1419999999999995</v>
          </cell>
          <cell r="J49">
            <v>145.37299999999999</v>
          </cell>
          <cell r="K49">
            <v>119.58499999999999</v>
          </cell>
          <cell r="L49">
            <v>33.93</v>
          </cell>
          <cell r="M49">
            <v>8.1419999999999995</v>
          </cell>
          <cell r="N49">
            <v>145.37299999999999</v>
          </cell>
        </row>
        <row r="50">
          <cell r="A50" t="str">
            <v xml:space="preserve"> 315  Колбаса вареная Молокуша ТМ Вязанка ВЕС, ПОКОМ</v>
          </cell>
          <cell r="E50" t="str">
            <v>кг</v>
          </cell>
          <cell r="F50">
            <v>223.012</v>
          </cell>
          <cell r="H50">
            <v>1.381</v>
          </cell>
          <cell r="I50">
            <v>8.25</v>
          </cell>
          <cell r="J50">
            <v>216.143</v>
          </cell>
          <cell r="K50">
            <v>223.012</v>
          </cell>
          <cell r="L50">
            <v>1.381</v>
          </cell>
          <cell r="M50">
            <v>8.25</v>
          </cell>
          <cell r="N50">
            <v>216.143</v>
          </cell>
        </row>
        <row r="51">
          <cell r="A51" t="str">
            <v xml:space="preserve"> 318  Сосиски Датские ТМ Зареченские, ВЕС  ПОКОМ</v>
          </cell>
          <cell r="E51" t="str">
            <v>кг</v>
          </cell>
          <cell r="F51">
            <v>87.296999999999997</v>
          </cell>
          <cell r="I51">
            <v>6.1740000000000004</v>
          </cell>
          <cell r="J51">
            <v>81.123000000000005</v>
          </cell>
          <cell r="K51">
            <v>87.296999999999997</v>
          </cell>
          <cell r="M51">
            <v>6.1740000000000004</v>
          </cell>
          <cell r="N51">
            <v>81.123000000000005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E52" t="str">
            <v>шт</v>
          </cell>
          <cell r="F52">
            <v>132</v>
          </cell>
          <cell r="I52">
            <v>3</v>
          </cell>
          <cell r="J52">
            <v>129</v>
          </cell>
          <cell r="K52">
            <v>59.4</v>
          </cell>
          <cell r="M52">
            <v>1.35</v>
          </cell>
          <cell r="N52">
            <v>58.05</v>
          </cell>
        </row>
        <row r="53">
          <cell r="A53" t="str">
            <v xml:space="preserve"> 322  Колбаса вареная Молокуша 0,45кг ТМ Вязанка  ПОКОМ</v>
          </cell>
          <cell r="E53" t="str">
            <v>шт</v>
          </cell>
          <cell r="F53">
            <v>97</v>
          </cell>
          <cell r="I53">
            <v>1</v>
          </cell>
          <cell r="J53">
            <v>96</v>
          </cell>
          <cell r="K53">
            <v>43.65</v>
          </cell>
          <cell r="M53">
            <v>0.45</v>
          </cell>
          <cell r="N53">
            <v>43.2</v>
          </cell>
        </row>
        <row r="54">
          <cell r="A54" t="str">
            <v xml:space="preserve"> 328  Сардельки Сочинки Стародворье ТМ  0,4 кг ПОКОМ</v>
          </cell>
          <cell r="E54" t="str">
            <v>шт</v>
          </cell>
          <cell r="F54">
            <v>38</v>
          </cell>
          <cell r="J54">
            <v>38</v>
          </cell>
          <cell r="K54">
            <v>15.2</v>
          </cell>
          <cell r="N54">
            <v>15.2</v>
          </cell>
        </row>
        <row r="55">
          <cell r="A55" t="str">
            <v xml:space="preserve"> 329  Сардельки Сочинки с сыром Стародворье ТМ, 0,4 кг. ПОКОМ</v>
          </cell>
          <cell r="E55" t="str">
            <v>шт</v>
          </cell>
          <cell r="F55">
            <v>30</v>
          </cell>
          <cell r="H55">
            <v>4</v>
          </cell>
          <cell r="J55">
            <v>34</v>
          </cell>
          <cell r="K55">
            <v>12</v>
          </cell>
          <cell r="L55">
            <v>1.6</v>
          </cell>
          <cell r="N55">
            <v>13.6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E56" t="str">
            <v>кг</v>
          </cell>
          <cell r="F56">
            <v>159.32400000000001</v>
          </cell>
          <cell r="H56">
            <v>1.3360000000000001</v>
          </cell>
          <cell r="I56">
            <v>6.6980000000000004</v>
          </cell>
          <cell r="J56">
            <v>153.96199999999999</v>
          </cell>
          <cell r="K56">
            <v>159.32400000000001</v>
          </cell>
          <cell r="L56">
            <v>1.3360000000000001</v>
          </cell>
          <cell r="M56">
            <v>6.6980000000000004</v>
          </cell>
          <cell r="N56">
            <v>153.96199999999999</v>
          </cell>
        </row>
        <row r="57">
          <cell r="A57" t="str">
            <v xml:space="preserve"> 334  Паштет Любительский ТМ Стародворье ламистер 0,1 кг  ПОКОМ</v>
          </cell>
          <cell r="E57" t="str">
            <v>шт</v>
          </cell>
          <cell r="F57">
            <v>378</v>
          </cell>
          <cell r="I57">
            <v>7</v>
          </cell>
          <cell r="J57">
            <v>371</v>
          </cell>
          <cell r="K57">
            <v>37.799999999999997</v>
          </cell>
          <cell r="M57">
            <v>0.7</v>
          </cell>
          <cell r="N57">
            <v>37.1</v>
          </cell>
        </row>
        <row r="58">
          <cell r="A58" t="str">
            <v xml:space="preserve"> 335  Колбаса Сливушка ТМ Вязанка. ВЕС.  ПОКОМ </v>
          </cell>
          <cell r="E58" t="str">
            <v>кг</v>
          </cell>
          <cell r="F58">
            <v>154.041</v>
          </cell>
          <cell r="H58">
            <v>1.3420000000000001</v>
          </cell>
          <cell r="I58">
            <v>5.3659999999999997</v>
          </cell>
          <cell r="J58">
            <v>150.017</v>
          </cell>
          <cell r="K58">
            <v>154.041</v>
          </cell>
          <cell r="L58">
            <v>1.3420000000000001</v>
          </cell>
          <cell r="M58">
            <v>5.3659999999999997</v>
          </cell>
          <cell r="N58">
            <v>150.017</v>
          </cell>
        </row>
        <row r="59">
          <cell r="A59" t="str">
            <v xml:space="preserve"> 336  Ветчина Сливушка с индейкой ТМ Вязанка. ВЕС  ПОКОМ</v>
          </cell>
          <cell r="E59" t="str">
            <v>кг</v>
          </cell>
          <cell r="F59">
            <v>16.547999999999998</v>
          </cell>
          <cell r="H59">
            <v>22.015000000000001</v>
          </cell>
          <cell r="I59">
            <v>4.0999999999999996</v>
          </cell>
          <cell r="J59">
            <v>34.463000000000001</v>
          </cell>
          <cell r="K59">
            <v>16.547999999999998</v>
          </cell>
          <cell r="L59">
            <v>22.015000000000001</v>
          </cell>
          <cell r="M59">
            <v>4.0999999999999996</v>
          </cell>
          <cell r="N59">
            <v>34.463000000000001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E60" t="str">
            <v>шт</v>
          </cell>
          <cell r="F60">
            <v>302</v>
          </cell>
          <cell r="I60">
            <v>4</v>
          </cell>
          <cell r="J60">
            <v>298</v>
          </cell>
          <cell r="K60">
            <v>30.2</v>
          </cell>
          <cell r="M60">
            <v>0.4</v>
          </cell>
          <cell r="N60">
            <v>29.8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E61" t="str">
            <v>шт</v>
          </cell>
          <cell r="F61">
            <v>62</v>
          </cell>
          <cell r="J61">
            <v>62</v>
          </cell>
          <cell r="K61">
            <v>24.8</v>
          </cell>
          <cell r="N61">
            <v>24.8</v>
          </cell>
        </row>
        <row r="62">
          <cell r="A62" t="str">
            <v xml:space="preserve"> 340  Сосиски Сочинки Молочные ТМ Стародворье, ВЕС ПОКОМ</v>
          </cell>
          <cell r="E62" t="str">
            <v>кг</v>
          </cell>
          <cell r="F62">
            <v>55.73</v>
          </cell>
          <cell r="J62">
            <v>55.73</v>
          </cell>
          <cell r="K62">
            <v>55.73</v>
          </cell>
          <cell r="N62">
            <v>55.73</v>
          </cell>
        </row>
        <row r="63">
          <cell r="A63" t="str">
            <v xml:space="preserve"> 341 Сосиски Сочинки Сливочные ТМ Стародворье ВЕС ПОКОМ</v>
          </cell>
          <cell r="E63" t="str">
            <v>кг</v>
          </cell>
          <cell r="F63">
            <v>58.854999999999997</v>
          </cell>
          <cell r="J63">
            <v>58.854999999999997</v>
          </cell>
          <cell r="K63">
            <v>58.854999999999997</v>
          </cell>
          <cell r="N63">
            <v>58.854999999999997</v>
          </cell>
        </row>
        <row r="64">
          <cell r="A64" t="str">
            <v xml:space="preserve"> 342 Сосиски Сочинки Молочные ТМ Стародворье 0,4 кг ПОКОМ</v>
          </cell>
          <cell r="E64" t="str">
            <v>шт</v>
          </cell>
          <cell r="F64">
            <v>235</v>
          </cell>
          <cell r="H64">
            <v>205</v>
          </cell>
          <cell r="I64">
            <v>11</v>
          </cell>
          <cell r="J64">
            <v>429</v>
          </cell>
          <cell r="K64">
            <v>94</v>
          </cell>
          <cell r="L64">
            <v>82</v>
          </cell>
          <cell r="M64">
            <v>4.4000000000000004</v>
          </cell>
          <cell r="N64">
            <v>171.6</v>
          </cell>
        </row>
        <row r="65">
          <cell r="A65" t="str">
            <v xml:space="preserve"> 343 Сосиски Сочинки Сливочные ТМ Стародворье  0,4 кг ПОКОМ</v>
          </cell>
          <cell r="E65" t="str">
            <v>шт</v>
          </cell>
          <cell r="F65">
            <v>18</v>
          </cell>
          <cell r="H65">
            <v>151</v>
          </cell>
          <cell r="I65">
            <v>3</v>
          </cell>
          <cell r="J65">
            <v>166</v>
          </cell>
          <cell r="K65">
            <v>7.2</v>
          </cell>
          <cell r="L65">
            <v>60.4</v>
          </cell>
          <cell r="M65">
            <v>1.2</v>
          </cell>
          <cell r="N65">
            <v>66.400000000000006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E66" t="str">
            <v>кг</v>
          </cell>
          <cell r="F66">
            <v>47.719000000000001</v>
          </cell>
          <cell r="H66">
            <v>152.13800000000001</v>
          </cell>
          <cell r="I66">
            <v>1.83</v>
          </cell>
          <cell r="J66">
            <v>198.02699999999999</v>
          </cell>
          <cell r="K66">
            <v>47.719000000000001</v>
          </cell>
          <cell r="L66">
            <v>152.13800000000001</v>
          </cell>
          <cell r="M66">
            <v>1.83</v>
          </cell>
          <cell r="N66">
            <v>198.02699999999999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E67" t="str">
            <v>кг</v>
          </cell>
          <cell r="F67">
            <v>128.096</v>
          </cell>
          <cell r="I67">
            <v>1.8109999999999999</v>
          </cell>
          <cell r="J67">
            <v>126.285</v>
          </cell>
          <cell r="K67">
            <v>128.096</v>
          </cell>
          <cell r="M67">
            <v>1.8109999999999999</v>
          </cell>
          <cell r="N67">
            <v>126.285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E68" t="str">
            <v>кг</v>
          </cell>
          <cell r="F68">
            <v>98.033000000000001</v>
          </cell>
          <cell r="H68">
            <v>154.499</v>
          </cell>
          <cell r="I68">
            <v>11.829000000000001</v>
          </cell>
          <cell r="J68">
            <v>240.703</v>
          </cell>
          <cell r="K68">
            <v>98.033000000000001</v>
          </cell>
          <cell r="L68">
            <v>154.499</v>
          </cell>
          <cell r="M68">
            <v>11.829000000000001</v>
          </cell>
          <cell r="N68">
            <v>240.703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E69" t="str">
            <v>кг</v>
          </cell>
          <cell r="F69">
            <v>84.08</v>
          </cell>
          <cell r="H69">
            <v>32.915999999999997</v>
          </cell>
          <cell r="I69">
            <v>1.794</v>
          </cell>
          <cell r="J69">
            <v>115.202</v>
          </cell>
          <cell r="K69">
            <v>84.08</v>
          </cell>
          <cell r="L69">
            <v>32.915999999999997</v>
          </cell>
          <cell r="M69">
            <v>1.794</v>
          </cell>
          <cell r="N69">
            <v>115.202</v>
          </cell>
        </row>
        <row r="70">
          <cell r="A70" t="str">
            <v xml:space="preserve"> 364  Сардельки Филейские Вязанка ВЕС NDX ТМ Вязанка  ПОКОМ</v>
          </cell>
          <cell r="E70" t="str">
            <v>кг</v>
          </cell>
          <cell r="F70">
            <v>104.637</v>
          </cell>
          <cell r="I70">
            <v>2.5960000000000001</v>
          </cell>
          <cell r="J70">
            <v>102.041</v>
          </cell>
          <cell r="K70">
            <v>104.637</v>
          </cell>
          <cell r="M70">
            <v>2.5960000000000001</v>
          </cell>
          <cell r="N70">
            <v>102.041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E71" t="str">
            <v>шт</v>
          </cell>
          <cell r="F71">
            <v>95</v>
          </cell>
          <cell r="H71">
            <v>3</v>
          </cell>
          <cell r="J71">
            <v>98</v>
          </cell>
          <cell r="K71">
            <v>57</v>
          </cell>
          <cell r="L71">
            <v>1.8</v>
          </cell>
          <cell r="N71">
            <v>58.8</v>
          </cell>
        </row>
        <row r="72">
          <cell r="A72" t="str">
            <v xml:space="preserve"> 377  Колбаса Молочная Дугушка 0,6кг ТМ Стародворье  ПОКОМ</v>
          </cell>
          <cell r="E72" t="str">
            <v>шт</v>
          </cell>
          <cell r="F72">
            <v>208</v>
          </cell>
          <cell r="H72">
            <v>3</v>
          </cell>
          <cell r="J72">
            <v>211</v>
          </cell>
          <cell r="K72">
            <v>124.8</v>
          </cell>
          <cell r="L72">
            <v>1.8</v>
          </cell>
          <cell r="N72">
            <v>126.6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E73" t="str">
            <v>шт</v>
          </cell>
          <cell r="F73">
            <v>115</v>
          </cell>
          <cell r="I73">
            <v>8</v>
          </cell>
          <cell r="J73">
            <v>107</v>
          </cell>
          <cell r="K73">
            <v>46</v>
          </cell>
          <cell r="M73">
            <v>3.2</v>
          </cell>
          <cell r="N73">
            <v>42.8</v>
          </cell>
        </row>
        <row r="74">
          <cell r="A74" t="str">
            <v xml:space="preserve"> 388  Сосиски Восточные Халяль ТМ Вязанка 0,33 кг АК. ПОКОМ</v>
          </cell>
          <cell r="E74" t="str">
            <v>шт</v>
          </cell>
          <cell r="F74">
            <v>68</v>
          </cell>
          <cell r="H74">
            <v>16</v>
          </cell>
          <cell r="I74">
            <v>8</v>
          </cell>
          <cell r="J74">
            <v>76</v>
          </cell>
          <cell r="K74">
            <v>22.44</v>
          </cell>
          <cell r="L74">
            <v>5.28</v>
          </cell>
          <cell r="M74">
            <v>2.64</v>
          </cell>
          <cell r="N74">
            <v>25.08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E75" t="str">
            <v>шт</v>
          </cell>
          <cell r="F75">
            <v>47</v>
          </cell>
          <cell r="I75">
            <v>7</v>
          </cell>
          <cell r="J75">
            <v>40</v>
          </cell>
          <cell r="K75">
            <v>16.45</v>
          </cell>
          <cell r="M75">
            <v>2.4500000000000002</v>
          </cell>
          <cell r="N75">
            <v>14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E76" t="str">
            <v>шт</v>
          </cell>
          <cell r="F76">
            <v>28</v>
          </cell>
          <cell r="J76">
            <v>28</v>
          </cell>
          <cell r="K76">
            <v>10.36</v>
          </cell>
          <cell r="N76">
            <v>10.36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E77" t="str">
            <v>шт</v>
          </cell>
          <cell r="F77">
            <v>117</v>
          </cell>
          <cell r="H77">
            <v>3</v>
          </cell>
          <cell r="J77">
            <v>120</v>
          </cell>
          <cell r="K77">
            <v>70.2</v>
          </cell>
          <cell r="L77">
            <v>1.8</v>
          </cell>
          <cell r="N77">
            <v>72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E78" t="str">
            <v>шт</v>
          </cell>
          <cell r="F78">
            <v>131</v>
          </cell>
          <cell r="J78">
            <v>131</v>
          </cell>
          <cell r="K78">
            <v>43.23</v>
          </cell>
          <cell r="N78">
            <v>43.23</v>
          </cell>
        </row>
        <row r="79">
          <cell r="A79" t="str">
            <v xml:space="preserve"> 408  Ветчина Сливушка с индейкой ТМ Вязанка, 0,4кг  ПОКОМ</v>
          </cell>
          <cell r="E79" t="str">
            <v>шт</v>
          </cell>
          <cell r="F79">
            <v>27</v>
          </cell>
          <cell r="I79">
            <v>1</v>
          </cell>
          <cell r="J79">
            <v>26</v>
          </cell>
          <cell r="K79">
            <v>10.8</v>
          </cell>
          <cell r="M79">
            <v>0.4</v>
          </cell>
          <cell r="N79">
            <v>10.4</v>
          </cell>
        </row>
        <row r="80">
          <cell r="A80" t="str">
            <v xml:space="preserve"> 410  Сосиски Баварские с сыром ТМ Стародворье 0,35 кг. ПОКОМ</v>
          </cell>
          <cell r="E80" t="str">
            <v>шт</v>
          </cell>
          <cell r="F80">
            <v>61</v>
          </cell>
          <cell r="H80">
            <v>36</v>
          </cell>
          <cell r="I80">
            <v>2</v>
          </cell>
          <cell r="J80">
            <v>95</v>
          </cell>
          <cell r="K80">
            <v>21.35</v>
          </cell>
          <cell r="L80">
            <v>12.6</v>
          </cell>
          <cell r="M80">
            <v>0.7</v>
          </cell>
          <cell r="N80">
            <v>33.25</v>
          </cell>
        </row>
        <row r="81">
          <cell r="A81" t="str">
            <v xml:space="preserve"> 412  Сосиски Баварские ТМ Стародворье 0,35 кг ПОКОМ</v>
          </cell>
          <cell r="E81" t="str">
            <v>шт</v>
          </cell>
          <cell r="F81">
            <v>41</v>
          </cell>
          <cell r="H81">
            <v>24</v>
          </cell>
          <cell r="I81">
            <v>8</v>
          </cell>
          <cell r="J81">
            <v>57</v>
          </cell>
          <cell r="K81">
            <v>14.35</v>
          </cell>
          <cell r="L81">
            <v>8.4</v>
          </cell>
          <cell r="M81">
            <v>2.8</v>
          </cell>
          <cell r="N81">
            <v>19.95</v>
          </cell>
        </row>
        <row r="82">
          <cell r="A82" t="str">
            <v xml:space="preserve"> 441  Сосиски Сочинки ТМ Стародворье с сочной грудинкой 0,3 кг ПОКОМ</v>
          </cell>
          <cell r="E82" t="str">
            <v>шт</v>
          </cell>
          <cell r="F82">
            <v>-1</v>
          </cell>
          <cell r="J82">
            <v>-1</v>
          </cell>
          <cell r="K82">
            <v>-0.3</v>
          </cell>
          <cell r="N82">
            <v>-0.3</v>
          </cell>
        </row>
        <row r="83">
          <cell r="A83" t="str">
            <v xml:space="preserve"> 449  Колбаса Дугушка Стародворская ВЕС ТС Дугушка ПОКОМ</v>
          </cell>
          <cell r="E83" t="str">
            <v>кг</v>
          </cell>
          <cell r="F83">
            <v>122.027</v>
          </cell>
          <cell r="H83">
            <v>106.53400000000001</v>
          </cell>
          <cell r="I83">
            <v>13.624000000000001</v>
          </cell>
          <cell r="J83">
            <v>214.93700000000001</v>
          </cell>
          <cell r="K83">
            <v>122.027</v>
          </cell>
          <cell r="L83">
            <v>106.53400000000001</v>
          </cell>
          <cell r="M83">
            <v>13.624000000000001</v>
          </cell>
          <cell r="N83">
            <v>214.93700000000001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E84" t="str">
            <v>кг</v>
          </cell>
          <cell r="F84">
            <v>126.77800000000001</v>
          </cell>
          <cell r="H84">
            <v>633.07799999999997</v>
          </cell>
          <cell r="I84">
            <v>60.311</v>
          </cell>
          <cell r="J84">
            <v>699.54499999999996</v>
          </cell>
          <cell r="K84">
            <v>126.77800000000001</v>
          </cell>
          <cell r="L84">
            <v>633.07799999999997</v>
          </cell>
          <cell r="M84">
            <v>60.311</v>
          </cell>
          <cell r="N84">
            <v>699.54499999999996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E85" t="str">
            <v>кг</v>
          </cell>
          <cell r="F85">
            <v>187.964</v>
          </cell>
          <cell r="H85">
            <v>465.22500000000002</v>
          </cell>
          <cell r="I85">
            <v>41.878</v>
          </cell>
          <cell r="J85">
            <v>611.31100000000004</v>
          </cell>
          <cell r="K85">
            <v>187.964</v>
          </cell>
          <cell r="L85">
            <v>465.22500000000002</v>
          </cell>
          <cell r="M85">
            <v>41.878</v>
          </cell>
          <cell r="N85">
            <v>611.31100000000004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E86" t="str">
            <v>кг</v>
          </cell>
          <cell r="F86">
            <v>251.971</v>
          </cell>
          <cell r="H86">
            <v>299.86500000000001</v>
          </cell>
          <cell r="I86">
            <v>72.744</v>
          </cell>
          <cell r="J86">
            <v>479.09199999999998</v>
          </cell>
          <cell r="K86">
            <v>251.971</v>
          </cell>
          <cell r="L86">
            <v>299.86500000000001</v>
          </cell>
          <cell r="M86">
            <v>72.744</v>
          </cell>
          <cell r="N86">
            <v>479.09199999999998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E87" t="str">
            <v>шт</v>
          </cell>
          <cell r="F87">
            <v>121</v>
          </cell>
          <cell r="I87">
            <v>4</v>
          </cell>
          <cell r="J87">
            <v>117</v>
          </cell>
          <cell r="K87">
            <v>36.299999999999997</v>
          </cell>
          <cell r="M87">
            <v>1.2</v>
          </cell>
          <cell r="N87">
            <v>35.1</v>
          </cell>
        </row>
        <row r="88">
          <cell r="A88" t="str">
            <v xml:space="preserve"> 523  Колбаса Сальчичон нарезка 0,07кг ТМ Стародворье  ПОКОМ </v>
          </cell>
          <cell r="E88" t="str">
            <v>шт</v>
          </cell>
          <cell r="F88">
            <v>201</v>
          </cell>
          <cell r="H88">
            <v>1</v>
          </cell>
          <cell r="I88">
            <v>2</v>
          </cell>
          <cell r="J88">
            <v>200</v>
          </cell>
          <cell r="K88">
            <v>14.07</v>
          </cell>
          <cell r="L88">
            <v>7.0000000000000007E-2</v>
          </cell>
          <cell r="M88">
            <v>0.14000000000000001</v>
          </cell>
          <cell r="N88">
            <v>14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E89" t="str">
            <v>шт</v>
          </cell>
          <cell r="F89">
            <v>130</v>
          </cell>
          <cell r="I89">
            <v>7</v>
          </cell>
          <cell r="J89">
            <v>123</v>
          </cell>
          <cell r="K89">
            <v>9.1</v>
          </cell>
          <cell r="M89">
            <v>0.49</v>
          </cell>
          <cell r="N89">
            <v>8.61</v>
          </cell>
        </row>
        <row r="90">
          <cell r="A90" t="str">
            <v xml:space="preserve"> 525  Колбаса Фуэт нарезка 0,07кг ТМ Стародворье  ПОКОМ</v>
          </cell>
          <cell r="E90" t="str">
            <v>шт</v>
          </cell>
          <cell r="F90">
            <v>163</v>
          </cell>
          <cell r="I90">
            <v>3</v>
          </cell>
          <cell r="J90">
            <v>160</v>
          </cell>
          <cell r="K90">
            <v>11.41</v>
          </cell>
          <cell r="M90">
            <v>0.21</v>
          </cell>
          <cell r="N90">
            <v>11.2</v>
          </cell>
        </row>
        <row r="91">
          <cell r="A91" t="str">
            <v xml:space="preserve"> 544  Сосиски Мясные для гриля ТС Ядрена копоть 0,3 кг  ПОКОМ</v>
          </cell>
          <cell r="E91" t="str">
            <v>шт</v>
          </cell>
          <cell r="F91">
            <v>26</v>
          </cell>
          <cell r="J91">
            <v>26</v>
          </cell>
          <cell r="K91">
            <v>7.8</v>
          </cell>
          <cell r="N91">
            <v>7.8</v>
          </cell>
        </row>
        <row r="92">
          <cell r="A92" t="str">
            <v xml:space="preserve"> 553  Ассорти колбас Мясорубская коллекция: Сервелат Делюкс, С балыком 0,08 кг нарезка  ПОКОМ</v>
          </cell>
          <cell r="E92" t="str">
            <v>шт</v>
          </cell>
          <cell r="F92">
            <v>136</v>
          </cell>
          <cell r="I92">
            <v>5</v>
          </cell>
          <cell r="J92">
            <v>131</v>
          </cell>
          <cell r="K92">
            <v>10.88</v>
          </cell>
          <cell r="M92">
            <v>0.4</v>
          </cell>
          <cell r="N92">
            <v>10.48</v>
          </cell>
        </row>
        <row r="93">
          <cell r="A93" t="str">
            <v xml:space="preserve"> 554  Колбаса Сервелат Мясорубский ТМ Стародворье в упаковке скин 0,08 кг нарезка  ПОКОМ</v>
          </cell>
          <cell r="E93" t="str">
            <v>шт</v>
          </cell>
          <cell r="F93">
            <v>123</v>
          </cell>
          <cell r="I93">
            <v>7</v>
          </cell>
          <cell r="J93">
            <v>116</v>
          </cell>
          <cell r="K93">
            <v>9.84</v>
          </cell>
          <cell r="M93">
            <v>0.56000000000000005</v>
          </cell>
          <cell r="N93">
            <v>9.2799999999999994</v>
          </cell>
        </row>
        <row r="94">
          <cell r="A94" t="str">
            <v xml:space="preserve"> 555  Колбаса Молокуша ТМ Вязанка в модифицированной газовой среде 0,17 кг нарезка  ПОКОМ</v>
          </cell>
          <cell r="E94" t="str">
            <v>шт</v>
          </cell>
          <cell r="F94">
            <v>22</v>
          </cell>
          <cell r="J94">
            <v>22</v>
          </cell>
          <cell r="K94">
            <v>3.74</v>
          </cell>
          <cell r="N94">
            <v>3.74</v>
          </cell>
        </row>
        <row r="95">
          <cell r="A95" t="str">
            <v xml:space="preserve"> 556  Колбаса Сервелат Ореховый ТМ Вязанка в оболочке фиброуз в вакуумной упаковке, ВЕС  ПОКОМ</v>
          </cell>
          <cell r="E95" t="str">
            <v>кг</v>
          </cell>
          <cell r="F95">
            <v>153.476</v>
          </cell>
          <cell r="H95">
            <v>1.484</v>
          </cell>
          <cell r="I95">
            <v>8.01</v>
          </cell>
          <cell r="J95">
            <v>146.94999999999999</v>
          </cell>
          <cell r="K95">
            <v>153.476</v>
          </cell>
          <cell r="L95">
            <v>1.484</v>
          </cell>
          <cell r="M95">
            <v>8.01</v>
          </cell>
          <cell r="N95">
            <v>146.94999999999999</v>
          </cell>
        </row>
        <row r="96">
          <cell r="A96" t="str">
            <v xml:space="preserve"> 557  Колбаса Сервелат Финский ТМ Вязанка в оболочке фиброуз в вакуумной упаковке, ВЕС  ПОКОМ</v>
          </cell>
          <cell r="E96" t="str">
            <v>кг</v>
          </cell>
          <cell r="F96">
            <v>108.264</v>
          </cell>
          <cell r="H96">
            <v>56.853000000000002</v>
          </cell>
          <cell r="I96">
            <v>13.65</v>
          </cell>
          <cell r="J96">
            <v>151.46700000000001</v>
          </cell>
          <cell r="K96">
            <v>108.264</v>
          </cell>
          <cell r="L96">
            <v>56.853000000000002</v>
          </cell>
          <cell r="M96">
            <v>13.65</v>
          </cell>
          <cell r="N96">
            <v>151.46700000000001</v>
          </cell>
        </row>
        <row r="97">
          <cell r="A97" t="str">
            <v xml:space="preserve"> 558  Колбаса Балыковая НОВАЯ ВЕС Вязанка фиброуз в/у ПОКОМ</v>
          </cell>
          <cell r="E97" t="str">
            <v>кг</v>
          </cell>
          <cell r="F97">
            <v>100.682</v>
          </cell>
          <cell r="I97">
            <v>7.22</v>
          </cell>
          <cell r="J97">
            <v>93.462000000000003</v>
          </cell>
          <cell r="K97">
            <v>100.682</v>
          </cell>
          <cell r="M97">
            <v>7.22</v>
          </cell>
          <cell r="N97">
            <v>93.462000000000003</v>
          </cell>
        </row>
        <row r="98">
          <cell r="A98" t="str">
            <v xml:space="preserve"> 569  Колбаса Балыковая ТМ Вязанка в оболочке фиброуз в вакуумной упаковке 0,28 кг срез.  ПОКОМ</v>
          </cell>
          <cell r="E98" t="str">
            <v>шт</v>
          </cell>
          <cell r="F98">
            <v>-1</v>
          </cell>
          <cell r="J98">
            <v>-1</v>
          </cell>
          <cell r="K98">
            <v>-0.28000000000000003</v>
          </cell>
          <cell r="N98">
            <v>-0.28000000000000003</v>
          </cell>
        </row>
        <row r="99">
          <cell r="A99" t="str">
            <v xml:space="preserve"> 570  Колбаса Сервелат Финский ТМ Вязанка в оболочке фиброуз в вак. упаковке 0,28 кг срез  ПОКОМ</v>
          </cell>
          <cell r="E99" t="str">
            <v>шт</v>
          </cell>
          <cell r="F99">
            <v>120</v>
          </cell>
          <cell r="I99">
            <v>5</v>
          </cell>
          <cell r="J99">
            <v>115</v>
          </cell>
          <cell r="K99">
            <v>33.6</v>
          </cell>
          <cell r="M99">
            <v>1.4</v>
          </cell>
          <cell r="N99">
            <v>32.200000000000003</v>
          </cell>
        </row>
        <row r="100">
          <cell r="A100" t="str">
            <v xml:space="preserve"> 571  Колбаса Сервелат Ореховый ТМ Вязанка в оболочке фиброуз в вак. упаковке 0,28 кг срез  ПОКОМ</v>
          </cell>
          <cell r="E100" t="str">
            <v>шт</v>
          </cell>
          <cell r="F100">
            <v>124</v>
          </cell>
          <cell r="H100">
            <v>1</v>
          </cell>
          <cell r="I100">
            <v>9</v>
          </cell>
          <cell r="J100">
            <v>116</v>
          </cell>
          <cell r="K100">
            <v>34.72</v>
          </cell>
          <cell r="L100">
            <v>0.28000000000000003</v>
          </cell>
          <cell r="M100">
            <v>2.52</v>
          </cell>
          <cell r="N100">
            <v>32.479999999999997</v>
          </cell>
        </row>
        <row r="101">
          <cell r="A101" t="str">
            <v xml:space="preserve"> 579  Колбаса Ветчинно-рубленая ТМ Особый рецепт в оболочке полиамид.ВЕС  ПОКОМ</v>
          </cell>
          <cell r="E101" t="str">
            <v>кг</v>
          </cell>
          <cell r="F101">
            <v>-5.0330000000000004</v>
          </cell>
          <cell r="J101">
            <v>-5.0330000000000004</v>
          </cell>
          <cell r="K101">
            <v>-5.0330000000000004</v>
          </cell>
          <cell r="N101">
            <v>-5.0330000000000004</v>
          </cell>
        </row>
        <row r="102">
          <cell r="A102" t="str">
            <v xml:space="preserve"> 580  Ветчина Нежная с индейкой ТМ Особый рецепт в оболочке полиамид.ВЕС  ПОКОМ</v>
          </cell>
          <cell r="E102" t="str">
            <v>кг</v>
          </cell>
          <cell r="F102">
            <v>9.8469999999999995</v>
          </cell>
          <cell r="H102">
            <v>30.193999999999999</v>
          </cell>
          <cell r="J102">
            <v>40.040999999999997</v>
          </cell>
          <cell r="K102">
            <v>9.8469999999999995</v>
          </cell>
          <cell r="L102">
            <v>30.193999999999999</v>
          </cell>
          <cell r="N102">
            <v>40.040999999999997</v>
          </cell>
        </row>
        <row r="103">
          <cell r="A103" t="str">
            <v xml:space="preserve"> 583  Колбаса Балыковая ТМ Вязанка в упаковке скин 0,09 кг нарезка  ПОКОМ</v>
          </cell>
          <cell r="E103" t="str">
            <v>шт</v>
          </cell>
          <cell r="F103">
            <v>32</v>
          </cell>
          <cell r="H103">
            <v>1</v>
          </cell>
          <cell r="I103">
            <v>3</v>
          </cell>
          <cell r="J103">
            <v>30</v>
          </cell>
          <cell r="K103">
            <v>2.88</v>
          </cell>
          <cell r="L103">
            <v>0.09</v>
          </cell>
          <cell r="M103">
            <v>0.27</v>
          </cell>
          <cell r="N103">
            <v>2.7</v>
          </cell>
        </row>
        <row r="104">
          <cell r="A104" t="str">
            <v xml:space="preserve"> 585  Колбаса Молочная ТМ Стародворье в оболочке вектор НД ВЕС.  ПОКОМ</v>
          </cell>
          <cell r="E104" t="str">
            <v>кг</v>
          </cell>
          <cell r="F104">
            <v>81.373999999999995</v>
          </cell>
          <cell r="H104">
            <v>16.600999999999999</v>
          </cell>
          <cell r="J104">
            <v>97.974999999999994</v>
          </cell>
          <cell r="K104">
            <v>81.373999999999995</v>
          </cell>
          <cell r="L104">
            <v>16.600999999999999</v>
          </cell>
          <cell r="N104">
            <v>97.974999999999994</v>
          </cell>
        </row>
        <row r="105">
          <cell r="A105" t="str">
            <v xml:space="preserve"> 586  Колбаса Мясная ТМ Стародворье в оболочке вектор НД ВЕС.  ПОКОМ</v>
          </cell>
          <cell r="E105" t="str">
            <v>кг</v>
          </cell>
          <cell r="F105">
            <v>142.86199999999999</v>
          </cell>
          <cell r="H105">
            <v>66.442999999999998</v>
          </cell>
          <cell r="I105">
            <v>8.2249999999999996</v>
          </cell>
          <cell r="J105">
            <v>201.08</v>
          </cell>
          <cell r="K105">
            <v>142.86199999999999</v>
          </cell>
          <cell r="L105">
            <v>66.442999999999998</v>
          </cell>
          <cell r="M105">
            <v>8.2249999999999996</v>
          </cell>
          <cell r="N105">
            <v>201.08</v>
          </cell>
        </row>
        <row r="106">
          <cell r="A106" t="str">
            <v xml:space="preserve"> 588 Колбаса Со шпиком ТМ Стародворье в оболочке вектор ВЕС  ПОКОМ</v>
          </cell>
          <cell r="E106" t="str">
            <v>кг</v>
          </cell>
          <cell r="F106">
            <v>54.67</v>
          </cell>
          <cell r="I106">
            <v>4.1859999999999999</v>
          </cell>
          <cell r="J106">
            <v>50.484000000000002</v>
          </cell>
          <cell r="K106">
            <v>54.67</v>
          </cell>
          <cell r="M106">
            <v>4.1859999999999999</v>
          </cell>
          <cell r="N106">
            <v>50.484000000000002</v>
          </cell>
        </row>
        <row r="107">
          <cell r="A107" t="str">
            <v xml:space="preserve"> 597  Колбаса Классическая ТМ Особый рецепт в оболочке полиамид ВЕС. ПОКОМ</v>
          </cell>
          <cell r="E107" t="str">
            <v>кг</v>
          </cell>
          <cell r="F107">
            <v>379.90699999999998</v>
          </cell>
          <cell r="H107">
            <v>337.21699999999998</v>
          </cell>
          <cell r="I107">
            <v>78.98</v>
          </cell>
          <cell r="J107">
            <v>638.14400000000001</v>
          </cell>
          <cell r="K107">
            <v>379.90699999999998</v>
          </cell>
          <cell r="L107">
            <v>337.21699999999998</v>
          </cell>
          <cell r="M107">
            <v>78.98</v>
          </cell>
          <cell r="N107">
            <v>638.14400000000001</v>
          </cell>
        </row>
        <row r="108">
          <cell r="A108" t="str">
            <v xml:space="preserve"> 614  Буженина в пряном маринаде 0,25 кг консервы из мяса индейки ТМ Стародворье  ПОКОМ</v>
          </cell>
          <cell r="E108" t="str">
            <v>шт</v>
          </cell>
          <cell r="F108">
            <v>243</v>
          </cell>
          <cell r="J108">
            <v>243</v>
          </cell>
          <cell r="K108">
            <v>60.75</v>
          </cell>
          <cell r="N108">
            <v>60.75</v>
          </cell>
        </row>
        <row r="109">
          <cell r="A109" t="str">
            <v xml:space="preserve"> 615  Гречка по-купечески с говядиной и овощами 0,325кг ТМ Стародворье  ПОКОМ</v>
          </cell>
          <cell r="E109" t="str">
            <v>шт</v>
          </cell>
          <cell r="F109">
            <v>145</v>
          </cell>
          <cell r="J109">
            <v>145</v>
          </cell>
          <cell r="K109">
            <v>47.125</v>
          </cell>
          <cell r="N109">
            <v>47.125</v>
          </cell>
        </row>
        <row r="110">
          <cell r="A110" t="str">
            <v xml:space="preserve"> 616  Индейка томлёная в собственном соку 0,25кг ТМ Стародлворье Консервый из мяс.птицы  ПОКОМ</v>
          </cell>
          <cell r="E110" t="str">
            <v>шт</v>
          </cell>
          <cell r="F110">
            <v>142</v>
          </cell>
          <cell r="J110">
            <v>142</v>
          </cell>
          <cell r="K110">
            <v>35.5</v>
          </cell>
          <cell r="N110">
            <v>35.5</v>
          </cell>
        </row>
        <row r="111">
          <cell r="A111" t="str">
            <v xml:space="preserve"> 633  Колбаса Мясная Классическая ТМ Вязанка в оболочке полиамид УМВ.ВЕС.  ПОКОМ</v>
          </cell>
          <cell r="E111" t="str">
            <v>кг</v>
          </cell>
          <cell r="F111">
            <v>-2.7839999999999998</v>
          </cell>
          <cell r="J111">
            <v>-2.7839999999999998</v>
          </cell>
          <cell r="K111">
            <v>-2.7839999999999998</v>
          </cell>
          <cell r="N111">
            <v>-2.7839999999999998</v>
          </cell>
        </row>
        <row r="112">
          <cell r="A112" t="str">
            <v>0614 ПРАЗДНИЧНАЯ с/к в/с дек.спец.мгс  Останкино</v>
          </cell>
          <cell r="E112" t="str">
            <v>кг</v>
          </cell>
          <cell r="F112">
            <v>33.192999999999998</v>
          </cell>
          <cell r="H112">
            <v>1.145</v>
          </cell>
          <cell r="J112">
            <v>34.338000000000001</v>
          </cell>
          <cell r="K112">
            <v>33.192999999999998</v>
          </cell>
          <cell r="L112">
            <v>1.145</v>
          </cell>
          <cell r="N112">
            <v>34.338000000000001</v>
          </cell>
        </row>
        <row r="113">
          <cell r="A113" t="str">
            <v>1103201 Сыр копченый "Косичка" мини ПАПА МОЖЕТ 55г лоток  ОСТАНКИНО</v>
          </cell>
          <cell r="E113" t="str">
            <v>шт</v>
          </cell>
          <cell r="F113">
            <v>106</v>
          </cell>
          <cell r="I113">
            <v>1</v>
          </cell>
          <cell r="J113">
            <v>105</v>
          </cell>
          <cell r="K113">
            <v>5.83</v>
          </cell>
          <cell r="M113">
            <v>5.5E-2</v>
          </cell>
          <cell r="N113">
            <v>5.7750000000000004</v>
          </cell>
        </row>
        <row r="114">
          <cell r="A114" t="str">
            <v>2103201 БЖП, произведенный по технологии сыра копченый "Косичка" мини Ассорти  ОСТАНКИНО</v>
          </cell>
          <cell r="E114" t="str">
            <v>шт</v>
          </cell>
          <cell r="F114">
            <v>39</v>
          </cell>
          <cell r="I114">
            <v>1</v>
          </cell>
          <cell r="J114">
            <v>38</v>
          </cell>
          <cell r="K114">
            <v>3.9</v>
          </cell>
          <cell r="M114">
            <v>0.1</v>
          </cell>
          <cell r="N114">
            <v>3.8</v>
          </cell>
        </row>
        <row r="115">
          <cell r="A115" t="str">
            <v>2105201 БЖП, произведенный по технологии сыра копченый "Балык" резаный 4 вкуса  ОСТАНКИНО</v>
          </cell>
          <cell r="E115" t="str">
            <v>шт</v>
          </cell>
          <cell r="F115">
            <v>62</v>
          </cell>
          <cell r="I115">
            <v>1</v>
          </cell>
          <cell r="J115">
            <v>61</v>
          </cell>
          <cell r="K115">
            <v>6.2</v>
          </cell>
          <cell r="M115">
            <v>0.1</v>
          </cell>
          <cell r="N115">
            <v>6.1</v>
          </cell>
        </row>
        <row r="116">
          <cell r="A116" t="str">
            <v>3215 ВЕТЧ.МЯСНАЯ Папа может п/о 0.4кг 8шт.    ОСТАНКИНО</v>
          </cell>
          <cell r="E116" t="str">
            <v>шт</v>
          </cell>
          <cell r="F116">
            <v>46</v>
          </cell>
          <cell r="I116">
            <v>8</v>
          </cell>
          <cell r="J116">
            <v>38</v>
          </cell>
          <cell r="K116">
            <v>18.399999999999999</v>
          </cell>
          <cell r="M116">
            <v>3.2</v>
          </cell>
          <cell r="N116">
            <v>15.2</v>
          </cell>
        </row>
        <row r="117">
          <cell r="A117" t="str">
            <v>3287 САЛЯМИ ИТАЛЬЯНСКАЯ с/к в/у ОСТАНКИНО</v>
          </cell>
          <cell r="E117" t="str">
            <v>кг</v>
          </cell>
          <cell r="F117">
            <v>90.688999999999993</v>
          </cell>
          <cell r="I117">
            <v>1.488</v>
          </cell>
          <cell r="J117">
            <v>89.200999999999993</v>
          </cell>
          <cell r="K117">
            <v>90.688999999999993</v>
          </cell>
          <cell r="M117">
            <v>1.488</v>
          </cell>
          <cell r="N117">
            <v>89.200999999999993</v>
          </cell>
        </row>
        <row r="118">
          <cell r="A118" t="str">
            <v>3323 Сыр Российский цилиндр 1/4 пленка ЮКМП м.д.ж. 50%  ОСТАНКИНО</v>
          </cell>
          <cell r="E118" t="str">
            <v>кг</v>
          </cell>
          <cell r="F118">
            <v>190.02</v>
          </cell>
          <cell r="J118">
            <v>190.02</v>
          </cell>
          <cell r="K118">
            <v>190.02</v>
          </cell>
          <cell r="N118">
            <v>190.02</v>
          </cell>
        </row>
        <row r="119">
          <cell r="A119" t="str">
            <v>3986 Ароматная с/к в/у 1/250 ОСТАНКИНО</v>
          </cell>
          <cell r="E119" t="str">
            <v>шт</v>
          </cell>
          <cell r="F119">
            <v>77</v>
          </cell>
          <cell r="H119">
            <v>8</v>
          </cell>
          <cell r="I119">
            <v>5</v>
          </cell>
          <cell r="J119">
            <v>80</v>
          </cell>
          <cell r="K119">
            <v>19.25</v>
          </cell>
          <cell r="L119">
            <v>2</v>
          </cell>
          <cell r="M119">
            <v>1.25</v>
          </cell>
          <cell r="N119">
            <v>20</v>
          </cell>
        </row>
        <row r="120">
          <cell r="A120" t="str">
            <v>4063 МЯСНАЯ Папа может вар п/о_Л   ОСТАНКИНО</v>
          </cell>
          <cell r="E120" t="str">
            <v>кг</v>
          </cell>
          <cell r="F120">
            <v>69.725999999999999</v>
          </cell>
          <cell r="H120">
            <v>317.75400000000002</v>
          </cell>
          <cell r="I120">
            <v>58.311999999999998</v>
          </cell>
          <cell r="J120">
            <v>329.16800000000001</v>
          </cell>
          <cell r="K120">
            <v>69.725999999999999</v>
          </cell>
          <cell r="L120">
            <v>317.75400000000002</v>
          </cell>
          <cell r="M120">
            <v>58.311999999999998</v>
          </cell>
          <cell r="N120">
            <v>329.16800000000001</v>
          </cell>
        </row>
        <row r="121">
          <cell r="A121" t="str">
            <v>4117 ЭКСТРА Папа может с/к в/у_Л   ОСТАНКИНО</v>
          </cell>
          <cell r="E121" t="str">
            <v>кг</v>
          </cell>
          <cell r="F121">
            <v>109.95099999999999</v>
          </cell>
          <cell r="I121">
            <v>1.466</v>
          </cell>
          <cell r="J121">
            <v>108.485</v>
          </cell>
          <cell r="K121">
            <v>109.95099999999999</v>
          </cell>
          <cell r="M121">
            <v>1.466</v>
          </cell>
          <cell r="N121">
            <v>108.485</v>
          </cell>
        </row>
        <row r="122">
          <cell r="A122" t="str">
            <v>4574 Мясная со шпиком Папа может вар п/о ОСТАНКИНО</v>
          </cell>
          <cell r="E122" t="str">
            <v>кг</v>
          </cell>
          <cell r="F122">
            <v>73.260000000000005</v>
          </cell>
          <cell r="I122">
            <v>1.3</v>
          </cell>
          <cell r="J122">
            <v>71.959999999999994</v>
          </cell>
          <cell r="K122">
            <v>73.260000000000005</v>
          </cell>
          <cell r="M122">
            <v>1.3</v>
          </cell>
          <cell r="N122">
            <v>71.959999999999994</v>
          </cell>
        </row>
        <row r="123">
          <cell r="A123" t="str">
            <v>4813 ФИЛЕЙНАЯ Папа может вар п/о_Л   ОСТАНКИНО</v>
          </cell>
          <cell r="E123" t="str">
            <v>кг</v>
          </cell>
          <cell r="F123">
            <v>93.299000000000007</v>
          </cell>
          <cell r="I123">
            <v>4.0220000000000002</v>
          </cell>
          <cell r="J123">
            <v>89.277000000000001</v>
          </cell>
          <cell r="K123">
            <v>93.299000000000007</v>
          </cell>
          <cell r="M123">
            <v>4.0220000000000002</v>
          </cell>
          <cell r="N123">
            <v>89.277000000000001</v>
          </cell>
        </row>
        <row r="124">
          <cell r="A124" t="str">
            <v>4931  Сыр полутвердый "Купеческий" с ароматом топленого молока, с м.д.ж. 50% ОСТАНКИНО</v>
          </cell>
          <cell r="E124" t="str">
            <v>кг</v>
          </cell>
          <cell r="F124">
            <v>54.118000000000002</v>
          </cell>
          <cell r="J124">
            <v>54.118000000000002</v>
          </cell>
          <cell r="K124">
            <v>54.118000000000002</v>
          </cell>
          <cell r="N124">
            <v>54.118000000000002</v>
          </cell>
        </row>
        <row r="125">
          <cell r="A125" t="str">
            <v>495  Колбаса Сочинка по-европейски с сочной грудинкой 0,3кг ТМ Стародворье  ПОКОМ</v>
          </cell>
          <cell r="E125" t="str">
            <v>шт</v>
          </cell>
          <cell r="F125">
            <v>167</v>
          </cell>
          <cell r="H125">
            <v>30</v>
          </cell>
          <cell r="I125">
            <v>9</v>
          </cell>
          <cell r="J125">
            <v>188</v>
          </cell>
          <cell r="K125">
            <v>50.1</v>
          </cell>
          <cell r="L125">
            <v>9</v>
          </cell>
          <cell r="M125">
            <v>2.7</v>
          </cell>
          <cell r="N125">
            <v>56.4</v>
          </cell>
        </row>
        <row r="126">
          <cell r="A126" t="str">
            <v>496  Колбаса Сочинка по-фински с сочным окроком 0,3кг ТМ Стародворье  ПОКОМ</v>
          </cell>
          <cell r="E126" t="str">
            <v>шт</v>
          </cell>
          <cell r="F126">
            <v>167</v>
          </cell>
          <cell r="H126">
            <v>30</v>
          </cell>
          <cell r="I126">
            <v>10</v>
          </cell>
          <cell r="J126">
            <v>187</v>
          </cell>
          <cell r="K126">
            <v>50.1</v>
          </cell>
          <cell r="L126">
            <v>9</v>
          </cell>
          <cell r="M126">
            <v>3</v>
          </cell>
          <cell r="N126">
            <v>56.1</v>
          </cell>
        </row>
        <row r="127">
          <cell r="A127" t="str">
            <v>503 Колбаса Филейская со шпиком ТМ Вязанка в оболочке полиамид.ПОКОМ</v>
          </cell>
          <cell r="E127" t="str">
            <v>кг</v>
          </cell>
          <cell r="F127">
            <v>18.151</v>
          </cell>
          <cell r="H127">
            <v>12.206</v>
          </cell>
          <cell r="I127">
            <v>5.5659999999999998</v>
          </cell>
          <cell r="J127">
            <v>24.791</v>
          </cell>
          <cell r="K127">
            <v>18.151</v>
          </cell>
          <cell r="L127">
            <v>12.206</v>
          </cell>
          <cell r="M127">
            <v>5.5659999999999998</v>
          </cell>
          <cell r="N127">
            <v>24.791</v>
          </cell>
        </row>
        <row r="128">
          <cell r="A128" t="str">
            <v>515  Колбаса Сервелат Мясорубский Делюкс 0,3кг ТМ Стародворье  ПОКОМ</v>
          </cell>
          <cell r="E128" t="str">
            <v>шт</v>
          </cell>
          <cell r="F128">
            <v>238</v>
          </cell>
          <cell r="I128">
            <v>1</v>
          </cell>
          <cell r="J128">
            <v>237</v>
          </cell>
          <cell r="K128">
            <v>71.400000000000006</v>
          </cell>
          <cell r="M128">
            <v>0.3</v>
          </cell>
          <cell r="N128">
            <v>71.099999999999994</v>
          </cell>
        </row>
        <row r="129">
          <cell r="A129" t="str">
            <v>519  Грудинка 0,12 кг нарезка ТМ Стародворье  ПОКОМ</v>
          </cell>
          <cell r="E129" t="str">
            <v>шт</v>
          </cell>
          <cell r="F129">
            <v>89</v>
          </cell>
          <cell r="I129">
            <v>6</v>
          </cell>
          <cell r="J129">
            <v>83</v>
          </cell>
          <cell r="K129">
            <v>10.68</v>
          </cell>
          <cell r="M129">
            <v>0.72</v>
          </cell>
          <cell r="N129">
            <v>9.9600000000000009</v>
          </cell>
        </row>
        <row r="130">
          <cell r="A130" t="str">
            <v>5452 ВЕТЧ.МЯСНАЯ Папа может п/о    ОСТАНКИНО</v>
          </cell>
          <cell r="E130" t="str">
            <v>кг</v>
          </cell>
          <cell r="F130">
            <v>-0.98599999999999999</v>
          </cell>
          <cell r="J130">
            <v>-0.98599999999999999</v>
          </cell>
          <cell r="K130">
            <v>-0.98599999999999999</v>
          </cell>
          <cell r="N130">
            <v>-0.98599999999999999</v>
          </cell>
        </row>
        <row r="131">
          <cell r="A131" t="str">
            <v>5495 ВЕТЧ.С ИНДЕЙКОЙ Папа может п/о 400*6  Останкино</v>
          </cell>
          <cell r="E131" t="str">
            <v>шт</v>
          </cell>
          <cell r="F131">
            <v>30</v>
          </cell>
          <cell r="I131">
            <v>1</v>
          </cell>
          <cell r="J131">
            <v>29</v>
          </cell>
          <cell r="K131">
            <v>12</v>
          </cell>
          <cell r="M131">
            <v>0.4</v>
          </cell>
          <cell r="N131">
            <v>11.6</v>
          </cell>
        </row>
        <row r="132">
          <cell r="A132" t="str">
            <v>5544 Сервелат Финский в/к в/у_45с НОВАЯ ОСТАНКИНО</v>
          </cell>
          <cell r="E132" t="str">
            <v>кг</v>
          </cell>
          <cell r="H132">
            <v>1.6719999999999999</v>
          </cell>
          <cell r="I132">
            <v>1.6719999999999999</v>
          </cell>
          <cell r="L132">
            <v>1.6719999999999999</v>
          </cell>
          <cell r="M132">
            <v>1.6719999999999999</v>
          </cell>
        </row>
        <row r="133">
          <cell r="A133" t="str">
            <v>5579 БЛИНЧ.КРУГЛЫЕ С САД.ЯБЛОК.пл.1/420 зам. ОСТАНКИНО</v>
          </cell>
          <cell r="E133" t="str">
            <v>шт</v>
          </cell>
          <cell r="F133">
            <v>18</v>
          </cell>
          <cell r="J133">
            <v>18</v>
          </cell>
          <cell r="K133">
            <v>7.56</v>
          </cell>
          <cell r="N133">
            <v>7.56</v>
          </cell>
        </row>
        <row r="134">
          <cell r="A134" t="str">
            <v>5754 БЛИНЧ.КРУГЛЫЕ С МЯСОМ 4,5кг зам. ПМ ОСТАНКИНО</v>
          </cell>
          <cell r="E134" t="str">
            <v>кг</v>
          </cell>
          <cell r="F134">
            <v>82.495999999999995</v>
          </cell>
          <cell r="J134">
            <v>82.495999999999995</v>
          </cell>
          <cell r="K134">
            <v>82.495999999999995</v>
          </cell>
          <cell r="N134">
            <v>82.495999999999995</v>
          </cell>
        </row>
        <row r="135">
          <cell r="A135" t="str">
            <v>5755 БЛИНЧ.КРУГЛЫЕ С ТВОРОГОМ 4,5кг зам. ПМ ОСТАНКИНО</v>
          </cell>
          <cell r="E135" t="str">
            <v>кг</v>
          </cell>
          <cell r="F135">
            <v>9.1280000000000001</v>
          </cell>
          <cell r="J135">
            <v>9.1280000000000001</v>
          </cell>
          <cell r="K135">
            <v>9.1280000000000001</v>
          </cell>
          <cell r="N135">
            <v>9.1280000000000001</v>
          </cell>
        </row>
        <row r="136">
          <cell r="A136" t="str">
            <v>5819 Сосиски Папа может 400г Мясные  ОСТАНКИНО</v>
          </cell>
          <cell r="E136" t="str">
            <v>шт</v>
          </cell>
          <cell r="F136">
            <v>98</v>
          </cell>
          <cell r="J136">
            <v>98</v>
          </cell>
          <cell r="K136">
            <v>39.200000000000003</v>
          </cell>
          <cell r="N136">
            <v>39.200000000000003</v>
          </cell>
        </row>
        <row r="137">
          <cell r="A137" t="str">
            <v>5851 ЭКСТРА Папа может вар п/о   ОСТАНКИНО</v>
          </cell>
          <cell r="E137" t="str">
            <v>кг</v>
          </cell>
          <cell r="F137">
            <v>91.525000000000006</v>
          </cell>
          <cell r="I137">
            <v>2.722</v>
          </cell>
          <cell r="J137">
            <v>88.802999999999997</v>
          </cell>
          <cell r="K137">
            <v>91.525000000000006</v>
          </cell>
          <cell r="M137">
            <v>2.722</v>
          </cell>
          <cell r="N137">
            <v>88.802999999999997</v>
          </cell>
        </row>
        <row r="138">
          <cell r="A138" t="str">
            <v>5897 БЛИНЧ.КРУГЛЫЕ С ГРУШЕЙ пл.1/420 зам.   ОСТАНКИНО</v>
          </cell>
          <cell r="E138" t="str">
            <v>шт</v>
          </cell>
          <cell r="F138">
            <v>22</v>
          </cell>
          <cell r="J138">
            <v>22</v>
          </cell>
          <cell r="K138">
            <v>9.24</v>
          </cell>
          <cell r="N138">
            <v>9.24</v>
          </cell>
        </row>
        <row r="139">
          <cell r="A139" t="str">
            <v>6008 САЛО СОЛЕНОЕ С ЧЕРНЫМ ПЕРЦЕМ мл/к в/у ОСТАНКИНО</v>
          </cell>
          <cell r="E139" t="str">
            <v>кг</v>
          </cell>
          <cell r="F139">
            <v>17.117999999999999</v>
          </cell>
          <cell r="I139">
            <v>3.0760000000000001</v>
          </cell>
          <cell r="J139">
            <v>14.042</v>
          </cell>
          <cell r="K139">
            <v>17.117999999999999</v>
          </cell>
          <cell r="M139">
            <v>3.0760000000000001</v>
          </cell>
          <cell r="N139">
            <v>14.042</v>
          </cell>
        </row>
        <row r="140">
          <cell r="A140" t="str">
            <v>6148 БЛИНЧ.КРУГЛЫЕ С ВЕТЧ.И СЫР. ПМ 1/300 зам. ОСТАНКИНО</v>
          </cell>
          <cell r="E140" t="str">
            <v>шт</v>
          </cell>
          <cell r="F140">
            <v>-4</v>
          </cell>
          <cell r="J140">
            <v>-4</v>
          </cell>
          <cell r="K140">
            <v>-1.2</v>
          </cell>
          <cell r="N140">
            <v>-1.2</v>
          </cell>
        </row>
        <row r="141">
          <cell r="A141" t="str">
            <v>6149 БЛИНЧ.КРУГЛЫЕ С ПЕЧЕНЬЮ ПМ 1/300 зам. ОСТАНКИНО</v>
          </cell>
          <cell r="E141" t="str">
            <v>шт</v>
          </cell>
          <cell r="F141">
            <v>14</v>
          </cell>
          <cell r="J141">
            <v>14</v>
          </cell>
          <cell r="K141">
            <v>4.2</v>
          </cell>
          <cell r="N141">
            <v>4.2</v>
          </cell>
        </row>
        <row r="142">
          <cell r="A142" t="str">
            <v>6168 Блинчики с мясом пл. 1/350 зам. ОСТАНКИНО</v>
          </cell>
          <cell r="E142" t="str">
            <v>шт</v>
          </cell>
          <cell r="F142">
            <v>5</v>
          </cell>
          <cell r="I142">
            <v>4</v>
          </cell>
          <cell r="J142">
            <v>1</v>
          </cell>
          <cell r="K142">
            <v>1.75</v>
          </cell>
          <cell r="M142">
            <v>1.4</v>
          </cell>
          <cell r="N142">
            <v>0.35</v>
          </cell>
        </row>
        <row r="143">
          <cell r="A143" t="str">
            <v>6202 БЛИНЧ.КРУГЛЫЕ С ТВОРОГОМ ПМ 1/300 зам. ОСТАНКИНО</v>
          </cell>
          <cell r="E143" t="str">
            <v>шт</v>
          </cell>
          <cell r="F143">
            <v>48</v>
          </cell>
          <cell r="J143">
            <v>48</v>
          </cell>
          <cell r="K143">
            <v>14.4</v>
          </cell>
          <cell r="N143">
            <v>14.4</v>
          </cell>
        </row>
        <row r="144">
          <cell r="A144" t="str">
            <v>6209 Блинчики с куриным мясом пл. 1/350 зам. ОСТАНКИНО</v>
          </cell>
          <cell r="E144" t="str">
            <v>шт</v>
          </cell>
          <cell r="F144">
            <v>-5</v>
          </cell>
          <cell r="J144">
            <v>-5</v>
          </cell>
          <cell r="K144">
            <v>-1.75</v>
          </cell>
          <cell r="N144">
            <v>-1.75</v>
          </cell>
        </row>
        <row r="145">
          <cell r="A145" t="str">
            <v>6220 ГОВЯЖЬЯ папа может вар п/о  Останкино</v>
          </cell>
          <cell r="E145" t="str">
            <v>кг</v>
          </cell>
          <cell r="H145">
            <v>60.707999999999998</v>
          </cell>
          <cell r="J145">
            <v>60.707999999999998</v>
          </cell>
          <cell r="L145">
            <v>60.707999999999998</v>
          </cell>
          <cell r="N145">
            <v>60.707999999999998</v>
          </cell>
        </row>
        <row r="146">
          <cell r="A146" t="str">
            <v>6221 НЕОПОЛИТАНСКИЙ ДУЭТ с/к с/н мгс 1/90  Останкино</v>
          </cell>
          <cell r="E146" t="str">
            <v>шт</v>
          </cell>
          <cell r="F146">
            <v>303</v>
          </cell>
          <cell r="H146">
            <v>150</v>
          </cell>
          <cell r="I146">
            <v>7</v>
          </cell>
          <cell r="J146">
            <v>446</v>
          </cell>
          <cell r="K146">
            <v>27.27</v>
          </cell>
          <cell r="L146">
            <v>13.5</v>
          </cell>
          <cell r="M146">
            <v>0.63</v>
          </cell>
          <cell r="N146">
            <v>40.14</v>
          </cell>
        </row>
        <row r="147">
          <cell r="A147" t="str">
            <v>6228 МЯСНОЕ АССОРТИ к/з с/н мгс 1/90 10шт  Останкино</v>
          </cell>
          <cell r="E147" t="str">
            <v>шт</v>
          </cell>
          <cell r="F147">
            <v>159</v>
          </cell>
          <cell r="I147">
            <v>5</v>
          </cell>
          <cell r="J147">
            <v>154</v>
          </cell>
          <cell r="K147">
            <v>14.31</v>
          </cell>
          <cell r="M147">
            <v>0.45</v>
          </cell>
          <cell r="N147">
            <v>13.86</v>
          </cell>
        </row>
        <row r="148">
          <cell r="A148" t="str">
            <v>6279 КОРЕЙКА ПО-ОСТ.к/в в/с с/н в/у 1/150_45с  Останкино</v>
          </cell>
          <cell r="E148" t="str">
            <v>шт</v>
          </cell>
          <cell r="F148">
            <v>49</v>
          </cell>
          <cell r="J148">
            <v>49</v>
          </cell>
          <cell r="K148">
            <v>7.35</v>
          </cell>
          <cell r="N148">
            <v>7.35</v>
          </cell>
        </row>
        <row r="149">
          <cell r="A149" t="str">
            <v>6303 Мясные Папа может сос п/о мгс 1,5*3  Останкино</v>
          </cell>
          <cell r="E149" t="str">
            <v>кг</v>
          </cell>
          <cell r="F149">
            <v>-41.692999999999998</v>
          </cell>
          <cell r="I149">
            <v>3.2149999999999999</v>
          </cell>
          <cell r="J149">
            <v>-44.908000000000001</v>
          </cell>
          <cell r="K149">
            <v>-41.692999999999998</v>
          </cell>
          <cell r="M149">
            <v>3.2149999999999999</v>
          </cell>
          <cell r="N149">
            <v>-44.908000000000001</v>
          </cell>
        </row>
        <row r="150">
          <cell r="A150" t="str">
            <v>6325 ДОКТОРСКАЯ ПРЕМИУМ вар п/о 0.4кг 8шт.  ОСТАНКИНО</v>
          </cell>
          <cell r="E150" t="str">
            <v>шт</v>
          </cell>
          <cell r="H150">
            <v>48</v>
          </cell>
          <cell r="I150">
            <v>2</v>
          </cell>
          <cell r="J150">
            <v>46</v>
          </cell>
          <cell r="L150">
            <v>19.2</v>
          </cell>
          <cell r="M150">
            <v>0.8</v>
          </cell>
          <cell r="N150">
            <v>18.399999999999999</v>
          </cell>
        </row>
        <row r="151">
          <cell r="A151" t="str">
            <v>6333 МЯСНАЯ Папа может вар п/о 0.4кг 8шт.  ОСТАНКИНО</v>
          </cell>
          <cell r="E151" t="str">
            <v>шт</v>
          </cell>
          <cell r="F151">
            <v>-3</v>
          </cell>
          <cell r="H151">
            <v>1</v>
          </cell>
          <cell r="I151">
            <v>4</v>
          </cell>
          <cell r="J151">
            <v>-6</v>
          </cell>
          <cell r="K151">
            <v>-1.2</v>
          </cell>
          <cell r="L151">
            <v>0.4</v>
          </cell>
          <cell r="M151">
            <v>1.6</v>
          </cell>
          <cell r="N151">
            <v>-2.4</v>
          </cell>
        </row>
        <row r="152">
          <cell r="A152" t="str">
            <v>6392 ФИЛЕЙНАЯ Папа может вар п/о 0,4кг  ОСТАНКИНО</v>
          </cell>
          <cell r="E152" t="str">
            <v>шт</v>
          </cell>
          <cell r="H152">
            <v>16</v>
          </cell>
          <cell r="J152">
            <v>16</v>
          </cell>
          <cell r="L152">
            <v>6.4</v>
          </cell>
          <cell r="N152">
            <v>6.4</v>
          </cell>
        </row>
        <row r="153">
          <cell r="A153" t="str">
            <v>6498 МОЛОЧНАЯ Папа может вар п/о  ОСТАНКИНО</v>
          </cell>
          <cell r="E153" t="str">
            <v>кг</v>
          </cell>
          <cell r="F153">
            <v>91.135999999999996</v>
          </cell>
          <cell r="H153">
            <v>147.995</v>
          </cell>
          <cell r="I153">
            <v>4</v>
          </cell>
          <cell r="J153">
            <v>235.131</v>
          </cell>
          <cell r="K153">
            <v>91.135999999999996</v>
          </cell>
          <cell r="L153">
            <v>147.995</v>
          </cell>
          <cell r="M153">
            <v>4</v>
          </cell>
          <cell r="N153">
            <v>235.131</v>
          </cell>
        </row>
        <row r="154">
          <cell r="A154" t="str">
            <v>6527 ШПИКАЧКИ СОЧНЫЕ ПМ сар б/о мгс 1*3 45с ОСТАНКИНО</v>
          </cell>
          <cell r="E154" t="str">
            <v>кг</v>
          </cell>
          <cell r="F154">
            <v>53.268999999999998</v>
          </cell>
          <cell r="I154">
            <v>1.0549999999999999</v>
          </cell>
          <cell r="J154">
            <v>52.213999999999999</v>
          </cell>
          <cell r="K154">
            <v>53.268999999999998</v>
          </cell>
          <cell r="M154">
            <v>1.0549999999999999</v>
          </cell>
          <cell r="N154">
            <v>52.213999999999999</v>
          </cell>
        </row>
        <row r="155">
          <cell r="A155" t="str">
            <v>6608 С ГОВЯДИНОЙ ОРИГИН. сар б/о мгс 1*3_45с  ОСТАНКИНО</v>
          </cell>
          <cell r="E155" t="str">
            <v>кг</v>
          </cell>
          <cell r="F155">
            <v>39.253</v>
          </cell>
          <cell r="I155">
            <v>2.1230000000000002</v>
          </cell>
          <cell r="J155">
            <v>37.130000000000003</v>
          </cell>
          <cell r="K155">
            <v>39.253</v>
          </cell>
          <cell r="M155">
            <v>2.1230000000000002</v>
          </cell>
          <cell r="N155">
            <v>37.130000000000003</v>
          </cell>
        </row>
        <row r="156">
          <cell r="A156" t="str">
            <v>6616 МОЛОЧНЫЕ КЛАССИЧЕСКИЕ сос п/о в/у 0,3 кг  Останкино</v>
          </cell>
          <cell r="E156" t="str">
            <v>шт</v>
          </cell>
          <cell r="F156">
            <v>148</v>
          </cell>
          <cell r="I156">
            <v>16</v>
          </cell>
          <cell r="J156">
            <v>132</v>
          </cell>
          <cell r="K156">
            <v>44.4</v>
          </cell>
          <cell r="M156">
            <v>4.8</v>
          </cell>
          <cell r="N156">
            <v>39.6</v>
          </cell>
        </row>
        <row r="157">
          <cell r="A157" t="str">
            <v>6620 РЕБРЫШКИ к/в в/у_30с  Останкино</v>
          </cell>
          <cell r="E157" t="str">
            <v>кг</v>
          </cell>
          <cell r="F157">
            <v>43.128999999999998</v>
          </cell>
          <cell r="I157">
            <v>1.1240000000000001</v>
          </cell>
          <cell r="J157">
            <v>42.005000000000003</v>
          </cell>
          <cell r="K157">
            <v>43.128999999999998</v>
          </cell>
          <cell r="M157">
            <v>1.1240000000000001</v>
          </cell>
          <cell r="N157">
            <v>42.005000000000003</v>
          </cell>
        </row>
        <row r="158">
          <cell r="A158" t="str">
            <v>6661 СОЧНЫЙ ГРИЛЬ ПМ сос п/о мгс 1,5*4_Маяк Останкино</v>
          </cell>
          <cell r="E158" t="str">
            <v>кг</v>
          </cell>
          <cell r="F158">
            <v>41.41</v>
          </cell>
          <cell r="J158">
            <v>41.41</v>
          </cell>
          <cell r="K158">
            <v>41.41</v>
          </cell>
          <cell r="N158">
            <v>41.41</v>
          </cell>
        </row>
        <row r="159">
          <cell r="A159" t="str">
            <v>6697 СЕРВЕЛАТ ФИНСКИЙ ПМ в/к в/у 0,35кг 8шт  ОСТАНКИНО</v>
          </cell>
          <cell r="E159" t="str">
            <v>шт</v>
          </cell>
          <cell r="F159">
            <v>-6</v>
          </cell>
          <cell r="I159">
            <v>5</v>
          </cell>
          <cell r="J159">
            <v>-11</v>
          </cell>
          <cell r="K159">
            <v>-2.1</v>
          </cell>
          <cell r="M159">
            <v>1.75</v>
          </cell>
          <cell r="N159">
            <v>-3.85</v>
          </cell>
        </row>
        <row r="160">
          <cell r="A160" t="str">
            <v>6724 МОЛОЧНЫЕ ПМ сос п/о мгс 0,41кг 10шт  Останкино</v>
          </cell>
          <cell r="E160" t="str">
            <v>шт</v>
          </cell>
          <cell r="F160">
            <v>5</v>
          </cell>
          <cell r="J160">
            <v>5</v>
          </cell>
          <cell r="K160">
            <v>2.0499999999999998</v>
          </cell>
          <cell r="N160">
            <v>2.0499999999999998</v>
          </cell>
        </row>
        <row r="161">
          <cell r="A161" t="str">
            <v>6765 РУБЛЕНЫЕ сос ц/о мгс 0,36кг 6шт  Останкино</v>
          </cell>
          <cell r="E161" t="str">
            <v>шт</v>
          </cell>
          <cell r="F161">
            <v>66</v>
          </cell>
          <cell r="I161">
            <v>2</v>
          </cell>
          <cell r="J161">
            <v>64</v>
          </cell>
          <cell r="K161">
            <v>23.76</v>
          </cell>
          <cell r="M161">
            <v>0.72</v>
          </cell>
          <cell r="N161">
            <v>23.04</v>
          </cell>
        </row>
        <row r="162">
          <cell r="A162" t="str">
            <v>6787 СЕРВЕЛАТ КРЕМЛЕВСКИЙ в/к в/у 0,33кг 8шт  Останкино</v>
          </cell>
          <cell r="E162" t="str">
            <v>шт</v>
          </cell>
          <cell r="F162">
            <v>13</v>
          </cell>
          <cell r="J162">
            <v>13</v>
          </cell>
          <cell r="K162">
            <v>4.29</v>
          </cell>
          <cell r="N162">
            <v>4.29</v>
          </cell>
        </row>
        <row r="163">
          <cell r="A163" t="str">
            <v>6797 С ИНДЕЙКОЙ Папа может вар п/о 0,4кг 8шт. ОСТАНКИНО</v>
          </cell>
          <cell r="E163" t="str">
            <v>шт</v>
          </cell>
          <cell r="F163">
            <v>38</v>
          </cell>
          <cell r="I163">
            <v>3</v>
          </cell>
          <cell r="J163">
            <v>35</v>
          </cell>
          <cell r="K163">
            <v>15.2</v>
          </cell>
          <cell r="M163">
            <v>1.2</v>
          </cell>
          <cell r="N163">
            <v>14</v>
          </cell>
        </row>
        <row r="164">
          <cell r="A164" t="str">
            <v>6819 БЛИНЧ.КРУГЛЫЕ С САД.ЯБЛОК. пл. 1/300 зам. ОСТАНКИНО</v>
          </cell>
          <cell r="E164" t="str">
            <v>шт</v>
          </cell>
          <cell r="F164">
            <v>47</v>
          </cell>
          <cell r="J164">
            <v>47</v>
          </cell>
          <cell r="K164">
            <v>14.1</v>
          </cell>
          <cell r="N164">
            <v>14.1</v>
          </cell>
        </row>
        <row r="165">
          <cell r="A165" t="str">
            <v>6824 ОСТАНКИНСКИЕ пельм кор.0,5кг зам_NEW  ОСТАНКИНО</v>
          </cell>
          <cell r="E165" t="str">
            <v>шт</v>
          </cell>
          <cell r="F165">
            <v>28</v>
          </cell>
          <cell r="J165">
            <v>28</v>
          </cell>
          <cell r="K165">
            <v>14</v>
          </cell>
          <cell r="N165">
            <v>14</v>
          </cell>
        </row>
        <row r="166">
          <cell r="A166" t="str">
            <v>6829  МОЛОЧНЫЕ КЛАССИЧЕСКИЕ сос п/о мгс 2*4 С  Останккино</v>
          </cell>
          <cell r="E166" t="str">
            <v>кг</v>
          </cell>
          <cell r="F166">
            <v>84.962999999999994</v>
          </cell>
          <cell r="H166">
            <v>4</v>
          </cell>
          <cell r="I166">
            <v>3.0419999999999998</v>
          </cell>
          <cell r="J166">
            <v>85.921000000000006</v>
          </cell>
          <cell r="K166">
            <v>84.962999999999994</v>
          </cell>
          <cell r="L166">
            <v>4</v>
          </cell>
          <cell r="M166">
            <v>3.0419999999999998</v>
          </cell>
          <cell r="N166">
            <v>85.921000000000006</v>
          </cell>
        </row>
        <row r="167">
          <cell r="A167" t="str">
            <v>6837 ФИЛЕЙНЫЕ Папа Может сос ц/о мгс 0,4кг  Останкино</v>
          </cell>
          <cell r="E167" t="str">
            <v>шт</v>
          </cell>
          <cell r="F167">
            <v>149</v>
          </cell>
          <cell r="J167">
            <v>149</v>
          </cell>
          <cell r="K167">
            <v>59.6</v>
          </cell>
          <cell r="N167">
            <v>59.6</v>
          </cell>
        </row>
        <row r="168">
          <cell r="A168" t="str">
            <v>6866 ВЕТЧ.НЕЖНАЯ Коровино п/о_Маяк  Останкино</v>
          </cell>
          <cell r="E168" t="str">
            <v>кг</v>
          </cell>
          <cell r="F168">
            <v>31.545000000000002</v>
          </cell>
          <cell r="H168">
            <v>48.274999999999999</v>
          </cell>
          <cell r="J168">
            <v>79.819999999999993</v>
          </cell>
          <cell r="K168">
            <v>31.545000000000002</v>
          </cell>
          <cell r="L168">
            <v>48.274999999999999</v>
          </cell>
          <cell r="N168">
            <v>79.819999999999993</v>
          </cell>
        </row>
        <row r="169">
          <cell r="A169" t="str">
            <v>6929 КАРБОНАД ДОМАШНИЙ ПМ к/в кр/к в/у  ОСТАНКИНО</v>
          </cell>
          <cell r="E169" t="str">
            <v>кг</v>
          </cell>
          <cell r="F169">
            <v>99.944999999999993</v>
          </cell>
          <cell r="I169">
            <v>0.92400000000000004</v>
          </cell>
          <cell r="J169">
            <v>99.021000000000001</v>
          </cell>
          <cell r="K169">
            <v>99.944999999999993</v>
          </cell>
          <cell r="M169">
            <v>0.92400000000000004</v>
          </cell>
          <cell r="N169">
            <v>99.021000000000001</v>
          </cell>
        </row>
        <row r="170">
          <cell r="A170" t="str">
            <v>6937 САЛЯМИ Папа может с/к в/у 1/250 8шт  Останкино</v>
          </cell>
          <cell r="E170" t="str">
            <v>шт</v>
          </cell>
          <cell r="F170">
            <v>95</v>
          </cell>
          <cell r="J170">
            <v>95</v>
          </cell>
          <cell r="K170">
            <v>23.75</v>
          </cell>
          <cell r="N170">
            <v>23.75</v>
          </cell>
        </row>
        <row r="171">
          <cell r="A171" t="str">
            <v>6948249 Майонезный соус провансаль 824,5гр деликатес.с массовой долей жирн.25% Коровино Останкино</v>
          </cell>
          <cell r="E171" t="str">
            <v>шт</v>
          </cell>
          <cell r="F171">
            <v>72</v>
          </cell>
          <cell r="J171">
            <v>72</v>
          </cell>
          <cell r="K171">
            <v>59.328000000000003</v>
          </cell>
          <cell r="N171">
            <v>59.328000000000003</v>
          </cell>
        </row>
        <row r="172">
          <cell r="A172" t="str">
            <v>6948256 Майонез провансаль классич.оливковый Папа может 372гр с массовой долей жирн. 67% Останкино</v>
          </cell>
          <cell r="E172" t="str">
            <v>шт</v>
          </cell>
          <cell r="F172">
            <v>88</v>
          </cell>
          <cell r="I172">
            <v>3</v>
          </cell>
          <cell r="J172">
            <v>85</v>
          </cell>
          <cell r="K172">
            <v>32.735999999999997</v>
          </cell>
          <cell r="M172">
            <v>1.1160000000000001</v>
          </cell>
          <cell r="N172">
            <v>31.62</v>
          </cell>
        </row>
        <row r="173">
          <cell r="A173" t="str">
            <v>6948263 Майонез провансаль классич.оливковый Папа может 744гр с массовой долей жирн. 67% Останкино</v>
          </cell>
          <cell r="E173" t="str">
            <v>шт</v>
          </cell>
          <cell r="F173">
            <v>166</v>
          </cell>
          <cell r="J173">
            <v>166</v>
          </cell>
          <cell r="K173">
            <v>123.504</v>
          </cell>
          <cell r="N173">
            <v>123.504</v>
          </cell>
        </row>
        <row r="174">
          <cell r="A174" t="str">
            <v>6948270 Майонез провансаль классич.Папа может 372гр с массовой долей жирн. 67% Останкино</v>
          </cell>
          <cell r="E174" t="str">
            <v>шт</v>
          </cell>
          <cell r="F174">
            <v>46</v>
          </cell>
          <cell r="I174">
            <v>16</v>
          </cell>
          <cell r="J174">
            <v>30</v>
          </cell>
          <cell r="K174">
            <v>17.111999999999998</v>
          </cell>
          <cell r="M174">
            <v>5.952</v>
          </cell>
          <cell r="N174">
            <v>11.16</v>
          </cell>
        </row>
        <row r="175">
          <cell r="A175" t="str">
            <v>7001 КЛАССИЧЕСКИЕ Папа может сар б/о мгс 1*3  Останкино</v>
          </cell>
          <cell r="E175" t="str">
            <v>кг</v>
          </cell>
          <cell r="F175">
            <v>39.649000000000001</v>
          </cell>
          <cell r="J175">
            <v>39.649000000000001</v>
          </cell>
          <cell r="K175">
            <v>39.649000000000001</v>
          </cell>
          <cell r="N175">
            <v>39.649000000000001</v>
          </cell>
        </row>
        <row r="176">
          <cell r="A176" t="str">
            <v>7040 С ИНДЕЙКОЙ ПМ сос ц/о в/у 1/270 8шт.  ОСТАНКИНО</v>
          </cell>
          <cell r="E176" t="str">
            <v>шт</v>
          </cell>
          <cell r="F176">
            <v>96</v>
          </cell>
          <cell r="J176">
            <v>96</v>
          </cell>
          <cell r="K176">
            <v>25.92</v>
          </cell>
          <cell r="N176">
            <v>25.92</v>
          </cell>
        </row>
        <row r="177">
          <cell r="A177" t="str">
            <v>7049 С КАРТОФ.И ГРИБ.вареники пл.0,42кг зам  ОСТАНКИНО</v>
          </cell>
          <cell r="E177" t="str">
            <v>шт</v>
          </cell>
          <cell r="F177">
            <v>37</v>
          </cell>
          <cell r="J177">
            <v>37</v>
          </cell>
          <cell r="K177">
            <v>15.54</v>
          </cell>
          <cell r="N177">
            <v>15.54</v>
          </cell>
        </row>
        <row r="178">
          <cell r="A178" t="str">
            <v>7059 ШПИКАЧКИ СОЧНЫЕ С БЕК. п/о мгс 0,3кг 60с ОСТАНКИНО</v>
          </cell>
          <cell r="E178" t="str">
            <v>шт</v>
          </cell>
          <cell r="F178">
            <v>37</v>
          </cell>
          <cell r="I178">
            <v>5</v>
          </cell>
          <cell r="J178">
            <v>32</v>
          </cell>
          <cell r="K178">
            <v>11.1</v>
          </cell>
          <cell r="M178">
            <v>1.5</v>
          </cell>
          <cell r="N178">
            <v>9.6</v>
          </cell>
        </row>
        <row r="179">
          <cell r="A179" t="str">
            <v>7066 СОЧНЫЕ ПМ сос п/о мгс 0,41кг 10шт 50с  Останкино</v>
          </cell>
          <cell r="E179" t="str">
            <v>шт</v>
          </cell>
          <cell r="F179">
            <v>25</v>
          </cell>
          <cell r="H179">
            <v>12</v>
          </cell>
          <cell r="I179">
            <v>23</v>
          </cell>
          <cell r="J179">
            <v>14</v>
          </cell>
          <cell r="K179">
            <v>10.25</v>
          </cell>
          <cell r="L179">
            <v>4.92</v>
          </cell>
          <cell r="M179">
            <v>9.43</v>
          </cell>
          <cell r="N179">
            <v>5.74</v>
          </cell>
        </row>
        <row r="180">
          <cell r="A180" t="str">
            <v>7070 СОЧНЫЕ ПМ сос п/о 1,5*4_А_50с  Останкино</v>
          </cell>
          <cell r="E180" t="str">
            <v>кг</v>
          </cell>
          <cell r="F180">
            <v>13.895</v>
          </cell>
          <cell r="I180">
            <v>3.048</v>
          </cell>
          <cell r="J180">
            <v>10.847</v>
          </cell>
          <cell r="K180">
            <v>13.895</v>
          </cell>
          <cell r="M180">
            <v>3.048</v>
          </cell>
          <cell r="N180">
            <v>10.847</v>
          </cell>
        </row>
        <row r="181">
          <cell r="A181" t="str">
            <v>7073 МОЛОЧ.ПРЕМИУМ ПМ сос п/о в/у 1/350_50с  Останкино</v>
          </cell>
          <cell r="E181" t="str">
            <v>шт</v>
          </cell>
          <cell r="F181">
            <v>108</v>
          </cell>
          <cell r="H181">
            <v>1</v>
          </cell>
          <cell r="I181">
            <v>13</v>
          </cell>
          <cell r="J181">
            <v>96</v>
          </cell>
          <cell r="K181">
            <v>37.799999999999997</v>
          </cell>
          <cell r="L181">
            <v>0.35</v>
          </cell>
          <cell r="M181">
            <v>4.55</v>
          </cell>
          <cell r="N181">
            <v>33.6</v>
          </cell>
        </row>
        <row r="182">
          <cell r="A182" t="str">
            <v>7075 МОЛОЧ.ПРЕМИУМ ПМ сос п/о мгс 1,5*4_О_50с  Останкино</v>
          </cell>
          <cell r="E182" t="str">
            <v>кг</v>
          </cell>
          <cell r="F182">
            <v>6.2690000000000001</v>
          </cell>
          <cell r="J182">
            <v>6.2690000000000001</v>
          </cell>
          <cell r="K182">
            <v>6.2690000000000001</v>
          </cell>
          <cell r="N182">
            <v>6.2690000000000001</v>
          </cell>
        </row>
        <row r="183">
          <cell r="A183" t="str">
            <v>7080 СЛИВОЧНЫЕ ПМ сос п/о мгс 0,41кг 10шт 50с  Останкино</v>
          </cell>
          <cell r="E183" t="str">
            <v>шт</v>
          </cell>
          <cell r="F183">
            <v>234</v>
          </cell>
          <cell r="I183">
            <v>112</v>
          </cell>
          <cell r="J183">
            <v>122</v>
          </cell>
          <cell r="K183">
            <v>95.94</v>
          </cell>
          <cell r="M183">
            <v>45.92</v>
          </cell>
          <cell r="N183">
            <v>50.02</v>
          </cell>
        </row>
        <row r="184">
          <cell r="A184" t="str">
            <v>7083 СЛИВОЧНЫЕ ПМ сос п/о мгс 1.5*4_А_50с  ОСТАНКИНО</v>
          </cell>
          <cell r="E184" t="str">
            <v>кг</v>
          </cell>
          <cell r="F184">
            <v>10.977</v>
          </cell>
          <cell r="J184">
            <v>10.977</v>
          </cell>
          <cell r="K184">
            <v>10.977</v>
          </cell>
          <cell r="N184">
            <v>10.977</v>
          </cell>
        </row>
        <row r="185">
          <cell r="A185" t="str">
            <v>7085 ОСТАНКИНСКИЕ пельм пл.0,7кг 10шт.зам  ОСТАНКИНО</v>
          </cell>
          <cell r="E185" t="str">
            <v>шт</v>
          </cell>
          <cell r="F185">
            <v>20</v>
          </cell>
          <cell r="J185">
            <v>20</v>
          </cell>
          <cell r="K185">
            <v>14</v>
          </cell>
          <cell r="N185">
            <v>14</v>
          </cell>
        </row>
        <row r="186">
          <cell r="A186" t="str">
            <v>7090 СВИНИНА ПО-ДОМ.к/в мл/к в/у 0,3кг_50с  Останкино</v>
          </cell>
          <cell r="E186" t="str">
            <v>шт</v>
          </cell>
          <cell r="F186">
            <v>114</v>
          </cell>
          <cell r="I186">
            <v>4</v>
          </cell>
          <cell r="J186">
            <v>110</v>
          </cell>
          <cell r="K186">
            <v>34.200000000000003</v>
          </cell>
          <cell r="M186">
            <v>1.2</v>
          </cell>
          <cell r="N186">
            <v>33</v>
          </cell>
        </row>
        <row r="187">
          <cell r="A187" t="str">
            <v>7154 СЕРВЕЛАТ ЗЕРНИСТЫЙ ПМ в/к в/у 0,35кг_50с  Останкино</v>
          </cell>
          <cell r="E187" t="str">
            <v>шт</v>
          </cell>
          <cell r="F187">
            <v>1</v>
          </cell>
          <cell r="H187">
            <v>19</v>
          </cell>
          <cell r="I187">
            <v>9</v>
          </cell>
          <cell r="J187">
            <v>11</v>
          </cell>
          <cell r="K187">
            <v>0.35</v>
          </cell>
          <cell r="L187">
            <v>6.65</v>
          </cell>
          <cell r="M187">
            <v>3.15</v>
          </cell>
          <cell r="N187">
            <v>3.85</v>
          </cell>
        </row>
        <row r="188">
          <cell r="A188" t="str">
            <v>7166 СЕРВЕЛАТ ОХОТНИЧИЙ ПМ в/к в/у_50с  Останкино</v>
          </cell>
          <cell r="E188" t="str">
            <v>кг</v>
          </cell>
          <cell r="H188">
            <v>1.4</v>
          </cell>
          <cell r="J188">
            <v>1.4</v>
          </cell>
          <cell r="L188">
            <v>1.4</v>
          </cell>
          <cell r="N188">
            <v>1.4</v>
          </cell>
        </row>
        <row r="189">
          <cell r="A189" t="str">
            <v>7187 ГРУДИНКА ПРЕМИУМ к/в мл/к в/у 0,3кг_50с  Останкино</v>
          </cell>
          <cell r="E189" t="str">
            <v>шт</v>
          </cell>
          <cell r="F189">
            <v>40</v>
          </cell>
          <cell r="I189">
            <v>8</v>
          </cell>
          <cell r="J189">
            <v>32</v>
          </cell>
          <cell r="K189">
            <v>12</v>
          </cell>
          <cell r="M189">
            <v>2.4</v>
          </cell>
          <cell r="N189">
            <v>9.6</v>
          </cell>
        </row>
        <row r="190">
          <cell r="A190" t="str">
            <v>7212 СОЧНЫЕ Папа Может пельм пл.0,42кг зам  ОСТАНКИНО</v>
          </cell>
          <cell r="E190" t="str">
            <v>шт</v>
          </cell>
          <cell r="F190">
            <v>58</v>
          </cell>
          <cell r="J190">
            <v>58</v>
          </cell>
          <cell r="K190">
            <v>24.36</v>
          </cell>
          <cell r="N190">
            <v>24.36</v>
          </cell>
        </row>
        <row r="191">
          <cell r="A191" t="str">
            <v>7214 СОЧНЫЕ Папа Может пельм пл.0,7кг зам  ОСТАНКИНО</v>
          </cell>
          <cell r="E191" t="str">
            <v>шт</v>
          </cell>
          <cell r="F191">
            <v>30</v>
          </cell>
          <cell r="J191">
            <v>30</v>
          </cell>
          <cell r="K191">
            <v>21</v>
          </cell>
          <cell r="N191">
            <v>21</v>
          </cell>
        </row>
        <row r="192">
          <cell r="A192" t="str">
            <v>7216 СОЧНЫЕ СО СЛ.МАСЛ.ПМ пельм пл.0.7кг зам. ОСТАНКИНО</v>
          </cell>
          <cell r="E192" t="str">
            <v>шт</v>
          </cell>
          <cell r="F192">
            <v>166</v>
          </cell>
          <cell r="I192">
            <v>6</v>
          </cell>
          <cell r="J192">
            <v>160</v>
          </cell>
          <cell r="K192">
            <v>116.2</v>
          </cell>
          <cell r="M192">
            <v>4.2</v>
          </cell>
          <cell r="N192">
            <v>112</v>
          </cell>
        </row>
        <row r="193">
          <cell r="A193" t="str">
            <v>7224 МЯСНЫЕ ПРЕМИУМ пельм кор.0,4кг зам  ОСТАНКИНО</v>
          </cell>
          <cell r="E193" t="str">
            <v>шт</v>
          </cell>
          <cell r="F193">
            <v>21</v>
          </cell>
          <cell r="J193">
            <v>21</v>
          </cell>
          <cell r="K193">
            <v>8.4</v>
          </cell>
          <cell r="N193">
            <v>8.4</v>
          </cell>
        </row>
        <row r="194">
          <cell r="A194" t="str">
            <v>7231 КЛАССИЧЕСКАЯ ПМ вар п/о 0,3кг 8 шт_209к  Останкино</v>
          </cell>
          <cell r="E194" t="str">
            <v>шт</v>
          </cell>
          <cell r="F194">
            <v>7</v>
          </cell>
          <cell r="I194">
            <v>2</v>
          </cell>
          <cell r="J194">
            <v>5</v>
          </cell>
          <cell r="K194">
            <v>2.1</v>
          </cell>
          <cell r="M194">
            <v>0.6</v>
          </cell>
          <cell r="N194">
            <v>1.5</v>
          </cell>
        </row>
        <row r="195">
          <cell r="A195" t="str">
            <v>7232 БОЯNСКАЯ ПМ п/к в/у 0,28кг 8шт_209к  Останкино</v>
          </cell>
          <cell r="E195" t="str">
            <v>шт</v>
          </cell>
          <cell r="F195">
            <v>4</v>
          </cell>
          <cell r="J195">
            <v>4</v>
          </cell>
          <cell r="K195">
            <v>1.1200000000000001</v>
          </cell>
          <cell r="N195">
            <v>1.1200000000000001</v>
          </cell>
        </row>
        <row r="196">
          <cell r="A196" t="str">
            <v>7241 САЛЯМИ Папа может п/к в/у 0,28кг ОСТАНКИНО</v>
          </cell>
          <cell r="E196" t="str">
            <v>шт</v>
          </cell>
          <cell r="F196">
            <v>56</v>
          </cell>
          <cell r="H196">
            <v>3</v>
          </cell>
          <cell r="I196">
            <v>20</v>
          </cell>
          <cell r="J196">
            <v>39</v>
          </cell>
          <cell r="K196">
            <v>15.68</v>
          </cell>
          <cell r="L196">
            <v>0.84</v>
          </cell>
          <cell r="M196">
            <v>5.6</v>
          </cell>
          <cell r="N196">
            <v>10.92</v>
          </cell>
        </row>
        <row r="197">
          <cell r="A197" t="str">
            <v>7255 МЯСНЫЕ С ГОВЯД.ПМ сос п/о мгс 0.4кг 6шт.  ОСТАНКИНО</v>
          </cell>
          <cell r="E197" t="str">
            <v>шт</v>
          </cell>
          <cell r="F197">
            <v>-4</v>
          </cell>
          <cell r="I197">
            <v>3</v>
          </cell>
          <cell r="J197">
            <v>-7</v>
          </cell>
          <cell r="K197">
            <v>-1.6</v>
          </cell>
          <cell r="M197">
            <v>1.2</v>
          </cell>
          <cell r="N197">
            <v>-2.8</v>
          </cell>
        </row>
        <row r="198">
          <cell r="A198" t="str">
            <v>7299 НАБОР ДЛЯ ПИЦЦЫ Папа Может с/к в/у  ОСТАНКИНО</v>
          </cell>
          <cell r="E198" t="str">
            <v>кг</v>
          </cell>
          <cell r="F198">
            <v>79.965000000000003</v>
          </cell>
          <cell r="I198">
            <v>0.69499999999999995</v>
          </cell>
          <cell r="J198">
            <v>79.27</v>
          </cell>
          <cell r="K198">
            <v>79.965000000000003</v>
          </cell>
          <cell r="M198">
            <v>0.69499999999999995</v>
          </cell>
          <cell r="N198">
            <v>79.27</v>
          </cell>
        </row>
        <row r="199">
          <cell r="A199" t="str">
            <v>7344 КОНСЕРВЫ МЯС.ГОВЯДИНА ТУШ. В/С 338г_ЧЗ  ОСТАНКИНО</v>
          </cell>
          <cell r="E199" t="str">
            <v>шт</v>
          </cell>
          <cell r="F199">
            <v>191</v>
          </cell>
          <cell r="J199">
            <v>191</v>
          </cell>
          <cell r="K199">
            <v>64.558000000000007</v>
          </cell>
          <cell r="N199">
            <v>64.558000000000007</v>
          </cell>
        </row>
        <row r="200">
          <cell r="A200" t="str">
            <v>7345 КОНСЕРВЫ МЯС.СВИНИНА ТУШ. В/С 325г_ЧЗ  ОСТАНКИНО</v>
          </cell>
          <cell r="E200" t="str">
            <v>шт</v>
          </cell>
          <cell r="F200">
            <v>149</v>
          </cell>
          <cell r="J200">
            <v>149</v>
          </cell>
          <cell r="K200">
            <v>48.424999999999997</v>
          </cell>
          <cell r="N200">
            <v>48.424999999999997</v>
          </cell>
        </row>
        <row r="201">
          <cell r="A201" t="str">
            <v>7375 СОЧНЫЕ Папа Может пельм 4кг зам  ОСТАНКИНО</v>
          </cell>
          <cell r="E201" t="str">
            <v>кг</v>
          </cell>
          <cell r="F201">
            <v>40.578000000000003</v>
          </cell>
          <cell r="J201">
            <v>40.578000000000003</v>
          </cell>
          <cell r="K201">
            <v>40.578000000000003</v>
          </cell>
          <cell r="N201">
            <v>40.578000000000003</v>
          </cell>
        </row>
        <row r="202">
          <cell r="A202" t="str">
            <v>7382  САЛЯМИ МЕЛКОЗЕРНЕНАЯ с/к в/у1/120 8шт.  ОСТАНКИНО</v>
          </cell>
          <cell r="E202" t="str">
            <v>шт</v>
          </cell>
          <cell r="F202">
            <v>1</v>
          </cell>
          <cell r="J202">
            <v>1</v>
          </cell>
          <cell r="K202">
            <v>0.12</v>
          </cell>
          <cell r="N202">
            <v>0.12</v>
          </cell>
        </row>
        <row r="203">
          <cell r="A203" t="str">
            <v>7456 САЛЯМИ ФИНСКАЯ Папа может с/к в/у 1/150  ОСТАНКИНО</v>
          </cell>
          <cell r="E203" t="str">
            <v>шт</v>
          </cell>
          <cell r="F203">
            <v>17</v>
          </cell>
          <cell r="I203">
            <v>10</v>
          </cell>
          <cell r="J203">
            <v>7</v>
          </cell>
          <cell r="K203">
            <v>2.5499999999999998</v>
          </cell>
          <cell r="M203">
            <v>1.5</v>
          </cell>
          <cell r="N203">
            <v>1.05</v>
          </cell>
        </row>
        <row r="204">
          <cell r="A204" t="str">
            <v>7490 СОЧНЫЙ ГРИЛЬ сос ц/о мгс 0.41кг_Даблпак  ОСТАНКИНО</v>
          </cell>
          <cell r="E204" t="str">
            <v>шт</v>
          </cell>
          <cell r="F204">
            <v>7</v>
          </cell>
          <cell r="I204">
            <v>10</v>
          </cell>
          <cell r="J204">
            <v>-3</v>
          </cell>
          <cell r="K204">
            <v>2.87</v>
          </cell>
          <cell r="M204">
            <v>4.0999999999999996</v>
          </cell>
          <cell r="N204">
            <v>-1.23</v>
          </cell>
        </row>
        <row r="205">
          <cell r="A205" t="str">
            <v>7512 ЧАЙНАЯ Останкино вар н/о мгс 1*3  ОСТАНКИНО</v>
          </cell>
          <cell r="E205" t="str">
            <v>кг</v>
          </cell>
          <cell r="F205">
            <v>48.075000000000003</v>
          </cell>
          <cell r="J205">
            <v>48.075000000000003</v>
          </cell>
          <cell r="K205">
            <v>48.075000000000003</v>
          </cell>
          <cell r="N205">
            <v>48.075000000000003</v>
          </cell>
        </row>
        <row r="206">
          <cell r="A206" t="str">
            <v>7513 ВОСКРЕСЕНСКАЯ ВЯЛЕНАЯ в/к в/у срез 1/260  ОСТАНКИНО</v>
          </cell>
          <cell r="E206" t="str">
            <v>шт</v>
          </cell>
          <cell r="F206">
            <v>224</v>
          </cell>
          <cell r="H206">
            <v>1</v>
          </cell>
          <cell r="I206">
            <v>5</v>
          </cell>
          <cell r="J206">
            <v>220</v>
          </cell>
          <cell r="K206">
            <v>58.24</v>
          </cell>
          <cell r="L206">
            <v>0.26</v>
          </cell>
          <cell r="M206">
            <v>1.3</v>
          </cell>
          <cell r="N206">
            <v>57.2</v>
          </cell>
        </row>
        <row r="207">
          <cell r="A207" t="str">
            <v>7516 НОВОМОСКОВСКАЯ в/к в/у срез 0.31кг  ОСТАНКИНО</v>
          </cell>
          <cell r="E207" t="str">
            <v>шт</v>
          </cell>
          <cell r="F207">
            <v>78</v>
          </cell>
          <cell r="I207">
            <v>3</v>
          </cell>
          <cell r="J207">
            <v>75</v>
          </cell>
          <cell r="K207">
            <v>24.18</v>
          </cell>
          <cell r="M207">
            <v>0.93</v>
          </cell>
          <cell r="N207">
            <v>23.25</v>
          </cell>
        </row>
        <row r="208">
          <cell r="A208" t="str">
            <v>7518 ТЕЛЯЧЬЯ ГОСТ Останкино вар п/о в/у  ОСТАНКИНО</v>
          </cell>
          <cell r="E208" t="str">
            <v>кг</v>
          </cell>
          <cell r="F208">
            <v>6.819</v>
          </cell>
          <cell r="I208">
            <v>2.698</v>
          </cell>
          <cell r="J208">
            <v>4.1210000000000004</v>
          </cell>
          <cell r="K208">
            <v>6.819</v>
          </cell>
          <cell r="M208">
            <v>2.698</v>
          </cell>
          <cell r="N208">
            <v>4.1210000000000004</v>
          </cell>
        </row>
        <row r="209">
          <cell r="A209" t="str">
            <v>7523 ГОВЯЖЬЯ Папа Может вар п/о 0,4кг 6шт. ОСТАНКИНО</v>
          </cell>
          <cell r="E209" t="str">
            <v>шт</v>
          </cell>
          <cell r="F209">
            <v>12</v>
          </cell>
          <cell r="I209">
            <v>10</v>
          </cell>
          <cell r="J209">
            <v>2</v>
          </cell>
          <cell r="K209">
            <v>4.8</v>
          </cell>
          <cell r="M209">
            <v>4</v>
          </cell>
          <cell r="N209">
            <v>0.8</v>
          </cell>
        </row>
        <row r="210">
          <cell r="A210" t="str">
            <v>7539 ДОКТОРСКАЯ ГОСТ вар п/о 0,35кг ОСТАНКИНО</v>
          </cell>
          <cell r="E210" t="str">
            <v>шт</v>
          </cell>
          <cell r="F210">
            <v>21</v>
          </cell>
          <cell r="H210">
            <v>28</v>
          </cell>
          <cell r="J210">
            <v>49</v>
          </cell>
          <cell r="K210">
            <v>7.35</v>
          </cell>
          <cell r="L210">
            <v>9.8000000000000007</v>
          </cell>
          <cell r="N210">
            <v>17.149999999999999</v>
          </cell>
        </row>
        <row r="211">
          <cell r="A211" t="str">
            <v>7562 КРАКОВСКАЯ ГОСТ Останкино п/к н/о мгс  ОСТАНКИНО</v>
          </cell>
          <cell r="E211" t="str">
            <v>кг</v>
          </cell>
          <cell r="F211">
            <v>82.113</v>
          </cell>
          <cell r="I211">
            <v>1.1859999999999999</v>
          </cell>
          <cell r="J211">
            <v>80.927000000000007</v>
          </cell>
          <cell r="K211">
            <v>82.113</v>
          </cell>
          <cell r="M211">
            <v>1.1859999999999999</v>
          </cell>
          <cell r="N211">
            <v>80.927000000000007</v>
          </cell>
        </row>
        <row r="212">
          <cell r="A212" t="str">
            <v>7603 БАЛЫКОВАЯ в/к в/у 0.33кг 8шт. ОСТАНКИНО</v>
          </cell>
          <cell r="E212" t="str">
            <v>шт</v>
          </cell>
          <cell r="F212">
            <v>22</v>
          </cell>
          <cell r="H212">
            <v>1</v>
          </cell>
          <cell r="I212">
            <v>5</v>
          </cell>
          <cell r="J212">
            <v>18</v>
          </cell>
          <cell r="K212">
            <v>7.26</v>
          </cell>
          <cell r="L212">
            <v>0.33</v>
          </cell>
          <cell r="M212">
            <v>1.65</v>
          </cell>
          <cell r="N212">
            <v>5.94</v>
          </cell>
        </row>
        <row r="213">
          <cell r="A213" t="str">
            <v>7612 БАЛЫК с/к с/н в/у 1/100 10шт_  ОСТАНКИНО</v>
          </cell>
          <cell r="E213" t="str">
            <v>шт</v>
          </cell>
          <cell r="H213">
            <v>90</v>
          </cell>
          <cell r="I213">
            <v>1</v>
          </cell>
          <cell r="J213">
            <v>89</v>
          </cell>
          <cell r="L213">
            <v>9</v>
          </cell>
          <cell r="M213">
            <v>0.1</v>
          </cell>
          <cell r="N213">
            <v>8.9</v>
          </cell>
        </row>
        <row r="214">
          <cell r="A214" t="str">
            <v>7613 АРОМАТНАЯ с/к с/н в/у 1/100 10шт_Л10  ОСТАНКИНО</v>
          </cell>
          <cell r="E214" t="str">
            <v>шт</v>
          </cell>
          <cell r="F214">
            <v>210</v>
          </cell>
          <cell r="H214">
            <v>111</v>
          </cell>
          <cell r="I214">
            <v>6</v>
          </cell>
          <cell r="J214">
            <v>315</v>
          </cell>
          <cell r="K214">
            <v>21</v>
          </cell>
          <cell r="L214">
            <v>11.1</v>
          </cell>
          <cell r="M214">
            <v>0.6</v>
          </cell>
          <cell r="N214">
            <v>31.5</v>
          </cell>
        </row>
        <row r="215">
          <cell r="A215" t="str">
            <v>7616 ЭКСТРА Папа может с/к с/н в/у 1/100_  ОСТАНКИНО</v>
          </cell>
          <cell r="E215" t="str">
            <v>шт</v>
          </cell>
          <cell r="F215">
            <v>249</v>
          </cell>
          <cell r="H215">
            <v>161</v>
          </cell>
          <cell r="I215">
            <v>5</v>
          </cell>
          <cell r="J215">
            <v>405</v>
          </cell>
          <cell r="K215">
            <v>24.9</v>
          </cell>
          <cell r="L215">
            <v>16.100000000000001</v>
          </cell>
          <cell r="M215">
            <v>0.5</v>
          </cell>
          <cell r="N215">
            <v>40.5</v>
          </cell>
        </row>
        <row r="216">
          <cell r="A216" t="str">
            <v>7632 ЭКСТРА Папа может вар п/о 0.4кг 8шт_195к  ОСТАНКИНО</v>
          </cell>
          <cell r="E216" t="str">
            <v>шт</v>
          </cell>
          <cell r="H216">
            <v>273</v>
          </cell>
          <cell r="I216">
            <v>3</v>
          </cell>
          <cell r="J216">
            <v>270</v>
          </cell>
          <cell r="L216">
            <v>109.2</v>
          </cell>
          <cell r="M216">
            <v>1.2</v>
          </cell>
          <cell r="N216">
            <v>108</v>
          </cell>
        </row>
        <row r="217">
          <cell r="A217" t="str">
            <v>7700 ЛИТОВСКАЯ с/к в/у  ОСТАНКИНО</v>
          </cell>
          <cell r="E217" t="str">
            <v>кг</v>
          </cell>
          <cell r="F217">
            <v>13.597</v>
          </cell>
          <cell r="J217">
            <v>13.597</v>
          </cell>
          <cell r="K217">
            <v>13.597</v>
          </cell>
          <cell r="N217">
            <v>13.597</v>
          </cell>
        </row>
        <row r="218">
          <cell r="A218" t="str">
            <v>7710 КРАКОВСКАЯ ГОСТ п/к н/о мгс 0.3кг  ОСТАНКИНО</v>
          </cell>
          <cell r="E218" t="str">
            <v>шт</v>
          </cell>
          <cell r="F218">
            <v>59</v>
          </cell>
          <cell r="I218">
            <v>7</v>
          </cell>
          <cell r="J218">
            <v>52</v>
          </cell>
          <cell r="K218">
            <v>17.7</v>
          </cell>
          <cell r="M218">
            <v>2.1</v>
          </cell>
          <cell r="N218">
            <v>15.6</v>
          </cell>
        </row>
        <row r="219">
          <cell r="A219" t="str">
            <v>7725 ВЕТ.МРАМОРНАЯ в/у срез 0.3кг 6шт_62  ОСТАНКИНО</v>
          </cell>
          <cell r="E219" t="str">
            <v>шт</v>
          </cell>
          <cell r="F219">
            <v>35</v>
          </cell>
          <cell r="J219">
            <v>35</v>
          </cell>
          <cell r="K219">
            <v>10.5</v>
          </cell>
          <cell r="N219">
            <v>10.5</v>
          </cell>
        </row>
        <row r="220">
          <cell r="A220" t="str">
            <v>7730 ХОЧУ ВЕТЧ.ИЗ СВ.ОТРУБА мгс 1/100_45с_Л11  ОСТАНКИНО</v>
          </cell>
          <cell r="E220" t="str">
            <v>шт</v>
          </cell>
          <cell r="F220">
            <v>11</v>
          </cell>
          <cell r="J220">
            <v>11</v>
          </cell>
          <cell r="K220">
            <v>1.1000000000000001</v>
          </cell>
          <cell r="N220">
            <v>1.1000000000000001</v>
          </cell>
        </row>
        <row r="221">
          <cell r="A221" t="str">
            <v>9988421 Творожный Сыр 60 % С маринованными огурчиками и укропом  Останкино</v>
          </cell>
          <cell r="E221" t="str">
            <v>шт</v>
          </cell>
          <cell r="F221">
            <v>51</v>
          </cell>
          <cell r="J221">
            <v>51</v>
          </cell>
          <cell r="K221">
            <v>7.14</v>
          </cell>
          <cell r="N221">
            <v>7.14</v>
          </cell>
        </row>
        <row r="222">
          <cell r="A222" t="str">
            <v>9988438 Плавленый Сыр 45% "С ветчиной" СТМ"ПапаМожет" 180гр  Останкино</v>
          </cell>
          <cell r="E222" t="str">
            <v>шт</v>
          </cell>
          <cell r="F222">
            <v>29</v>
          </cell>
          <cell r="J222">
            <v>29</v>
          </cell>
          <cell r="K222">
            <v>5.22</v>
          </cell>
          <cell r="N222">
            <v>5.22</v>
          </cell>
        </row>
        <row r="223">
          <cell r="A223" t="str">
            <v>9988445 Плавленый Сыр 45%"С грибами" СТМ"ПапаМожет" 180 гр  Останкино</v>
          </cell>
          <cell r="E223" t="str">
            <v>шт</v>
          </cell>
          <cell r="F223">
            <v>30</v>
          </cell>
          <cell r="J223">
            <v>30</v>
          </cell>
          <cell r="K223">
            <v>5.4</v>
          </cell>
          <cell r="N223">
            <v>5.4</v>
          </cell>
        </row>
        <row r="224">
          <cell r="A224" t="str">
            <v>Cыр Перлини со вкусом Васаби 40% 100гр (8шт)  Останкино</v>
          </cell>
          <cell r="E224" t="str">
            <v>шт</v>
          </cell>
          <cell r="F224">
            <v>64</v>
          </cell>
          <cell r="I224">
            <v>6</v>
          </cell>
          <cell r="J224">
            <v>58</v>
          </cell>
          <cell r="K224">
            <v>6.4</v>
          </cell>
          <cell r="M224">
            <v>0.6</v>
          </cell>
          <cell r="N224">
            <v>5.8</v>
          </cell>
        </row>
        <row r="225">
          <cell r="A225" t="str">
            <v>А_5579 БЛИНЧ.КРУГЛЫЕ С САД.ЯБЛОК.пл.1/420 зам. ОСТАНКИНО</v>
          </cell>
          <cell r="E225" t="str">
            <v>шт</v>
          </cell>
          <cell r="F225">
            <v>-8</v>
          </cell>
          <cell r="J225">
            <v>-8</v>
          </cell>
          <cell r="K225">
            <v>-3.36</v>
          </cell>
          <cell r="N225">
            <v>-3.36</v>
          </cell>
        </row>
        <row r="226">
          <cell r="A226" t="str">
            <v>БОНУС_ 334  Паштет Любительский ТМ Стародворье ламистер 0,1 кг  ПОКОМ</v>
          </cell>
          <cell r="E226" t="str">
            <v>шт</v>
          </cell>
          <cell r="F226">
            <v>-3</v>
          </cell>
          <cell r="H226">
            <v>4</v>
          </cell>
          <cell r="I226">
            <v>2</v>
          </cell>
          <cell r="J226">
            <v>-1</v>
          </cell>
          <cell r="K226">
            <v>-0.3</v>
          </cell>
          <cell r="L226">
            <v>0.4</v>
          </cell>
          <cell r="M226">
            <v>0.2</v>
          </cell>
          <cell r="N226">
            <v>-0.1</v>
          </cell>
        </row>
        <row r="227">
          <cell r="A227" t="str">
            <v>БОНУС_Готовые чебупели сочные с мясом ТМ Горячая штучка флоу-пак 0,24 кг  ПОКОМ</v>
          </cell>
          <cell r="E227" t="str">
            <v>шт</v>
          </cell>
          <cell r="F227">
            <v>-15</v>
          </cell>
          <cell r="H227">
            <v>19</v>
          </cell>
          <cell r="I227">
            <v>5</v>
          </cell>
          <cell r="J227">
            <v>-1</v>
          </cell>
          <cell r="K227">
            <v>-3.6</v>
          </cell>
          <cell r="L227">
            <v>4.5599999999999996</v>
          </cell>
          <cell r="M227">
            <v>1.2</v>
          </cell>
          <cell r="N227">
            <v>-0.24</v>
          </cell>
        </row>
        <row r="228">
          <cell r="A228" t="str">
            <v>БОНУС_Наггетсы Нагетосы Сочная курочка ТМ Горячая штучка 0,25 кг зам  ПОКОМ</v>
          </cell>
          <cell r="E228" t="str">
            <v>шт</v>
          </cell>
          <cell r="F228">
            <v>-11</v>
          </cell>
          <cell r="H228">
            <v>15</v>
          </cell>
          <cell r="I228">
            <v>9</v>
          </cell>
          <cell r="J228">
            <v>-5</v>
          </cell>
          <cell r="K228">
            <v>-2.75</v>
          </cell>
          <cell r="L228">
            <v>3.75</v>
          </cell>
          <cell r="M228">
            <v>2.25</v>
          </cell>
          <cell r="N228">
            <v>-1.25</v>
          </cell>
        </row>
        <row r="229">
          <cell r="A229" t="str">
            <v>Бульмени хрустящие с мясом ТМ Горячая штучка ТС Бульмени ГШ сфера 0,22 кг  Поком</v>
          </cell>
          <cell r="E229" t="str">
            <v>шт</v>
          </cell>
          <cell r="F229">
            <v>6</v>
          </cell>
          <cell r="J229">
            <v>6</v>
          </cell>
          <cell r="K229">
            <v>1.32</v>
          </cell>
          <cell r="N229">
            <v>1.32</v>
          </cell>
        </row>
        <row r="230">
          <cell r="A230" t="str">
            <v>Вареники Медвежье ушко Премиум с картофелем и лесными грибами клас. форма флоу-пак 0,6 кг  ПОКОМ</v>
          </cell>
          <cell r="E230" t="str">
            <v>шт</v>
          </cell>
          <cell r="F230">
            <v>240</v>
          </cell>
          <cell r="J230">
            <v>240</v>
          </cell>
          <cell r="K230">
            <v>144</v>
          </cell>
          <cell r="N230">
            <v>144</v>
          </cell>
        </row>
        <row r="231">
          <cell r="A231" t="str">
            <v>Готовая чебупицца курочка по-итальянски 0,25кг ТМ Горячая штучка  ПОКОМ</v>
          </cell>
          <cell r="E231" t="str">
            <v>шт</v>
          </cell>
          <cell r="F231">
            <v>246</v>
          </cell>
          <cell r="I231">
            <v>37</v>
          </cell>
          <cell r="J231">
            <v>209</v>
          </cell>
          <cell r="K231">
            <v>61.5</v>
          </cell>
          <cell r="M231">
            <v>9.25</v>
          </cell>
          <cell r="N231">
            <v>52.25</v>
          </cell>
        </row>
        <row r="232">
          <cell r="A232" t="str">
            <v>Готовые бельмеши сочные с мясом ТМ Горячая штучка 0,3кг зам  ПОКОМ</v>
          </cell>
          <cell r="E232" t="str">
            <v>шт</v>
          </cell>
          <cell r="F232">
            <v>-6</v>
          </cell>
          <cell r="H232">
            <v>2</v>
          </cell>
          <cell r="J232">
            <v>-4</v>
          </cell>
          <cell r="K232">
            <v>-1.8</v>
          </cell>
          <cell r="L232">
            <v>0.6</v>
          </cell>
          <cell r="N232">
            <v>-1.2</v>
          </cell>
        </row>
        <row r="233">
          <cell r="A233" t="str">
            <v>Готовые круггетсы сочные ТМ Горячая штучка флоу пак 0,2кг  ПОКОМ</v>
          </cell>
          <cell r="E233" t="str">
            <v>шт</v>
          </cell>
          <cell r="F233">
            <v>769</v>
          </cell>
          <cell r="H233">
            <v>3</v>
          </cell>
          <cell r="I233">
            <v>21</v>
          </cell>
          <cell r="J233">
            <v>751</v>
          </cell>
          <cell r="K233">
            <v>153.80000000000001</v>
          </cell>
          <cell r="L233">
            <v>0.6</v>
          </cell>
          <cell r="M233">
            <v>4.2</v>
          </cell>
          <cell r="N233">
            <v>150.19999999999999</v>
          </cell>
        </row>
        <row r="234">
          <cell r="A234" t="str">
            <v>Готовые пекерсы с индейкой в сливочном соусе ТМ Горячая штучка флоу-пак 0,25кг  ПОКОМ</v>
          </cell>
          <cell r="E234" t="str">
            <v>шт</v>
          </cell>
          <cell r="F234">
            <v>84</v>
          </cell>
          <cell r="I234">
            <v>13</v>
          </cell>
          <cell r="J234">
            <v>71</v>
          </cell>
          <cell r="K234">
            <v>21</v>
          </cell>
          <cell r="M234">
            <v>3.25</v>
          </cell>
          <cell r="N234">
            <v>17.75</v>
          </cell>
        </row>
        <row r="235">
          <cell r="A235" t="str">
            <v>Готовые хотстеры с сыром ТМ Горячая штучка ТС Хотстеры флоу-пак 0,25 кг.  ПОКОМ</v>
          </cell>
          <cell r="E235" t="str">
            <v>шт</v>
          </cell>
          <cell r="F235">
            <v>229</v>
          </cell>
          <cell r="I235">
            <v>24</v>
          </cell>
          <cell r="J235">
            <v>205</v>
          </cell>
          <cell r="K235">
            <v>57.25</v>
          </cell>
          <cell r="M235">
            <v>6</v>
          </cell>
          <cell r="N235">
            <v>51.25</v>
          </cell>
        </row>
        <row r="236">
          <cell r="A236" t="str">
            <v>Готовые хотстеры ТМ Горячая штучка ТС Хотстеры флоу-пак 0,25 кг.  ПОКОМ</v>
          </cell>
          <cell r="E236" t="str">
            <v>шт</v>
          </cell>
          <cell r="F236">
            <v>106</v>
          </cell>
          <cell r="H236">
            <v>6</v>
          </cell>
          <cell r="I236">
            <v>8</v>
          </cell>
          <cell r="J236">
            <v>104</v>
          </cell>
          <cell r="K236">
            <v>26.5</v>
          </cell>
          <cell r="L236">
            <v>1.5</v>
          </cell>
          <cell r="M236">
            <v>2</v>
          </cell>
          <cell r="N236">
            <v>26</v>
          </cell>
        </row>
        <row r="237">
          <cell r="A237" t="str">
            <v>Готовые чебупели острые с мясом ТМ Горячая штучка флоу-пак 0,24 кг  Поком</v>
          </cell>
          <cell r="E237" t="str">
            <v>шт</v>
          </cell>
          <cell r="F237">
            <v>300</v>
          </cell>
          <cell r="I237">
            <v>10</v>
          </cell>
          <cell r="J237">
            <v>290</v>
          </cell>
          <cell r="K237">
            <v>72</v>
          </cell>
          <cell r="M237">
            <v>2.4</v>
          </cell>
          <cell r="N237">
            <v>69.599999999999994</v>
          </cell>
        </row>
        <row r="238">
          <cell r="A238" t="str">
            <v>Готовые чебупели с ветчиной и сыром 0,24 кг НОВАЯ ТМ Горячая штучка  ПОКОМ</v>
          </cell>
          <cell r="E238" t="str">
            <v>шт</v>
          </cell>
          <cell r="F238">
            <v>20</v>
          </cell>
          <cell r="I238">
            <v>3</v>
          </cell>
          <cell r="J238">
            <v>17</v>
          </cell>
          <cell r="K238">
            <v>4.8</v>
          </cell>
          <cell r="M238">
            <v>0.72</v>
          </cell>
          <cell r="N238">
            <v>4.08</v>
          </cell>
        </row>
        <row r="239">
          <cell r="A239" t="str">
            <v>Готовые чебупели с мясом ТМ Горячая штучка 0,24 кг  ПОКОМ</v>
          </cell>
          <cell r="E239" t="str">
            <v>шт</v>
          </cell>
          <cell r="F239">
            <v>105</v>
          </cell>
          <cell r="H239">
            <v>2</v>
          </cell>
          <cell r="I239">
            <v>11</v>
          </cell>
          <cell r="J239">
            <v>96</v>
          </cell>
          <cell r="K239">
            <v>25.2</v>
          </cell>
          <cell r="L239">
            <v>0.48</v>
          </cell>
          <cell r="M239">
            <v>2.64</v>
          </cell>
          <cell r="N239">
            <v>23.04</v>
          </cell>
        </row>
        <row r="240">
          <cell r="A240" t="str">
            <v>Готовые чебупели сочные с мясом 0,24 кг НОВАЯ ТМ Горячая штучка флоу-пак  ПОКОМ</v>
          </cell>
          <cell r="E240" t="str">
            <v>шт</v>
          </cell>
          <cell r="F240">
            <v>435</v>
          </cell>
          <cell r="H240">
            <v>6</v>
          </cell>
          <cell r="I240">
            <v>47</v>
          </cell>
          <cell r="J240">
            <v>394</v>
          </cell>
          <cell r="K240">
            <v>104.4</v>
          </cell>
          <cell r="L240">
            <v>1.44</v>
          </cell>
          <cell r="M240">
            <v>11.28</v>
          </cell>
          <cell r="N240">
            <v>94.56</v>
          </cell>
        </row>
        <row r="241">
          <cell r="A241" t="str">
            <v>Готовые чебупели сочные с мясом 0,48 кг НОВАЯ ТМ Горячая штучка флоу-пак МЕГАпачка  ПОКОМ</v>
          </cell>
          <cell r="E241" t="str">
            <v>шт</v>
          </cell>
          <cell r="F241">
            <v>349</v>
          </cell>
          <cell r="H241">
            <v>10</v>
          </cell>
          <cell r="I241">
            <v>1</v>
          </cell>
          <cell r="J241">
            <v>358</v>
          </cell>
          <cell r="K241">
            <v>167.52</v>
          </cell>
          <cell r="L241">
            <v>4.8</v>
          </cell>
          <cell r="M241">
            <v>0.48</v>
          </cell>
          <cell r="N241">
            <v>171.84</v>
          </cell>
        </row>
        <row r="242">
          <cell r="A242" t="str">
            <v>Готовые чебуреки с мясом ТМ Горячая штучка 0,09 кг флоу-пак ПОКОМ</v>
          </cell>
          <cell r="E242" t="str">
            <v>шт</v>
          </cell>
          <cell r="F242">
            <v>754</v>
          </cell>
          <cell r="H242">
            <v>2</v>
          </cell>
          <cell r="J242">
            <v>756</v>
          </cell>
          <cell r="K242">
            <v>67.86</v>
          </cell>
          <cell r="L242">
            <v>0.18</v>
          </cell>
          <cell r="N242">
            <v>68.040000000000006</v>
          </cell>
        </row>
        <row r="243">
          <cell r="A243" t="str">
            <v>Жареные вареники с картофелем и беконом ТМ Стародворье 0,2 кг  ПОКОМ</v>
          </cell>
          <cell r="E243" t="str">
            <v>шт</v>
          </cell>
          <cell r="F243">
            <v>115</v>
          </cell>
          <cell r="J243">
            <v>115</v>
          </cell>
          <cell r="K243">
            <v>23</v>
          </cell>
          <cell r="N243">
            <v>23</v>
          </cell>
        </row>
        <row r="244">
          <cell r="A244" t="str">
            <v>Круггетсы с сырным соусом ТМ Горячая штучка 0,25 кг зам  ПОКОМ</v>
          </cell>
          <cell r="E244" t="str">
            <v>шт</v>
          </cell>
          <cell r="F244">
            <v>347</v>
          </cell>
          <cell r="J244">
            <v>347</v>
          </cell>
          <cell r="K244">
            <v>86.75</v>
          </cell>
          <cell r="N244">
            <v>86.75</v>
          </cell>
        </row>
        <row r="245">
          <cell r="A245" t="str">
            <v>Круггетсы с сырным соусом ТМ Горячая штучка ТС Круггетсы флоу-пак 0,2 кг  ПОКОМ</v>
          </cell>
          <cell r="E245" t="str">
            <v>шт</v>
          </cell>
          <cell r="H245">
            <v>6</v>
          </cell>
          <cell r="I245">
            <v>12</v>
          </cell>
          <cell r="J245">
            <v>-6</v>
          </cell>
          <cell r="L245">
            <v>1.2</v>
          </cell>
          <cell r="M245">
            <v>2.4</v>
          </cell>
          <cell r="N245">
            <v>-1.2</v>
          </cell>
        </row>
        <row r="246">
          <cell r="A246" t="str">
            <v>Масло "Папа может" 82,5% 180гр  Останкино</v>
          </cell>
          <cell r="E246" t="str">
            <v>шт</v>
          </cell>
          <cell r="F246">
            <v>495</v>
          </cell>
          <cell r="J246">
            <v>495</v>
          </cell>
          <cell r="K246">
            <v>89.1</v>
          </cell>
          <cell r="N246">
            <v>89.1</v>
          </cell>
        </row>
        <row r="247">
          <cell r="A247" t="str">
            <v>Масло сливочное 72,5 % 180 гр.(10 шт) СЛАВЯНА  Останкино</v>
          </cell>
          <cell r="E247" t="str">
            <v>шт</v>
          </cell>
          <cell r="F247">
            <v>124</v>
          </cell>
          <cell r="H247">
            <v>153</v>
          </cell>
          <cell r="I247">
            <v>4</v>
          </cell>
          <cell r="J247">
            <v>273</v>
          </cell>
          <cell r="K247">
            <v>22.32</v>
          </cell>
          <cell r="L247">
            <v>27.54</v>
          </cell>
          <cell r="M247">
            <v>0.72</v>
          </cell>
          <cell r="N247">
            <v>49.14</v>
          </cell>
        </row>
        <row r="248">
          <cell r="A248" t="str">
            <v>Мини-сосиски в ароматном тесте ВЕС ТМ Зареченские продукты  ПОКОМ</v>
          </cell>
          <cell r="E248" t="str">
            <v>кг</v>
          </cell>
          <cell r="F248">
            <v>233.1</v>
          </cell>
          <cell r="H248">
            <v>3.7</v>
          </cell>
          <cell r="I248">
            <v>7.4</v>
          </cell>
          <cell r="J248">
            <v>229.4</v>
          </cell>
          <cell r="K248">
            <v>233.1</v>
          </cell>
          <cell r="L248">
            <v>3.7</v>
          </cell>
          <cell r="M248">
            <v>7.4</v>
          </cell>
          <cell r="N248">
            <v>229.4</v>
          </cell>
        </row>
        <row r="249">
          <cell r="A249" t="str">
            <v>Наггетсы из печи 0,25кг ТМ Вязанка замор.  ПОКОМ</v>
          </cell>
          <cell r="E249" t="str">
            <v>шт</v>
          </cell>
          <cell r="F249">
            <v>180</v>
          </cell>
          <cell r="H249">
            <v>9</v>
          </cell>
          <cell r="I249">
            <v>11</v>
          </cell>
          <cell r="J249">
            <v>178</v>
          </cell>
          <cell r="K249">
            <v>45</v>
          </cell>
          <cell r="L249">
            <v>2.25</v>
          </cell>
          <cell r="M249">
            <v>2.75</v>
          </cell>
          <cell r="N249">
            <v>44.5</v>
          </cell>
        </row>
        <row r="250">
          <cell r="A250" t="str">
            <v>Наггетсы Нагетосы Сочная курочка со сметаной и зеленью ТМ Горячая штучка флоу-пак 0,25 кг  Поком</v>
          </cell>
          <cell r="E250" t="str">
            <v>шт</v>
          </cell>
          <cell r="F250">
            <v>246</v>
          </cell>
          <cell r="H250">
            <v>12</v>
          </cell>
          <cell r="I250">
            <v>15</v>
          </cell>
          <cell r="J250">
            <v>243</v>
          </cell>
          <cell r="K250">
            <v>61.5</v>
          </cell>
          <cell r="L250">
            <v>3</v>
          </cell>
          <cell r="M250">
            <v>3.75</v>
          </cell>
          <cell r="N250">
            <v>60.75</v>
          </cell>
        </row>
        <row r="251">
          <cell r="A251" t="str">
            <v>Наггетсы Нагетосы Сочная курочка ТМ Горячая штучка 0,25 кг зам  ПОКОМ</v>
          </cell>
          <cell r="E251" t="str">
            <v>шт</v>
          </cell>
          <cell r="F251">
            <v>210</v>
          </cell>
          <cell r="I251">
            <v>105</v>
          </cell>
          <cell r="J251">
            <v>105</v>
          </cell>
          <cell r="K251">
            <v>52.5</v>
          </cell>
          <cell r="M251">
            <v>26.25</v>
          </cell>
          <cell r="N251">
            <v>26.25</v>
          </cell>
        </row>
        <row r="252">
          <cell r="A252" t="str">
            <v>Наггетсы с индейкой 0,25кг ТМ Вязанка ТС Из печи Сливушки ПОКОМ</v>
          </cell>
          <cell r="E252" t="str">
            <v>шт</v>
          </cell>
          <cell r="F252">
            <v>277</v>
          </cell>
          <cell r="I252">
            <v>15</v>
          </cell>
          <cell r="J252">
            <v>262</v>
          </cell>
          <cell r="K252">
            <v>69.25</v>
          </cell>
          <cell r="M252">
            <v>3.75</v>
          </cell>
          <cell r="N252">
            <v>65.5</v>
          </cell>
        </row>
        <row r="253">
          <cell r="A253" t="str">
            <v>Наггетсы с куриным филе и сыром ТМ Вязанка ТС Из печи Сливушки 0,25 кг.  Поком</v>
          </cell>
          <cell r="E253" t="str">
            <v>шт</v>
          </cell>
          <cell r="F253">
            <v>87</v>
          </cell>
          <cell r="H253">
            <v>2</v>
          </cell>
          <cell r="I253">
            <v>12</v>
          </cell>
          <cell r="J253">
            <v>77</v>
          </cell>
          <cell r="K253">
            <v>21.75</v>
          </cell>
          <cell r="L253">
            <v>0.5</v>
          </cell>
          <cell r="M253">
            <v>3</v>
          </cell>
          <cell r="N253">
            <v>19.25</v>
          </cell>
        </row>
        <row r="254">
          <cell r="A254" t="str">
            <v>Наггетсы Сливушки в темпуре ТМ Вязанка флоу-пак 0,23 кг  ПОКОМ</v>
          </cell>
          <cell r="E254" t="str">
            <v>шт</v>
          </cell>
          <cell r="F254">
            <v>327</v>
          </cell>
          <cell r="I254">
            <v>1</v>
          </cell>
          <cell r="J254">
            <v>326</v>
          </cell>
          <cell r="K254">
            <v>75.209999999999994</v>
          </cell>
          <cell r="M254">
            <v>0.23</v>
          </cell>
          <cell r="N254">
            <v>74.98</v>
          </cell>
        </row>
        <row r="255">
          <cell r="A255" t="str">
            <v>Наггетсы Хрустящие НД2. ВЕС.  ПОКОМ</v>
          </cell>
          <cell r="E255" t="str">
            <v>кг</v>
          </cell>
          <cell r="F255">
            <v>187</v>
          </cell>
          <cell r="I255">
            <v>11</v>
          </cell>
          <cell r="J255">
            <v>176</v>
          </cell>
          <cell r="K255">
            <v>187</v>
          </cell>
          <cell r="M255">
            <v>11</v>
          </cell>
          <cell r="N255">
            <v>176</v>
          </cell>
        </row>
        <row r="256">
          <cell r="A256" t="str">
            <v>Наггетсы Хрустящие ТМ Стародворье с сочной курочкой 0,23 кг  ПОКОМ</v>
          </cell>
          <cell r="E256" t="str">
            <v>шт</v>
          </cell>
          <cell r="F256">
            <v>176</v>
          </cell>
          <cell r="H256">
            <v>2</v>
          </cell>
          <cell r="I256">
            <v>1</v>
          </cell>
          <cell r="J256">
            <v>177</v>
          </cell>
          <cell r="K256">
            <v>40.479999999999997</v>
          </cell>
          <cell r="L256">
            <v>0.46</v>
          </cell>
          <cell r="M256">
            <v>0.23</v>
          </cell>
          <cell r="N256">
            <v>40.71</v>
          </cell>
        </row>
        <row r="257">
          <cell r="A257" t="str">
            <v>Новая точка линейная розница</v>
          </cell>
          <cell r="E257" t="str">
            <v>шт</v>
          </cell>
          <cell r="F257">
            <v>-2</v>
          </cell>
          <cell r="J257">
            <v>-2</v>
          </cell>
          <cell r="K257">
            <v>-2E-3</v>
          </cell>
          <cell r="N257">
            <v>-2E-3</v>
          </cell>
        </row>
        <row r="258">
          <cell r="A258" t="str">
            <v>Пельмени Grandmeni с говядиной и свининой ТМ Горячаяштучка флоу-па классическая форма 0,7 кг.  Поком</v>
          </cell>
          <cell r="E258" t="str">
            <v>шт</v>
          </cell>
          <cell r="F258">
            <v>194</v>
          </cell>
          <cell r="I258">
            <v>11</v>
          </cell>
          <cell r="J258">
            <v>183</v>
          </cell>
          <cell r="K258">
            <v>135.80000000000001</v>
          </cell>
          <cell r="M258">
            <v>7.7</v>
          </cell>
          <cell r="N258">
            <v>128.1</v>
          </cell>
        </row>
        <row r="259">
          <cell r="A259" t="str">
            <v>Пельмени Grandmeni с говядиной ТМ Горячаяштучка флоу-пак сфера 0,7 кг.  Поком</v>
          </cell>
          <cell r="E259" t="str">
            <v>шт</v>
          </cell>
          <cell r="F259">
            <v>163</v>
          </cell>
          <cell r="J259">
            <v>163</v>
          </cell>
          <cell r="K259">
            <v>114.1</v>
          </cell>
          <cell r="N259">
            <v>114.1</v>
          </cell>
        </row>
        <row r="260">
          <cell r="A260" t="str">
            <v>Пельмени Бигбули #МЕГАВКУСИЩЕ с сочной грудинкой  ТМ Горячая штучка  флоу-пак сфера 0,7 кг.  Поком</v>
          </cell>
          <cell r="E260" t="str">
            <v>шт</v>
          </cell>
          <cell r="F260">
            <v>215</v>
          </cell>
          <cell r="H260">
            <v>1</v>
          </cell>
          <cell r="I260">
            <v>20</v>
          </cell>
          <cell r="J260">
            <v>196</v>
          </cell>
          <cell r="K260">
            <v>150.5</v>
          </cell>
          <cell r="L260">
            <v>0.7</v>
          </cell>
          <cell r="M260">
            <v>14</v>
          </cell>
          <cell r="N260">
            <v>137.19999999999999</v>
          </cell>
        </row>
        <row r="261">
          <cell r="A261" t="str">
            <v>Пельмени Бигбули с мясом ТМ Горячая штучка БУЛЬМЕНИ ТС Бигбули ГШ  флоу-пак сфера 0,7.   Поком</v>
          </cell>
          <cell r="E261" t="str">
            <v>шт</v>
          </cell>
          <cell r="F261">
            <v>366</v>
          </cell>
          <cell r="I261">
            <v>10</v>
          </cell>
          <cell r="J261">
            <v>356</v>
          </cell>
          <cell r="K261">
            <v>256.2</v>
          </cell>
          <cell r="M261">
            <v>7</v>
          </cell>
          <cell r="N261">
            <v>249.2</v>
          </cell>
        </row>
        <row r="262">
          <cell r="A262" t="str">
            <v>Пельмени Бигбули со сливочным маслом  ТС Бигбули ГШ#МЕГАМАСЛИЩЕ флоу-пак сфера 0,7.  Поком</v>
          </cell>
          <cell r="E262" t="str">
            <v>шт</v>
          </cell>
          <cell r="F262">
            <v>408</v>
          </cell>
          <cell r="H262">
            <v>2</v>
          </cell>
          <cell r="I262">
            <v>5</v>
          </cell>
          <cell r="J262">
            <v>405</v>
          </cell>
          <cell r="K262">
            <v>285.60000000000002</v>
          </cell>
          <cell r="L262">
            <v>1.4</v>
          </cell>
          <cell r="M262">
            <v>3.5</v>
          </cell>
          <cell r="N262">
            <v>283.5</v>
          </cell>
        </row>
        <row r="263">
          <cell r="A263" t="str">
            <v>Пельмени Бульмени мини с мясом и оливковым маслом  ТС Бульмени ГШ флоу-пак сфера 0,7кг  Поком</v>
          </cell>
          <cell r="E263" t="str">
            <v>шт</v>
          </cell>
          <cell r="F263">
            <v>73</v>
          </cell>
          <cell r="H263">
            <v>6</v>
          </cell>
          <cell r="J263">
            <v>79</v>
          </cell>
          <cell r="K263">
            <v>51.1</v>
          </cell>
          <cell r="L263">
            <v>4.2</v>
          </cell>
          <cell r="N263">
            <v>55.3</v>
          </cell>
        </row>
        <row r="264">
          <cell r="A264" t="str">
            <v>Пельмени Бульмени с говядиной и свининой Наваристые Горячая штучка ВЕС  ПОКОМ</v>
          </cell>
          <cell r="E264" t="str">
            <v>кг</v>
          </cell>
          <cell r="F264">
            <v>445</v>
          </cell>
          <cell r="H264">
            <v>15</v>
          </cell>
          <cell r="I264">
            <v>110</v>
          </cell>
          <cell r="J264">
            <v>350</v>
          </cell>
          <cell r="K264">
            <v>445</v>
          </cell>
          <cell r="L264">
            <v>15</v>
          </cell>
          <cell r="M264">
            <v>110</v>
          </cell>
          <cell r="N264">
            <v>350</v>
          </cell>
        </row>
        <row r="265">
          <cell r="A265" t="str">
            <v>Пельмени Бульмени с говядиной и свининой ТМ Горячая штучка  флоу-пак сфера 0,4 кг  Поком</v>
          </cell>
          <cell r="E265" t="str">
            <v>шт</v>
          </cell>
          <cell r="F265">
            <v>1</v>
          </cell>
          <cell r="J265">
            <v>1</v>
          </cell>
          <cell r="K265">
            <v>0.4</v>
          </cell>
          <cell r="N265">
            <v>0.4</v>
          </cell>
        </row>
        <row r="266">
          <cell r="A266" t="str">
            <v>Пельмени Бульмени с говядиной и свининой ТМ Горячая штучка БУЛЬМЕНИ  флоу-пак сфера 0,7 кг.  Поком</v>
          </cell>
          <cell r="E266" t="str">
            <v>шт</v>
          </cell>
          <cell r="F266">
            <v>4</v>
          </cell>
          <cell r="J266">
            <v>4</v>
          </cell>
          <cell r="K266">
            <v>2.8</v>
          </cell>
          <cell r="N266">
            <v>2.8</v>
          </cell>
        </row>
        <row r="267">
          <cell r="A267" t="str">
            <v>Пельмени Бульмени со сливочным маслом ТМ Горячая штучка  флоу-пак сфера 0,4 кг .  Поком</v>
          </cell>
          <cell r="E267" t="str">
            <v>шт</v>
          </cell>
          <cell r="F267">
            <v>33</v>
          </cell>
          <cell r="H267">
            <v>9</v>
          </cell>
          <cell r="I267">
            <v>40</v>
          </cell>
          <cell r="J267">
            <v>2</v>
          </cell>
          <cell r="K267">
            <v>13.2</v>
          </cell>
          <cell r="L267">
            <v>3.6</v>
          </cell>
          <cell r="M267">
            <v>16</v>
          </cell>
          <cell r="N267">
            <v>0.8</v>
          </cell>
        </row>
        <row r="268">
          <cell r="A268" t="str">
            <v>Пельмени Бульмени со сливочным маслом ТМ Горячая штучка флоу-пак сфера 0,7 кг .  Поком</v>
          </cell>
          <cell r="E268" t="str">
            <v>шт</v>
          </cell>
          <cell r="F268">
            <v>220</v>
          </cell>
          <cell r="H268">
            <v>5</v>
          </cell>
          <cell r="I268">
            <v>57</v>
          </cell>
          <cell r="J268">
            <v>168</v>
          </cell>
          <cell r="K268">
            <v>154</v>
          </cell>
          <cell r="L268">
            <v>3.5</v>
          </cell>
          <cell r="M268">
            <v>39.9</v>
          </cell>
          <cell r="N268">
            <v>117.6</v>
          </cell>
        </row>
        <row r="269">
          <cell r="A269" t="str">
            <v>Пельмени Медвежье ушко Премиум Мясные ТМ Медвежье ушко классическая форма флоу-пак 0,8 кг. ПОКОМ</v>
          </cell>
          <cell r="E269" t="str">
            <v>шт</v>
          </cell>
          <cell r="F269">
            <v>449</v>
          </cell>
          <cell r="H269">
            <v>2</v>
          </cell>
          <cell r="I269">
            <v>46</v>
          </cell>
          <cell r="J269">
            <v>405</v>
          </cell>
          <cell r="K269">
            <v>359.2</v>
          </cell>
          <cell r="L269">
            <v>1.6</v>
          </cell>
          <cell r="M269">
            <v>36.799999999999997</v>
          </cell>
          <cell r="N269">
            <v>324</v>
          </cell>
        </row>
        <row r="270">
          <cell r="A270" t="str">
            <v>Пельмени Медвежье ушко Премиум со сливочным маслом 0,4 кг ТМ Медвежье ушко  ПОКОМ</v>
          </cell>
          <cell r="E270" t="str">
            <v>шт</v>
          </cell>
          <cell r="F270">
            <v>191</v>
          </cell>
          <cell r="I270">
            <v>48</v>
          </cell>
          <cell r="J270">
            <v>143</v>
          </cell>
          <cell r="K270">
            <v>76.400000000000006</v>
          </cell>
          <cell r="M270">
            <v>19.2</v>
          </cell>
          <cell r="N270">
            <v>57.2</v>
          </cell>
        </row>
        <row r="271">
          <cell r="A271" t="str">
            <v>Пельмени Медвежье ушко Премиум со сливочным маслом 0,8 кг ТМ Медвежье ушко  ПОКОМ</v>
          </cell>
          <cell r="E271" t="str">
            <v>шт</v>
          </cell>
          <cell r="F271">
            <v>96</v>
          </cell>
          <cell r="I271">
            <v>48</v>
          </cell>
          <cell r="J271">
            <v>48</v>
          </cell>
          <cell r="K271">
            <v>76.8</v>
          </cell>
          <cell r="M271">
            <v>38.4</v>
          </cell>
          <cell r="N271">
            <v>38.4</v>
          </cell>
        </row>
        <row r="272">
          <cell r="A272" t="str">
            <v>Пельмени Отборные из свинины и говядины 0,9 кг ТМ Стародворье ТС Медвежье ушко  ПОКОМ</v>
          </cell>
          <cell r="E272" t="str">
            <v>шт</v>
          </cell>
          <cell r="F272">
            <v>63</v>
          </cell>
          <cell r="J272">
            <v>63</v>
          </cell>
          <cell r="K272">
            <v>56.7</v>
          </cell>
          <cell r="N272">
            <v>56.7</v>
          </cell>
        </row>
        <row r="273">
          <cell r="A273" t="str">
            <v>Пельмени Отборные с говядиной 0,9 кг НОВА ТМ Стародворье ТС Медвежье ушко  ПОКОМ</v>
          </cell>
          <cell r="E273" t="str">
            <v>шт</v>
          </cell>
          <cell r="F273">
            <v>48</v>
          </cell>
          <cell r="J273">
            <v>48</v>
          </cell>
          <cell r="K273">
            <v>43.2</v>
          </cell>
          <cell r="N273">
            <v>43.2</v>
          </cell>
        </row>
        <row r="274">
          <cell r="A274" t="str">
            <v>Пельмени С говядиной и свининой, ВЕС, ТМ Славница сфера пуговки  ПОКОМ</v>
          </cell>
          <cell r="E274" t="str">
            <v>кг</v>
          </cell>
          <cell r="F274">
            <v>100</v>
          </cell>
          <cell r="I274">
            <v>5</v>
          </cell>
          <cell r="J274">
            <v>95</v>
          </cell>
          <cell r="K274">
            <v>100</v>
          </cell>
          <cell r="M274">
            <v>5</v>
          </cell>
          <cell r="N274">
            <v>95</v>
          </cell>
        </row>
        <row r="275">
          <cell r="A275" t="str">
            <v>Пельмени Со свининой и говядиной ТС Любимая ложка сфера флоу-пак 1 кг  ПОКОМ</v>
          </cell>
          <cell r="E275" t="str">
            <v>шт</v>
          </cell>
          <cell r="F275">
            <v>274</v>
          </cell>
          <cell r="I275">
            <v>7</v>
          </cell>
          <cell r="J275">
            <v>267</v>
          </cell>
          <cell r="K275">
            <v>274</v>
          </cell>
          <cell r="M275">
            <v>7</v>
          </cell>
          <cell r="N275">
            <v>267</v>
          </cell>
        </row>
        <row r="276">
          <cell r="A276" t="str">
            <v>Пирожки с мясом 3,7кг ВЕС ТМ Зареченские  ПОКОМ</v>
          </cell>
          <cell r="E276" t="str">
            <v>кг</v>
          </cell>
          <cell r="F276">
            <v>37</v>
          </cell>
          <cell r="J276">
            <v>37</v>
          </cell>
          <cell r="K276">
            <v>37</v>
          </cell>
          <cell r="N276">
            <v>37</v>
          </cell>
        </row>
        <row r="277">
          <cell r="A277" t="str">
            <v>Плавленый продукт с Сыром колбасный копченый 40% СТМ "Коровино" 400гр  Останкино</v>
          </cell>
          <cell r="E277" t="str">
            <v>шт</v>
          </cell>
          <cell r="F277">
            <v>52</v>
          </cell>
          <cell r="J277">
            <v>52</v>
          </cell>
          <cell r="K277">
            <v>20.8</v>
          </cell>
          <cell r="N277">
            <v>20.8</v>
          </cell>
        </row>
        <row r="278">
          <cell r="A278" t="str">
            <v>Плавленый сыр "Шоколадный" 30% 180гр Папа Может Останкино</v>
          </cell>
          <cell r="E278" t="str">
            <v>шт</v>
          </cell>
          <cell r="F278">
            <v>28</v>
          </cell>
          <cell r="J278">
            <v>28</v>
          </cell>
          <cell r="K278">
            <v>5.04</v>
          </cell>
          <cell r="N278">
            <v>5.04</v>
          </cell>
        </row>
        <row r="279">
          <cell r="A279" t="str">
            <v>Плавленый Сыр колбасный копченый 40% СТМ"ПапаМожет"400гр  Останкино</v>
          </cell>
          <cell r="E279" t="str">
            <v>шт</v>
          </cell>
          <cell r="F279">
            <v>27</v>
          </cell>
          <cell r="J279">
            <v>27</v>
          </cell>
          <cell r="K279">
            <v>10.8</v>
          </cell>
          <cell r="N279">
            <v>10.8</v>
          </cell>
        </row>
        <row r="280">
          <cell r="A280" t="str">
            <v>Продукт белково-жировой Сметанковый 50% ВЕС Коровино Останкино</v>
          </cell>
          <cell r="E280" t="str">
            <v>кг</v>
          </cell>
          <cell r="F280">
            <v>57.594999999999999</v>
          </cell>
          <cell r="J280">
            <v>57.594999999999999</v>
          </cell>
          <cell r="K280">
            <v>57.594999999999999</v>
          </cell>
          <cell r="N280">
            <v>57.594999999999999</v>
          </cell>
        </row>
        <row r="281">
          <cell r="A281" t="str">
            <v>Продукт По-Росийски Классический с ЗМЖ 50% 200г Коровино Останкино</v>
          </cell>
          <cell r="E281" t="str">
            <v>шт</v>
          </cell>
          <cell r="F281">
            <v>116</v>
          </cell>
          <cell r="J281">
            <v>116</v>
          </cell>
          <cell r="K281">
            <v>23.2</v>
          </cell>
          <cell r="N281">
            <v>23.2</v>
          </cell>
        </row>
        <row r="282">
          <cell r="A282" t="str">
            <v>Продукт По-Росийски Классический с ЗМЖ 50% ВЕС Коровино Останкино</v>
          </cell>
          <cell r="E282" t="str">
            <v>кг</v>
          </cell>
          <cell r="F282">
            <v>39.86</v>
          </cell>
          <cell r="J282">
            <v>39.86</v>
          </cell>
          <cell r="K282">
            <v>39.86</v>
          </cell>
          <cell r="N282">
            <v>39.86</v>
          </cell>
        </row>
        <row r="283">
          <cell r="A283" t="str">
            <v>Сыр "Пармезан" 40% кусок 180 гр  ОСТАНКИНО</v>
          </cell>
          <cell r="E283" t="str">
            <v>шт</v>
          </cell>
          <cell r="F283">
            <v>48</v>
          </cell>
          <cell r="I283">
            <v>1</v>
          </cell>
          <cell r="J283">
            <v>47</v>
          </cell>
          <cell r="K283">
            <v>8.64</v>
          </cell>
          <cell r="M283">
            <v>0.18</v>
          </cell>
          <cell r="N283">
            <v>8.4600000000000009</v>
          </cell>
        </row>
        <row r="284">
          <cell r="A284" t="str">
            <v>Сыр Боккончини копченый 40% 100 гр.  ОСТАНКИНО</v>
          </cell>
          <cell r="E284" t="str">
            <v>шт</v>
          </cell>
          <cell r="F284">
            <v>12</v>
          </cell>
          <cell r="H284">
            <v>56</v>
          </cell>
          <cell r="J284">
            <v>68</v>
          </cell>
          <cell r="K284">
            <v>1.2</v>
          </cell>
          <cell r="L284">
            <v>5.6</v>
          </cell>
          <cell r="N284">
            <v>6.8</v>
          </cell>
        </row>
        <row r="285">
          <cell r="A285" t="str">
            <v>Сыр Косичка сырная 45% 100г/8шт Папа Может Останкино</v>
          </cell>
          <cell r="E285" t="str">
            <v>шт</v>
          </cell>
          <cell r="F285">
            <v>85</v>
          </cell>
          <cell r="H285">
            <v>24</v>
          </cell>
          <cell r="I285">
            <v>11</v>
          </cell>
          <cell r="J285">
            <v>98</v>
          </cell>
          <cell r="K285">
            <v>8.5</v>
          </cell>
          <cell r="L285">
            <v>2.4</v>
          </cell>
          <cell r="M285">
            <v>1.1000000000000001</v>
          </cell>
          <cell r="N285">
            <v>9.8000000000000007</v>
          </cell>
        </row>
        <row r="286">
          <cell r="A286" t="str">
            <v>Сыр Косичка сырная копченая 43% 100г/8шт Папа Может Останкино</v>
          </cell>
          <cell r="E286" t="str">
            <v>шт</v>
          </cell>
          <cell r="F286">
            <v>47</v>
          </cell>
          <cell r="H286">
            <v>24</v>
          </cell>
          <cell r="I286">
            <v>11</v>
          </cell>
          <cell r="J286">
            <v>60</v>
          </cell>
          <cell r="K286">
            <v>4.7</v>
          </cell>
          <cell r="L286">
            <v>2.4</v>
          </cell>
          <cell r="M286">
            <v>1.1000000000000001</v>
          </cell>
          <cell r="N286">
            <v>6</v>
          </cell>
        </row>
        <row r="287">
          <cell r="A287" t="str">
            <v>Сыр ПАПА МОЖЕТ "Гауда Голд" 45 % 180 гр (10шт) Останкино</v>
          </cell>
          <cell r="E287" t="str">
            <v>шт</v>
          </cell>
          <cell r="F287">
            <v>178</v>
          </cell>
          <cell r="I287">
            <v>1</v>
          </cell>
          <cell r="J287">
            <v>177</v>
          </cell>
          <cell r="K287">
            <v>32.04</v>
          </cell>
          <cell r="M287">
            <v>0.18</v>
          </cell>
          <cell r="N287">
            <v>31.86</v>
          </cell>
        </row>
        <row r="288">
          <cell r="A288" t="str">
            <v>Сыр ПАПА МОЖЕТ "Голландский традиционный" 45% 180 гр (10шт)  Останкино</v>
          </cell>
          <cell r="E288" t="str">
            <v>шт</v>
          </cell>
          <cell r="F288">
            <v>102</v>
          </cell>
          <cell r="H288">
            <v>10</v>
          </cell>
          <cell r="I288">
            <v>1</v>
          </cell>
          <cell r="J288">
            <v>111</v>
          </cell>
          <cell r="K288">
            <v>18.36</v>
          </cell>
          <cell r="L288">
            <v>1.8</v>
          </cell>
          <cell r="M288">
            <v>0.18</v>
          </cell>
          <cell r="N288">
            <v>19.98</v>
          </cell>
        </row>
        <row r="289">
          <cell r="A289" t="str">
            <v>Сыр ПАПА МОЖЕТ "Министерский" 180 г фасованный массовая  Останкино</v>
          </cell>
          <cell r="E289" t="str">
            <v>шт</v>
          </cell>
          <cell r="F289">
            <v>105</v>
          </cell>
          <cell r="I289">
            <v>1</v>
          </cell>
          <cell r="J289">
            <v>104</v>
          </cell>
          <cell r="K289">
            <v>18.899999999999999</v>
          </cell>
          <cell r="M289">
            <v>0.18</v>
          </cell>
          <cell r="N289">
            <v>18.72</v>
          </cell>
        </row>
        <row r="290">
          <cell r="A290" t="str">
            <v>Сыр ПАПА МОЖЕТ "Папин завтрак"  45% 180 г  Останкино</v>
          </cell>
          <cell r="E290" t="str">
            <v>шт</v>
          </cell>
          <cell r="F290">
            <v>101</v>
          </cell>
          <cell r="I290">
            <v>1</v>
          </cell>
          <cell r="J290">
            <v>100</v>
          </cell>
          <cell r="K290">
            <v>18.18</v>
          </cell>
          <cell r="M290">
            <v>0.18</v>
          </cell>
          <cell r="N290">
            <v>18</v>
          </cell>
        </row>
        <row r="291">
          <cell r="A291" t="str">
            <v>Сыр ПАПА МОЖЕТ "Российский традиционный"45 % 180 г Останкино</v>
          </cell>
          <cell r="E291" t="str">
            <v>шт</v>
          </cell>
          <cell r="F291">
            <v>137</v>
          </cell>
          <cell r="I291">
            <v>1</v>
          </cell>
          <cell r="J291">
            <v>136</v>
          </cell>
          <cell r="K291">
            <v>24.66</v>
          </cell>
          <cell r="M291">
            <v>0.18</v>
          </cell>
          <cell r="N291">
            <v>24.48</v>
          </cell>
        </row>
        <row r="292">
          <cell r="A292" t="str">
            <v>Сыр ПАПА МОЖЕТ "Тильзитер" фасованный массовая доля жира в сухом веществе 45%, 180г  Останкино</v>
          </cell>
          <cell r="E292" t="str">
            <v>шт</v>
          </cell>
          <cell r="F292">
            <v>43</v>
          </cell>
          <cell r="H292">
            <v>40</v>
          </cell>
          <cell r="I292">
            <v>1</v>
          </cell>
          <cell r="J292">
            <v>82</v>
          </cell>
          <cell r="K292">
            <v>7.74</v>
          </cell>
          <cell r="L292">
            <v>7.2</v>
          </cell>
          <cell r="M292">
            <v>0.18</v>
          </cell>
          <cell r="N292">
            <v>14.76</v>
          </cell>
        </row>
        <row r="293">
          <cell r="A293" t="str">
            <v>Сыр плавленный Сливочный ж.45% 180г ТМ Папа может (16шт)  Останкино</v>
          </cell>
          <cell r="E293" t="str">
            <v>шт</v>
          </cell>
          <cell r="F293">
            <v>125</v>
          </cell>
          <cell r="I293">
            <v>1</v>
          </cell>
          <cell r="J293">
            <v>124</v>
          </cell>
          <cell r="K293">
            <v>22.5</v>
          </cell>
          <cell r="M293">
            <v>0.18</v>
          </cell>
          <cell r="N293">
            <v>22.32</v>
          </cell>
        </row>
        <row r="294">
          <cell r="A294" t="str">
            <v>Сыр полутвердый "Гауда" с массовой долей жира в пересчете на сухое вещество 45%,   Останкино</v>
          </cell>
          <cell r="E294" t="str">
            <v>кг</v>
          </cell>
          <cell r="F294">
            <v>52.887999999999998</v>
          </cell>
          <cell r="J294">
            <v>52.887999999999998</v>
          </cell>
          <cell r="K294">
            <v>52.887999999999998</v>
          </cell>
          <cell r="N294">
            <v>52.887999999999998</v>
          </cell>
        </row>
        <row r="295">
          <cell r="A295" t="str">
            <v>Сыр полутвердый "Голландский" с массовой долей жира в пересчете на сухое  Останкино</v>
          </cell>
          <cell r="E295" t="str">
            <v>кг</v>
          </cell>
          <cell r="F295">
            <v>65.742999999999995</v>
          </cell>
          <cell r="I295">
            <v>3.2160000000000002</v>
          </cell>
          <cell r="J295">
            <v>62.527000000000001</v>
          </cell>
          <cell r="K295">
            <v>65.742999999999995</v>
          </cell>
          <cell r="M295">
            <v>3.2160000000000002</v>
          </cell>
          <cell r="N295">
            <v>62.527000000000001</v>
          </cell>
        </row>
        <row r="296">
          <cell r="A296" t="str">
            <v>Сыр полутвердый "Сметанковый", с масс долей жира в пересчете на сухое вещес50%, брус  Останкино</v>
          </cell>
          <cell r="E296" t="str">
            <v>кг</v>
          </cell>
          <cell r="F296">
            <v>103.146</v>
          </cell>
          <cell r="I296">
            <v>3.0880000000000001</v>
          </cell>
          <cell r="J296">
            <v>100.05800000000001</v>
          </cell>
          <cell r="K296">
            <v>103.146</v>
          </cell>
          <cell r="M296">
            <v>3.0880000000000001</v>
          </cell>
          <cell r="N296">
            <v>100.05800000000001</v>
          </cell>
        </row>
        <row r="297">
          <cell r="A297" t="str">
            <v>Сыр полутвердый "Тильзитер" с массовой долей жира в пересчете на сухое вещество 45%. 1/5  Останкино</v>
          </cell>
          <cell r="E297" t="str">
            <v>кг</v>
          </cell>
          <cell r="F297">
            <v>68.126000000000005</v>
          </cell>
          <cell r="J297">
            <v>68.126000000000005</v>
          </cell>
          <cell r="K297">
            <v>68.126000000000005</v>
          </cell>
          <cell r="N297">
            <v>68.126000000000005</v>
          </cell>
        </row>
        <row r="298">
          <cell r="A298" t="str">
            <v>Сыр рассольный жирный Чечил 45% 100 гр  ОСТАНКИНО</v>
          </cell>
          <cell r="E298" t="str">
            <v>шт</v>
          </cell>
          <cell r="F298">
            <v>154</v>
          </cell>
          <cell r="H298">
            <v>60</v>
          </cell>
          <cell r="I298">
            <v>38</v>
          </cell>
          <cell r="J298">
            <v>176</v>
          </cell>
          <cell r="K298">
            <v>15.4</v>
          </cell>
          <cell r="L298">
            <v>6</v>
          </cell>
          <cell r="M298">
            <v>3.8</v>
          </cell>
          <cell r="N298">
            <v>17.600000000000001</v>
          </cell>
        </row>
        <row r="299">
          <cell r="A299" t="str">
            <v>Сыр рассольный жирный Чечил копченый 43% 100 гр  Останкино</v>
          </cell>
          <cell r="E299" t="str">
            <v>шт</v>
          </cell>
          <cell r="F299">
            <v>90</v>
          </cell>
          <cell r="H299">
            <v>156</v>
          </cell>
          <cell r="I299">
            <v>14</v>
          </cell>
          <cell r="J299">
            <v>232</v>
          </cell>
          <cell r="K299">
            <v>9</v>
          </cell>
          <cell r="L299">
            <v>15.6</v>
          </cell>
          <cell r="M299">
            <v>1.4</v>
          </cell>
          <cell r="N299">
            <v>23.2</v>
          </cell>
        </row>
        <row r="300">
          <cell r="A300" t="str">
            <v>Сыр Скаморца свежий 100 гр.  ОСТАНКИНО</v>
          </cell>
          <cell r="E300" t="str">
            <v>шт</v>
          </cell>
          <cell r="F300">
            <v>43</v>
          </cell>
          <cell r="J300">
            <v>43</v>
          </cell>
          <cell r="K300">
            <v>4.3</v>
          </cell>
          <cell r="N300">
            <v>4.3</v>
          </cell>
        </row>
        <row r="301">
          <cell r="A301" t="str">
            <v>Сыр Творожный с зеленью 60% Папа может 140 гр.  Останкино</v>
          </cell>
          <cell r="E301" t="str">
            <v>шт</v>
          </cell>
          <cell r="F301">
            <v>15</v>
          </cell>
          <cell r="H301">
            <v>16</v>
          </cell>
          <cell r="J301">
            <v>31</v>
          </cell>
          <cell r="K301">
            <v>2.1</v>
          </cell>
          <cell r="L301">
            <v>2.2400000000000002</v>
          </cell>
          <cell r="N301">
            <v>4.34</v>
          </cell>
        </row>
        <row r="302">
          <cell r="A302" t="str">
            <v>Сыр творожный Сливочный 140 гр.  Останкино</v>
          </cell>
          <cell r="E302" t="str">
            <v>шт</v>
          </cell>
          <cell r="F302">
            <v>38</v>
          </cell>
          <cell r="J302">
            <v>38</v>
          </cell>
          <cell r="K302">
            <v>5.32</v>
          </cell>
          <cell r="N302">
            <v>5.32</v>
          </cell>
        </row>
        <row r="303">
          <cell r="A303" t="str">
            <v>Сыч/Прод Коровино Российский 50% 200г НОВАЯ СЗМЖ  ОСТАНКИНО</v>
          </cell>
          <cell r="E303" t="str">
            <v>шт</v>
          </cell>
          <cell r="F303">
            <v>114</v>
          </cell>
          <cell r="J303">
            <v>114</v>
          </cell>
          <cell r="K303">
            <v>22.8</v>
          </cell>
          <cell r="N303">
            <v>22.8</v>
          </cell>
        </row>
        <row r="304">
          <cell r="A304" t="str">
            <v>Сыч/Прод Коровино Российский Оригин 50% ВЕС НОВАЯ (3,5 кг)  ОСТАНКИНО</v>
          </cell>
          <cell r="E304" t="str">
            <v>кг</v>
          </cell>
          <cell r="F304">
            <v>44.856000000000002</v>
          </cell>
          <cell r="H304">
            <v>15.91</v>
          </cell>
          <cell r="J304">
            <v>60.765999999999998</v>
          </cell>
          <cell r="K304">
            <v>44.856000000000002</v>
          </cell>
          <cell r="L304">
            <v>15.91</v>
          </cell>
          <cell r="N304">
            <v>60.765999999999998</v>
          </cell>
        </row>
        <row r="305">
          <cell r="A305" t="str">
            <v>Сыч/Прод Коровино Тильзитер 50% 200г НОВАЯ СЗМЖ  ОСТАНКИНО</v>
          </cell>
          <cell r="E305" t="str">
            <v>шт</v>
          </cell>
          <cell r="F305">
            <v>114</v>
          </cell>
          <cell r="J305">
            <v>114</v>
          </cell>
          <cell r="K305">
            <v>22.8</v>
          </cell>
          <cell r="N305">
            <v>22.8</v>
          </cell>
        </row>
        <row r="306">
          <cell r="A306" t="str">
            <v>Сыч/Прод Коровино Тильзитер Оригин 50% ВЕС НОВАЯ (5 кг брус) СЗМЖ  ОСТАНКИНО</v>
          </cell>
          <cell r="E306" t="str">
            <v>кг</v>
          </cell>
          <cell r="F306">
            <v>45.496000000000002</v>
          </cell>
          <cell r="J306">
            <v>45.496000000000002</v>
          </cell>
          <cell r="K306">
            <v>45.496000000000002</v>
          </cell>
          <cell r="N306">
            <v>45.496000000000002</v>
          </cell>
        </row>
        <row r="307">
          <cell r="A307" t="str">
            <v>ХБИ Готовые чебуманы с говядиной 0,28кг ТМ Горячая штучка  ПОКОМ</v>
          </cell>
          <cell r="E307" t="str">
            <v>шт</v>
          </cell>
          <cell r="F307">
            <v>198</v>
          </cell>
          <cell r="H307">
            <v>12</v>
          </cell>
          <cell r="I307">
            <v>5</v>
          </cell>
          <cell r="J307">
            <v>205</v>
          </cell>
          <cell r="K307">
            <v>55.44</v>
          </cell>
          <cell r="L307">
            <v>3.36</v>
          </cell>
          <cell r="M307">
            <v>1.4</v>
          </cell>
          <cell r="N307">
            <v>57.4</v>
          </cell>
        </row>
        <row r="308">
          <cell r="A308" t="str">
            <v>ХБИ Готовые чебупели с курицей ТМ Горячая штучка (курочка гриль) флоу-пак 0,3 кг  ПОКОМ</v>
          </cell>
          <cell r="E308" t="str">
            <v>шт</v>
          </cell>
          <cell r="F308">
            <v>100</v>
          </cell>
          <cell r="H308">
            <v>8</v>
          </cell>
          <cell r="I308">
            <v>22</v>
          </cell>
          <cell r="J308">
            <v>86</v>
          </cell>
          <cell r="K308">
            <v>30</v>
          </cell>
          <cell r="L308">
            <v>2.4</v>
          </cell>
          <cell r="M308">
            <v>6.6</v>
          </cell>
          <cell r="N308">
            <v>25.8</v>
          </cell>
        </row>
        <row r="309">
          <cell r="A309" t="str">
            <v>ХБИ Мини-шарики с курочкой и сыром ТМ Зареченские продукты ВЕС  ПОКОМ</v>
          </cell>
          <cell r="E309" t="str">
            <v>кг</v>
          </cell>
          <cell r="F309">
            <v>150</v>
          </cell>
          <cell r="I309">
            <v>3</v>
          </cell>
          <cell r="J309">
            <v>147</v>
          </cell>
          <cell r="K309">
            <v>150</v>
          </cell>
          <cell r="M309">
            <v>3</v>
          </cell>
          <cell r="N309">
            <v>147</v>
          </cell>
        </row>
        <row r="310">
          <cell r="A310" t="str">
            <v>ХБИ Снеки «Готовые круггетсы с сырным соусом» Фикс.вес 0,2 ТМ «Горячая штучка» ПОКОМ</v>
          </cell>
          <cell r="E310" t="str">
            <v>шт</v>
          </cell>
          <cell r="F310">
            <v>-44</v>
          </cell>
          <cell r="H310">
            <v>9</v>
          </cell>
          <cell r="J310">
            <v>-35</v>
          </cell>
          <cell r="K310">
            <v>-8.8000000000000007</v>
          </cell>
          <cell r="L310">
            <v>1.8</v>
          </cell>
          <cell r="N310">
            <v>-7</v>
          </cell>
        </row>
        <row r="311">
          <cell r="A311" t="str">
            <v>Хотстеры Васаби-чили ТМ Горячая штучка ТС Хотстеры 0,23кг жареные ПОКОМ</v>
          </cell>
          <cell r="E311" t="str">
            <v>шт</v>
          </cell>
          <cell r="F311">
            <v>81</v>
          </cell>
          <cell r="H311">
            <v>2</v>
          </cell>
          <cell r="I311">
            <v>65</v>
          </cell>
          <cell r="J311">
            <v>18</v>
          </cell>
          <cell r="K311">
            <v>18.63</v>
          </cell>
          <cell r="L311">
            <v>0.46</v>
          </cell>
          <cell r="M311">
            <v>14.95</v>
          </cell>
          <cell r="N311">
            <v>4.1399999999999997</v>
          </cell>
        </row>
        <row r="312">
          <cell r="A312" t="str">
            <v>Хрустипай апельсин имбирь ТМ Горячая штучка 0,18 кг  ПОКОМ</v>
          </cell>
          <cell r="E312" t="str">
            <v>шт</v>
          </cell>
          <cell r="F312">
            <v>40</v>
          </cell>
          <cell r="J312">
            <v>40</v>
          </cell>
          <cell r="K312">
            <v>7.2</v>
          </cell>
          <cell r="N312">
            <v>7.2</v>
          </cell>
        </row>
        <row r="313">
          <cell r="A313" t="str">
            <v>Хрустипай манго маракуйя ТМ Горячая штучка 0,18 кг  ПОКОМ</v>
          </cell>
          <cell r="E313" t="str">
            <v>шт</v>
          </cell>
          <cell r="F313">
            <v>71</v>
          </cell>
          <cell r="J313">
            <v>71</v>
          </cell>
          <cell r="K313">
            <v>12.78</v>
          </cell>
          <cell r="N313">
            <v>12.78</v>
          </cell>
        </row>
        <row r="314">
          <cell r="A314" t="str">
            <v>Хрустипай манго чили ТМ Горячая штучка 0,18кг с начинкой ПОКОМ</v>
          </cell>
          <cell r="E314" t="str">
            <v>шт</v>
          </cell>
          <cell r="F314">
            <v>20</v>
          </cell>
          <cell r="J314">
            <v>20</v>
          </cell>
          <cell r="K314">
            <v>3.6</v>
          </cell>
          <cell r="N314">
            <v>3.6</v>
          </cell>
        </row>
        <row r="315">
          <cell r="A315" t="str">
            <v>Хрустящие крылышки острые к пиву ТМ Горячая штучка 0,3кг зам  ПОКОМ</v>
          </cell>
          <cell r="E315" t="str">
            <v>шт</v>
          </cell>
          <cell r="F315">
            <v>70</v>
          </cell>
          <cell r="I315">
            <v>12</v>
          </cell>
          <cell r="J315">
            <v>58</v>
          </cell>
          <cell r="K315">
            <v>21</v>
          </cell>
          <cell r="M315">
            <v>3.6</v>
          </cell>
          <cell r="N315">
            <v>17.399999999999999</v>
          </cell>
        </row>
        <row r="316">
          <cell r="A316" t="str">
            <v>Чебупели со вкусом Фо бо ТМ Горячая штучка 0,22 кг  ПОКОМ</v>
          </cell>
          <cell r="E316" t="str">
            <v>шт</v>
          </cell>
          <cell r="F316">
            <v>36</v>
          </cell>
          <cell r="J316">
            <v>36</v>
          </cell>
          <cell r="K316">
            <v>7.92</v>
          </cell>
          <cell r="N316">
            <v>7.92</v>
          </cell>
        </row>
        <row r="317">
          <cell r="A317" t="str">
            <v>Чебупицца курочка по-итальянски Горячая штучка 0,25 кг зам  ПОКОМ</v>
          </cell>
          <cell r="E317" t="str">
            <v>шт</v>
          </cell>
          <cell r="F317">
            <v>-12</v>
          </cell>
          <cell r="H317">
            <v>12</v>
          </cell>
          <cell r="K317">
            <v>-3</v>
          </cell>
          <cell r="L317">
            <v>3</v>
          </cell>
        </row>
        <row r="318">
          <cell r="A318" t="str">
            <v>Чебупицца Пепперони ТМ Горячая штучка ТС Чебупицца 0.25кг зам  ПОКОМ</v>
          </cell>
          <cell r="E318" t="str">
            <v>шт</v>
          </cell>
          <cell r="F318">
            <v>-6</v>
          </cell>
          <cell r="H318">
            <v>10</v>
          </cell>
          <cell r="J318">
            <v>4</v>
          </cell>
          <cell r="K318">
            <v>-1.5</v>
          </cell>
          <cell r="L318">
            <v>2.5</v>
          </cell>
          <cell r="N318">
            <v>1</v>
          </cell>
        </row>
        <row r="319">
          <cell r="A319" t="str">
            <v>Чебупицца со вкусом 4 сыра 0,2кг ТМ Горячая штучка ТС Foodgital  ПОКОМ</v>
          </cell>
          <cell r="E319" t="str">
            <v>шт</v>
          </cell>
          <cell r="F319">
            <v>122</v>
          </cell>
          <cell r="I319">
            <v>1</v>
          </cell>
          <cell r="J319">
            <v>121</v>
          </cell>
          <cell r="K319">
            <v>24.4</v>
          </cell>
          <cell r="M319">
            <v>0.2</v>
          </cell>
          <cell r="N319">
            <v>24.2</v>
          </cell>
        </row>
        <row r="320">
          <cell r="A320" t="str">
            <v>Чебупицца со вкусом Том ям ТМ Горячая штучка ТС Чебупицца 0,23кг жареные ПОКОМ</v>
          </cell>
          <cell r="E320" t="str">
            <v>шт</v>
          </cell>
          <cell r="F320">
            <v>256</v>
          </cell>
          <cell r="I320">
            <v>79</v>
          </cell>
          <cell r="J320">
            <v>177</v>
          </cell>
          <cell r="K320">
            <v>58.88</v>
          </cell>
          <cell r="M320">
            <v>18.170000000000002</v>
          </cell>
          <cell r="N320">
            <v>40.71</v>
          </cell>
        </row>
        <row r="321">
          <cell r="A321" t="str">
            <v>Чебупицца со вкусом Утка по-пекински ТМ Горячая штучка ТС Чебупицца 0,23 кг.  ПОКОМ</v>
          </cell>
          <cell r="E321" t="str">
            <v>шт</v>
          </cell>
          <cell r="F321">
            <v>230</v>
          </cell>
          <cell r="I321">
            <v>33</v>
          </cell>
          <cell r="J321">
            <v>197</v>
          </cell>
          <cell r="K321">
            <v>52.9</v>
          </cell>
          <cell r="M321">
            <v>7.59</v>
          </cell>
          <cell r="N321">
            <v>45.31</v>
          </cell>
        </row>
        <row r="322">
          <cell r="A322" t="str">
            <v>Чебуреки Мясные вес 2,7 кг ТМ Зареченские ТС Зареченские продукты   Поком</v>
          </cell>
          <cell r="E322" t="str">
            <v>кг</v>
          </cell>
          <cell r="F322">
            <v>15.9</v>
          </cell>
          <cell r="I322">
            <v>2.7</v>
          </cell>
          <cell r="J322">
            <v>13.2</v>
          </cell>
          <cell r="K322">
            <v>15.9</v>
          </cell>
          <cell r="M322">
            <v>2.7</v>
          </cell>
          <cell r="N322">
            <v>13.2</v>
          </cell>
        </row>
        <row r="323">
          <cell r="A323" t="str">
            <v>Чебуреки сочные ТМ Зареченские ТС Зареченские продукты.  Поком</v>
          </cell>
          <cell r="E323" t="str">
            <v>кг</v>
          </cell>
          <cell r="F323">
            <v>100</v>
          </cell>
          <cell r="I323">
            <v>5</v>
          </cell>
          <cell r="J323">
            <v>95</v>
          </cell>
          <cell r="K323">
            <v>100</v>
          </cell>
          <cell r="M323">
            <v>5</v>
          </cell>
          <cell r="N323">
            <v>95</v>
          </cell>
        </row>
        <row r="324">
          <cell r="A324" t="str">
            <v>Итого</v>
          </cell>
          <cell r="K324">
            <v>17321.056</v>
          </cell>
          <cell r="L324">
            <v>6079.4229999999998</v>
          </cell>
          <cell r="M324">
            <v>1509.6610000000001</v>
          </cell>
          <cell r="N324">
            <v>21890.817999999999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8847.2000000000007</v>
          </cell>
          <cell r="F5">
            <v>13195.6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-20</v>
          </cell>
          <cell r="D6">
            <v>82</v>
          </cell>
          <cell r="E6">
            <v>59</v>
          </cell>
          <cell r="F6">
            <v>-1</v>
          </cell>
          <cell r="G6">
            <v>0</v>
          </cell>
          <cell r="I6" t="str">
            <v>бонус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C7">
            <v>-2</v>
          </cell>
          <cell r="D7">
            <v>38</v>
          </cell>
          <cell r="E7">
            <v>29</v>
          </cell>
          <cell r="F7">
            <v>-5</v>
          </cell>
          <cell r="G7">
            <v>0</v>
          </cell>
          <cell r="I7" t="str">
            <v>бонус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14</v>
          </cell>
          <cell r="E8">
            <v>8</v>
          </cell>
          <cell r="F8">
            <v>6</v>
          </cell>
          <cell r="G8">
            <v>0.22</v>
          </cell>
          <cell r="H8">
            <v>180</v>
          </cell>
          <cell r="I8" t="str">
            <v>P005065</v>
          </cell>
        </row>
        <row r="9">
          <cell r="A9" t="str">
            <v>Вареники Медвежье ушко Премиум с картофелем и лесными грибами клас. форма флоу-пак 0,6 кг  ПОКОМ</v>
          </cell>
          <cell r="B9" t="str">
            <v>шт</v>
          </cell>
          <cell r="D9">
            <v>240</v>
          </cell>
          <cell r="F9">
            <v>240</v>
          </cell>
          <cell r="G9">
            <v>0.6</v>
          </cell>
          <cell r="H9">
            <v>180</v>
          </cell>
          <cell r="I9" t="str">
            <v>SU004310</v>
          </cell>
        </row>
        <row r="10">
          <cell r="A10" t="str">
            <v>Готовая чебупицца курочка по-итальянски 0,25кг ТМ Горячая штучка  ПОКОМ</v>
          </cell>
          <cell r="B10" t="str">
            <v>шт</v>
          </cell>
          <cell r="C10">
            <v>577</v>
          </cell>
          <cell r="E10">
            <v>307</v>
          </cell>
          <cell r="F10">
            <v>209</v>
          </cell>
          <cell r="G10">
            <v>0</v>
          </cell>
          <cell r="H10">
            <v>180</v>
          </cell>
          <cell r="I10" t="str">
            <v>дубль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59</v>
          </cell>
          <cell r="D11">
            <v>2</v>
          </cell>
          <cell r="E11">
            <v>61</v>
          </cell>
          <cell r="F11">
            <v>-4</v>
          </cell>
          <cell r="G11">
            <v>0.3</v>
          </cell>
          <cell r="H11">
            <v>180</v>
          </cell>
          <cell r="I11" t="str">
            <v>P004598</v>
          </cell>
        </row>
        <row r="12">
          <cell r="A12" t="str">
            <v>Готовые круггетсы сочные ТМ Горячая штучка флоу пак 0,2кг  ПОКОМ</v>
          </cell>
          <cell r="B12" t="str">
            <v>шт</v>
          </cell>
          <cell r="C12">
            <v>902</v>
          </cell>
          <cell r="D12">
            <v>6</v>
          </cell>
          <cell r="E12">
            <v>133</v>
          </cell>
          <cell r="F12">
            <v>751</v>
          </cell>
          <cell r="G12">
            <v>0</v>
          </cell>
          <cell r="H12">
            <v>180</v>
          </cell>
          <cell r="I12" t="str">
            <v>дубль</v>
          </cell>
        </row>
        <row r="13">
          <cell r="A13" t="str">
            <v>Готовые пекерсы с индейкой в сливочном соусе ТМ Горячая штучка флоу-пак 0,25кг  ПОКОМ</v>
          </cell>
          <cell r="B13" t="str">
            <v>шт</v>
          </cell>
          <cell r="C13">
            <v>197</v>
          </cell>
          <cell r="D13">
            <v>2</v>
          </cell>
          <cell r="E13">
            <v>111</v>
          </cell>
          <cell r="F13">
            <v>71</v>
          </cell>
          <cell r="G13">
            <v>0</v>
          </cell>
          <cell r="H13">
            <v>180</v>
          </cell>
          <cell r="I13" t="str">
            <v>дубль</v>
          </cell>
        </row>
        <row r="14">
          <cell r="A14" t="str">
            <v>Готовые хотстеры ТМ Горячая штучка ТС Хотстеры флоу-пак 0,25 кг.  ПОКОМ</v>
          </cell>
          <cell r="B14" t="str">
            <v>шт</v>
          </cell>
          <cell r="C14">
            <v>326</v>
          </cell>
          <cell r="D14">
            <v>9</v>
          </cell>
          <cell r="E14">
            <v>229</v>
          </cell>
          <cell r="F14">
            <v>98</v>
          </cell>
          <cell r="G14">
            <v>0</v>
          </cell>
          <cell r="H14">
            <v>180</v>
          </cell>
          <cell r="I14" t="str">
            <v>дубль</v>
          </cell>
        </row>
        <row r="15">
          <cell r="A15" t="str">
            <v>Готовые хотстеры с сыром ТМ Горячая штучка ТС Хотстеры флоу-пак 0,25 кг.  ПОКОМ</v>
          </cell>
          <cell r="B15" t="str">
            <v>шт</v>
          </cell>
          <cell r="C15">
            <v>417</v>
          </cell>
          <cell r="D15">
            <v>11</v>
          </cell>
          <cell r="E15">
            <v>191</v>
          </cell>
          <cell r="F15">
            <v>205</v>
          </cell>
          <cell r="G15">
            <v>0</v>
          </cell>
          <cell r="H15">
            <v>180</v>
          </cell>
          <cell r="I15" t="str">
            <v>дубль</v>
          </cell>
        </row>
        <row r="16">
          <cell r="A16" t="str">
            <v>Готовые чебуманы с говядиной ТМ горячая штучка 0,28 кг.  Поком</v>
          </cell>
          <cell r="B16" t="str">
            <v>шт</v>
          </cell>
          <cell r="D16">
            <v>6</v>
          </cell>
          <cell r="E16">
            <v>68</v>
          </cell>
          <cell r="F16">
            <v>205</v>
          </cell>
          <cell r="G16">
            <v>0.28000000000000003</v>
          </cell>
          <cell r="H16">
            <v>180</v>
          </cell>
          <cell r="I16" t="str">
            <v>P004597</v>
          </cell>
        </row>
        <row r="17">
          <cell r="A17" t="str">
            <v>Готовые чебупели острые с мясом ТМ Горячая штучка флоу-пак 0,24 кг  Поком</v>
          </cell>
          <cell r="B17" t="str">
            <v>шт</v>
          </cell>
          <cell r="C17">
            <v>461</v>
          </cell>
          <cell r="E17">
            <v>164</v>
          </cell>
          <cell r="F17">
            <v>290</v>
          </cell>
          <cell r="G17">
            <v>0.24</v>
          </cell>
          <cell r="H17">
            <v>180</v>
          </cell>
          <cell r="I17" t="str">
            <v>P004969</v>
          </cell>
        </row>
        <row r="18">
          <cell r="A18" t="str">
            <v>Готовые чебупели с ветчиной и сыром 0,24 кг НОВАЯ ТМ Горячая штучка  ПОКОМ</v>
          </cell>
          <cell r="B18" t="str">
            <v>шт</v>
          </cell>
          <cell r="C18">
            <v>112</v>
          </cell>
          <cell r="D18">
            <v>11</v>
          </cell>
          <cell r="E18">
            <v>92</v>
          </cell>
          <cell r="F18">
            <v>17</v>
          </cell>
          <cell r="G18">
            <v>0</v>
          </cell>
          <cell r="H18">
            <v>180</v>
          </cell>
          <cell r="I18" t="str">
            <v>дубль</v>
          </cell>
        </row>
        <row r="19">
          <cell r="A19" t="str">
            <v>Готовые чебупели с ветчиной и сыром ТМ Горячая штучка флоу-пак 0,24 кг.  ПОКОМ</v>
          </cell>
          <cell r="B19" t="str">
            <v>шт</v>
          </cell>
          <cell r="E19">
            <v>92</v>
          </cell>
          <cell r="F19">
            <v>17</v>
          </cell>
          <cell r="G19">
            <v>0.24</v>
          </cell>
          <cell r="H19">
            <v>180</v>
          </cell>
          <cell r="I19" t="str">
            <v>P004971</v>
          </cell>
        </row>
        <row r="20">
          <cell r="A20" t="str">
            <v>Готовые чебупели с мясом ТМ Горячая штучка 0,24 кг  ПОКОМ</v>
          </cell>
          <cell r="B20" t="str">
            <v>шт</v>
          </cell>
          <cell r="C20">
            <v>103</v>
          </cell>
          <cell r="D20">
            <v>182</v>
          </cell>
          <cell r="E20">
            <v>171</v>
          </cell>
          <cell r="F20">
            <v>96</v>
          </cell>
          <cell r="G20">
            <v>0.24</v>
          </cell>
          <cell r="H20">
            <v>180</v>
          </cell>
          <cell r="I20" t="str">
            <v>P004974</v>
          </cell>
        </row>
        <row r="21">
          <cell r="A21" t="str">
            <v>Готовые чебупели сочные с мясом 0,24 кг НОВАЯ ТМ Горячая штучка флоу-пак  ПОКОМ</v>
          </cell>
          <cell r="B21" t="str">
            <v>шт</v>
          </cell>
          <cell r="C21">
            <v>569</v>
          </cell>
          <cell r="D21">
            <v>230</v>
          </cell>
          <cell r="E21">
            <v>231</v>
          </cell>
          <cell r="F21">
            <v>394</v>
          </cell>
          <cell r="G21">
            <v>0</v>
          </cell>
          <cell r="H21">
            <v>180</v>
          </cell>
          <cell r="I21" t="str">
            <v>дубль</v>
          </cell>
        </row>
        <row r="22">
          <cell r="A22" t="str">
            <v>Готовые чебупели сочные с мясом 0,48 кг НОВАЯ ТМ Горячая штучка флоу-пак МЕГАпачка  ПОКОМ</v>
          </cell>
          <cell r="B22" t="str">
            <v>шт</v>
          </cell>
          <cell r="C22">
            <v>96</v>
          </cell>
          <cell r="D22">
            <v>340</v>
          </cell>
          <cell r="E22">
            <v>79</v>
          </cell>
          <cell r="F22">
            <v>352</v>
          </cell>
          <cell r="G22">
            <v>0</v>
          </cell>
          <cell r="H22">
            <v>180</v>
          </cell>
          <cell r="I22" t="str">
            <v>дубль</v>
          </cell>
        </row>
        <row r="23">
          <cell r="A23" t="str">
            <v>Готовые чебупели сочные с мясом ТМ Горячая штучка флоу-пак 0,24 кг  ПОКОМ</v>
          </cell>
          <cell r="B23" t="str">
            <v>шт</v>
          </cell>
          <cell r="E23">
            <v>290</v>
          </cell>
          <cell r="F23">
            <v>393</v>
          </cell>
          <cell r="G23">
            <v>0.24</v>
          </cell>
          <cell r="H23">
            <v>180</v>
          </cell>
          <cell r="I23" t="str">
            <v>P004966</v>
          </cell>
        </row>
        <row r="24">
          <cell r="A24" t="str">
            <v>Готовые чебупели сочные с мясом ТМ Горячая штучка флоу-пак 0,48 кг XXL  Поком</v>
          </cell>
          <cell r="B24" t="str">
            <v>шт</v>
          </cell>
          <cell r="E24">
            <v>79</v>
          </cell>
          <cell r="F24">
            <v>352</v>
          </cell>
          <cell r="G24">
            <v>0.48</v>
          </cell>
          <cell r="H24">
            <v>180</v>
          </cell>
          <cell r="I24" t="str">
            <v>P004595</v>
          </cell>
        </row>
        <row r="25">
          <cell r="A25" t="str">
            <v>Готовые чебуреки с мясом ТМ Горячая штучка 0,09 кг флоу-пак ПОКОМ</v>
          </cell>
          <cell r="B25" t="str">
            <v>шт</v>
          </cell>
          <cell r="C25">
            <v>857</v>
          </cell>
          <cell r="D25">
            <v>2</v>
          </cell>
          <cell r="E25">
            <v>101</v>
          </cell>
          <cell r="F25">
            <v>756</v>
          </cell>
          <cell r="G25">
            <v>0.09</v>
          </cell>
          <cell r="H25">
            <v>180</v>
          </cell>
          <cell r="I25" t="str">
            <v>P004138</v>
          </cell>
        </row>
        <row r="26">
          <cell r="A26" t="str">
            <v>Готовые чебуреки со свининой и говядиной ТМ Горячая штучка ТС Базовый ассортимент 0,36 кг  ПОКОМ</v>
          </cell>
          <cell r="B26" t="str">
            <v>шт</v>
          </cell>
          <cell r="G26">
            <v>0.36</v>
          </cell>
          <cell r="H26">
            <v>180</v>
          </cell>
          <cell r="I26" t="str">
            <v>P004583</v>
          </cell>
        </row>
        <row r="27">
          <cell r="A27" t="str">
            <v>Жареные вареники с картофелем и беконом ТМ Стародворье 0,2 кг  ПОКОМ</v>
          </cell>
          <cell r="B27" t="str">
            <v>шт</v>
          </cell>
          <cell r="C27">
            <v>159</v>
          </cell>
          <cell r="E27">
            <v>44</v>
          </cell>
          <cell r="F27">
            <v>115</v>
          </cell>
          <cell r="G27">
            <v>0.2</v>
          </cell>
          <cell r="H27">
            <v>180</v>
          </cell>
          <cell r="I27" t="str">
            <v>P005129</v>
          </cell>
        </row>
        <row r="28">
          <cell r="A28" t="str">
            <v>Круггетсы с сырным соусом ТМ Горячая штучка 0,25 кг зам  ПОКОМ</v>
          </cell>
          <cell r="B28" t="str">
            <v>шт</v>
          </cell>
          <cell r="C28">
            <v>347</v>
          </cell>
          <cell r="F28">
            <v>347</v>
          </cell>
          <cell r="G28">
            <v>0</v>
          </cell>
          <cell r="H28">
            <v>180</v>
          </cell>
          <cell r="I28" t="str">
            <v>дубль</v>
          </cell>
        </row>
        <row r="29">
          <cell r="A29" t="str">
            <v>Круггетсы с сырным соусом ТМ Горячая штучка ТС Круггетсы флоу-пак 0,2 кг  ПОКОМ</v>
          </cell>
          <cell r="B29" t="str">
            <v>шт</v>
          </cell>
          <cell r="D29">
            <v>27</v>
          </cell>
          <cell r="E29">
            <v>196</v>
          </cell>
          <cell r="F29">
            <v>297</v>
          </cell>
          <cell r="G29">
            <v>0.2</v>
          </cell>
          <cell r="H29">
            <v>180</v>
          </cell>
          <cell r="I29" t="str">
            <v>P004956</v>
          </cell>
        </row>
        <row r="30">
          <cell r="A30" t="str">
            <v>Круггетсы сочные ТМ Горячая штучка ТС Круггетсы флоу-пак  0,2 кг.  ПОКОМ</v>
          </cell>
          <cell r="B30" t="str">
            <v>шт</v>
          </cell>
          <cell r="E30">
            <v>133</v>
          </cell>
          <cell r="F30">
            <v>751</v>
          </cell>
          <cell r="G30">
            <v>0.2</v>
          </cell>
          <cell r="H30">
            <v>180</v>
          </cell>
          <cell r="I30" t="str">
            <v>P004953</v>
          </cell>
        </row>
        <row r="31">
          <cell r="A31" t="str">
            <v>Мини-сосиски в ароматном тесте ВЕС ТМ Зареченские продукты  ПОКОМ</v>
          </cell>
          <cell r="B31" t="str">
            <v>кг</v>
          </cell>
          <cell r="C31">
            <v>251.6</v>
          </cell>
          <cell r="D31">
            <v>7.4</v>
          </cell>
          <cell r="E31">
            <v>18.5</v>
          </cell>
          <cell r="F31">
            <v>229.4</v>
          </cell>
          <cell r="G31">
            <v>1</v>
          </cell>
          <cell r="H31">
            <v>180</v>
          </cell>
          <cell r="I31" t="str">
            <v>новинка по ротации</v>
          </cell>
        </row>
        <row r="32">
          <cell r="A32" t="str">
            <v>Мини-шарики с курочкой и сыром ТМ Зареченские ВЕС ПОКОМ</v>
          </cell>
          <cell r="B32" t="str">
            <v>кг</v>
          </cell>
          <cell r="D32">
            <v>3</v>
          </cell>
          <cell r="E32">
            <v>18</v>
          </cell>
          <cell r="F32">
            <v>147</v>
          </cell>
          <cell r="G32">
            <v>1</v>
          </cell>
          <cell r="H32">
            <v>180</v>
          </cell>
          <cell r="I32" t="str">
            <v>P004394</v>
          </cell>
        </row>
        <row r="33">
          <cell r="A33" t="str">
            <v>Наггетсы Сливушки в темпуре ТМ Вязанка флоу-пак 0,23 кг  ПОКОМ</v>
          </cell>
          <cell r="B33" t="str">
            <v>шт</v>
          </cell>
          <cell r="D33">
            <v>336</v>
          </cell>
          <cell r="E33">
            <v>9</v>
          </cell>
          <cell r="F33">
            <v>326</v>
          </cell>
          <cell r="G33">
            <v>0.23</v>
          </cell>
          <cell r="H33">
            <v>180</v>
          </cell>
          <cell r="I33" t="str">
            <v>SU004023</v>
          </cell>
        </row>
        <row r="34">
          <cell r="A34" t="str">
            <v>Наггетсы Нагетосы Сочная курочка ТМ Горячая штучка 0,25 кг зам  ПОКОМ</v>
          </cell>
          <cell r="B34" t="str">
            <v>шт</v>
          </cell>
          <cell r="C34">
            <v>551</v>
          </cell>
          <cell r="D34">
            <v>14</v>
          </cell>
          <cell r="E34">
            <v>349</v>
          </cell>
          <cell r="F34">
            <v>100</v>
          </cell>
          <cell r="G34">
            <v>0.25</v>
          </cell>
          <cell r="H34">
            <v>365</v>
          </cell>
          <cell r="I34" t="str">
            <v>P004602</v>
          </cell>
        </row>
        <row r="35">
          <cell r="A35" t="str">
            <v>Наггетсы Нагетосы Сочная курочка со сметаной и зеленью ТМ Горячая штучка флоу-пак 0,25 кг  Поком</v>
          </cell>
          <cell r="B35" t="str">
            <v>шт</v>
          </cell>
          <cell r="C35">
            <v>448</v>
          </cell>
          <cell r="D35">
            <v>42</v>
          </cell>
          <cell r="E35">
            <v>190</v>
          </cell>
          <cell r="F35">
            <v>243</v>
          </cell>
          <cell r="G35">
            <v>0.25</v>
          </cell>
          <cell r="H35">
            <v>365</v>
          </cell>
          <cell r="I35" t="str">
            <v>P004600</v>
          </cell>
        </row>
        <row r="36">
          <cell r="A36" t="str">
            <v>Наггетсы Хрустящие НД2. ВЕС.  ПОКОМ</v>
          </cell>
          <cell r="B36" t="str">
            <v>кг</v>
          </cell>
          <cell r="C36">
            <v>216</v>
          </cell>
          <cell r="D36">
            <v>78</v>
          </cell>
          <cell r="E36">
            <v>60</v>
          </cell>
          <cell r="F36">
            <v>176</v>
          </cell>
          <cell r="G36">
            <v>0</v>
          </cell>
          <cell r="H36">
            <v>180</v>
          </cell>
          <cell r="I36" t="str">
            <v>дубль</v>
          </cell>
        </row>
        <row r="37">
          <cell r="A37" t="str">
            <v>Наггетсы Хрустящие ТМ Зареченские ТС Зареченские продукты. Поком</v>
          </cell>
          <cell r="B37" t="str">
            <v>кг</v>
          </cell>
          <cell r="C37">
            <v>-41</v>
          </cell>
          <cell r="D37">
            <v>41</v>
          </cell>
          <cell r="E37">
            <v>60</v>
          </cell>
          <cell r="F37">
            <v>176</v>
          </cell>
          <cell r="G37">
            <v>1</v>
          </cell>
          <cell r="H37">
            <v>180</v>
          </cell>
          <cell r="I37" t="str">
            <v>P003486</v>
          </cell>
        </row>
        <row r="38">
          <cell r="A38" t="str">
            <v>Наггетсы Хрустящие ТМ Стародворье с сочной курочкой 0,23 кг  ПОКОМ</v>
          </cell>
          <cell r="B38" t="str">
            <v>шт</v>
          </cell>
          <cell r="C38">
            <v>210</v>
          </cell>
          <cell r="E38">
            <v>32</v>
          </cell>
          <cell r="F38">
            <v>175</v>
          </cell>
          <cell r="G38">
            <v>0.23</v>
          </cell>
          <cell r="H38">
            <v>180</v>
          </cell>
          <cell r="I38" t="str">
            <v>P005043</v>
          </cell>
        </row>
        <row r="39">
          <cell r="A39" t="str">
            <v>Наггетсы из печи 0,25кг ТМ Вязанка замор.  ПОКОМ</v>
          </cell>
          <cell r="B39" t="str">
            <v>шт</v>
          </cell>
          <cell r="C39">
            <v>364</v>
          </cell>
          <cell r="D39">
            <v>7</v>
          </cell>
          <cell r="E39">
            <v>194</v>
          </cell>
          <cell r="F39">
            <v>169</v>
          </cell>
          <cell r="G39">
            <v>0.25</v>
          </cell>
          <cell r="H39">
            <v>365</v>
          </cell>
          <cell r="I39" t="str">
            <v>P004497</v>
          </cell>
        </row>
        <row r="40">
          <cell r="A40" t="str">
            <v>Наггетсы с индейкой 0,25кг ТМ Вязанка ТС Из печи Сливушки ПОКОМ</v>
          </cell>
          <cell r="B40" t="str">
            <v>шт</v>
          </cell>
          <cell r="C40">
            <v>473</v>
          </cell>
          <cell r="D40">
            <v>8</v>
          </cell>
          <cell r="E40">
            <v>201</v>
          </cell>
          <cell r="F40">
            <v>262</v>
          </cell>
          <cell r="G40">
            <v>0.25</v>
          </cell>
          <cell r="H40">
            <v>365</v>
          </cell>
          <cell r="I40" t="str">
            <v>P004496</v>
          </cell>
        </row>
        <row r="41">
          <cell r="A41" t="str">
            <v>Наггетсы с куриным филе и сыром ТМ Вязанка ТС Из печи Сливушки 0,25 кг.  Поком</v>
          </cell>
          <cell r="B41" t="str">
            <v>шт</v>
          </cell>
          <cell r="C41">
            <v>210</v>
          </cell>
          <cell r="E41">
            <v>126</v>
          </cell>
          <cell r="F41">
            <v>75</v>
          </cell>
          <cell r="G41">
            <v>0.25</v>
          </cell>
          <cell r="H41">
            <v>180</v>
          </cell>
          <cell r="I41" t="str">
            <v>P004535</v>
          </cell>
        </row>
        <row r="42">
          <cell r="A42" t="str">
            <v>Пекерсы с индейкой в сливочном соусе ТМ Горячая штучка 0,25 кг зам  ПОКОМ</v>
          </cell>
          <cell r="B42" t="str">
            <v>шт</v>
          </cell>
          <cell r="E42">
            <v>111</v>
          </cell>
          <cell r="F42">
            <v>71</v>
          </cell>
          <cell r="G42">
            <v>0.25</v>
          </cell>
          <cell r="H42">
            <v>180</v>
          </cell>
          <cell r="I42" t="str">
            <v>P004594</v>
          </cell>
        </row>
        <row r="43">
          <cell r="A43" t="str">
            <v>Пельмени Grandmeni с говядиной ТМ Горячаяштучка флоу-пак сфера 0,7 кг.  Поком</v>
          </cell>
          <cell r="B43" t="str">
            <v>шт</v>
          </cell>
          <cell r="C43">
            <v>210</v>
          </cell>
          <cell r="D43">
            <v>16</v>
          </cell>
          <cell r="E43">
            <v>47</v>
          </cell>
          <cell r="F43">
            <v>163</v>
          </cell>
          <cell r="G43">
            <v>0</v>
          </cell>
          <cell r="H43">
            <v>180</v>
          </cell>
          <cell r="I43" t="str">
            <v>завод вывел</v>
          </cell>
        </row>
        <row r="44">
          <cell r="A44" t="str">
            <v>Пельмени Grandmeni с говядиной и свининой ТМ Горячаяштучка флоу-па классическая форма 0,7 кг.  Поком</v>
          </cell>
          <cell r="B44" t="str">
            <v>шт</v>
          </cell>
          <cell r="C44">
            <v>248</v>
          </cell>
          <cell r="D44">
            <v>6</v>
          </cell>
          <cell r="E44">
            <v>54</v>
          </cell>
          <cell r="F44">
            <v>183</v>
          </cell>
          <cell r="G44">
            <v>0.7</v>
          </cell>
          <cell r="H44">
            <v>180</v>
          </cell>
          <cell r="I44" t="str">
            <v>P004889</v>
          </cell>
        </row>
        <row r="45">
          <cell r="A45" t="str">
            <v>Пельмени Grandmeni со сливочным маслом  ТМ Горячая штучка флоу-пак сфера 0,7 кг.  Поком</v>
          </cell>
          <cell r="B45" t="str">
            <v>шт</v>
          </cell>
          <cell r="G45">
            <v>0.7</v>
          </cell>
          <cell r="H45">
            <v>180</v>
          </cell>
          <cell r="I45" t="str">
            <v>P004888</v>
          </cell>
        </row>
        <row r="46">
          <cell r="A46" t="str">
            <v>Пельмени Бигбули #МЕГАВКУСИЩЕ с сочной грудинкой  ТМ Горячая штучка  флоу-пак сфера 0,7 кг.  Поком</v>
          </cell>
          <cell r="B46" t="str">
            <v>шт</v>
          </cell>
          <cell r="C46">
            <v>395</v>
          </cell>
          <cell r="D46">
            <v>5</v>
          </cell>
          <cell r="E46">
            <v>179</v>
          </cell>
          <cell r="F46">
            <v>196</v>
          </cell>
          <cell r="G46">
            <v>0.7</v>
          </cell>
          <cell r="H46">
            <v>180</v>
          </cell>
          <cell r="I46" t="str">
            <v>P004440</v>
          </cell>
        </row>
        <row r="47">
          <cell r="A47" t="str">
            <v>Пельмени Бигбули с мясом ТМ Горячая штучка БУЛЬМЕНИ ТС Бигбули ГШ  флоу-пак сфера 0,7.   Поком</v>
          </cell>
          <cell r="B47" t="str">
            <v>шт</v>
          </cell>
          <cell r="C47">
            <v>539</v>
          </cell>
          <cell r="E47">
            <v>173</v>
          </cell>
          <cell r="F47">
            <v>356</v>
          </cell>
          <cell r="G47">
            <v>0.7</v>
          </cell>
          <cell r="H47">
            <v>180</v>
          </cell>
          <cell r="I47" t="str">
            <v>P004442</v>
          </cell>
        </row>
        <row r="48">
          <cell r="A48" t="str">
            <v>Пельмени Бигбули со сливочным маслом  ТС Бигбули ГШ#МЕГАМАСЛИЩЕ флоу-пак сфера 0,7.  Поком</v>
          </cell>
          <cell r="B48" t="str">
            <v>шт</v>
          </cell>
          <cell r="C48">
            <v>641</v>
          </cell>
          <cell r="D48">
            <v>10</v>
          </cell>
          <cell r="E48">
            <v>233</v>
          </cell>
          <cell r="F48">
            <v>403</v>
          </cell>
          <cell r="G48">
            <v>0.7</v>
          </cell>
          <cell r="H48">
            <v>180</v>
          </cell>
          <cell r="I48" t="str">
            <v>P004203</v>
          </cell>
        </row>
        <row r="49">
          <cell r="A49" t="str">
            <v>Пельмени Бульмени мини с мясом и оливковым маслом  ТС Бульмени ГШ флоу-пак сфера 0,7кг  Поком</v>
          </cell>
          <cell r="B49" t="str">
            <v>шт</v>
          </cell>
          <cell r="C49">
            <v>9</v>
          </cell>
          <cell r="D49">
            <v>134</v>
          </cell>
          <cell r="E49">
            <v>62</v>
          </cell>
          <cell r="F49">
            <v>73</v>
          </cell>
          <cell r="G49">
            <v>0.7</v>
          </cell>
          <cell r="H49">
            <v>180</v>
          </cell>
          <cell r="I49" t="str">
            <v>P004819</v>
          </cell>
        </row>
        <row r="50">
          <cell r="A50" t="str">
            <v>Пельмени Бульмени с говядиной и свининой Наваристые Горячая штучка ВЕС  ПОКОМ</v>
          </cell>
          <cell r="B50" t="str">
            <v>кг</v>
          </cell>
          <cell r="C50">
            <v>690</v>
          </cell>
          <cell r="D50">
            <v>430</v>
          </cell>
          <cell r="E50">
            <v>665</v>
          </cell>
          <cell r="F50">
            <v>350</v>
          </cell>
          <cell r="G50">
            <v>1</v>
          </cell>
          <cell r="H50">
            <v>180</v>
          </cell>
          <cell r="I50" t="str">
            <v>P003697</v>
          </cell>
        </row>
        <row r="51">
          <cell r="A51" t="str">
            <v>Пельмени Бульмени с говядиной и свининой ТМ Горячая штучка  флоу-пак сфера 0,4 кг  Поком</v>
          </cell>
          <cell r="B51" t="str">
            <v>шт</v>
          </cell>
          <cell r="C51">
            <v>-7</v>
          </cell>
          <cell r="D51">
            <v>8</v>
          </cell>
          <cell r="F51">
            <v>1</v>
          </cell>
          <cell r="G51">
            <v>0.4</v>
          </cell>
          <cell r="H51">
            <v>180</v>
          </cell>
          <cell r="I51" t="str">
            <v>P004474</v>
          </cell>
        </row>
        <row r="52">
          <cell r="A52" t="str">
            <v>Пельмени Бульмени с говядиной и свининой ТМ Горячая штучка БУЛЬМЕНИ  флоу-пак сфера 0,7 кг.  Поком</v>
          </cell>
          <cell r="B52" t="str">
            <v>шт</v>
          </cell>
          <cell r="C52">
            <v>14</v>
          </cell>
          <cell r="D52">
            <v>11</v>
          </cell>
          <cell r="E52">
            <v>16</v>
          </cell>
          <cell r="F52">
            <v>4</v>
          </cell>
          <cell r="G52">
            <v>0.7</v>
          </cell>
          <cell r="H52">
            <v>180</v>
          </cell>
          <cell r="I52" t="str">
            <v>P004345</v>
          </cell>
        </row>
        <row r="53">
          <cell r="A53" t="str">
            <v>Пельмени Бульмени со сливочным маслом ТМ Горячая штучка  флоу-пак сфера 0,4 кг .  Поком</v>
          </cell>
          <cell r="B53" t="str">
            <v>шт</v>
          </cell>
          <cell r="C53">
            <v>304</v>
          </cell>
          <cell r="D53">
            <v>19</v>
          </cell>
          <cell r="E53">
            <v>290</v>
          </cell>
          <cell r="F53">
            <v>-7</v>
          </cell>
          <cell r="G53">
            <v>0.4</v>
          </cell>
          <cell r="H53">
            <v>180</v>
          </cell>
          <cell r="I53" t="str">
            <v>P004444</v>
          </cell>
        </row>
        <row r="54">
          <cell r="A54" t="str">
            <v>Пельмени Бульмени со сливочным маслом ТМ Горячая штучка флоу-пак сфера 0,7 кг .  Поком</v>
          </cell>
          <cell r="B54" t="str">
            <v>шт</v>
          </cell>
          <cell r="C54">
            <v>597</v>
          </cell>
          <cell r="D54">
            <v>15</v>
          </cell>
          <cell r="E54">
            <v>382</v>
          </cell>
          <cell r="F54">
            <v>163</v>
          </cell>
          <cell r="G54">
            <v>0.7</v>
          </cell>
          <cell r="H54">
            <v>180</v>
          </cell>
          <cell r="I54" t="str">
            <v>P004346</v>
          </cell>
        </row>
        <row r="55">
          <cell r="A55" t="str">
            <v>Пельмени Домашние со сливочным маслом ТМ Зареченские  продукты флоу-пак сфера 0,7 кг.  Поком</v>
          </cell>
          <cell r="B55" t="str">
            <v>шт</v>
          </cell>
          <cell r="G55">
            <v>0.7</v>
          </cell>
          <cell r="H55">
            <v>180</v>
          </cell>
          <cell r="I55" t="str">
            <v>P004060</v>
          </cell>
        </row>
        <row r="56">
          <cell r="A56" t="str">
            <v>Пельмени Медвежье ушко Премиум Мясные ТМ Медвежье ушко классическая форма флоу-пак 0,8 кг. ПОКОМ</v>
          </cell>
          <cell r="B56" t="str">
            <v>шт</v>
          </cell>
          <cell r="C56">
            <v>483</v>
          </cell>
          <cell r="D56">
            <v>2</v>
          </cell>
          <cell r="E56">
            <v>33</v>
          </cell>
          <cell r="F56">
            <v>405</v>
          </cell>
          <cell r="G56">
            <v>0.8</v>
          </cell>
          <cell r="H56">
            <v>180</v>
          </cell>
          <cell r="I56" t="str">
            <v>P005158</v>
          </cell>
        </row>
        <row r="57">
          <cell r="A57" t="str">
            <v>Пельмени Медвежье ушко Премиум со сливочным маслом 0,4 кг ТМ Медвежье ушко  ПОКОМ</v>
          </cell>
          <cell r="B57" t="str">
            <v>шт</v>
          </cell>
          <cell r="C57">
            <v>192</v>
          </cell>
          <cell r="E57">
            <v>1</v>
          </cell>
          <cell r="F57">
            <v>143</v>
          </cell>
          <cell r="G57">
            <v>0.4</v>
          </cell>
          <cell r="H57">
            <v>180</v>
          </cell>
          <cell r="I57" t="str">
            <v>P005439</v>
          </cell>
        </row>
        <row r="58">
          <cell r="A58" t="str">
            <v>Пельмени Медвежье ушко Премиум со сливочным маслом 0,8 кг ТМ Медвежье ушко  ПОКОМ</v>
          </cell>
          <cell r="B58" t="str">
            <v>шт</v>
          </cell>
          <cell r="C58">
            <v>96</v>
          </cell>
          <cell r="F58">
            <v>48</v>
          </cell>
          <cell r="G58">
            <v>0.8</v>
          </cell>
          <cell r="H58">
            <v>180</v>
          </cell>
          <cell r="I58" t="str">
            <v>P005438</v>
          </cell>
        </row>
        <row r="59">
          <cell r="A59" t="str">
            <v>Пельмени Мясные с говядиной ТМ Стародворье сфера флоу-пак 1 кг  ПОКОМ</v>
          </cell>
          <cell r="B59" t="str">
            <v>шт</v>
          </cell>
          <cell r="C59">
            <v>2</v>
          </cell>
          <cell r="E59">
            <v>2</v>
          </cell>
          <cell r="G59">
            <v>1</v>
          </cell>
          <cell r="H59">
            <v>180</v>
          </cell>
          <cell r="I59" t="str">
            <v>P005048</v>
          </cell>
        </row>
        <row r="60">
          <cell r="A60" t="str">
            <v>Пельмени Отборные из свинины и говядины 0,9 кг ТМ Стародворье ТС Медвежье ушко  ПОКОМ</v>
          </cell>
          <cell r="B60" t="str">
            <v>шт</v>
          </cell>
          <cell r="C60">
            <v>68</v>
          </cell>
          <cell r="E60">
            <v>5</v>
          </cell>
          <cell r="F60">
            <v>63</v>
          </cell>
          <cell r="G60">
            <v>0.9</v>
          </cell>
          <cell r="H60">
            <v>180</v>
          </cell>
          <cell r="I60" t="str">
            <v>P005107</v>
          </cell>
        </row>
        <row r="61">
          <cell r="A61" t="str">
            <v>Пельмени Отборные с говядиной 0,9 кг НОВА ТМ Стародворье ТС Медвежье ушко  ПОКОМ</v>
          </cell>
          <cell r="B61" t="str">
            <v>шт</v>
          </cell>
          <cell r="C61">
            <v>54</v>
          </cell>
          <cell r="E61">
            <v>6</v>
          </cell>
          <cell r="F61">
            <v>48</v>
          </cell>
          <cell r="G61">
            <v>0.9</v>
          </cell>
          <cell r="H61">
            <v>180</v>
          </cell>
          <cell r="I61" t="str">
            <v>P005105</v>
          </cell>
        </row>
        <row r="62">
          <cell r="A62" t="str">
            <v>Пельмени С говядиной и свининой, ВЕС, ТМ Славница сфера пуговки  ПОКОМ</v>
          </cell>
          <cell r="B62" t="str">
            <v>кг</v>
          </cell>
          <cell r="C62">
            <v>155</v>
          </cell>
          <cell r="D62">
            <v>5</v>
          </cell>
          <cell r="E62">
            <v>55</v>
          </cell>
          <cell r="F62">
            <v>95</v>
          </cell>
          <cell r="G62">
            <v>1</v>
          </cell>
          <cell r="H62">
            <v>180</v>
          </cell>
          <cell r="I62" t="str">
            <v>P004472</v>
          </cell>
        </row>
        <row r="63">
          <cell r="A63" t="str">
            <v>Пельмени Со свининой и говядиной ТМ Особый рецепт Любимая ложка 1,0 кг  ПОКОМ</v>
          </cell>
          <cell r="B63" t="str">
            <v>шт</v>
          </cell>
          <cell r="E63">
            <v>41</v>
          </cell>
          <cell r="F63">
            <v>267</v>
          </cell>
          <cell r="G63">
            <v>1</v>
          </cell>
          <cell r="H63">
            <v>180</v>
          </cell>
          <cell r="I63" t="str">
            <v>P004081</v>
          </cell>
        </row>
        <row r="64">
          <cell r="A64" t="str">
            <v>Пельмени Со свининой и говядиной ТС Любимая ложка сфера флоу-пак 1 кг  ПОКОМ</v>
          </cell>
          <cell r="B64" t="str">
            <v>шт</v>
          </cell>
          <cell r="C64">
            <v>303</v>
          </cell>
          <cell r="D64">
            <v>12</v>
          </cell>
          <cell r="E64">
            <v>41</v>
          </cell>
          <cell r="F64">
            <v>267</v>
          </cell>
          <cell r="G64">
            <v>0</v>
          </cell>
          <cell r="H64">
            <v>180</v>
          </cell>
          <cell r="I64" t="str">
            <v>дубль</v>
          </cell>
        </row>
        <row r="65">
          <cell r="A65" t="str">
            <v>Пирожки с мясом 3,7кг ВЕС ТМ Зареченские  ПОКОМ</v>
          </cell>
          <cell r="B65" t="str">
            <v>кг</v>
          </cell>
          <cell r="C65">
            <v>40.700000000000003</v>
          </cell>
          <cell r="E65">
            <v>3.7</v>
          </cell>
          <cell r="F65">
            <v>37</v>
          </cell>
          <cell r="G65">
            <v>1</v>
          </cell>
          <cell r="H65">
            <v>180</v>
          </cell>
          <cell r="I65" t="str">
            <v>P004359</v>
          </cell>
        </row>
        <row r="66">
          <cell r="A66" t="str">
            <v>ХБИ Готовые чебуманы с говядиной 0,28кг ТМ Горячая штучка  ПОКОМ</v>
          </cell>
          <cell r="B66" t="str">
            <v>шт</v>
          </cell>
          <cell r="C66">
            <v>194</v>
          </cell>
          <cell r="D66">
            <v>96</v>
          </cell>
          <cell r="E66">
            <v>62</v>
          </cell>
          <cell r="F66">
            <v>205</v>
          </cell>
          <cell r="G66">
            <v>0</v>
          </cell>
          <cell r="H66">
            <v>180</v>
          </cell>
          <cell r="I66" t="str">
            <v>дубль</v>
          </cell>
        </row>
        <row r="67">
          <cell r="A67" t="str">
            <v>ХБИ Готовые чебупели с курицей ТМ Горячая штучка (курочка гриль) флоу-пак 0,3 кг  ПОКОМ</v>
          </cell>
          <cell r="B67" t="str">
            <v>шт</v>
          </cell>
          <cell r="C67">
            <v>301</v>
          </cell>
          <cell r="D67">
            <v>8</v>
          </cell>
          <cell r="E67">
            <v>193</v>
          </cell>
          <cell r="F67">
            <v>86</v>
          </cell>
          <cell r="G67">
            <v>0</v>
          </cell>
          <cell r="H67">
            <v>180</v>
          </cell>
          <cell r="I67" t="str">
            <v>дубль</v>
          </cell>
        </row>
        <row r="68">
          <cell r="A68" t="str">
            <v>ХБИ Мини-шарики с курочкой и сыром ТМ Зареченские продукты ВЕС  ПОКОМ</v>
          </cell>
          <cell r="B68" t="str">
            <v>кг</v>
          </cell>
          <cell r="D68">
            <v>168</v>
          </cell>
          <cell r="E68">
            <v>15</v>
          </cell>
          <cell r="F68">
            <v>147</v>
          </cell>
          <cell r="G68">
            <v>0</v>
          </cell>
          <cell r="H68">
            <v>180</v>
          </cell>
          <cell r="I68" t="str">
            <v>дубль</v>
          </cell>
        </row>
        <row r="69">
          <cell r="A69" t="str">
            <v>ХБИ Снеки «Готовые круггетсы с сырным соусом» Фикс.вес 0,2 ТМ «Горячая штучка» ПОКОМ</v>
          </cell>
          <cell r="B69" t="str">
            <v>шт</v>
          </cell>
          <cell r="C69">
            <v>156</v>
          </cell>
          <cell r="D69">
            <v>170</v>
          </cell>
          <cell r="E69">
            <v>181</v>
          </cell>
          <cell r="F69">
            <v>-44</v>
          </cell>
          <cell r="G69">
            <v>0</v>
          </cell>
          <cell r="H69">
            <v>180</v>
          </cell>
          <cell r="I69" t="str">
            <v>дубль</v>
          </cell>
        </row>
        <row r="70">
          <cell r="A70" t="str">
            <v>Хотстеры Васаби-чили ТМ Горячая штучка ТС Хотстеры 0,23кг жареные ПОКОМ</v>
          </cell>
          <cell r="B70" t="str">
            <v>шт</v>
          </cell>
          <cell r="C70">
            <v>52</v>
          </cell>
          <cell r="D70">
            <v>92</v>
          </cell>
          <cell r="E70">
            <v>53</v>
          </cell>
          <cell r="F70">
            <v>18</v>
          </cell>
          <cell r="G70">
            <v>0.23</v>
          </cell>
          <cell r="H70">
            <v>180</v>
          </cell>
          <cell r="I70" t="str">
            <v>P005182</v>
          </cell>
        </row>
        <row r="71">
          <cell r="A71" t="str">
            <v>Хотстеры ТМ Горячая штучка ТС Хотстеры 0,25 кг зам  ПОКОМ</v>
          </cell>
          <cell r="B71" t="str">
            <v>шт</v>
          </cell>
          <cell r="E71">
            <v>229</v>
          </cell>
          <cell r="F71">
            <v>98</v>
          </cell>
          <cell r="G71">
            <v>0.25</v>
          </cell>
          <cell r="H71">
            <v>180</v>
          </cell>
          <cell r="I71" t="str">
            <v>P004489</v>
          </cell>
        </row>
        <row r="72">
          <cell r="A72" t="str">
            <v>Хотстеры с сыром ТМ Горячая штучка ТС Хотстеры 0,25кг.  Поком</v>
          </cell>
          <cell r="B72" t="str">
            <v>шт</v>
          </cell>
          <cell r="E72">
            <v>191</v>
          </cell>
          <cell r="F72">
            <v>205</v>
          </cell>
          <cell r="G72">
            <v>0.25</v>
          </cell>
          <cell r="H72">
            <v>180</v>
          </cell>
          <cell r="I72" t="str">
            <v>P005058</v>
          </cell>
        </row>
        <row r="73">
          <cell r="A73" t="str">
            <v>Хрустипай апельсин имбирь ТМ Горячая штучка 0,18 кг  ПОКОМ</v>
          </cell>
          <cell r="B73" t="str">
            <v>шт</v>
          </cell>
          <cell r="C73">
            <v>40</v>
          </cell>
          <cell r="F73">
            <v>40</v>
          </cell>
          <cell r="G73">
            <v>0</v>
          </cell>
          <cell r="H73">
            <v>180</v>
          </cell>
          <cell r="I73" t="str">
            <v>вывод</v>
          </cell>
        </row>
        <row r="74">
          <cell r="A74" t="str">
            <v>Хрустипай манго маракуйя ТМ Горячая штучка 0,18 кг  ПОКОМ</v>
          </cell>
          <cell r="B74" t="str">
            <v>шт</v>
          </cell>
          <cell r="C74">
            <v>71</v>
          </cell>
          <cell r="F74">
            <v>71</v>
          </cell>
          <cell r="G74">
            <v>0.18</v>
          </cell>
          <cell r="H74">
            <v>180</v>
          </cell>
          <cell r="I74" t="str">
            <v>P005199</v>
          </cell>
        </row>
        <row r="75">
          <cell r="A75" t="str">
            <v>Хрустипай манго чили ТМ Горячая штучка 0,18кг с начинкой ПОКОМ</v>
          </cell>
          <cell r="B75" t="str">
            <v>шт</v>
          </cell>
          <cell r="C75">
            <v>20</v>
          </cell>
          <cell r="F75">
            <v>20</v>
          </cell>
          <cell r="G75">
            <v>0</v>
          </cell>
          <cell r="H75">
            <v>180</v>
          </cell>
          <cell r="I75" t="str">
            <v>вывод</v>
          </cell>
        </row>
        <row r="76">
          <cell r="A76" t="str">
            <v>Хрустящие крылышки ТМ Горячая штучка 0,3 кг зам  ПОКОМ</v>
          </cell>
          <cell r="B76" t="str">
            <v>шт</v>
          </cell>
          <cell r="C76">
            <v>1</v>
          </cell>
          <cell r="E76">
            <v>1</v>
          </cell>
          <cell r="G76">
            <v>0.3</v>
          </cell>
          <cell r="H76">
            <v>180</v>
          </cell>
          <cell r="I76" t="str">
            <v>P004588</v>
          </cell>
        </row>
        <row r="77">
          <cell r="A77" t="str">
            <v>Хрустящие крылышки острые к пиву ТМ Горячая штучка 0,3кг зам  ПОКОМ</v>
          </cell>
          <cell r="B77" t="str">
            <v>шт</v>
          </cell>
          <cell r="C77">
            <v>216</v>
          </cell>
          <cell r="E77">
            <v>144</v>
          </cell>
          <cell r="F77">
            <v>58</v>
          </cell>
          <cell r="G77">
            <v>0.3</v>
          </cell>
          <cell r="H77">
            <v>180</v>
          </cell>
          <cell r="I77" t="str">
            <v>P004589</v>
          </cell>
        </row>
        <row r="78">
          <cell r="A78" t="str">
            <v>Чебупели Курочка гриль Базовый ассортимент Фикс.вес 0,3 Пакет Горячая штучка  Поком</v>
          </cell>
          <cell r="B78" t="str">
            <v>шт</v>
          </cell>
          <cell r="E78">
            <v>193</v>
          </cell>
          <cell r="F78">
            <v>86</v>
          </cell>
          <cell r="G78">
            <v>0.3</v>
          </cell>
          <cell r="H78">
            <v>180</v>
          </cell>
          <cell r="I78" t="str">
            <v>P004113</v>
          </cell>
        </row>
        <row r="79">
          <cell r="A79" t="str">
            <v>Чебупели со вкусом Фо бо ТМ Горячая штучка 0,22 кг  ПОКОМ</v>
          </cell>
          <cell r="B79" t="str">
            <v>шт</v>
          </cell>
          <cell r="C79">
            <v>45</v>
          </cell>
          <cell r="E79">
            <v>9</v>
          </cell>
          <cell r="F79">
            <v>36</v>
          </cell>
          <cell r="G79">
            <v>0.22</v>
          </cell>
          <cell r="I79" t="str">
            <v>матрица</v>
          </cell>
        </row>
        <row r="80">
          <cell r="A80" t="str">
            <v>Чебупицца Пепперони ТМ Горячая штучка ТС Чебупицца 0.25кг зам  ПОКОМ</v>
          </cell>
          <cell r="B80" t="str">
            <v>шт</v>
          </cell>
          <cell r="C80">
            <v>448</v>
          </cell>
          <cell r="D80">
            <v>12</v>
          </cell>
          <cell r="E80">
            <v>454</v>
          </cell>
          <cell r="F80">
            <v>-2</v>
          </cell>
          <cell r="G80">
            <v>0.25</v>
          </cell>
          <cell r="H80">
            <v>180</v>
          </cell>
          <cell r="I80" t="str">
            <v>P004486</v>
          </cell>
        </row>
        <row r="81">
          <cell r="A81" t="str">
            <v>Чебупицца курочка по-итальянски Горячая штучка 0,25 кг зам  ПОКОМ</v>
          </cell>
          <cell r="B81" t="str">
            <v>шт</v>
          </cell>
          <cell r="D81">
            <v>37</v>
          </cell>
          <cell r="E81">
            <v>344</v>
          </cell>
          <cell r="F81">
            <v>209</v>
          </cell>
          <cell r="G81">
            <v>0.25</v>
          </cell>
          <cell r="H81">
            <v>180</v>
          </cell>
          <cell r="I81" t="str">
            <v>P004484</v>
          </cell>
        </row>
        <row r="82">
          <cell r="A82" t="str">
            <v>Чебупицца со вкусом 4 сыра 0,2кг ТМ Горячая штучка ТС Foodgital  ПОКОМ</v>
          </cell>
          <cell r="B82" t="str">
            <v>шт</v>
          </cell>
          <cell r="C82">
            <v>74</v>
          </cell>
          <cell r="D82">
            <v>84</v>
          </cell>
          <cell r="E82">
            <v>37</v>
          </cell>
          <cell r="F82">
            <v>121</v>
          </cell>
          <cell r="G82">
            <v>0.2</v>
          </cell>
          <cell r="H82">
            <v>365</v>
          </cell>
          <cell r="I82" t="str">
            <v>P004818</v>
          </cell>
        </row>
        <row r="83">
          <cell r="A83" t="str">
            <v>Чебупицца со вкусом Том ям ТМ Горячая штучка ТС Чебупицца 0,23кг жареные ПОКОМ</v>
          </cell>
          <cell r="B83" t="str">
            <v>шт</v>
          </cell>
          <cell r="C83">
            <v>364</v>
          </cell>
          <cell r="D83">
            <v>9</v>
          </cell>
          <cell r="E83">
            <v>107</v>
          </cell>
          <cell r="F83">
            <v>177</v>
          </cell>
          <cell r="G83">
            <v>0.23</v>
          </cell>
          <cell r="H83">
            <v>180</v>
          </cell>
          <cell r="I83" t="str">
            <v>P005180</v>
          </cell>
        </row>
        <row r="84">
          <cell r="A84" t="str">
            <v>Чебупицца со вкусом Утка по-пекински ТМ Горячая штучка ТС Чебупицца 0,23 кг.  ПОКОМ</v>
          </cell>
          <cell r="B84" t="str">
            <v>шт</v>
          </cell>
          <cell r="C84">
            <v>124</v>
          </cell>
          <cell r="D84">
            <v>168</v>
          </cell>
          <cell r="E84">
            <v>61</v>
          </cell>
          <cell r="F84">
            <v>197</v>
          </cell>
          <cell r="G84">
            <v>0.23</v>
          </cell>
          <cell r="I84" t="str">
            <v>матрица</v>
          </cell>
        </row>
        <row r="85">
          <cell r="A85" t="str">
            <v>Чебуреки Мясные вес 2,7 кг ТМ Зареченские ТС Зареченские продукты   Поком</v>
          </cell>
          <cell r="B85" t="str">
            <v>кг</v>
          </cell>
          <cell r="C85">
            <v>18.899999999999999</v>
          </cell>
          <cell r="E85">
            <v>3</v>
          </cell>
          <cell r="F85">
            <v>13.2</v>
          </cell>
          <cell r="G85">
            <v>1</v>
          </cell>
          <cell r="H85">
            <v>180</v>
          </cell>
          <cell r="I85" t="str">
            <v>P003478</v>
          </cell>
        </row>
        <row r="86">
          <cell r="A86" t="str">
            <v>Чебуреки сочные ТМ Зареченские ТС Зареченские продукты.  Поком</v>
          </cell>
          <cell r="B86" t="str">
            <v>кг</v>
          </cell>
          <cell r="C86">
            <v>25</v>
          </cell>
          <cell r="D86">
            <v>120</v>
          </cell>
          <cell r="E86">
            <v>45</v>
          </cell>
          <cell r="F86">
            <v>95</v>
          </cell>
          <cell r="G86">
            <v>1</v>
          </cell>
          <cell r="H86">
            <v>180</v>
          </cell>
          <cell r="I86" t="str">
            <v>P003476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N92"/>
  <sheetViews>
    <sheetView topLeftCell="A53" zoomScale="85" zoomScaleNormal="85" workbookViewId="0">
      <pane xSplit="3" topLeftCell="D1" activePane="topRight" state="frozen"/>
      <selection activeCell="I28" sqref="I28"/>
      <selection pane="topRight" activeCell="A54" sqref="A54:XFD92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42" t="s">
        <v>51</v>
      </c>
      <c r="B1" s="242"/>
      <c r="C1" s="242"/>
      <c r="D1" s="1"/>
      <c r="E1" s="242" t="s">
        <v>24</v>
      </c>
      <c r="F1" s="242"/>
      <c r="G1" s="242"/>
      <c r="H1" s="242"/>
      <c r="I1" s="123"/>
      <c r="J1" s="243">
        <v>4</v>
      </c>
      <c r="K1" s="243"/>
    </row>
    <row r="2" spans="1:12" ht="28.5">
      <c r="A2" s="244">
        <v>46312</v>
      </c>
      <c r="B2" s="245"/>
      <c r="C2" s="245"/>
      <c r="D2" s="3"/>
      <c r="E2" s="3"/>
      <c r="F2" s="246"/>
      <c r="G2" s="246"/>
      <c r="H2" s="246"/>
      <c r="I2" s="124"/>
      <c r="J2" s="246"/>
      <c r="K2" s="246"/>
    </row>
    <row r="3" spans="1:12" ht="27" thickBot="1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12" ht="18" customHeight="1">
      <c r="A4" s="258" t="s">
        <v>25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60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1" t="s">
        <v>1</v>
      </c>
      <c r="B6" s="262" t="s">
        <v>2</v>
      </c>
      <c r="C6" s="262" t="s">
        <v>3</v>
      </c>
      <c r="D6" s="262" t="s">
        <v>4</v>
      </c>
      <c r="E6" s="122" t="s">
        <v>5</v>
      </c>
      <c r="F6" s="262" t="s">
        <v>6</v>
      </c>
      <c r="G6" s="263" t="s">
        <v>7</v>
      </c>
      <c r="H6" s="264" t="s">
        <v>8</v>
      </c>
      <c r="I6" s="262" t="s">
        <v>9</v>
      </c>
      <c r="J6" s="247" t="s">
        <v>30</v>
      </c>
      <c r="K6" s="249" t="s">
        <v>10</v>
      </c>
      <c r="L6" s="250"/>
    </row>
    <row r="7" spans="1:12" s="8" customFormat="1" ht="63.6" customHeight="1">
      <c r="A7" s="261"/>
      <c r="B7" s="262"/>
      <c r="C7" s="262"/>
      <c r="D7" s="262"/>
      <c r="E7" s="122" t="s">
        <v>11</v>
      </c>
      <c r="F7" s="262"/>
      <c r="G7" s="263"/>
      <c r="H7" s="264"/>
      <c r="I7" s="262"/>
      <c r="J7" s="248"/>
      <c r="K7" s="122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0.35416666666666669</v>
      </c>
      <c r="G8" s="22">
        <v>29</v>
      </c>
      <c r="H8" s="26">
        <v>395.53399999999999</v>
      </c>
      <c r="I8" s="23">
        <v>0.58333333333333337</v>
      </c>
      <c r="J8" s="21">
        <f>I8-F8</f>
        <v>0.22916666666666669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0.35416666666666669</v>
      </c>
      <c r="G9" s="22">
        <v>29</v>
      </c>
      <c r="H9" s="26">
        <v>799.51800000000003</v>
      </c>
      <c r="I9" s="23">
        <v>0.59722222222222221</v>
      </c>
      <c r="J9" s="21">
        <f t="shared" ref="J9:J12" si="0">I9-F9</f>
        <v>0.24305555555555552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0.375</v>
      </c>
      <c r="G10" s="22">
        <v>27</v>
      </c>
      <c r="H10" s="26">
        <v>450.22899999999998</v>
      </c>
      <c r="I10" s="23">
        <v>0.57291666666666663</v>
      </c>
      <c r="J10" s="21">
        <f t="shared" si="0"/>
        <v>0.19791666666666663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0.35069444444444442</v>
      </c>
      <c r="G11" s="22">
        <v>24</v>
      </c>
      <c r="H11" s="26">
        <v>596.54</v>
      </c>
      <c r="I11" s="23">
        <v>0.5625</v>
      </c>
      <c r="J11" s="21">
        <f t="shared" si="0"/>
        <v>0.21180555555555558</v>
      </c>
      <c r="K11" s="26"/>
      <c r="L11" s="67"/>
    </row>
    <row r="12" spans="1:12">
      <c r="A12" s="62">
        <v>5</v>
      </c>
      <c r="B12" s="84"/>
      <c r="C12" s="76"/>
      <c r="D12" s="107"/>
      <c r="E12" s="77" t="s">
        <v>42</v>
      </c>
      <c r="F12" s="23"/>
      <c r="G12" s="22"/>
      <c r="H12" s="26"/>
      <c r="I12" s="23"/>
      <c r="J12" s="21">
        <f t="shared" si="0"/>
        <v>0</v>
      </c>
      <c r="K12" s="26"/>
      <c r="L12" s="67"/>
    </row>
    <row r="13" spans="1:12">
      <c r="A13" s="62">
        <v>6</v>
      </c>
      <c r="B13" s="55"/>
      <c r="C13" s="76"/>
      <c r="D13" s="119"/>
      <c r="E13" s="78" t="s">
        <v>41</v>
      </c>
      <c r="F13" s="23"/>
      <c r="G13" s="22"/>
      <c r="H13" s="26"/>
      <c r="I13" s="23"/>
      <c r="J13" s="21"/>
      <c r="K13" s="26"/>
      <c r="L13" s="67"/>
    </row>
    <row r="14" spans="1:12">
      <c r="A14" s="62">
        <v>7</v>
      </c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>
        <v>8</v>
      </c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>
        <v>9</v>
      </c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>
        <v>10</v>
      </c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>
        <v>11</v>
      </c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>
        <v>12</v>
      </c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>
        <v>13</v>
      </c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1" t="s">
        <v>15</v>
      </c>
      <c r="B21" s="252"/>
      <c r="C21" s="252"/>
      <c r="D21" s="252"/>
      <c r="E21" s="252"/>
      <c r="F21" s="253"/>
      <c r="G21" s="70">
        <f>SUM(G8:G20)</f>
        <v>109</v>
      </c>
      <c r="H21" s="70">
        <f>SUM(H8:H20)</f>
        <v>2241.8209999999999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/>
    </row>
    <row r="24" spans="1:14" ht="18.75">
      <c r="A24" s="254" t="s">
        <v>26</v>
      </c>
      <c r="B24" s="255"/>
      <c r="C24" s="255"/>
      <c r="D24" s="255"/>
      <c r="E24" s="255"/>
      <c r="F24" s="255"/>
      <c r="G24" s="255"/>
      <c r="H24" s="255"/>
      <c r="I24" s="256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22" t="s">
        <v>2</v>
      </c>
      <c r="C26" s="122" t="s">
        <v>3</v>
      </c>
      <c r="D26" s="122" t="s">
        <v>27</v>
      </c>
      <c r="E26" s="122" t="s">
        <v>6</v>
      </c>
      <c r="F26" s="122" t="s">
        <v>28</v>
      </c>
      <c r="G26" s="122" t="s">
        <v>8</v>
      </c>
      <c r="H26" s="122" t="s">
        <v>31</v>
      </c>
      <c r="I26" s="31" t="s">
        <v>30</v>
      </c>
      <c r="J26" s="8"/>
      <c r="K26" s="8"/>
      <c r="L26" s="8"/>
      <c r="N26" s="43"/>
    </row>
    <row r="27" spans="1:14">
      <c r="A27" s="57">
        <v>14</v>
      </c>
      <c r="B27" s="56"/>
      <c r="C27" s="55"/>
      <c r="D27" s="39"/>
      <c r="E27" s="38"/>
      <c r="F27" s="22"/>
      <c r="G27" s="26"/>
      <c r="H27" s="35">
        <v>0.55208333333333337</v>
      </c>
      <c r="I27" s="36">
        <f>H27-E27</f>
        <v>0.55208333333333337</v>
      </c>
      <c r="J27" s="8"/>
      <c r="K27" s="8"/>
      <c r="L27" s="8"/>
    </row>
    <row r="28" spans="1:14">
      <c r="A28" s="55">
        <v>15</v>
      </c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>
        <v>16</v>
      </c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1" t="s">
        <v>15</v>
      </c>
      <c r="B31" s="252"/>
      <c r="C31" s="253"/>
      <c r="D31" s="10"/>
      <c r="E31" s="32"/>
      <c r="F31" s="32">
        <f>SUM(F30:F30)</f>
        <v>0</v>
      </c>
      <c r="G31" s="32">
        <f>SUM(G30:G30)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4" t="s">
        <v>12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78">
        <v>12</v>
      </c>
      <c r="M34" s="279"/>
    </row>
    <row r="35" spans="1:13" ht="75">
      <c r="A35" s="280" t="s">
        <v>1</v>
      </c>
      <c r="B35" s="265" t="s">
        <v>2</v>
      </c>
      <c r="C35" s="265" t="s">
        <v>3</v>
      </c>
      <c r="D35" s="265" t="s">
        <v>4</v>
      </c>
      <c r="E35" s="97" t="s">
        <v>5</v>
      </c>
      <c r="F35" s="265" t="s">
        <v>14</v>
      </c>
      <c r="G35" s="265" t="s">
        <v>13</v>
      </c>
      <c r="H35" s="265" t="s">
        <v>37</v>
      </c>
      <c r="I35" s="265" t="s">
        <v>39</v>
      </c>
      <c r="J35" s="265" t="s">
        <v>38</v>
      </c>
      <c r="K35" s="265" t="s">
        <v>40</v>
      </c>
      <c r="L35" s="266" t="s">
        <v>36</v>
      </c>
      <c r="M35" s="267"/>
    </row>
    <row r="36" spans="1:13" ht="75">
      <c r="A36" s="281"/>
      <c r="B36" s="248"/>
      <c r="C36" s="248"/>
      <c r="D36" s="248"/>
      <c r="E36" s="121" t="s">
        <v>11</v>
      </c>
      <c r="F36" s="248"/>
      <c r="G36" s="248"/>
      <c r="H36" s="248"/>
      <c r="I36" s="248"/>
      <c r="J36" s="248"/>
      <c r="K36" s="248"/>
      <c r="L36" s="268"/>
      <c r="M36" s="269"/>
    </row>
    <row r="37" spans="1:13" s="27" customFormat="1" ht="46.5" customHeight="1">
      <c r="A37" s="40">
        <v>17</v>
      </c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70"/>
      <c r="M37" s="271"/>
    </row>
    <row r="38" spans="1:13" s="53" customFormat="1">
      <c r="A38" s="40">
        <v>18</v>
      </c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72"/>
      <c r="M38" s="273"/>
    </row>
    <row r="39" spans="1:13" ht="16.5" customHeight="1">
      <c r="A39" s="113">
        <v>19</v>
      </c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74"/>
      <c r="M39" s="275"/>
    </row>
    <row r="40" spans="1:13">
      <c r="A40" s="40">
        <v>20</v>
      </c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76"/>
      <c r="M40" s="277"/>
    </row>
    <row r="41" spans="1:13">
      <c r="A41" s="40">
        <v>21</v>
      </c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90"/>
      <c r="M41" s="291"/>
    </row>
    <row r="42" spans="1:13">
      <c r="A42" s="40">
        <v>22</v>
      </c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92"/>
      <c r="M42" s="293"/>
    </row>
    <row r="43" spans="1:13" ht="15.75" thickBot="1">
      <c r="A43" s="40">
        <v>23</v>
      </c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94"/>
      <c r="M43" s="295"/>
    </row>
    <row r="44" spans="1:13" ht="15.75" thickBot="1">
      <c r="A44" s="296" t="s">
        <v>15</v>
      </c>
      <c r="B44" s="297"/>
      <c r="C44" s="297"/>
      <c r="D44" s="297"/>
      <c r="E44" s="298"/>
      <c r="F44" s="96"/>
      <c r="G44" s="299">
        <f>SUM(G37:G43)</f>
        <v>0</v>
      </c>
      <c r="H44" s="300"/>
      <c r="I44" s="300"/>
      <c r="J44" s="300"/>
      <c r="K44" s="300"/>
      <c r="L44" s="301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302" t="s">
        <v>16</v>
      </c>
      <c r="B46" s="303"/>
      <c r="C46" s="303"/>
      <c r="D46" s="303"/>
      <c r="E46" s="303"/>
      <c r="F46" s="303"/>
      <c r="G46" s="303"/>
      <c r="H46" s="303"/>
      <c r="I46" s="303"/>
      <c r="J46" s="304"/>
      <c r="K46" s="2"/>
    </row>
    <row r="47" spans="1:13" ht="30">
      <c r="A47" s="50"/>
      <c r="B47" s="18"/>
      <c r="C47" s="120"/>
      <c r="D47" s="120" t="s">
        <v>17</v>
      </c>
      <c r="E47" s="282" t="s">
        <v>18</v>
      </c>
      <c r="F47" s="282"/>
      <c r="G47" s="282" t="s">
        <v>19</v>
      </c>
      <c r="H47" s="282"/>
      <c r="I47" s="282" t="s">
        <v>29</v>
      </c>
      <c r="J47" s="283"/>
      <c r="K47" s="2"/>
    </row>
    <row r="48" spans="1:13">
      <c r="A48" s="50"/>
      <c r="B48" s="24" t="s">
        <v>20</v>
      </c>
      <c r="C48" s="284">
        <v>1313</v>
      </c>
      <c r="D48" s="285"/>
      <c r="E48" s="286">
        <v>1324</v>
      </c>
      <c r="F48" s="287"/>
      <c r="G48" s="286">
        <v>1324</v>
      </c>
      <c r="H48" s="287"/>
      <c r="I48" s="288">
        <v>99</v>
      </c>
      <c r="J48" s="289"/>
      <c r="K48" s="2"/>
    </row>
    <row r="49" spans="1:14">
      <c r="A49" s="51"/>
      <c r="B49" s="24" t="s">
        <v>21</v>
      </c>
      <c r="C49" s="284">
        <v>807</v>
      </c>
      <c r="D49" s="285"/>
      <c r="E49" s="316">
        <v>806</v>
      </c>
      <c r="F49" s="317"/>
      <c r="G49" s="316">
        <v>806</v>
      </c>
      <c r="H49" s="317"/>
      <c r="I49" s="318">
        <v>67</v>
      </c>
      <c r="J49" s="319"/>
      <c r="K49" s="2"/>
    </row>
    <row r="50" spans="1:14" ht="15.75" thickBot="1">
      <c r="A50" s="51"/>
      <c r="B50" s="24" t="s">
        <v>22</v>
      </c>
      <c r="C50" s="320">
        <v>958</v>
      </c>
      <c r="D50" s="321"/>
      <c r="E50" s="322">
        <v>587</v>
      </c>
      <c r="F50" s="323"/>
      <c r="G50" s="322">
        <v>587</v>
      </c>
      <c r="H50" s="323"/>
      <c r="I50" s="318">
        <v>255</v>
      </c>
      <c r="J50" s="319"/>
      <c r="K50" s="2"/>
    </row>
    <row r="51" spans="1:14" ht="15.75" thickBot="1">
      <c r="A51" s="11"/>
      <c r="B51" s="12" t="s">
        <v>23</v>
      </c>
      <c r="C51" s="305">
        <f>SUM(C48:D50)</f>
        <v>3078</v>
      </c>
      <c r="D51" s="306"/>
      <c r="E51" s="307">
        <f>SUM(E48:E50)</f>
        <v>2717</v>
      </c>
      <c r="F51" s="308"/>
      <c r="G51" s="307">
        <f>G48+G49+G50</f>
        <v>2717</v>
      </c>
      <c r="H51" s="308"/>
      <c r="I51" s="307">
        <f>SUM(I48:I50)</f>
        <v>421</v>
      </c>
      <c r="J51" s="309"/>
      <c r="K51" s="2"/>
    </row>
    <row r="53" spans="1:14" ht="15.75" thickBot="1">
      <c r="E53" s="25"/>
    </row>
    <row r="54" spans="1:14" ht="19.5" thickBot="1">
      <c r="A54" s="310" t="s">
        <v>32</v>
      </c>
      <c r="B54" s="311"/>
      <c r="C54" s="311"/>
      <c r="D54" s="311"/>
      <c r="E54" s="311"/>
      <c r="F54" s="311"/>
      <c r="G54" s="311"/>
      <c r="H54" s="311"/>
      <c r="I54" s="311"/>
      <c r="J54" s="312"/>
      <c r="K54" s="27"/>
      <c r="L54" s="27"/>
    </row>
    <row r="55" spans="1:14">
      <c r="A55" s="28" t="s">
        <v>33</v>
      </c>
      <c r="B55" s="313" t="s">
        <v>34</v>
      </c>
      <c r="C55" s="314"/>
      <c r="D55" s="314"/>
      <c r="E55" s="314"/>
      <c r="F55" s="314"/>
      <c r="G55" s="314"/>
      <c r="H55" s="314"/>
      <c r="I55" s="315"/>
      <c r="J55" s="52" t="s">
        <v>35</v>
      </c>
      <c r="K55" s="53"/>
      <c r="L55" s="53"/>
    </row>
    <row r="56" spans="1:14" s="4" customFormat="1">
      <c r="A56" s="110">
        <v>1</v>
      </c>
      <c r="B56" s="324" t="s">
        <v>44</v>
      </c>
      <c r="C56" s="324"/>
      <c r="D56" s="324"/>
      <c r="E56" s="324"/>
      <c r="F56" s="324"/>
      <c r="G56" s="324"/>
      <c r="H56" s="324"/>
      <c r="I56" s="324"/>
      <c r="J56" s="111">
        <v>7</v>
      </c>
      <c r="L56" s="2"/>
      <c r="M56" s="2"/>
      <c r="N56" s="2"/>
    </row>
    <row r="57" spans="1:14" s="4" customFormat="1">
      <c r="A57" s="110">
        <v>2</v>
      </c>
      <c r="B57" s="324" t="s">
        <v>44</v>
      </c>
      <c r="C57" s="324"/>
      <c r="D57" s="324"/>
      <c r="E57" s="324"/>
      <c r="F57" s="324"/>
      <c r="G57" s="324"/>
      <c r="H57" s="324"/>
      <c r="I57" s="324"/>
      <c r="J57" s="111">
        <v>6</v>
      </c>
      <c r="L57" s="2"/>
      <c r="M57" s="2"/>
      <c r="N57" s="2"/>
    </row>
    <row r="58" spans="1:14" s="4" customFormat="1">
      <c r="A58" s="110">
        <v>3</v>
      </c>
      <c r="B58" s="324" t="s">
        <v>61</v>
      </c>
      <c r="C58" s="324"/>
      <c r="D58" s="324"/>
      <c r="E58" s="324"/>
      <c r="F58" s="324"/>
      <c r="G58" s="324"/>
      <c r="H58" s="324"/>
      <c r="I58" s="324"/>
      <c r="J58" s="111">
        <v>12</v>
      </c>
      <c r="L58" s="2"/>
      <c r="M58" s="2"/>
      <c r="N58" s="2"/>
    </row>
    <row r="59" spans="1:14" s="4" customFormat="1">
      <c r="A59" s="110">
        <v>4</v>
      </c>
      <c r="B59" s="324" t="s">
        <v>62</v>
      </c>
      <c r="C59" s="324"/>
      <c r="D59" s="324"/>
      <c r="E59" s="324"/>
      <c r="F59" s="324"/>
      <c r="G59" s="324"/>
      <c r="H59" s="324"/>
      <c r="I59" s="324"/>
      <c r="J59" s="111">
        <v>15</v>
      </c>
      <c r="L59" s="2"/>
      <c r="M59" s="2"/>
      <c r="N59" s="2"/>
    </row>
    <row r="60" spans="1:14" s="4" customFormat="1">
      <c r="A60" s="110">
        <v>5</v>
      </c>
      <c r="B60" s="324" t="s">
        <v>63</v>
      </c>
      <c r="C60" s="324"/>
      <c r="D60" s="324"/>
      <c r="E60" s="324"/>
      <c r="F60" s="324"/>
      <c r="G60" s="324"/>
      <c r="H60" s="324"/>
      <c r="I60" s="324"/>
      <c r="J60" s="111">
        <v>15</v>
      </c>
      <c r="L60" s="2"/>
      <c r="M60" s="2"/>
      <c r="N60" s="2"/>
    </row>
    <row r="61" spans="1:14" s="4" customFormat="1">
      <c r="A61" s="110">
        <v>6</v>
      </c>
      <c r="B61" s="324" t="s">
        <v>64</v>
      </c>
      <c r="C61" s="324"/>
      <c r="D61" s="324"/>
      <c r="E61" s="324"/>
      <c r="F61" s="324"/>
      <c r="G61" s="324"/>
      <c r="H61" s="324"/>
      <c r="I61" s="324"/>
      <c r="J61" s="111">
        <v>5</v>
      </c>
      <c r="L61" s="2"/>
      <c r="M61" s="2"/>
      <c r="N61" s="2"/>
    </row>
    <row r="62" spans="1:14" s="4" customFormat="1">
      <c r="A62" s="110">
        <v>7</v>
      </c>
      <c r="B62" s="324" t="s">
        <v>45</v>
      </c>
      <c r="C62" s="324"/>
      <c r="D62" s="324"/>
      <c r="E62" s="324"/>
      <c r="F62" s="324"/>
      <c r="G62" s="324"/>
      <c r="H62" s="324"/>
      <c r="I62" s="324"/>
      <c r="J62" s="111">
        <v>7</v>
      </c>
      <c r="L62" s="2"/>
      <c r="M62" s="2"/>
      <c r="N62" s="2"/>
    </row>
    <row r="63" spans="1:14" s="4" customFormat="1">
      <c r="A63" s="110">
        <v>8</v>
      </c>
      <c r="B63" s="324" t="s">
        <v>65</v>
      </c>
      <c r="C63" s="324"/>
      <c r="D63" s="324"/>
      <c r="E63" s="324"/>
      <c r="F63" s="324"/>
      <c r="G63" s="324"/>
      <c r="H63" s="324"/>
      <c r="I63" s="324"/>
      <c r="J63" s="111">
        <v>10</v>
      </c>
      <c r="L63" s="2"/>
      <c r="M63" s="2"/>
      <c r="N63" s="2"/>
    </row>
    <row r="64" spans="1:14" s="4" customFormat="1">
      <c r="A64" s="110">
        <v>9</v>
      </c>
      <c r="B64" s="324" t="s">
        <v>66</v>
      </c>
      <c r="C64" s="324"/>
      <c r="D64" s="324"/>
      <c r="E64" s="324"/>
      <c r="F64" s="324"/>
      <c r="G64" s="324"/>
      <c r="H64" s="324"/>
      <c r="I64" s="324"/>
      <c r="J64" s="111">
        <v>16</v>
      </c>
      <c r="L64" s="2"/>
      <c r="M64" s="2"/>
      <c r="N64" s="2"/>
    </row>
    <row r="65" spans="1:14" s="4" customFormat="1">
      <c r="A65" s="110">
        <v>10</v>
      </c>
      <c r="B65" s="324" t="s">
        <v>67</v>
      </c>
      <c r="C65" s="324"/>
      <c r="D65" s="324"/>
      <c r="E65" s="324"/>
      <c r="F65" s="324"/>
      <c r="G65" s="324"/>
      <c r="H65" s="324"/>
      <c r="I65" s="324"/>
      <c r="J65" s="111">
        <v>7</v>
      </c>
      <c r="L65" s="2"/>
      <c r="M65" s="2"/>
      <c r="N65" s="2"/>
    </row>
    <row r="66" spans="1:14" s="4" customFormat="1">
      <c r="A66" s="110">
        <v>11</v>
      </c>
      <c r="B66" s="324" t="s">
        <v>68</v>
      </c>
      <c r="C66" s="324"/>
      <c r="D66" s="324"/>
      <c r="E66" s="324"/>
      <c r="F66" s="324"/>
      <c r="G66" s="324"/>
      <c r="H66" s="324"/>
      <c r="I66" s="324"/>
      <c r="J66" s="111">
        <v>10</v>
      </c>
      <c r="L66" s="2"/>
      <c r="M66" s="2"/>
      <c r="N66" s="2"/>
    </row>
    <row r="67" spans="1:14" s="4" customFormat="1">
      <c r="A67" s="110">
        <v>12</v>
      </c>
      <c r="B67" s="324" t="s">
        <v>50</v>
      </c>
      <c r="C67" s="324"/>
      <c r="D67" s="324"/>
      <c r="E67" s="324"/>
      <c r="F67" s="324"/>
      <c r="G67" s="324"/>
      <c r="H67" s="324"/>
      <c r="I67" s="324"/>
      <c r="J67" s="111">
        <v>20</v>
      </c>
      <c r="L67" s="2"/>
      <c r="M67" s="2"/>
      <c r="N67" s="2"/>
    </row>
    <row r="68" spans="1:14" s="4" customFormat="1">
      <c r="A68" s="110">
        <v>13</v>
      </c>
      <c r="B68" s="324" t="s">
        <v>46</v>
      </c>
      <c r="C68" s="324"/>
      <c r="D68" s="324"/>
      <c r="E68" s="324"/>
      <c r="F68" s="324"/>
      <c r="G68" s="324"/>
      <c r="H68" s="324"/>
      <c r="I68" s="324"/>
      <c r="J68" s="111">
        <v>20</v>
      </c>
      <c r="L68" s="2"/>
      <c r="M68" s="2"/>
      <c r="N68" s="2"/>
    </row>
    <row r="69" spans="1:14" s="4" customFormat="1">
      <c r="A69" s="110">
        <v>14</v>
      </c>
      <c r="B69" s="324" t="s">
        <v>69</v>
      </c>
      <c r="C69" s="324"/>
      <c r="D69" s="324"/>
      <c r="E69" s="324"/>
      <c r="F69" s="324"/>
      <c r="G69" s="324"/>
      <c r="H69" s="324"/>
      <c r="I69" s="324"/>
      <c r="J69" s="111">
        <v>7</v>
      </c>
      <c r="L69" s="2"/>
      <c r="M69" s="2"/>
      <c r="N69" s="2"/>
    </row>
    <row r="70" spans="1:14" s="4" customFormat="1">
      <c r="A70" s="110">
        <v>15</v>
      </c>
      <c r="B70" s="324" t="s">
        <v>70</v>
      </c>
      <c r="C70" s="324"/>
      <c r="D70" s="324"/>
      <c r="E70" s="324"/>
      <c r="F70" s="324"/>
      <c r="G70" s="324"/>
      <c r="H70" s="324"/>
      <c r="I70" s="324"/>
      <c r="J70" s="111">
        <v>35</v>
      </c>
      <c r="L70" s="2"/>
      <c r="M70" s="2"/>
      <c r="N70" s="2"/>
    </row>
    <row r="71" spans="1:14" s="4" customFormat="1">
      <c r="A71" s="110">
        <v>16</v>
      </c>
      <c r="B71" s="324" t="s">
        <v>71</v>
      </c>
      <c r="C71" s="324"/>
      <c r="D71" s="324"/>
      <c r="E71" s="324"/>
      <c r="F71" s="324"/>
      <c r="G71" s="324"/>
      <c r="H71" s="324"/>
      <c r="I71" s="324"/>
      <c r="J71" s="111">
        <v>7</v>
      </c>
      <c r="L71" s="2"/>
      <c r="M71" s="2"/>
      <c r="N71" s="2"/>
    </row>
    <row r="72" spans="1:14" s="4" customFormat="1">
      <c r="A72" s="110">
        <v>17</v>
      </c>
      <c r="B72" s="324" t="s">
        <v>72</v>
      </c>
      <c r="C72" s="324"/>
      <c r="D72" s="324"/>
      <c r="E72" s="324"/>
      <c r="F72" s="324"/>
      <c r="G72" s="324"/>
      <c r="H72" s="324"/>
      <c r="I72" s="324"/>
      <c r="J72" s="111">
        <v>7</v>
      </c>
      <c r="L72" s="2"/>
      <c r="M72" s="2"/>
      <c r="N72" s="2"/>
    </row>
    <row r="73" spans="1:14" s="4" customFormat="1">
      <c r="A73" s="110">
        <v>18</v>
      </c>
      <c r="B73" s="324" t="s">
        <v>73</v>
      </c>
      <c r="C73" s="324"/>
      <c r="D73" s="324"/>
      <c r="E73" s="324"/>
      <c r="F73" s="324"/>
      <c r="G73" s="324"/>
      <c r="H73" s="324"/>
      <c r="I73" s="324"/>
      <c r="J73" s="111">
        <v>40</v>
      </c>
      <c r="L73" s="2"/>
      <c r="M73" s="2"/>
      <c r="N73" s="2"/>
    </row>
    <row r="74" spans="1:14" s="4" customFormat="1">
      <c r="A74" s="110">
        <v>19</v>
      </c>
      <c r="B74" s="324" t="s">
        <v>74</v>
      </c>
      <c r="C74" s="324"/>
      <c r="D74" s="324"/>
      <c r="E74" s="324"/>
      <c r="F74" s="324"/>
      <c r="G74" s="324"/>
      <c r="H74" s="324"/>
      <c r="I74" s="324"/>
      <c r="J74" s="111">
        <v>6</v>
      </c>
      <c r="L74" s="2"/>
      <c r="M74" s="2"/>
      <c r="N74" s="2"/>
    </row>
    <row r="75" spans="1:14" s="4" customFormat="1">
      <c r="A75" s="110">
        <v>20</v>
      </c>
      <c r="B75" s="324" t="s">
        <v>75</v>
      </c>
      <c r="C75" s="324"/>
      <c r="D75" s="324"/>
      <c r="E75" s="324"/>
      <c r="F75" s="324"/>
      <c r="G75" s="324"/>
      <c r="H75" s="324"/>
      <c r="I75" s="324"/>
      <c r="J75" s="111">
        <v>20</v>
      </c>
      <c r="L75" s="2"/>
      <c r="M75" s="2"/>
      <c r="N75" s="2"/>
    </row>
    <row r="76" spans="1:14" s="4" customFormat="1">
      <c r="A76" s="110">
        <v>21</v>
      </c>
      <c r="B76" s="324" t="s">
        <v>76</v>
      </c>
      <c r="C76" s="324"/>
      <c r="D76" s="324"/>
      <c r="E76" s="324"/>
      <c r="F76" s="324"/>
      <c r="G76" s="324"/>
      <c r="H76" s="324"/>
      <c r="I76" s="324"/>
      <c r="J76" s="111">
        <v>25</v>
      </c>
      <c r="L76" s="2"/>
      <c r="M76" s="2"/>
      <c r="N76" s="2"/>
    </row>
    <row r="77" spans="1:14" s="4" customFormat="1">
      <c r="A77" s="110">
        <v>22</v>
      </c>
      <c r="B77" s="324" t="s">
        <v>47</v>
      </c>
      <c r="C77" s="324"/>
      <c r="D77" s="324"/>
      <c r="E77" s="324"/>
      <c r="F77" s="324"/>
      <c r="G77" s="324"/>
      <c r="H77" s="324"/>
      <c r="I77" s="324"/>
      <c r="J77" s="111">
        <v>12</v>
      </c>
      <c r="L77" s="2"/>
      <c r="M77" s="2"/>
      <c r="N77" s="2"/>
    </row>
    <row r="78" spans="1:14" s="4" customFormat="1">
      <c r="A78" s="110">
        <v>23</v>
      </c>
      <c r="B78" s="324" t="s">
        <v>48</v>
      </c>
      <c r="C78" s="324"/>
      <c r="D78" s="324"/>
      <c r="E78" s="324"/>
      <c r="F78" s="324"/>
      <c r="G78" s="324"/>
      <c r="H78" s="324"/>
      <c r="I78" s="324"/>
      <c r="J78" s="111">
        <v>12</v>
      </c>
      <c r="L78" s="2"/>
      <c r="M78" s="2"/>
      <c r="N78" s="2"/>
    </row>
    <row r="79" spans="1:14" s="4" customFormat="1">
      <c r="A79" s="110">
        <v>24</v>
      </c>
      <c r="B79" s="324" t="s">
        <v>77</v>
      </c>
      <c r="C79" s="324"/>
      <c r="D79" s="324"/>
      <c r="E79" s="324"/>
      <c r="F79" s="324"/>
      <c r="G79" s="324"/>
      <c r="H79" s="324"/>
      <c r="I79" s="324"/>
      <c r="J79" s="111">
        <v>25</v>
      </c>
      <c r="L79" s="2"/>
      <c r="M79" s="2"/>
      <c r="N79" s="2"/>
    </row>
    <row r="80" spans="1:14" s="4" customFormat="1">
      <c r="A80" s="110">
        <v>25</v>
      </c>
      <c r="B80" s="324" t="s">
        <v>78</v>
      </c>
      <c r="C80" s="324"/>
      <c r="D80" s="324"/>
      <c r="E80" s="324"/>
      <c r="F80" s="324"/>
      <c r="G80" s="324"/>
      <c r="H80" s="324"/>
      <c r="I80" s="324"/>
      <c r="J80" s="111">
        <v>10</v>
      </c>
      <c r="L80" s="2"/>
      <c r="M80" s="2"/>
      <c r="N80" s="2"/>
    </row>
    <row r="81" spans="1:14" s="4" customFormat="1">
      <c r="A81" s="110">
        <v>26</v>
      </c>
      <c r="B81" s="324" t="s">
        <v>79</v>
      </c>
      <c r="C81" s="324"/>
      <c r="D81" s="324"/>
      <c r="E81" s="324"/>
      <c r="F81" s="324"/>
      <c r="G81" s="324"/>
      <c r="H81" s="324"/>
      <c r="I81" s="324"/>
      <c r="J81" s="111">
        <v>20</v>
      </c>
      <c r="L81" s="2"/>
      <c r="M81" s="2"/>
      <c r="N81" s="2"/>
    </row>
    <row r="82" spans="1:14" s="4" customFormat="1">
      <c r="A82" s="110">
        <v>27</v>
      </c>
      <c r="B82" s="324" t="s">
        <v>80</v>
      </c>
      <c r="C82" s="324"/>
      <c r="D82" s="324"/>
      <c r="E82" s="324"/>
      <c r="F82" s="324"/>
      <c r="G82" s="324"/>
      <c r="H82" s="324"/>
      <c r="I82" s="324"/>
      <c r="J82" s="111">
        <v>30</v>
      </c>
      <c r="L82" s="2"/>
      <c r="M82" s="2"/>
      <c r="N82" s="2"/>
    </row>
    <row r="83" spans="1:14" s="4" customFormat="1">
      <c r="A83" s="110">
        <v>28</v>
      </c>
      <c r="B83" s="324" t="s">
        <v>81</v>
      </c>
      <c r="C83" s="324"/>
      <c r="D83" s="324"/>
      <c r="E83" s="324"/>
      <c r="F83" s="324"/>
      <c r="G83" s="324"/>
      <c r="H83" s="324"/>
      <c r="I83" s="324"/>
      <c r="J83" s="111">
        <v>20</v>
      </c>
      <c r="L83" s="2"/>
      <c r="M83" s="2"/>
      <c r="N83" s="2"/>
    </row>
    <row r="84" spans="1:14" s="4" customFormat="1">
      <c r="A84" s="110">
        <v>29</v>
      </c>
      <c r="B84" s="324" t="s">
        <v>49</v>
      </c>
      <c r="C84" s="324"/>
      <c r="D84" s="324"/>
      <c r="E84" s="324"/>
      <c r="F84" s="324"/>
      <c r="G84" s="324"/>
      <c r="H84" s="324"/>
      <c r="I84" s="324"/>
      <c r="J84" s="111">
        <v>8</v>
      </c>
      <c r="L84" s="2"/>
      <c r="M84" s="2"/>
      <c r="N84" s="2"/>
    </row>
    <row r="85" spans="1:14" s="4" customFormat="1">
      <c r="A85" s="110">
        <v>30</v>
      </c>
      <c r="B85" s="324" t="s">
        <v>82</v>
      </c>
      <c r="C85" s="324"/>
      <c r="D85" s="324"/>
      <c r="E85" s="324"/>
      <c r="F85" s="324"/>
      <c r="G85" s="324"/>
      <c r="H85" s="324"/>
      <c r="I85" s="324"/>
      <c r="J85" s="111">
        <v>50</v>
      </c>
      <c r="L85" s="2"/>
      <c r="M85" s="2"/>
      <c r="N85" s="2"/>
    </row>
    <row r="86" spans="1:14" s="4" customFormat="1">
      <c r="A86" s="110">
        <v>31</v>
      </c>
      <c r="B86" s="324"/>
      <c r="C86" s="324"/>
      <c r="D86" s="324"/>
      <c r="E86" s="324"/>
      <c r="F86" s="324"/>
      <c r="G86" s="324"/>
      <c r="H86" s="324"/>
      <c r="I86" s="324"/>
      <c r="J86" s="111"/>
      <c r="L86" s="2"/>
      <c r="M86" s="2"/>
      <c r="N86" s="2"/>
    </row>
    <row r="87" spans="1:14" s="4" customFormat="1">
      <c r="A87" s="110">
        <v>32</v>
      </c>
      <c r="B87" s="324"/>
      <c r="C87" s="324"/>
      <c r="D87" s="324"/>
      <c r="E87" s="324"/>
      <c r="F87" s="324"/>
      <c r="G87" s="324"/>
      <c r="H87" s="324"/>
      <c r="I87" s="324"/>
      <c r="J87" s="111"/>
      <c r="L87" s="2"/>
      <c r="M87" s="2"/>
      <c r="N87" s="2"/>
    </row>
    <row r="88" spans="1:14" s="4" customFormat="1">
      <c r="A88" s="110">
        <v>33</v>
      </c>
      <c r="B88" s="324"/>
      <c r="C88" s="324"/>
      <c r="D88" s="324"/>
      <c r="E88" s="324"/>
      <c r="F88" s="324"/>
      <c r="G88" s="324"/>
      <c r="H88" s="324"/>
      <c r="I88" s="324"/>
      <c r="J88" s="111"/>
      <c r="L88" s="2"/>
      <c r="M88" s="2"/>
      <c r="N88" s="2"/>
    </row>
    <row r="89" spans="1:14" s="4" customFormat="1">
      <c r="A89" s="110">
        <v>34</v>
      </c>
      <c r="B89" s="324"/>
      <c r="C89" s="324"/>
      <c r="D89" s="324"/>
      <c r="E89" s="324"/>
      <c r="F89" s="324"/>
      <c r="G89" s="324"/>
      <c r="H89" s="324"/>
      <c r="I89" s="324"/>
      <c r="J89" s="111"/>
      <c r="L89" s="2"/>
      <c r="M89" s="2"/>
      <c r="N89" s="2"/>
    </row>
    <row r="90" spans="1:14" s="4" customFormat="1">
      <c r="A90" s="110">
        <v>35</v>
      </c>
      <c r="B90" s="324"/>
      <c r="C90" s="324"/>
      <c r="D90" s="324"/>
      <c r="E90" s="324"/>
      <c r="F90" s="324"/>
      <c r="G90" s="324"/>
      <c r="H90" s="324"/>
      <c r="I90" s="324"/>
      <c r="J90" s="111"/>
      <c r="L90" s="2"/>
      <c r="M90" s="2"/>
      <c r="N90" s="2"/>
    </row>
    <row r="91" spans="1:14" s="4" customFormat="1">
      <c r="A91" s="110">
        <v>36</v>
      </c>
      <c r="B91" s="324"/>
      <c r="C91" s="324"/>
      <c r="D91" s="324"/>
      <c r="E91" s="324"/>
      <c r="F91" s="324"/>
      <c r="G91" s="324"/>
      <c r="H91" s="324"/>
      <c r="I91" s="324"/>
      <c r="J91" s="111"/>
      <c r="L91" s="2"/>
      <c r="M91" s="2"/>
      <c r="N91" s="2"/>
    </row>
    <row r="92" spans="1:14" s="4" customFormat="1" ht="15.75" thickBot="1">
      <c r="A92" s="108"/>
      <c r="B92" s="325" t="s">
        <v>15</v>
      </c>
      <c r="C92" s="326"/>
      <c r="D92" s="326"/>
      <c r="E92" s="326"/>
      <c r="F92" s="326"/>
      <c r="G92" s="326"/>
      <c r="H92" s="326"/>
      <c r="I92" s="327"/>
      <c r="J92" s="109">
        <f>SUM(J56:J91)</f>
        <v>484</v>
      </c>
      <c r="L92" s="2"/>
      <c r="M92" s="2"/>
      <c r="N92" s="2"/>
    </row>
  </sheetData>
  <mergeCells count="102">
    <mergeCell ref="B92:I92"/>
    <mergeCell ref="B86:I86"/>
    <mergeCell ref="B87:I87"/>
    <mergeCell ref="B88:I88"/>
    <mergeCell ref="B89:I89"/>
    <mergeCell ref="B90:I90"/>
    <mergeCell ref="B91:I91"/>
    <mergeCell ref="B80:I80"/>
    <mergeCell ref="B81:I81"/>
    <mergeCell ref="B82:I82"/>
    <mergeCell ref="B83:I83"/>
    <mergeCell ref="B84:I84"/>
    <mergeCell ref="B85:I85"/>
    <mergeCell ref="B74:I74"/>
    <mergeCell ref="B75:I75"/>
    <mergeCell ref="B76:I76"/>
    <mergeCell ref="B77:I77"/>
    <mergeCell ref="B78:I78"/>
    <mergeCell ref="B79:I79"/>
    <mergeCell ref="B68:I68"/>
    <mergeCell ref="B69:I69"/>
    <mergeCell ref="B70:I70"/>
    <mergeCell ref="B71:I71"/>
    <mergeCell ref="B72:I72"/>
    <mergeCell ref="B73:I73"/>
    <mergeCell ref="B62:I62"/>
    <mergeCell ref="B63:I63"/>
    <mergeCell ref="B64:I64"/>
    <mergeCell ref="B65:I65"/>
    <mergeCell ref="B66:I66"/>
    <mergeCell ref="B67:I67"/>
    <mergeCell ref="B56:I56"/>
    <mergeCell ref="B57:I57"/>
    <mergeCell ref="B58:I58"/>
    <mergeCell ref="B59:I59"/>
    <mergeCell ref="B60:I60"/>
    <mergeCell ref="B61:I61"/>
    <mergeCell ref="C51:D51"/>
    <mergeCell ref="E51:F51"/>
    <mergeCell ref="G51:H51"/>
    <mergeCell ref="I51:J51"/>
    <mergeCell ref="A54:J54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E47:F47"/>
    <mergeCell ref="G47:H47"/>
    <mergeCell ref="I47:J47"/>
    <mergeCell ref="C48:D48"/>
    <mergeCell ref="E48:F48"/>
    <mergeCell ref="G48:H48"/>
    <mergeCell ref="I48:J48"/>
    <mergeCell ref="L41:M41"/>
    <mergeCell ref="L42:M42"/>
    <mergeCell ref="L43:M43"/>
    <mergeCell ref="A44:E44"/>
    <mergeCell ref="G44:L44"/>
    <mergeCell ref="A46:J46"/>
    <mergeCell ref="K35:K36"/>
    <mergeCell ref="L35:M36"/>
    <mergeCell ref="L37:M37"/>
    <mergeCell ref="L38:M38"/>
    <mergeCell ref="L39:M39"/>
    <mergeCell ref="L40:M40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24:I24"/>
    <mergeCell ref="A31:C31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A1:C1"/>
    <mergeCell ref="E1:H1"/>
    <mergeCell ref="J1:K1"/>
    <mergeCell ref="A2:C2"/>
    <mergeCell ref="F2:H2"/>
    <mergeCell ref="J2:K2"/>
    <mergeCell ref="J6:J7"/>
    <mergeCell ref="K6:L6"/>
    <mergeCell ref="A21:F21"/>
  </mergeCells>
  <pageMargins left="0" right="0" top="0.59055118110236204" bottom="0" header="0" footer="0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92"/>
  <sheetViews>
    <sheetView topLeftCell="A16" zoomScale="85" zoomScaleNormal="85" workbookViewId="0">
      <pane xSplit="3" topLeftCell="D1" activePane="topRight" state="frozen"/>
      <selection pane="topRight" activeCell="M55" sqref="M55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42" t="s">
        <v>51</v>
      </c>
      <c r="B1" s="242"/>
      <c r="C1" s="242"/>
      <c r="D1" s="1"/>
      <c r="E1" s="242" t="s">
        <v>24</v>
      </c>
      <c r="F1" s="242"/>
      <c r="G1" s="242"/>
      <c r="H1" s="242"/>
      <c r="I1" s="123"/>
      <c r="J1" s="243">
        <v>5</v>
      </c>
      <c r="K1" s="243"/>
    </row>
    <row r="2" spans="1:12" ht="28.5">
      <c r="A2" s="244">
        <v>46315</v>
      </c>
      <c r="B2" s="245"/>
      <c r="C2" s="245"/>
      <c r="D2" s="3"/>
      <c r="E2" s="3"/>
      <c r="F2" s="246"/>
      <c r="G2" s="246"/>
      <c r="H2" s="246"/>
      <c r="I2" s="124"/>
      <c r="J2" s="246"/>
      <c r="K2" s="246"/>
    </row>
    <row r="3" spans="1:12" ht="27" thickBot="1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12" ht="18" customHeight="1">
      <c r="A4" s="258" t="s">
        <v>25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60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1" t="s">
        <v>1</v>
      </c>
      <c r="B6" s="262" t="s">
        <v>2</v>
      </c>
      <c r="C6" s="262" t="s">
        <v>3</v>
      </c>
      <c r="D6" s="262" t="s">
        <v>4</v>
      </c>
      <c r="E6" s="122" t="s">
        <v>5</v>
      </c>
      <c r="F6" s="262" t="s">
        <v>6</v>
      </c>
      <c r="G6" s="263" t="s">
        <v>7</v>
      </c>
      <c r="H6" s="264" t="s">
        <v>8</v>
      </c>
      <c r="I6" s="262" t="s">
        <v>9</v>
      </c>
      <c r="J6" s="247" t="s">
        <v>30</v>
      </c>
      <c r="K6" s="249" t="s">
        <v>10</v>
      </c>
      <c r="L6" s="250"/>
    </row>
    <row r="7" spans="1:12" s="8" customFormat="1" ht="63.6" customHeight="1">
      <c r="A7" s="261"/>
      <c r="B7" s="262"/>
      <c r="C7" s="262"/>
      <c r="D7" s="262"/>
      <c r="E7" s="122" t="s">
        <v>11</v>
      </c>
      <c r="F7" s="262"/>
      <c r="G7" s="263"/>
      <c r="H7" s="264"/>
      <c r="I7" s="262"/>
      <c r="J7" s="248"/>
      <c r="K7" s="122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0.32291666666666669</v>
      </c>
      <c r="G8" s="22">
        <v>16</v>
      </c>
      <c r="H8" s="26">
        <v>826.28099999999995</v>
      </c>
      <c r="I8" s="23">
        <v>0.58333333333333337</v>
      </c>
      <c r="J8" s="21">
        <f>I8-F8</f>
        <v>0.26041666666666669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0.3263888888888889</v>
      </c>
      <c r="G9" s="22">
        <v>29</v>
      </c>
      <c r="H9" s="26">
        <v>645.28099999999995</v>
      </c>
      <c r="I9" s="23">
        <v>0.59722222222222221</v>
      </c>
      <c r="J9" s="21">
        <f t="shared" ref="J9:J11" si="0">I9-F9</f>
        <v>0.27083333333333331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0.3125</v>
      </c>
      <c r="G10" s="22">
        <v>29</v>
      </c>
      <c r="H10" s="26">
        <v>871.76599999999996</v>
      </c>
      <c r="I10" s="23">
        <v>0.57291666666666663</v>
      </c>
      <c r="J10" s="21">
        <f t="shared" si="0"/>
        <v>0.26041666666666663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0.30902777777777779</v>
      </c>
      <c r="G11" s="22">
        <v>12</v>
      </c>
      <c r="H11" s="26">
        <v>636.05999999999995</v>
      </c>
      <c r="I11" s="23">
        <v>0.5625</v>
      </c>
      <c r="J11" s="21">
        <f t="shared" si="0"/>
        <v>0.25347222222222221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1" t="s">
        <v>15</v>
      </c>
      <c r="B21" s="252"/>
      <c r="C21" s="252"/>
      <c r="D21" s="252"/>
      <c r="E21" s="252"/>
      <c r="F21" s="253"/>
      <c r="G21" s="70">
        <f>SUM(G8:G20)</f>
        <v>86</v>
      </c>
      <c r="H21" s="70">
        <f>SUM(H8:H20)</f>
        <v>2979.3879999999999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/>
    </row>
    <row r="24" spans="1:14" ht="18.75">
      <c r="A24" s="254" t="s">
        <v>26</v>
      </c>
      <c r="B24" s="255"/>
      <c r="C24" s="255"/>
      <c r="D24" s="255"/>
      <c r="E24" s="255"/>
      <c r="F24" s="255"/>
      <c r="G24" s="255"/>
      <c r="H24" s="255"/>
      <c r="I24" s="256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22" t="s">
        <v>2</v>
      </c>
      <c r="C26" s="122" t="s">
        <v>3</v>
      </c>
      <c r="D26" s="122" t="s">
        <v>27</v>
      </c>
      <c r="E26" s="122" t="s">
        <v>6</v>
      </c>
      <c r="F26" s="122" t="s">
        <v>28</v>
      </c>
      <c r="G26" s="122" t="s">
        <v>8</v>
      </c>
      <c r="H26" s="122" t="s">
        <v>31</v>
      </c>
      <c r="I26" s="31" t="s">
        <v>30</v>
      </c>
      <c r="J26" s="8"/>
      <c r="K26" s="8"/>
      <c r="L26" s="8"/>
      <c r="N26" s="43"/>
    </row>
    <row r="27" spans="1:14">
      <c r="A27" s="57">
        <v>5</v>
      </c>
      <c r="B27" s="56" t="s">
        <v>84</v>
      </c>
      <c r="C27" s="55" t="s">
        <v>83</v>
      </c>
      <c r="D27" s="39">
        <v>9000</v>
      </c>
      <c r="E27" s="38">
        <v>0.32291666666666669</v>
      </c>
      <c r="F27" s="22">
        <v>7</v>
      </c>
      <c r="G27" s="26">
        <v>1159.99</v>
      </c>
      <c r="H27" s="35">
        <v>0.55208333333333337</v>
      </c>
      <c r="I27" s="36">
        <f>H27-E27</f>
        <v>0.22916666666666669</v>
      </c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1" t="s">
        <v>15</v>
      </c>
      <c r="B31" s="252"/>
      <c r="C31" s="253"/>
      <c r="D31" s="10"/>
      <c r="E31" s="32"/>
      <c r="F31" s="32">
        <f>SUM(F30:F30)</f>
        <v>0</v>
      </c>
      <c r="G31" s="32">
        <f>SUM(G30:G30)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4" t="s">
        <v>12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78">
        <v>12</v>
      </c>
      <c r="M34" s="279"/>
    </row>
    <row r="35" spans="1:13" ht="75">
      <c r="A35" s="280" t="s">
        <v>1</v>
      </c>
      <c r="B35" s="265" t="s">
        <v>2</v>
      </c>
      <c r="C35" s="265" t="s">
        <v>3</v>
      </c>
      <c r="D35" s="265" t="s">
        <v>4</v>
      </c>
      <c r="E35" s="97" t="s">
        <v>5</v>
      </c>
      <c r="F35" s="265" t="s">
        <v>14</v>
      </c>
      <c r="G35" s="265" t="s">
        <v>13</v>
      </c>
      <c r="H35" s="265" t="s">
        <v>37</v>
      </c>
      <c r="I35" s="265" t="s">
        <v>39</v>
      </c>
      <c r="J35" s="265" t="s">
        <v>38</v>
      </c>
      <c r="K35" s="265" t="s">
        <v>40</v>
      </c>
      <c r="L35" s="266" t="s">
        <v>36</v>
      </c>
      <c r="M35" s="267"/>
    </row>
    <row r="36" spans="1:13" ht="75">
      <c r="A36" s="281"/>
      <c r="B36" s="248"/>
      <c r="C36" s="248"/>
      <c r="D36" s="248"/>
      <c r="E36" s="121" t="s">
        <v>11</v>
      </c>
      <c r="F36" s="248"/>
      <c r="G36" s="248"/>
      <c r="H36" s="248"/>
      <c r="I36" s="248"/>
      <c r="J36" s="248"/>
      <c r="K36" s="248"/>
      <c r="L36" s="268"/>
      <c r="M36" s="269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70"/>
      <c r="M37" s="271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72"/>
      <c r="M38" s="273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74"/>
      <c r="M39" s="275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76"/>
      <c r="M40" s="277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90"/>
      <c r="M41" s="291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92"/>
      <c r="M42" s="293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94"/>
      <c r="M43" s="295"/>
    </row>
    <row r="44" spans="1:13" ht="15.75" thickBot="1">
      <c r="A44" s="296" t="s">
        <v>15</v>
      </c>
      <c r="B44" s="297"/>
      <c r="C44" s="297"/>
      <c r="D44" s="297"/>
      <c r="E44" s="298"/>
      <c r="F44" s="96"/>
      <c r="G44" s="299">
        <f>SUM(G37:G43)</f>
        <v>0</v>
      </c>
      <c r="H44" s="300"/>
      <c r="I44" s="300"/>
      <c r="J44" s="300"/>
      <c r="K44" s="300"/>
      <c r="L44" s="301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302" t="s">
        <v>16</v>
      </c>
      <c r="B46" s="303"/>
      <c r="C46" s="303"/>
      <c r="D46" s="303"/>
      <c r="E46" s="303"/>
      <c r="F46" s="303"/>
      <c r="G46" s="303"/>
      <c r="H46" s="303"/>
      <c r="I46" s="303"/>
      <c r="J46" s="304"/>
      <c r="K46" s="2"/>
    </row>
    <row r="47" spans="1:13" ht="30">
      <c r="A47" s="50"/>
      <c r="B47" s="18"/>
      <c r="C47" s="120"/>
      <c r="D47" s="120" t="s">
        <v>17</v>
      </c>
      <c r="E47" s="282" t="s">
        <v>18</v>
      </c>
      <c r="F47" s="282"/>
      <c r="G47" s="282" t="s">
        <v>19</v>
      </c>
      <c r="H47" s="282"/>
      <c r="I47" s="282" t="s">
        <v>29</v>
      </c>
      <c r="J47" s="283"/>
      <c r="K47" s="2"/>
    </row>
    <row r="48" spans="1:13">
      <c r="A48" s="50"/>
      <c r="B48" s="24" t="s">
        <v>20</v>
      </c>
      <c r="C48" s="284">
        <v>1872.63</v>
      </c>
      <c r="D48" s="285"/>
      <c r="E48" s="286">
        <v>1491.6020000000001</v>
      </c>
      <c r="F48" s="287"/>
      <c r="G48" s="286">
        <v>1491.6020000000001</v>
      </c>
      <c r="H48" s="287"/>
      <c r="I48" s="288">
        <v>76.409000000000006</v>
      </c>
      <c r="J48" s="289"/>
      <c r="K48" s="2"/>
    </row>
    <row r="49" spans="1:14">
      <c r="A49" s="51"/>
      <c r="B49" s="24" t="s">
        <v>21</v>
      </c>
      <c r="C49" s="284">
        <v>1098.25</v>
      </c>
      <c r="D49" s="285"/>
      <c r="E49" s="316">
        <v>1064.67</v>
      </c>
      <c r="F49" s="317"/>
      <c r="G49" s="316">
        <v>1064.67</v>
      </c>
      <c r="H49" s="317"/>
      <c r="I49" s="318">
        <v>4.18</v>
      </c>
      <c r="J49" s="319"/>
      <c r="K49" s="2"/>
    </row>
    <row r="50" spans="1:14" ht="15.75" thickBot="1">
      <c r="A50" s="51"/>
      <c r="B50" s="24" t="s">
        <v>22</v>
      </c>
      <c r="C50" s="320">
        <v>1665.02</v>
      </c>
      <c r="D50" s="321"/>
      <c r="E50" s="322">
        <v>1509.12</v>
      </c>
      <c r="F50" s="323"/>
      <c r="G50" s="322">
        <v>1509.12</v>
      </c>
      <c r="H50" s="323"/>
      <c r="I50" s="318">
        <v>0</v>
      </c>
      <c r="J50" s="319"/>
      <c r="K50" s="2"/>
    </row>
    <row r="51" spans="1:14" ht="15.75" thickBot="1">
      <c r="A51" s="11"/>
      <c r="B51" s="12" t="s">
        <v>23</v>
      </c>
      <c r="C51" s="305">
        <f>SUM(C48:D50)</f>
        <v>4635.8999999999996</v>
      </c>
      <c r="D51" s="306"/>
      <c r="E51" s="307">
        <f>SUM(E48:E50)</f>
        <v>4065.3919999999998</v>
      </c>
      <c r="F51" s="308"/>
      <c r="G51" s="307">
        <f>G48+G49+G50</f>
        <v>4065.3919999999998</v>
      </c>
      <c r="H51" s="308"/>
      <c r="I51" s="307">
        <f>SUM(I48:I50)</f>
        <v>80.588999999999999</v>
      </c>
      <c r="J51" s="309"/>
      <c r="K51" s="2"/>
    </row>
    <row r="53" spans="1:14" ht="15.75" thickBot="1">
      <c r="E53" s="25"/>
    </row>
    <row r="54" spans="1:14" ht="19.5" thickBot="1">
      <c r="A54" s="310" t="s">
        <v>32</v>
      </c>
      <c r="B54" s="311"/>
      <c r="C54" s="311"/>
      <c r="D54" s="311"/>
      <c r="E54" s="311"/>
      <c r="F54" s="311"/>
      <c r="G54" s="311"/>
      <c r="H54" s="311"/>
      <c r="I54" s="311"/>
      <c r="J54" s="312"/>
      <c r="K54" s="27"/>
      <c r="L54" s="27"/>
    </row>
    <row r="55" spans="1:14">
      <c r="A55" s="28" t="s">
        <v>33</v>
      </c>
      <c r="B55" s="313" t="s">
        <v>34</v>
      </c>
      <c r="C55" s="314"/>
      <c r="D55" s="314"/>
      <c r="E55" s="314"/>
      <c r="F55" s="314"/>
      <c r="G55" s="314"/>
      <c r="H55" s="314"/>
      <c r="I55" s="315"/>
      <c r="J55" s="52" t="s">
        <v>35</v>
      </c>
      <c r="K55" s="53"/>
      <c r="L55" s="53"/>
    </row>
    <row r="56" spans="1:14" s="130" customFormat="1">
      <c r="A56" s="127">
        <v>1</v>
      </c>
      <c r="B56" s="328" t="s">
        <v>85</v>
      </c>
      <c r="C56" s="329"/>
      <c r="D56" s="329"/>
      <c r="E56" s="128"/>
      <c r="F56" s="128"/>
      <c r="G56" s="128"/>
      <c r="H56" s="128"/>
      <c r="I56" s="129"/>
      <c r="J56" s="132">
        <v>4</v>
      </c>
      <c r="L56" s="131"/>
      <c r="M56" s="131"/>
      <c r="N56" s="131"/>
    </row>
    <row r="57" spans="1:14" s="130" customFormat="1">
      <c r="A57" s="127">
        <v>2</v>
      </c>
      <c r="B57" s="328" t="s">
        <v>86</v>
      </c>
      <c r="C57" s="329"/>
      <c r="D57" s="329"/>
      <c r="E57" s="128"/>
      <c r="F57" s="128"/>
      <c r="G57" s="128"/>
      <c r="H57" s="128"/>
      <c r="I57" s="129"/>
      <c r="J57" s="133">
        <v>4.8</v>
      </c>
      <c r="L57" s="131"/>
      <c r="M57" s="131"/>
      <c r="N57" s="131"/>
    </row>
    <row r="58" spans="1:14" s="130" customFormat="1">
      <c r="A58" s="127">
        <v>3</v>
      </c>
      <c r="B58" s="328" t="s">
        <v>67</v>
      </c>
      <c r="C58" s="329"/>
      <c r="D58" s="329"/>
      <c r="E58" s="128"/>
      <c r="F58" s="128"/>
      <c r="G58" s="128"/>
      <c r="H58" s="128"/>
      <c r="I58" s="129"/>
      <c r="J58" s="133">
        <v>4.8</v>
      </c>
      <c r="L58" s="131"/>
      <c r="M58" s="131"/>
      <c r="N58" s="131"/>
    </row>
    <row r="59" spans="1:14" s="130" customFormat="1">
      <c r="A59" s="127">
        <v>4</v>
      </c>
      <c r="B59" s="328" t="s">
        <v>87</v>
      </c>
      <c r="C59" s="329"/>
      <c r="D59" s="329"/>
      <c r="E59" s="128"/>
      <c r="F59" s="128"/>
      <c r="G59" s="128"/>
      <c r="H59" s="128"/>
      <c r="I59" s="129"/>
      <c r="J59" s="133">
        <v>6.4</v>
      </c>
      <c r="L59" s="131"/>
      <c r="M59" s="131"/>
      <c r="N59" s="131"/>
    </row>
    <row r="60" spans="1:14" s="130" customFormat="1">
      <c r="A60" s="127">
        <v>5</v>
      </c>
      <c r="B60" s="328" t="s">
        <v>50</v>
      </c>
      <c r="C60" s="329"/>
      <c r="D60" s="329"/>
      <c r="E60" s="128"/>
      <c r="F60" s="128"/>
      <c r="G60" s="128"/>
      <c r="H60" s="128"/>
      <c r="I60" s="129"/>
      <c r="J60" s="134">
        <v>16.321000000000002</v>
      </c>
      <c r="L60" s="131"/>
      <c r="M60" s="131"/>
      <c r="N60" s="131"/>
    </row>
    <row r="61" spans="1:14" s="130" customFormat="1">
      <c r="A61" s="127">
        <v>6</v>
      </c>
      <c r="B61" s="328" t="s">
        <v>88</v>
      </c>
      <c r="C61" s="329"/>
      <c r="D61" s="329"/>
      <c r="E61" s="128"/>
      <c r="F61" s="128"/>
      <c r="G61" s="128"/>
      <c r="H61" s="128"/>
      <c r="I61" s="129"/>
      <c r="J61" s="133">
        <v>4.4000000000000004</v>
      </c>
      <c r="L61" s="131"/>
      <c r="M61" s="131"/>
      <c r="N61" s="131"/>
    </row>
    <row r="62" spans="1:14" s="130" customFormat="1">
      <c r="A62" s="127">
        <v>7</v>
      </c>
      <c r="B62" s="328" t="s">
        <v>46</v>
      </c>
      <c r="C62" s="329"/>
      <c r="D62" s="329"/>
      <c r="E62" s="128"/>
      <c r="F62" s="128"/>
      <c r="G62" s="128"/>
      <c r="H62" s="128"/>
      <c r="I62" s="129"/>
      <c r="J62" s="134">
        <v>5.9550000000000001</v>
      </c>
      <c r="L62" s="131"/>
      <c r="M62" s="131"/>
      <c r="N62" s="131"/>
    </row>
    <row r="63" spans="1:14" s="130" customFormat="1">
      <c r="A63" s="127">
        <v>8</v>
      </c>
      <c r="B63" s="328" t="s">
        <v>89</v>
      </c>
      <c r="C63" s="329"/>
      <c r="D63" s="329"/>
      <c r="E63" s="128"/>
      <c r="F63" s="128"/>
      <c r="G63" s="128"/>
      <c r="H63" s="128"/>
      <c r="I63" s="129"/>
      <c r="J63" s="132">
        <v>18</v>
      </c>
      <c r="L63" s="131"/>
      <c r="M63" s="131"/>
      <c r="N63" s="131"/>
    </row>
    <row r="64" spans="1:14" s="130" customFormat="1">
      <c r="A64" s="127">
        <v>9</v>
      </c>
      <c r="B64" s="328" t="s">
        <v>71</v>
      </c>
      <c r="C64" s="329"/>
      <c r="D64" s="329"/>
      <c r="E64" s="128"/>
      <c r="F64" s="128"/>
      <c r="G64" s="128"/>
      <c r="H64" s="128"/>
      <c r="I64" s="129"/>
      <c r="J64" s="135">
        <v>5.28</v>
      </c>
      <c r="L64" s="131"/>
      <c r="M64" s="131"/>
      <c r="N64" s="131"/>
    </row>
    <row r="65" spans="1:14" s="130" customFormat="1">
      <c r="A65" s="127">
        <v>10</v>
      </c>
      <c r="B65" s="328" t="s">
        <v>90</v>
      </c>
      <c r="C65" s="329"/>
      <c r="D65" s="329"/>
      <c r="E65" s="128"/>
      <c r="F65" s="128"/>
      <c r="G65" s="128"/>
      <c r="H65" s="128"/>
      <c r="I65" s="129"/>
      <c r="J65" s="132">
        <v>12</v>
      </c>
      <c r="L65" s="131"/>
      <c r="M65" s="131"/>
      <c r="N65" s="131"/>
    </row>
    <row r="66" spans="1:14" s="130" customFormat="1">
      <c r="A66" s="127">
        <v>11</v>
      </c>
      <c r="B66" s="328" t="s">
        <v>91</v>
      </c>
      <c r="C66" s="329"/>
      <c r="D66" s="329"/>
      <c r="E66" s="128"/>
      <c r="F66" s="128"/>
      <c r="G66" s="128"/>
      <c r="H66" s="128"/>
      <c r="I66" s="129"/>
      <c r="J66" s="133">
        <v>14.4</v>
      </c>
      <c r="L66" s="131"/>
      <c r="M66" s="131"/>
      <c r="N66" s="131"/>
    </row>
    <row r="67" spans="1:14" s="130" customFormat="1">
      <c r="A67" s="127">
        <v>12</v>
      </c>
      <c r="B67" s="328" t="s">
        <v>74</v>
      </c>
      <c r="C67" s="329"/>
      <c r="D67" s="329"/>
      <c r="E67" s="128"/>
      <c r="F67" s="128"/>
      <c r="G67" s="128"/>
      <c r="H67" s="128"/>
      <c r="I67" s="129"/>
      <c r="J67" s="132">
        <v>32</v>
      </c>
      <c r="L67" s="131"/>
      <c r="M67" s="131"/>
      <c r="N67" s="131"/>
    </row>
    <row r="68" spans="1:14" s="130" customFormat="1">
      <c r="A68" s="127">
        <v>13</v>
      </c>
      <c r="B68" s="328" t="s">
        <v>92</v>
      </c>
      <c r="C68" s="329"/>
      <c r="D68" s="329"/>
      <c r="E68" s="128"/>
      <c r="F68" s="128"/>
      <c r="G68" s="128"/>
      <c r="H68" s="128"/>
      <c r="I68" s="129"/>
      <c r="J68" s="135">
        <v>14.35</v>
      </c>
      <c r="L68" s="131"/>
      <c r="M68" s="131"/>
      <c r="N68" s="131"/>
    </row>
    <row r="69" spans="1:14" s="130" customFormat="1">
      <c r="A69" s="127">
        <v>14</v>
      </c>
      <c r="B69" s="328" t="s">
        <v>93</v>
      </c>
      <c r="C69" s="329"/>
      <c r="D69" s="329"/>
      <c r="E69" s="128"/>
      <c r="F69" s="128"/>
      <c r="G69" s="128"/>
      <c r="H69" s="128"/>
      <c r="I69" s="129"/>
      <c r="J69" s="135">
        <v>5.28</v>
      </c>
      <c r="L69" s="131"/>
      <c r="M69" s="131"/>
      <c r="N69" s="131"/>
    </row>
    <row r="70" spans="1:14" s="130" customFormat="1">
      <c r="A70" s="127">
        <v>15</v>
      </c>
      <c r="B70" s="328" t="s">
        <v>94</v>
      </c>
      <c r="C70" s="329"/>
      <c r="D70" s="329"/>
      <c r="E70" s="128"/>
      <c r="F70" s="128"/>
      <c r="G70" s="128"/>
      <c r="H70" s="128"/>
      <c r="I70" s="129"/>
      <c r="J70" s="135">
        <v>15.96</v>
      </c>
      <c r="L70" s="131"/>
      <c r="M70" s="131"/>
      <c r="N70" s="131"/>
    </row>
    <row r="71" spans="1:14" s="130" customFormat="1">
      <c r="A71" s="127">
        <v>16</v>
      </c>
      <c r="B71" s="328" t="s">
        <v>95</v>
      </c>
      <c r="C71" s="329"/>
      <c r="D71" s="329"/>
      <c r="E71" s="128"/>
      <c r="F71" s="128"/>
      <c r="G71" s="128"/>
      <c r="H71" s="128"/>
      <c r="I71" s="129"/>
      <c r="J71" s="134">
        <v>4.2240000000000002</v>
      </c>
      <c r="L71" s="131"/>
      <c r="M71" s="131"/>
      <c r="N71" s="131"/>
    </row>
    <row r="72" spans="1:14" s="130" customFormat="1">
      <c r="A72" s="127">
        <v>17</v>
      </c>
      <c r="B72" s="328" t="s">
        <v>49</v>
      </c>
      <c r="C72" s="329"/>
      <c r="D72" s="329"/>
      <c r="E72" s="128"/>
      <c r="F72" s="128"/>
      <c r="G72" s="128"/>
      <c r="H72" s="128"/>
      <c r="I72" s="129"/>
      <c r="J72" s="135">
        <v>7.92</v>
      </c>
      <c r="L72" s="131"/>
      <c r="M72" s="131"/>
      <c r="N72" s="131"/>
    </row>
    <row r="73" spans="1:14" s="4" customFormat="1" ht="15" customHeight="1">
      <c r="A73" s="136">
        <v>18</v>
      </c>
      <c r="B73" s="330" t="s">
        <v>96</v>
      </c>
      <c r="C73" s="330"/>
      <c r="D73" s="331"/>
      <c r="E73" s="125"/>
      <c r="F73" s="125"/>
      <c r="G73" s="125"/>
      <c r="H73" s="125"/>
      <c r="I73" s="126"/>
      <c r="J73" s="137">
        <v>37.6</v>
      </c>
      <c r="L73" s="2"/>
      <c r="M73" s="2"/>
      <c r="N73" s="2"/>
    </row>
    <row r="74" spans="1:14" s="4" customFormat="1" ht="15" customHeight="1">
      <c r="A74" s="136">
        <v>19</v>
      </c>
      <c r="B74" s="330" t="s">
        <v>97</v>
      </c>
      <c r="C74" s="330"/>
      <c r="D74" s="331"/>
      <c r="E74" s="125"/>
      <c r="F74" s="125"/>
      <c r="G74" s="125"/>
      <c r="H74" s="125"/>
      <c r="I74" s="126"/>
      <c r="J74" s="137">
        <v>62.5</v>
      </c>
      <c r="L74" s="2"/>
      <c r="M74" s="2"/>
      <c r="N74" s="2"/>
    </row>
    <row r="75" spans="1:14" s="4" customFormat="1" ht="15" customHeight="1">
      <c r="A75" s="136">
        <v>20</v>
      </c>
      <c r="B75" s="330" t="s">
        <v>98</v>
      </c>
      <c r="C75" s="330"/>
      <c r="D75" s="331"/>
      <c r="E75" s="125"/>
      <c r="F75" s="125"/>
      <c r="G75" s="125"/>
      <c r="H75" s="125"/>
      <c r="I75" s="126"/>
      <c r="J75" s="138">
        <v>24</v>
      </c>
      <c r="L75" s="2"/>
      <c r="M75" s="2"/>
      <c r="N75" s="2"/>
    </row>
    <row r="76" spans="1:14" s="4" customFormat="1" ht="15" customHeight="1">
      <c r="A76" s="136">
        <v>21</v>
      </c>
      <c r="B76" s="330" t="s">
        <v>99</v>
      </c>
      <c r="C76" s="330"/>
      <c r="D76" s="331"/>
      <c r="E76" s="125"/>
      <c r="F76" s="125"/>
      <c r="G76" s="125"/>
      <c r="H76" s="125"/>
      <c r="I76" s="126"/>
      <c r="J76" s="139">
        <v>5.8540000000000001</v>
      </c>
      <c r="L76" s="2"/>
      <c r="M76" s="2"/>
      <c r="N76" s="2"/>
    </row>
    <row r="77" spans="1:14" s="4" customFormat="1" ht="15" customHeight="1">
      <c r="A77" s="136">
        <v>22</v>
      </c>
      <c r="B77" s="330" t="s">
        <v>100</v>
      </c>
      <c r="C77" s="330"/>
      <c r="D77" s="331"/>
      <c r="E77" s="125"/>
      <c r="F77" s="125"/>
      <c r="G77" s="125"/>
      <c r="H77" s="125"/>
      <c r="I77" s="126"/>
      <c r="J77" s="138">
        <v>10</v>
      </c>
      <c r="L77" s="2"/>
      <c r="M77" s="2"/>
      <c r="N77" s="2"/>
    </row>
    <row r="78" spans="1:14" s="4" customFormat="1" ht="15" customHeight="1">
      <c r="A78" s="136">
        <v>23</v>
      </c>
      <c r="B78" s="330" t="s">
        <v>101</v>
      </c>
      <c r="C78" s="330"/>
      <c r="D78" s="331"/>
      <c r="E78" s="125"/>
      <c r="F78" s="125"/>
      <c r="G78" s="125"/>
      <c r="H78" s="125"/>
      <c r="I78" s="126"/>
      <c r="J78" s="137">
        <v>11.2</v>
      </c>
      <c r="L78" s="2"/>
      <c r="M78" s="2"/>
      <c r="N78" s="2"/>
    </row>
    <row r="79" spans="1:14" s="4" customFormat="1" ht="15" customHeight="1">
      <c r="A79" s="136">
        <v>24</v>
      </c>
      <c r="B79" s="330" t="s">
        <v>102</v>
      </c>
      <c r="C79" s="330"/>
      <c r="D79" s="331"/>
      <c r="E79" s="125"/>
      <c r="F79" s="125"/>
      <c r="G79" s="125"/>
      <c r="H79" s="125"/>
      <c r="I79" s="126"/>
      <c r="J79" s="137">
        <v>13.7</v>
      </c>
      <c r="L79" s="2"/>
      <c r="M79" s="2"/>
      <c r="N79" s="2"/>
    </row>
    <row r="80" spans="1:14" s="4" customFormat="1" ht="15" customHeight="1">
      <c r="A80" s="136">
        <v>25</v>
      </c>
      <c r="B80" s="330" t="s">
        <v>103</v>
      </c>
      <c r="C80" s="330"/>
      <c r="D80" s="331"/>
      <c r="E80" s="125"/>
      <c r="F80" s="125"/>
      <c r="G80" s="125"/>
      <c r="H80" s="125"/>
      <c r="I80" s="126"/>
      <c r="J80" s="137">
        <v>92.5</v>
      </c>
      <c r="L80" s="2"/>
      <c r="M80" s="2"/>
      <c r="N80" s="2"/>
    </row>
    <row r="81" spans="1:14" s="4" customFormat="1" ht="15" customHeight="1">
      <c r="A81" s="136">
        <v>26</v>
      </c>
      <c r="B81" s="330" t="s">
        <v>104</v>
      </c>
      <c r="C81" s="330"/>
      <c r="D81" s="331"/>
      <c r="E81" s="125"/>
      <c r="F81" s="125"/>
      <c r="G81" s="125"/>
      <c r="H81" s="125"/>
      <c r="I81" s="126"/>
      <c r="J81" s="140">
        <v>77.63</v>
      </c>
      <c r="L81" s="2"/>
      <c r="M81" s="2"/>
      <c r="N81" s="2"/>
    </row>
    <row r="82" spans="1:14" s="4" customFormat="1" ht="15" customHeight="1">
      <c r="A82" s="136">
        <v>27</v>
      </c>
      <c r="B82" s="330" t="s">
        <v>105</v>
      </c>
      <c r="C82" s="330"/>
      <c r="D82" s="331"/>
      <c r="E82" s="125"/>
      <c r="F82" s="125"/>
      <c r="G82" s="125"/>
      <c r="H82" s="125"/>
      <c r="I82" s="126"/>
      <c r="J82" s="139">
        <v>5.8630000000000004</v>
      </c>
      <c r="L82" s="2"/>
      <c r="M82" s="2"/>
      <c r="N82" s="2"/>
    </row>
    <row r="83" spans="1:14" s="4" customFormat="1" ht="15" customHeight="1">
      <c r="A83" s="136">
        <v>28</v>
      </c>
      <c r="B83" s="330" t="s">
        <v>106</v>
      </c>
      <c r="C83" s="330"/>
      <c r="D83" s="331"/>
      <c r="E83" s="125"/>
      <c r="F83" s="125"/>
      <c r="G83" s="125"/>
      <c r="H83" s="125"/>
      <c r="I83" s="126"/>
      <c r="J83" s="137">
        <v>24.4</v>
      </c>
      <c r="L83" s="2"/>
      <c r="M83" s="2"/>
      <c r="N83" s="2"/>
    </row>
    <row r="84" spans="1:14" s="4" customFormat="1" ht="15" customHeight="1">
      <c r="A84" s="136">
        <v>29</v>
      </c>
      <c r="B84" s="330" t="s">
        <v>107</v>
      </c>
      <c r="C84" s="330"/>
      <c r="D84" s="331"/>
      <c r="E84" s="125"/>
      <c r="F84" s="125"/>
      <c r="G84" s="125"/>
      <c r="H84" s="125"/>
      <c r="I84" s="126"/>
      <c r="J84" s="138">
        <v>25</v>
      </c>
      <c r="L84" s="2"/>
      <c r="M84" s="2"/>
      <c r="N84" s="2"/>
    </row>
    <row r="85" spans="1:14" s="4" customFormat="1" ht="15" customHeight="1">
      <c r="A85" s="136">
        <v>30</v>
      </c>
      <c r="B85" s="330" t="s">
        <v>108</v>
      </c>
      <c r="C85" s="330"/>
      <c r="D85" s="331"/>
      <c r="E85" s="125"/>
      <c r="F85" s="125"/>
      <c r="G85" s="125"/>
      <c r="H85" s="125"/>
      <c r="I85" s="126"/>
      <c r="J85" s="138">
        <v>6</v>
      </c>
      <c r="L85" s="2"/>
      <c r="M85" s="2"/>
      <c r="N85" s="2"/>
    </row>
    <row r="86" spans="1:14" s="4" customFormat="1" ht="15" customHeight="1">
      <c r="A86" s="136">
        <v>31</v>
      </c>
      <c r="B86" s="330" t="s">
        <v>109</v>
      </c>
      <c r="C86" s="330"/>
      <c r="D86" s="331"/>
      <c r="E86" s="125"/>
      <c r="F86" s="125"/>
      <c r="G86" s="125"/>
      <c r="H86" s="125"/>
      <c r="I86" s="126"/>
      <c r="J86" s="137">
        <v>18.8</v>
      </c>
      <c r="L86" s="2"/>
      <c r="M86" s="2"/>
      <c r="N86" s="2"/>
    </row>
    <row r="87" spans="1:14" s="4" customFormat="1">
      <c r="A87" s="110">
        <v>32</v>
      </c>
      <c r="B87" s="324"/>
      <c r="C87" s="324"/>
      <c r="D87" s="324"/>
      <c r="E87" s="324"/>
      <c r="F87" s="324"/>
      <c r="G87" s="324"/>
      <c r="H87" s="324"/>
      <c r="I87" s="324"/>
      <c r="J87" s="111"/>
      <c r="L87" s="2"/>
      <c r="M87" s="2"/>
      <c r="N87" s="2"/>
    </row>
    <row r="88" spans="1:14" s="4" customFormat="1">
      <c r="A88" s="110">
        <v>33</v>
      </c>
      <c r="B88" s="324"/>
      <c r="C88" s="324"/>
      <c r="D88" s="324"/>
      <c r="E88" s="324"/>
      <c r="F88" s="324"/>
      <c r="G88" s="324"/>
      <c r="H88" s="324"/>
      <c r="I88" s="324"/>
      <c r="J88" s="111"/>
      <c r="L88" s="2"/>
      <c r="M88" s="2"/>
      <c r="N88" s="2"/>
    </row>
    <row r="89" spans="1:14" s="4" customFormat="1">
      <c r="A89" s="110">
        <v>34</v>
      </c>
      <c r="B89" s="324"/>
      <c r="C89" s="324"/>
      <c r="D89" s="324"/>
      <c r="E89" s="324"/>
      <c r="F89" s="324"/>
      <c r="G89" s="324"/>
      <c r="H89" s="324"/>
      <c r="I89" s="324"/>
      <c r="J89" s="111"/>
      <c r="L89" s="2"/>
      <c r="M89" s="2"/>
      <c r="N89" s="2"/>
    </row>
    <row r="90" spans="1:14" s="4" customFormat="1">
      <c r="A90" s="110">
        <v>35</v>
      </c>
      <c r="B90" s="324"/>
      <c r="C90" s="324"/>
      <c r="D90" s="324"/>
      <c r="E90" s="324"/>
      <c r="F90" s="324"/>
      <c r="G90" s="324"/>
      <c r="H90" s="324"/>
      <c r="I90" s="324"/>
      <c r="J90" s="111"/>
      <c r="L90" s="2"/>
      <c r="M90" s="2"/>
      <c r="N90" s="2"/>
    </row>
    <row r="91" spans="1:14" s="4" customFormat="1">
      <c r="A91" s="110">
        <v>36</v>
      </c>
      <c r="B91" s="324"/>
      <c r="C91" s="324"/>
      <c r="D91" s="324"/>
      <c r="E91" s="324"/>
      <c r="F91" s="324"/>
      <c r="G91" s="324"/>
      <c r="H91" s="324"/>
      <c r="I91" s="324"/>
      <c r="J91" s="111"/>
      <c r="L91" s="2"/>
      <c r="M91" s="2"/>
      <c r="N91" s="2"/>
    </row>
    <row r="92" spans="1:14" s="4" customFormat="1" ht="15.75" thickBot="1">
      <c r="A92" s="108"/>
      <c r="B92" s="325" t="s">
        <v>15</v>
      </c>
      <c r="C92" s="326"/>
      <c r="D92" s="326"/>
      <c r="E92" s="326"/>
      <c r="F92" s="326"/>
      <c r="G92" s="326"/>
      <c r="H92" s="326"/>
      <c r="I92" s="327"/>
      <c r="J92" s="109">
        <f>SUM(J56:J91)</f>
        <v>591.13699999999983</v>
      </c>
      <c r="L92" s="2"/>
      <c r="M92" s="2"/>
      <c r="N92" s="2"/>
    </row>
  </sheetData>
  <mergeCells count="102">
    <mergeCell ref="B92:I92"/>
    <mergeCell ref="B86:D86"/>
    <mergeCell ref="B87:I87"/>
    <mergeCell ref="B88:I88"/>
    <mergeCell ref="B89:I89"/>
    <mergeCell ref="B90:I90"/>
    <mergeCell ref="B91:I91"/>
    <mergeCell ref="B80:D80"/>
    <mergeCell ref="B81:D81"/>
    <mergeCell ref="B82:D82"/>
    <mergeCell ref="B83:D83"/>
    <mergeCell ref="B84:D84"/>
    <mergeCell ref="B85:D85"/>
    <mergeCell ref="B74:D74"/>
    <mergeCell ref="B75:D75"/>
    <mergeCell ref="B76:D76"/>
    <mergeCell ref="B77:D77"/>
    <mergeCell ref="B78:D78"/>
    <mergeCell ref="B79:D79"/>
    <mergeCell ref="B68:D68"/>
    <mergeCell ref="B69:D69"/>
    <mergeCell ref="B70:D70"/>
    <mergeCell ref="B71:D71"/>
    <mergeCell ref="B72:D72"/>
    <mergeCell ref="B73:D73"/>
    <mergeCell ref="B62:D62"/>
    <mergeCell ref="B63:D63"/>
    <mergeCell ref="B64:D64"/>
    <mergeCell ref="B65:D65"/>
    <mergeCell ref="B66:D66"/>
    <mergeCell ref="B67:D67"/>
    <mergeCell ref="B56:D56"/>
    <mergeCell ref="B57:D57"/>
    <mergeCell ref="B58:D58"/>
    <mergeCell ref="B59:D59"/>
    <mergeCell ref="B60:D60"/>
    <mergeCell ref="B61:D61"/>
    <mergeCell ref="C51:D51"/>
    <mergeCell ref="E51:F51"/>
    <mergeCell ref="G51:H51"/>
    <mergeCell ref="I51:J51"/>
    <mergeCell ref="A54:J54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E47:F47"/>
    <mergeCell ref="G47:H47"/>
    <mergeCell ref="I47:J47"/>
    <mergeCell ref="C48:D48"/>
    <mergeCell ref="E48:F48"/>
    <mergeCell ref="G48:H48"/>
    <mergeCell ref="I48:J48"/>
    <mergeCell ref="L41:M41"/>
    <mergeCell ref="L42:M42"/>
    <mergeCell ref="L43:M43"/>
    <mergeCell ref="A44:E44"/>
    <mergeCell ref="G44:L44"/>
    <mergeCell ref="A46:J46"/>
    <mergeCell ref="K35:K36"/>
    <mergeCell ref="L35:M36"/>
    <mergeCell ref="L37:M37"/>
    <mergeCell ref="L38:M38"/>
    <mergeCell ref="L39:M39"/>
    <mergeCell ref="L40:M40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24:I24"/>
    <mergeCell ref="A31:C31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A1:C1"/>
    <mergeCell ref="E1:H1"/>
    <mergeCell ref="J1:K1"/>
    <mergeCell ref="A2:C2"/>
    <mergeCell ref="F2:H2"/>
    <mergeCell ref="J2:K2"/>
    <mergeCell ref="J6:J7"/>
    <mergeCell ref="K6:L6"/>
    <mergeCell ref="A21:F21"/>
  </mergeCells>
  <pageMargins left="0" right="0" top="0.59055118110236204" bottom="0" header="0" footer="0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N92"/>
  <sheetViews>
    <sheetView topLeftCell="A37" zoomScale="85" zoomScaleNormal="85" workbookViewId="0">
      <pane xSplit="3" topLeftCell="D1" activePane="topRight" state="frozen"/>
      <selection pane="topRight" activeCell="I50" sqref="I50:J50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42" t="s">
        <v>51</v>
      </c>
      <c r="B1" s="242"/>
      <c r="C1" s="242"/>
      <c r="D1" s="1"/>
      <c r="E1" s="242" t="s">
        <v>24</v>
      </c>
      <c r="F1" s="242"/>
      <c r="G1" s="242"/>
      <c r="H1" s="242"/>
      <c r="I1" s="123"/>
      <c r="J1" s="243">
        <v>5</v>
      </c>
      <c r="K1" s="243"/>
    </row>
    <row r="2" spans="1:12" ht="28.5">
      <c r="A2" s="244">
        <v>46316</v>
      </c>
      <c r="B2" s="245"/>
      <c r="C2" s="245"/>
      <c r="D2" s="3"/>
      <c r="E2" s="3"/>
      <c r="F2" s="246"/>
      <c r="G2" s="246"/>
      <c r="H2" s="246"/>
      <c r="I2" s="124"/>
      <c r="J2" s="246"/>
      <c r="K2" s="246"/>
    </row>
    <row r="3" spans="1:12" ht="27" thickBot="1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12" ht="18" customHeight="1">
      <c r="A4" s="258" t="s">
        <v>25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60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1" t="s">
        <v>1</v>
      </c>
      <c r="B6" s="262" t="s">
        <v>2</v>
      </c>
      <c r="C6" s="262" t="s">
        <v>3</v>
      </c>
      <c r="D6" s="262" t="s">
        <v>4</v>
      </c>
      <c r="E6" s="122" t="s">
        <v>5</v>
      </c>
      <c r="F6" s="262" t="s">
        <v>6</v>
      </c>
      <c r="G6" s="263" t="s">
        <v>7</v>
      </c>
      <c r="H6" s="264" t="s">
        <v>8</v>
      </c>
      <c r="I6" s="262" t="s">
        <v>9</v>
      </c>
      <c r="J6" s="247" t="s">
        <v>30</v>
      </c>
      <c r="K6" s="249" t="s">
        <v>10</v>
      </c>
      <c r="L6" s="250"/>
    </row>
    <row r="7" spans="1:12" s="8" customFormat="1" ht="63.6" customHeight="1">
      <c r="A7" s="261"/>
      <c r="B7" s="262"/>
      <c r="C7" s="262"/>
      <c r="D7" s="262"/>
      <c r="E7" s="122" t="s">
        <v>11</v>
      </c>
      <c r="F7" s="262"/>
      <c r="G7" s="263"/>
      <c r="H7" s="264"/>
      <c r="I7" s="262"/>
      <c r="J7" s="248"/>
      <c r="K7" s="122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0.3125</v>
      </c>
      <c r="G8" s="22">
        <v>20</v>
      </c>
      <c r="H8" s="26">
        <v>770.50099999999998</v>
      </c>
      <c r="I8" s="23">
        <v>0.61805555555555558</v>
      </c>
      <c r="J8" s="21">
        <f>I8-F8</f>
        <v>0.30555555555555558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0.30208333333333331</v>
      </c>
      <c r="G9" s="22">
        <v>28</v>
      </c>
      <c r="H9" s="26">
        <v>936.17600000000004</v>
      </c>
      <c r="I9" s="23">
        <v>0.625</v>
      </c>
      <c r="J9" s="21">
        <f t="shared" ref="J9:J11" si="0">I9-F9</f>
        <v>0.32291666666666669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0.31944444444444448</v>
      </c>
      <c r="G10" s="22">
        <v>32</v>
      </c>
      <c r="H10" s="26">
        <v>852.57399999999996</v>
      </c>
      <c r="I10" s="23">
        <v>0.66666666666666663</v>
      </c>
      <c r="J10" s="21">
        <f t="shared" si="0"/>
        <v>0.34722222222222215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0.31597222222222221</v>
      </c>
      <c r="G11" s="22">
        <v>16</v>
      </c>
      <c r="H11" s="26">
        <v>686.72799999999995</v>
      </c>
      <c r="I11" s="23">
        <v>0.67708333333333337</v>
      </c>
      <c r="J11" s="21">
        <f t="shared" si="0"/>
        <v>0.36111111111111116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1" t="s">
        <v>15</v>
      </c>
      <c r="B21" s="252"/>
      <c r="C21" s="252"/>
      <c r="D21" s="252"/>
      <c r="E21" s="252"/>
      <c r="F21" s="253"/>
      <c r="G21" s="70">
        <f>SUM(G8:G20)</f>
        <v>96</v>
      </c>
      <c r="H21" s="70">
        <f>SUM(H8:H20)</f>
        <v>3245.9790000000003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>
        <f>SUM(N49)</f>
        <v>0</v>
      </c>
    </row>
    <row r="24" spans="1:14" ht="18.75">
      <c r="A24" s="254" t="s">
        <v>26</v>
      </c>
      <c r="B24" s="255"/>
      <c r="C24" s="255"/>
      <c r="D24" s="255"/>
      <c r="E24" s="255"/>
      <c r="F24" s="255"/>
      <c r="G24" s="255"/>
      <c r="H24" s="255"/>
      <c r="I24" s="256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22" t="s">
        <v>2</v>
      </c>
      <c r="C26" s="122" t="s">
        <v>3</v>
      </c>
      <c r="D26" s="122" t="s">
        <v>27</v>
      </c>
      <c r="E26" s="122" t="s">
        <v>6</v>
      </c>
      <c r="F26" s="122" t="s">
        <v>28</v>
      </c>
      <c r="G26" s="122" t="s">
        <v>8</v>
      </c>
      <c r="H26" s="122" t="s">
        <v>31</v>
      </c>
      <c r="I26" s="31" t="s">
        <v>30</v>
      </c>
      <c r="J26" s="8"/>
      <c r="K26" s="8"/>
      <c r="L26" s="8"/>
      <c r="N26" s="43"/>
    </row>
    <row r="27" spans="1:14">
      <c r="A27" s="57">
        <v>5</v>
      </c>
      <c r="B27" s="56" t="s">
        <v>110</v>
      </c>
      <c r="C27" s="55" t="s">
        <v>111</v>
      </c>
      <c r="D27" s="39">
        <v>9000</v>
      </c>
      <c r="E27" s="38">
        <v>0.30555555555555552</v>
      </c>
      <c r="F27" s="22">
        <v>25</v>
      </c>
      <c r="G27" s="26">
        <v>918.00099999999998</v>
      </c>
      <c r="H27" s="35">
        <v>0.67361111111111116</v>
      </c>
      <c r="I27" s="36">
        <f>H27-E27</f>
        <v>0.36805555555555564</v>
      </c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1" t="s">
        <v>15</v>
      </c>
      <c r="B31" s="252"/>
      <c r="C31" s="253"/>
      <c r="D31" s="10"/>
      <c r="E31" s="32"/>
      <c r="F31" s="32"/>
      <c r="G31" s="32">
        <v>918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4" t="s">
        <v>12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78">
        <v>12</v>
      </c>
      <c r="M34" s="279"/>
    </row>
    <row r="35" spans="1:13" ht="75">
      <c r="A35" s="280" t="s">
        <v>1</v>
      </c>
      <c r="B35" s="265" t="s">
        <v>2</v>
      </c>
      <c r="C35" s="265" t="s">
        <v>3</v>
      </c>
      <c r="D35" s="265" t="s">
        <v>4</v>
      </c>
      <c r="E35" s="97" t="s">
        <v>5</v>
      </c>
      <c r="F35" s="265" t="s">
        <v>14</v>
      </c>
      <c r="G35" s="265" t="s">
        <v>13</v>
      </c>
      <c r="H35" s="265" t="s">
        <v>37</v>
      </c>
      <c r="I35" s="265" t="s">
        <v>39</v>
      </c>
      <c r="J35" s="265" t="s">
        <v>38</v>
      </c>
      <c r="K35" s="265" t="s">
        <v>40</v>
      </c>
      <c r="L35" s="266" t="s">
        <v>36</v>
      </c>
      <c r="M35" s="267"/>
    </row>
    <row r="36" spans="1:13" ht="75">
      <c r="A36" s="281"/>
      <c r="B36" s="248"/>
      <c r="C36" s="248"/>
      <c r="D36" s="248"/>
      <c r="E36" s="121" t="s">
        <v>11</v>
      </c>
      <c r="F36" s="248"/>
      <c r="G36" s="248"/>
      <c r="H36" s="248"/>
      <c r="I36" s="248"/>
      <c r="J36" s="248"/>
      <c r="K36" s="248"/>
      <c r="L36" s="268"/>
      <c r="M36" s="269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70"/>
      <c r="M37" s="271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72"/>
      <c r="M38" s="273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74"/>
      <c r="M39" s="275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76"/>
      <c r="M40" s="277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90"/>
      <c r="M41" s="291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92"/>
      <c r="M42" s="293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94"/>
      <c r="M43" s="295"/>
    </row>
    <row r="44" spans="1:13" ht="15.75" thickBot="1">
      <c r="A44" s="296" t="s">
        <v>15</v>
      </c>
      <c r="B44" s="297"/>
      <c r="C44" s="297"/>
      <c r="D44" s="297"/>
      <c r="E44" s="298"/>
      <c r="F44" s="96"/>
      <c r="G44" s="299">
        <f>SUM(G37:G43)</f>
        <v>0</v>
      </c>
      <c r="H44" s="300"/>
      <c r="I44" s="300"/>
      <c r="J44" s="300"/>
      <c r="K44" s="300"/>
      <c r="L44" s="301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302" t="s">
        <v>16</v>
      </c>
      <c r="B46" s="303"/>
      <c r="C46" s="303"/>
      <c r="D46" s="303"/>
      <c r="E46" s="303"/>
      <c r="F46" s="303"/>
      <c r="G46" s="303"/>
      <c r="H46" s="303"/>
      <c r="I46" s="303"/>
      <c r="J46" s="304"/>
      <c r="K46" s="2"/>
    </row>
    <row r="47" spans="1:13" ht="30">
      <c r="A47" s="50"/>
      <c r="B47" s="18"/>
      <c r="C47" s="120"/>
      <c r="D47" s="120" t="s">
        <v>17</v>
      </c>
      <c r="E47" s="282" t="s">
        <v>18</v>
      </c>
      <c r="F47" s="282"/>
      <c r="G47" s="282" t="s">
        <v>19</v>
      </c>
      <c r="H47" s="282"/>
      <c r="I47" s="282" t="s">
        <v>29</v>
      </c>
      <c r="J47" s="283"/>
      <c r="K47" s="2"/>
    </row>
    <row r="48" spans="1:13">
      <c r="A48" s="50"/>
      <c r="B48" s="24" t="s">
        <v>20</v>
      </c>
      <c r="C48" s="284">
        <v>2087.02</v>
      </c>
      <c r="D48" s="285"/>
      <c r="E48" s="286">
        <v>2031.65</v>
      </c>
      <c r="F48" s="287"/>
      <c r="G48" s="286">
        <v>2031.65</v>
      </c>
      <c r="H48" s="287"/>
      <c r="I48" s="288">
        <v>5.86</v>
      </c>
      <c r="J48" s="289"/>
      <c r="K48" s="2"/>
    </row>
    <row r="49" spans="1:14">
      <c r="A49" s="51"/>
      <c r="B49" s="24" t="s">
        <v>21</v>
      </c>
      <c r="C49" s="284">
        <v>1283.95</v>
      </c>
      <c r="D49" s="285"/>
      <c r="E49" s="316">
        <v>1195.79</v>
      </c>
      <c r="F49" s="317"/>
      <c r="G49" s="316">
        <v>1195.79</v>
      </c>
      <c r="H49" s="317"/>
      <c r="I49" s="318">
        <v>0</v>
      </c>
      <c r="J49" s="319"/>
      <c r="K49" s="2"/>
    </row>
    <row r="50" spans="1:14" ht="15.75" thickBot="1">
      <c r="A50" s="51"/>
      <c r="B50" s="24" t="s">
        <v>22</v>
      </c>
      <c r="C50" s="320">
        <v>1012.97</v>
      </c>
      <c r="D50" s="321"/>
      <c r="E50" s="322">
        <v>936.54</v>
      </c>
      <c r="F50" s="323"/>
      <c r="G50" s="322">
        <v>936.54</v>
      </c>
      <c r="H50" s="323"/>
      <c r="I50" s="318">
        <v>0.41</v>
      </c>
      <c r="J50" s="319"/>
      <c r="K50" s="2"/>
    </row>
    <row r="51" spans="1:14" ht="15.75" thickBot="1">
      <c r="A51" s="11"/>
      <c r="B51" s="12" t="s">
        <v>23</v>
      </c>
      <c r="C51" s="305">
        <f>SUM(C48:D50)</f>
        <v>4383.9400000000005</v>
      </c>
      <c r="D51" s="306"/>
      <c r="E51" s="307">
        <f>SUM(E48:E50)</f>
        <v>4163.9799999999996</v>
      </c>
      <c r="F51" s="308"/>
      <c r="G51" s="307">
        <f>G48+G49+G50</f>
        <v>4163.9799999999996</v>
      </c>
      <c r="H51" s="308"/>
      <c r="I51" s="307">
        <f>SUM(I48:I50)</f>
        <v>6.2700000000000005</v>
      </c>
      <c r="J51" s="309"/>
      <c r="K51" s="2"/>
    </row>
    <row r="53" spans="1:14" ht="15.75" thickBot="1">
      <c r="E53" s="25"/>
    </row>
    <row r="54" spans="1:14" ht="19.5" thickBot="1">
      <c r="A54" s="310" t="s">
        <v>32</v>
      </c>
      <c r="B54" s="311"/>
      <c r="C54" s="311"/>
      <c r="D54" s="311"/>
      <c r="E54" s="311"/>
      <c r="F54" s="311"/>
      <c r="G54" s="311"/>
      <c r="H54" s="311"/>
      <c r="I54" s="311"/>
      <c r="J54" s="312"/>
      <c r="K54" s="27"/>
      <c r="L54" s="27"/>
    </row>
    <row r="55" spans="1:14">
      <c r="A55" s="28" t="s">
        <v>33</v>
      </c>
      <c r="B55" s="313" t="s">
        <v>34</v>
      </c>
      <c r="C55" s="314"/>
      <c r="D55" s="314"/>
      <c r="E55" s="314"/>
      <c r="F55" s="314"/>
      <c r="G55" s="314"/>
      <c r="H55" s="314"/>
      <c r="I55" s="315"/>
      <c r="J55" s="52" t="s">
        <v>35</v>
      </c>
      <c r="K55" s="53"/>
      <c r="L55" s="53"/>
    </row>
    <row r="56" spans="1:14" s="130" customFormat="1">
      <c r="A56" s="127">
        <v>1</v>
      </c>
      <c r="B56" s="332" t="s">
        <v>50</v>
      </c>
      <c r="C56" s="332"/>
      <c r="D56" s="332"/>
      <c r="E56" s="141"/>
      <c r="F56" s="142"/>
      <c r="G56" s="142"/>
      <c r="H56" s="142"/>
      <c r="I56" s="143"/>
      <c r="J56" s="144">
        <v>10</v>
      </c>
      <c r="L56" s="131"/>
      <c r="M56" s="131"/>
      <c r="N56" s="131"/>
    </row>
    <row r="57" spans="1:14" s="130" customFormat="1">
      <c r="A57" s="127">
        <v>2</v>
      </c>
      <c r="B57" s="332" t="s">
        <v>88</v>
      </c>
      <c r="C57" s="332"/>
      <c r="D57" s="332"/>
      <c r="E57" s="141"/>
      <c r="F57" s="142"/>
      <c r="G57" s="142"/>
      <c r="H57" s="142"/>
      <c r="I57" s="143"/>
      <c r="J57" s="145">
        <v>6.4</v>
      </c>
      <c r="L57" s="131"/>
      <c r="M57" s="131"/>
      <c r="N57" s="131"/>
    </row>
    <row r="58" spans="1:14" s="130" customFormat="1">
      <c r="A58" s="127">
        <v>3</v>
      </c>
      <c r="B58" s="332" t="s">
        <v>46</v>
      </c>
      <c r="C58" s="332"/>
      <c r="D58" s="332"/>
      <c r="E58" s="141"/>
      <c r="F58" s="142"/>
      <c r="G58" s="142"/>
      <c r="H58" s="142"/>
      <c r="I58" s="143"/>
      <c r="J58" s="146">
        <v>10.977</v>
      </c>
      <c r="L58" s="131"/>
      <c r="M58" s="131"/>
      <c r="N58" s="131"/>
    </row>
    <row r="59" spans="1:14" s="130" customFormat="1">
      <c r="A59" s="127">
        <v>4</v>
      </c>
      <c r="B59" s="332" t="s">
        <v>89</v>
      </c>
      <c r="C59" s="332"/>
      <c r="D59" s="332"/>
      <c r="E59" s="141"/>
      <c r="F59" s="142"/>
      <c r="G59" s="142"/>
      <c r="H59" s="142"/>
      <c r="I59" s="143"/>
      <c r="J59" s="145">
        <v>6.3</v>
      </c>
      <c r="L59" s="131"/>
      <c r="M59" s="131"/>
      <c r="N59" s="131"/>
    </row>
    <row r="60" spans="1:14" s="130" customFormat="1">
      <c r="A60" s="127">
        <v>5</v>
      </c>
      <c r="B60" s="332" t="s">
        <v>112</v>
      </c>
      <c r="C60" s="332"/>
      <c r="D60" s="332"/>
      <c r="E60" s="141"/>
      <c r="F60" s="142"/>
      <c r="G60" s="142"/>
      <c r="H60" s="142"/>
      <c r="I60" s="143"/>
      <c r="J60" s="145">
        <v>7.5</v>
      </c>
      <c r="L60" s="131"/>
      <c r="M60" s="131"/>
      <c r="N60" s="131"/>
    </row>
    <row r="61" spans="1:14" s="130" customFormat="1">
      <c r="A61" s="127">
        <v>6</v>
      </c>
      <c r="B61" s="332" t="s">
        <v>71</v>
      </c>
      <c r="C61" s="332"/>
      <c r="D61" s="332"/>
      <c r="E61" s="141"/>
      <c r="F61" s="142"/>
      <c r="G61" s="142"/>
      <c r="H61" s="142"/>
      <c r="I61" s="143"/>
      <c r="J61" s="147">
        <v>5.28</v>
      </c>
      <c r="L61" s="131"/>
      <c r="M61" s="131"/>
      <c r="N61" s="131"/>
    </row>
    <row r="62" spans="1:14" s="130" customFormat="1">
      <c r="A62" s="127">
        <v>7</v>
      </c>
      <c r="B62" s="332" t="s">
        <v>74</v>
      </c>
      <c r="C62" s="332"/>
      <c r="D62" s="332"/>
      <c r="E62" s="141"/>
      <c r="F62" s="142"/>
      <c r="G62" s="142"/>
      <c r="H62" s="142"/>
      <c r="I62" s="143"/>
      <c r="J62" s="146">
        <v>7.3220000000000001</v>
      </c>
      <c r="L62" s="131"/>
      <c r="M62" s="131"/>
      <c r="N62" s="131"/>
    </row>
    <row r="63" spans="1:14" s="130" customFormat="1">
      <c r="A63" s="127">
        <v>8</v>
      </c>
      <c r="B63" s="332" t="s">
        <v>94</v>
      </c>
      <c r="C63" s="332"/>
      <c r="D63" s="332"/>
      <c r="E63" s="141"/>
      <c r="F63" s="142"/>
      <c r="G63" s="142"/>
      <c r="H63" s="142"/>
      <c r="I63" s="143"/>
      <c r="J63" s="147">
        <v>8.1199999999999992</v>
      </c>
      <c r="L63" s="131"/>
      <c r="M63" s="131"/>
      <c r="N63" s="131"/>
    </row>
    <row r="64" spans="1:14" s="130" customFormat="1">
      <c r="A64" s="127">
        <v>9</v>
      </c>
      <c r="B64" s="333" t="s">
        <v>113</v>
      </c>
      <c r="C64" s="333"/>
      <c r="D64" s="333"/>
      <c r="E64" s="334"/>
      <c r="F64" s="142"/>
      <c r="G64" s="142"/>
      <c r="H64" s="142"/>
      <c r="I64" s="143"/>
      <c r="J64" s="145">
        <v>24.3</v>
      </c>
      <c r="L64" s="131"/>
      <c r="M64" s="131"/>
      <c r="N64" s="131"/>
    </row>
    <row r="65" spans="1:14" s="130" customFormat="1">
      <c r="A65" s="127">
        <v>10</v>
      </c>
      <c r="B65" s="333" t="s">
        <v>97</v>
      </c>
      <c r="C65" s="333"/>
      <c r="D65" s="333"/>
      <c r="E65" s="334"/>
      <c r="F65" s="142"/>
      <c r="G65" s="142"/>
      <c r="H65" s="142"/>
      <c r="I65" s="143"/>
      <c r="J65" s="146">
        <v>17.638000000000002</v>
      </c>
      <c r="L65" s="131"/>
      <c r="M65" s="131"/>
      <c r="N65" s="131"/>
    </row>
    <row r="66" spans="1:14" s="130" customFormat="1">
      <c r="A66" s="127">
        <v>11</v>
      </c>
      <c r="B66" s="333" t="s">
        <v>114</v>
      </c>
      <c r="C66" s="333"/>
      <c r="D66" s="333"/>
      <c r="E66" s="334"/>
      <c r="F66" s="142"/>
      <c r="G66" s="142"/>
      <c r="H66" s="142"/>
      <c r="I66" s="143"/>
      <c r="J66" s="144">
        <v>5</v>
      </c>
      <c r="L66" s="131"/>
      <c r="M66" s="131"/>
      <c r="N66" s="131"/>
    </row>
    <row r="67" spans="1:14" s="130" customFormat="1">
      <c r="A67" s="127">
        <v>12</v>
      </c>
      <c r="B67" s="333" t="s">
        <v>115</v>
      </c>
      <c r="C67" s="333"/>
      <c r="D67" s="333"/>
      <c r="E67" s="334"/>
      <c r="F67" s="142"/>
      <c r="G67" s="142"/>
      <c r="H67" s="142"/>
      <c r="I67" s="143"/>
      <c r="J67" s="145">
        <v>5.6</v>
      </c>
      <c r="L67" s="131"/>
      <c r="M67" s="131"/>
      <c r="N67" s="131"/>
    </row>
    <row r="68" spans="1:14" s="130" customFormat="1">
      <c r="A68" s="127">
        <v>13</v>
      </c>
      <c r="B68" s="333" t="s">
        <v>98</v>
      </c>
      <c r="C68" s="333"/>
      <c r="D68" s="333"/>
      <c r="E68" s="334"/>
      <c r="F68" s="142"/>
      <c r="G68" s="142"/>
      <c r="H68" s="142"/>
      <c r="I68" s="143"/>
      <c r="J68" s="146">
        <v>14.897</v>
      </c>
      <c r="L68" s="131"/>
      <c r="M68" s="131"/>
      <c r="N68" s="131"/>
    </row>
    <row r="69" spans="1:14" s="130" customFormat="1">
      <c r="A69" s="127">
        <v>14</v>
      </c>
      <c r="B69" s="333" t="s">
        <v>116</v>
      </c>
      <c r="C69" s="333"/>
      <c r="D69" s="333"/>
      <c r="E69" s="334"/>
      <c r="F69" s="142"/>
      <c r="G69" s="142"/>
      <c r="H69" s="142"/>
      <c r="I69" s="143"/>
      <c r="J69" s="145">
        <v>5.4</v>
      </c>
      <c r="L69" s="131"/>
      <c r="M69" s="131"/>
      <c r="N69" s="131"/>
    </row>
    <row r="70" spans="1:14" s="130" customFormat="1">
      <c r="A70" s="127">
        <v>15</v>
      </c>
      <c r="B70" s="333" t="s">
        <v>117</v>
      </c>
      <c r="C70" s="333"/>
      <c r="D70" s="333"/>
      <c r="E70" s="334"/>
      <c r="F70" s="142"/>
      <c r="G70" s="142"/>
      <c r="H70" s="142"/>
      <c r="I70" s="143"/>
      <c r="J70" s="144">
        <v>18</v>
      </c>
      <c r="L70" s="131"/>
      <c r="M70" s="131"/>
      <c r="N70" s="131"/>
    </row>
    <row r="71" spans="1:14" s="130" customFormat="1">
      <c r="A71" s="127">
        <v>16</v>
      </c>
      <c r="B71" s="333" t="s">
        <v>105</v>
      </c>
      <c r="C71" s="333"/>
      <c r="D71" s="333"/>
      <c r="E71" s="334"/>
      <c r="F71" s="142"/>
      <c r="G71" s="142"/>
      <c r="H71" s="142"/>
      <c r="I71" s="143"/>
      <c r="J71" s="146">
        <v>3.4039999999999999</v>
      </c>
      <c r="L71" s="131"/>
      <c r="M71" s="131"/>
      <c r="N71" s="131"/>
    </row>
    <row r="72" spans="1:14" s="130" customFormat="1">
      <c r="A72" s="127">
        <v>17</v>
      </c>
      <c r="B72" s="333" t="s">
        <v>50</v>
      </c>
      <c r="C72" s="333"/>
      <c r="D72" s="333"/>
      <c r="E72" s="334"/>
      <c r="F72" s="142"/>
      <c r="G72" s="142"/>
      <c r="H72" s="142"/>
      <c r="I72" s="143"/>
      <c r="J72" s="144">
        <v>10</v>
      </c>
      <c r="L72" s="131"/>
      <c r="M72" s="131"/>
      <c r="N72" s="131"/>
    </row>
    <row r="73" spans="1:14" s="4" customFormat="1" ht="15" customHeight="1">
      <c r="A73" s="136">
        <v>18</v>
      </c>
      <c r="B73" s="333" t="s">
        <v>88</v>
      </c>
      <c r="C73" s="333"/>
      <c r="D73" s="333"/>
      <c r="E73" s="334"/>
      <c r="F73" s="142"/>
      <c r="G73" s="142"/>
      <c r="H73" s="142"/>
      <c r="I73" s="143"/>
      <c r="J73" s="145">
        <v>6.4</v>
      </c>
      <c r="L73" s="2"/>
      <c r="M73" s="2"/>
      <c r="N73" s="2"/>
    </row>
    <row r="74" spans="1:14" s="4" customFormat="1" ht="15" customHeight="1">
      <c r="A74" s="136">
        <v>19</v>
      </c>
      <c r="B74" s="333" t="s">
        <v>46</v>
      </c>
      <c r="C74" s="333"/>
      <c r="D74" s="333"/>
      <c r="E74" s="334"/>
      <c r="F74" s="142"/>
      <c r="G74" s="142"/>
      <c r="H74" s="142"/>
      <c r="I74" s="143"/>
      <c r="J74" s="146">
        <v>10.977</v>
      </c>
      <c r="L74" s="2"/>
      <c r="M74" s="2"/>
      <c r="N74" s="2"/>
    </row>
    <row r="75" spans="1:14" s="4" customFormat="1" ht="15" customHeight="1">
      <c r="A75" s="136">
        <v>20</v>
      </c>
      <c r="B75" s="333" t="s">
        <v>89</v>
      </c>
      <c r="C75" s="333"/>
      <c r="D75" s="333"/>
      <c r="E75" s="334"/>
      <c r="F75" s="142"/>
      <c r="G75" s="142"/>
      <c r="H75" s="142"/>
      <c r="I75" s="143"/>
      <c r="J75" s="145">
        <v>6.3</v>
      </c>
      <c r="L75" s="2"/>
      <c r="M75" s="2"/>
      <c r="N75" s="2"/>
    </row>
    <row r="76" spans="1:14" s="4" customFormat="1" ht="15" customHeight="1">
      <c r="A76" s="136">
        <v>21</v>
      </c>
      <c r="B76" s="333" t="s">
        <v>112</v>
      </c>
      <c r="C76" s="333"/>
      <c r="D76" s="333"/>
      <c r="E76" s="334"/>
      <c r="F76" s="142"/>
      <c r="G76" s="142"/>
      <c r="H76" s="142"/>
      <c r="I76" s="143"/>
      <c r="J76" s="145">
        <v>7.5</v>
      </c>
      <c r="L76" s="2"/>
      <c r="M76" s="2"/>
      <c r="N76" s="2"/>
    </row>
    <row r="77" spans="1:14" s="4" customFormat="1" ht="15" customHeight="1">
      <c r="A77" s="136">
        <v>22</v>
      </c>
      <c r="B77" s="333" t="s">
        <v>71</v>
      </c>
      <c r="C77" s="333"/>
      <c r="D77" s="333"/>
      <c r="E77" s="334"/>
      <c r="F77" s="142"/>
      <c r="G77" s="142"/>
      <c r="H77" s="142"/>
      <c r="I77" s="143"/>
      <c r="J77" s="147">
        <v>5.28</v>
      </c>
      <c r="L77" s="2"/>
      <c r="M77" s="2"/>
      <c r="N77" s="2"/>
    </row>
    <row r="78" spans="1:14" s="4" customFormat="1" ht="15" customHeight="1">
      <c r="A78" s="136">
        <v>23</v>
      </c>
      <c r="B78" s="333" t="s">
        <v>118</v>
      </c>
      <c r="C78" s="333"/>
      <c r="D78" s="333"/>
      <c r="E78" s="334"/>
      <c r="F78" s="142"/>
      <c r="G78" s="142"/>
      <c r="H78" s="142"/>
      <c r="I78" s="143"/>
      <c r="J78" s="145">
        <v>0.4</v>
      </c>
      <c r="L78" s="2"/>
      <c r="M78" s="2"/>
      <c r="N78" s="2"/>
    </row>
    <row r="79" spans="1:14" s="4" customFormat="1" ht="15" customHeight="1">
      <c r="A79" s="136">
        <v>24</v>
      </c>
      <c r="B79" s="333" t="s">
        <v>74</v>
      </c>
      <c r="C79" s="333"/>
      <c r="D79" s="333"/>
      <c r="E79" s="334"/>
      <c r="F79" s="142"/>
      <c r="G79" s="142"/>
      <c r="H79" s="142"/>
      <c r="I79" s="143"/>
      <c r="J79" s="146">
        <v>7.3220000000000001</v>
      </c>
      <c r="L79" s="2"/>
      <c r="M79" s="2"/>
      <c r="N79" s="2"/>
    </row>
    <row r="80" spans="1:14" s="4" customFormat="1" ht="15" customHeight="1">
      <c r="A80" s="136">
        <v>25</v>
      </c>
      <c r="B80" s="333" t="s">
        <v>94</v>
      </c>
      <c r="C80" s="333"/>
      <c r="D80" s="333"/>
      <c r="E80" s="334"/>
      <c r="F80" s="142"/>
      <c r="G80" s="142"/>
      <c r="H80" s="142"/>
      <c r="I80" s="143"/>
      <c r="J80" s="147">
        <v>8.1199999999999992</v>
      </c>
      <c r="L80" s="2"/>
      <c r="M80" s="2"/>
      <c r="N80" s="2"/>
    </row>
    <row r="81" spans="1:14" s="4" customFormat="1" ht="15" customHeight="1">
      <c r="A81" s="136">
        <v>26</v>
      </c>
      <c r="B81" s="333" t="s">
        <v>119</v>
      </c>
      <c r="C81" s="333"/>
      <c r="D81" s="333"/>
      <c r="E81" s="334"/>
      <c r="F81" s="142"/>
      <c r="G81" s="142"/>
      <c r="H81" s="142"/>
      <c r="I81" s="143"/>
      <c r="J81" s="144">
        <v>9</v>
      </c>
      <c r="L81" s="2"/>
      <c r="M81" s="2"/>
      <c r="N81" s="2"/>
    </row>
    <row r="82" spans="1:14" s="4" customFormat="1" ht="15" customHeight="1">
      <c r="A82" s="136">
        <v>27</v>
      </c>
      <c r="B82" s="333" t="s">
        <v>120</v>
      </c>
      <c r="C82" s="333"/>
      <c r="D82" s="333"/>
      <c r="E82" s="334"/>
      <c r="F82" s="142"/>
      <c r="G82" s="142"/>
      <c r="H82" s="142"/>
      <c r="I82" s="143"/>
      <c r="J82" s="145">
        <v>13.3</v>
      </c>
      <c r="L82" s="2"/>
      <c r="M82" s="2"/>
      <c r="N82" s="2"/>
    </row>
    <row r="83" spans="1:14" s="4" customFormat="1" ht="15" customHeight="1">
      <c r="A83" s="136">
        <v>28</v>
      </c>
      <c r="B83" s="333" t="s">
        <v>121</v>
      </c>
      <c r="C83" s="333"/>
      <c r="D83" s="333"/>
      <c r="E83" s="334"/>
      <c r="F83" s="142"/>
      <c r="G83" s="142"/>
      <c r="H83" s="142"/>
      <c r="I83" s="143"/>
      <c r="J83" s="145">
        <v>33.6</v>
      </c>
      <c r="L83" s="2"/>
      <c r="M83" s="2"/>
      <c r="N83" s="2"/>
    </row>
    <row r="84" spans="1:14" s="4" customFormat="1" ht="15" customHeight="1">
      <c r="A84" s="136">
        <v>29</v>
      </c>
      <c r="B84" s="333" t="s">
        <v>109</v>
      </c>
      <c r="C84" s="333"/>
      <c r="D84" s="333"/>
      <c r="E84" s="334"/>
      <c r="F84" s="142"/>
      <c r="G84" s="142"/>
      <c r="H84" s="142"/>
      <c r="I84" s="143"/>
      <c r="J84" s="144">
        <v>32</v>
      </c>
      <c r="L84" s="2"/>
      <c r="M84" s="2"/>
      <c r="N84" s="2"/>
    </row>
    <row r="85" spans="1:14" s="4" customFormat="1" ht="15" customHeight="1">
      <c r="A85" s="136">
        <v>30</v>
      </c>
      <c r="B85" s="330"/>
      <c r="C85" s="330"/>
      <c r="D85" s="331"/>
      <c r="E85" s="125"/>
      <c r="F85" s="125"/>
      <c r="G85" s="125"/>
      <c r="H85" s="125"/>
      <c r="I85" s="126"/>
      <c r="J85" s="138"/>
      <c r="L85" s="2"/>
      <c r="M85" s="2"/>
      <c r="N85" s="2"/>
    </row>
    <row r="86" spans="1:14" s="4" customFormat="1" ht="15" customHeight="1">
      <c r="A86" s="136">
        <v>31</v>
      </c>
      <c r="B86" s="330"/>
      <c r="C86" s="330"/>
      <c r="D86" s="331"/>
      <c r="E86" s="125"/>
      <c r="F86" s="125"/>
      <c r="G86" s="125"/>
      <c r="H86" s="125"/>
      <c r="I86" s="126"/>
      <c r="J86" s="137"/>
      <c r="L86" s="2"/>
      <c r="M86" s="2"/>
      <c r="N86" s="2"/>
    </row>
    <row r="87" spans="1:14" s="4" customFormat="1">
      <c r="A87" s="110">
        <v>32</v>
      </c>
      <c r="B87" s="324"/>
      <c r="C87" s="324"/>
      <c r="D87" s="324"/>
      <c r="E87" s="324"/>
      <c r="F87" s="324"/>
      <c r="G87" s="324"/>
      <c r="H87" s="324"/>
      <c r="I87" s="324"/>
      <c r="J87" s="111"/>
      <c r="L87" s="2"/>
      <c r="M87" s="2"/>
      <c r="N87" s="2"/>
    </row>
    <row r="88" spans="1:14" s="4" customFormat="1">
      <c r="A88" s="110">
        <v>33</v>
      </c>
      <c r="B88" s="324"/>
      <c r="C88" s="324"/>
      <c r="D88" s="324"/>
      <c r="E88" s="324"/>
      <c r="F88" s="324"/>
      <c r="G88" s="324"/>
      <c r="H88" s="324"/>
      <c r="I88" s="324"/>
      <c r="J88" s="111"/>
      <c r="L88" s="2"/>
      <c r="M88" s="2"/>
      <c r="N88" s="2"/>
    </row>
    <row r="89" spans="1:14" s="4" customFormat="1">
      <c r="A89" s="110">
        <v>34</v>
      </c>
      <c r="B89" s="324"/>
      <c r="C89" s="324"/>
      <c r="D89" s="324"/>
      <c r="E89" s="324"/>
      <c r="F89" s="324"/>
      <c r="G89" s="324"/>
      <c r="H89" s="324"/>
      <c r="I89" s="324"/>
      <c r="J89" s="111"/>
      <c r="L89" s="2"/>
      <c r="M89" s="2"/>
      <c r="N89" s="2"/>
    </row>
    <row r="90" spans="1:14" s="4" customFormat="1">
      <c r="A90" s="110">
        <v>35</v>
      </c>
      <c r="B90" s="324"/>
      <c r="C90" s="324"/>
      <c r="D90" s="324"/>
      <c r="E90" s="324"/>
      <c r="F90" s="324"/>
      <c r="G90" s="324"/>
      <c r="H90" s="324"/>
      <c r="I90" s="324"/>
      <c r="J90" s="111"/>
      <c r="L90" s="2"/>
      <c r="M90" s="2"/>
      <c r="N90" s="2"/>
    </row>
    <row r="91" spans="1:14" s="4" customFormat="1">
      <c r="A91" s="110">
        <v>36</v>
      </c>
      <c r="B91" s="324"/>
      <c r="C91" s="324"/>
      <c r="D91" s="324"/>
      <c r="E91" s="324"/>
      <c r="F91" s="324"/>
      <c r="G91" s="324"/>
      <c r="H91" s="324"/>
      <c r="I91" s="324"/>
      <c r="J91" s="111"/>
      <c r="L91" s="2"/>
      <c r="M91" s="2"/>
      <c r="N91" s="2"/>
    </row>
    <row r="92" spans="1:14" s="4" customFormat="1" ht="15.75" thickBot="1">
      <c r="A92" s="108"/>
      <c r="B92" s="325" t="s">
        <v>15</v>
      </c>
      <c r="C92" s="326"/>
      <c r="D92" s="326"/>
      <c r="E92" s="326"/>
      <c r="F92" s="326"/>
      <c r="G92" s="326"/>
      <c r="H92" s="326"/>
      <c r="I92" s="327"/>
      <c r="J92" s="109">
        <f>SUM(J56:J91)</f>
        <v>306.33700000000005</v>
      </c>
      <c r="L92" s="2"/>
      <c r="M92" s="2"/>
      <c r="N92" s="2"/>
    </row>
  </sheetData>
  <mergeCells count="102">
    <mergeCell ref="B92:I92"/>
    <mergeCell ref="B86:D86"/>
    <mergeCell ref="B87:I87"/>
    <mergeCell ref="B88:I88"/>
    <mergeCell ref="B89:I89"/>
    <mergeCell ref="B90:I90"/>
    <mergeCell ref="B91:I91"/>
    <mergeCell ref="B80:E80"/>
    <mergeCell ref="B81:E81"/>
    <mergeCell ref="B82:E82"/>
    <mergeCell ref="B83:E83"/>
    <mergeCell ref="B84:E84"/>
    <mergeCell ref="B85:D85"/>
    <mergeCell ref="B74:E74"/>
    <mergeCell ref="B75:E75"/>
    <mergeCell ref="B76:E76"/>
    <mergeCell ref="B77:E77"/>
    <mergeCell ref="B78:E78"/>
    <mergeCell ref="B79:E79"/>
    <mergeCell ref="B68:E68"/>
    <mergeCell ref="B69:E69"/>
    <mergeCell ref="B70:E70"/>
    <mergeCell ref="B71:E71"/>
    <mergeCell ref="B72:E72"/>
    <mergeCell ref="B73:E73"/>
    <mergeCell ref="B62:D62"/>
    <mergeCell ref="B63:D63"/>
    <mergeCell ref="B64:E64"/>
    <mergeCell ref="B65:E65"/>
    <mergeCell ref="B66:E66"/>
    <mergeCell ref="B67:E67"/>
    <mergeCell ref="B56:D56"/>
    <mergeCell ref="B57:D57"/>
    <mergeCell ref="B58:D58"/>
    <mergeCell ref="B59:D59"/>
    <mergeCell ref="B60:D60"/>
    <mergeCell ref="B61:D61"/>
    <mergeCell ref="C51:D51"/>
    <mergeCell ref="E51:F51"/>
    <mergeCell ref="G51:H51"/>
    <mergeCell ref="I51:J51"/>
    <mergeCell ref="A54:J54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E47:F47"/>
    <mergeCell ref="G47:H47"/>
    <mergeCell ref="I47:J47"/>
    <mergeCell ref="C48:D48"/>
    <mergeCell ref="E48:F48"/>
    <mergeCell ref="G48:H48"/>
    <mergeCell ref="I48:J48"/>
    <mergeCell ref="L41:M41"/>
    <mergeCell ref="L42:M42"/>
    <mergeCell ref="L43:M43"/>
    <mergeCell ref="A44:E44"/>
    <mergeCell ref="G44:L44"/>
    <mergeCell ref="A46:J46"/>
    <mergeCell ref="K35:K36"/>
    <mergeCell ref="L35:M36"/>
    <mergeCell ref="L37:M37"/>
    <mergeCell ref="L38:M38"/>
    <mergeCell ref="L39:M39"/>
    <mergeCell ref="L40:M40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24:I24"/>
    <mergeCell ref="A31:C31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A1:C1"/>
    <mergeCell ref="E1:H1"/>
    <mergeCell ref="J1:K1"/>
    <mergeCell ref="A2:C2"/>
    <mergeCell ref="F2:H2"/>
    <mergeCell ref="J2:K2"/>
    <mergeCell ref="J6:J7"/>
    <mergeCell ref="K6:L6"/>
    <mergeCell ref="A21:F21"/>
  </mergeCells>
  <pageMargins left="0" right="0" top="0.59055118110236204" bottom="0" header="0" footer="0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N122"/>
  <sheetViews>
    <sheetView zoomScale="85" zoomScaleNormal="85" workbookViewId="0">
      <pane xSplit="3" topLeftCell="D1" activePane="topRight" state="frozen"/>
      <selection pane="topRight" activeCell="J9" sqref="J9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8" width="10.7109375" style="5" customWidth="1"/>
    <col min="9" max="9" width="23.855468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42" t="s">
        <v>51</v>
      </c>
      <c r="B1" s="242"/>
      <c r="C1" s="242"/>
      <c r="D1" s="1"/>
      <c r="E1" s="242" t="s">
        <v>24</v>
      </c>
      <c r="F1" s="242"/>
      <c r="G1" s="242"/>
      <c r="H1" s="242"/>
      <c r="I1" s="114"/>
      <c r="J1" s="243">
        <v>4</v>
      </c>
      <c r="K1" s="243"/>
    </row>
    <row r="2" spans="1:12" ht="28.5">
      <c r="A2" s="244">
        <v>46317</v>
      </c>
      <c r="B2" s="245"/>
      <c r="C2" s="245"/>
      <c r="D2" s="3"/>
      <c r="E2" s="3"/>
      <c r="F2" s="246"/>
      <c r="G2" s="246"/>
      <c r="H2" s="246"/>
      <c r="I2" s="115"/>
      <c r="J2" s="246"/>
      <c r="K2" s="246"/>
    </row>
    <row r="3" spans="1:12" ht="27" thickBot="1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12" ht="18" customHeight="1">
      <c r="A4" s="258" t="s">
        <v>25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60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1" t="s">
        <v>1</v>
      </c>
      <c r="B6" s="262" t="s">
        <v>2</v>
      </c>
      <c r="C6" s="262" t="s">
        <v>3</v>
      </c>
      <c r="D6" s="262" t="s">
        <v>4</v>
      </c>
      <c r="E6" s="116" t="s">
        <v>5</v>
      </c>
      <c r="F6" s="262" t="s">
        <v>6</v>
      </c>
      <c r="G6" s="263" t="s">
        <v>7</v>
      </c>
      <c r="H6" s="264" t="s">
        <v>8</v>
      </c>
      <c r="I6" s="262" t="s">
        <v>9</v>
      </c>
      <c r="J6" s="247" t="s">
        <v>30</v>
      </c>
      <c r="K6" s="249" t="s">
        <v>10</v>
      </c>
      <c r="L6" s="250"/>
    </row>
    <row r="7" spans="1:12" s="8" customFormat="1" ht="63.6" customHeight="1">
      <c r="A7" s="261"/>
      <c r="B7" s="262"/>
      <c r="C7" s="262"/>
      <c r="D7" s="262"/>
      <c r="E7" s="116" t="s">
        <v>11</v>
      </c>
      <c r="F7" s="262"/>
      <c r="G7" s="263"/>
      <c r="H7" s="264"/>
      <c r="I7" s="262"/>
      <c r="J7" s="248"/>
      <c r="K7" s="116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0.30208333333333331</v>
      </c>
      <c r="G8" s="22">
        <v>12</v>
      </c>
      <c r="H8" s="26">
        <v>998.05899999999997</v>
      </c>
      <c r="I8" s="23">
        <v>0.625</v>
      </c>
      <c r="J8" s="21">
        <f>I8-F8</f>
        <v>0.32291666666666669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0.2986111111111111</v>
      </c>
      <c r="G9" s="22">
        <v>23</v>
      </c>
      <c r="H9" s="26">
        <v>657.12</v>
      </c>
      <c r="I9" s="23">
        <v>0.63194444444444442</v>
      </c>
      <c r="J9" s="21">
        <f t="shared" ref="J9:J11" si="0">I9-F9</f>
        <v>0.33333333333333331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0.3263888888888889</v>
      </c>
      <c r="G10" s="22">
        <v>15</v>
      </c>
      <c r="H10" s="26">
        <v>841.38900000000001</v>
      </c>
      <c r="I10" s="23">
        <v>0.65277777777777779</v>
      </c>
      <c r="J10" s="21">
        <f t="shared" si="0"/>
        <v>0.3263888888888889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0.31944444444444448</v>
      </c>
      <c r="G11" s="22">
        <v>35</v>
      </c>
      <c r="H11" s="26">
        <v>816.76099999999997</v>
      </c>
      <c r="I11" s="23">
        <v>0.61805555555555558</v>
      </c>
      <c r="J11" s="21">
        <f t="shared" si="0"/>
        <v>0.2986111111111111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1" t="s">
        <v>15</v>
      </c>
      <c r="B21" s="252"/>
      <c r="C21" s="252"/>
      <c r="D21" s="252"/>
      <c r="E21" s="252"/>
      <c r="F21" s="253"/>
      <c r="G21" s="70">
        <f>SUM(G8:G20)</f>
        <v>85</v>
      </c>
      <c r="H21" s="70">
        <f>SUM(H8:H20)</f>
        <v>3313.3290000000002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>
        <f>SUM(N49)</f>
        <v>0</v>
      </c>
    </row>
    <row r="24" spans="1:14" ht="18.75">
      <c r="A24" s="254" t="s">
        <v>26</v>
      </c>
      <c r="B24" s="255"/>
      <c r="C24" s="255"/>
      <c r="D24" s="255"/>
      <c r="E24" s="255"/>
      <c r="F24" s="255"/>
      <c r="G24" s="255"/>
      <c r="H24" s="255"/>
      <c r="I24" s="256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16" t="s">
        <v>2</v>
      </c>
      <c r="C26" s="116" t="s">
        <v>3</v>
      </c>
      <c r="D26" s="116" t="s">
        <v>27</v>
      </c>
      <c r="E26" s="116" t="s">
        <v>6</v>
      </c>
      <c r="F26" s="116" t="s">
        <v>28</v>
      </c>
      <c r="G26" s="116" t="s">
        <v>8</v>
      </c>
      <c r="H26" s="116" t="s">
        <v>31</v>
      </c>
      <c r="I26" s="31" t="s">
        <v>30</v>
      </c>
      <c r="J26" s="8"/>
      <c r="K26" s="8"/>
      <c r="L26" s="8"/>
      <c r="N26" s="43"/>
    </row>
    <row r="27" spans="1:14">
      <c r="A27" s="57"/>
      <c r="B27" s="56"/>
      <c r="C27" s="55"/>
      <c r="D27" s="39"/>
      <c r="E27" s="38"/>
      <c r="F27" s="22"/>
      <c r="G27" s="26"/>
      <c r="H27" s="35"/>
      <c r="I27" s="36"/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1" t="s">
        <v>15</v>
      </c>
      <c r="B31" s="252"/>
      <c r="C31" s="253"/>
      <c r="D31" s="10"/>
      <c r="E31" s="32"/>
      <c r="F31" s="32">
        <f>SUM(F30:F30)</f>
        <v>0</v>
      </c>
      <c r="G31" s="32">
        <f>SUM(G27:G30)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4" t="s">
        <v>12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78">
        <v>12</v>
      </c>
      <c r="M34" s="279"/>
    </row>
    <row r="35" spans="1:13" ht="75">
      <c r="A35" s="280" t="s">
        <v>1</v>
      </c>
      <c r="B35" s="265" t="s">
        <v>2</v>
      </c>
      <c r="C35" s="265" t="s">
        <v>3</v>
      </c>
      <c r="D35" s="265" t="s">
        <v>4</v>
      </c>
      <c r="E35" s="97" t="s">
        <v>5</v>
      </c>
      <c r="F35" s="265" t="s">
        <v>14</v>
      </c>
      <c r="G35" s="265" t="s">
        <v>13</v>
      </c>
      <c r="H35" s="265" t="s">
        <v>37</v>
      </c>
      <c r="I35" s="265" t="s">
        <v>39</v>
      </c>
      <c r="J35" s="265" t="s">
        <v>38</v>
      </c>
      <c r="K35" s="265" t="s">
        <v>40</v>
      </c>
      <c r="L35" s="266" t="s">
        <v>36</v>
      </c>
      <c r="M35" s="267"/>
    </row>
    <row r="36" spans="1:13" ht="75">
      <c r="A36" s="281"/>
      <c r="B36" s="248"/>
      <c r="C36" s="248"/>
      <c r="D36" s="248"/>
      <c r="E36" s="117" t="s">
        <v>11</v>
      </c>
      <c r="F36" s="248"/>
      <c r="G36" s="248"/>
      <c r="H36" s="248"/>
      <c r="I36" s="248"/>
      <c r="J36" s="248"/>
      <c r="K36" s="248"/>
      <c r="L36" s="268"/>
      <c r="M36" s="269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70"/>
      <c r="M37" s="271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72"/>
      <c r="M38" s="273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74"/>
      <c r="M39" s="275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76"/>
      <c r="M40" s="277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90"/>
      <c r="M41" s="291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92"/>
      <c r="M42" s="293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94"/>
      <c r="M43" s="295"/>
    </row>
    <row r="44" spans="1:13" ht="15.75" thickBot="1">
      <c r="A44" s="296" t="s">
        <v>15</v>
      </c>
      <c r="B44" s="297"/>
      <c r="C44" s="297"/>
      <c r="D44" s="297"/>
      <c r="E44" s="298"/>
      <c r="F44" s="96"/>
      <c r="G44" s="299">
        <f>SUM(G37:G43)</f>
        <v>0</v>
      </c>
      <c r="H44" s="300"/>
      <c r="I44" s="300"/>
      <c r="J44" s="300"/>
      <c r="K44" s="300"/>
      <c r="L44" s="301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302" t="s">
        <v>16</v>
      </c>
      <c r="B46" s="303"/>
      <c r="C46" s="303"/>
      <c r="D46" s="303"/>
      <c r="E46" s="303"/>
      <c r="F46" s="303"/>
      <c r="G46" s="303"/>
      <c r="H46" s="303"/>
      <c r="I46" s="303"/>
      <c r="J46" s="304"/>
      <c r="K46" s="2"/>
    </row>
    <row r="47" spans="1:13" ht="30">
      <c r="A47" s="50"/>
      <c r="B47" s="18"/>
      <c r="C47" s="118"/>
      <c r="D47" s="118" t="s">
        <v>17</v>
      </c>
      <c r="E47" s="282" t="s">
        <v>18</v>
      </c>
      <c r="F47" s="282"/>
      <c r="G47" s="282" t="s">
        <v>19</v>
      </c>
      <c r="H47" s="282"/>
      <c r="I47" s="282" t="s">
        <v>29</v>
      </c>
      <c r="J47" s="283"/>
      <c r="K47" s="2"/>
    </row>
    <row r="48" spans="1:13">
      <c r="A48" s="50"/>
      <c r="B48" s="24" t="s">
        <v>20</v>
      </c>
      <c r="C48" s="284">
        <v>1917.5</v>
      </c>
      <c r="D48" s="285"/>
      <c r="E48" s="286">
        <v>1669.075</v>
      </c>
      <c r="F48" s="287"/>
      <c r="G48" s="286">
        <v>1669.075</v>
      </c>
      <c r="H48" s="287"/>
      <c r="I48" s="288">
        <v>28.26</v>
      </c>
      <c r="J48" s="289"/>
      <c r="K48" s="2"/>
    </row>
    <row r="49" spans="1:14">
      <c r="A49" s="51"/>
      <c r="B49" s="24" t="s">
        <v>21</v>
      </c>
      <c r="C49" s="284">
        <v>1007.66</v>
      </c>
      <c r="D49" s="285"/>
      <c r="E49" s="316">
        <v>873.78</v>
      </c>
      <c r="F49" s="317"/>
      <c r="G49" s="316">
        <v>873.78</v>
      </c>
      <c r="H49" s="317"/>
      <c r="I49" s="318">
        <v>50.61</v>
      </c>
      <c r="J49" s="319"/>
      <c r="K49" s="2"/>
    </row>
    <row r="50" spans="1:14" ht="15.75" thickBot="1">
      <c r="A50" s="51"/>
      <c r="B50" s="24" t="s">
        <v>22</v>
      </c>
      <c r="C50" s="320">
        <v>884.88</v>
      </c>
      <c r="D50" s="321"/>
      <c r="E50" s="322">
        <v>754.33</v>
      </c>
      <c r="F50" s="323"/>
      <c r="G50" s="322">
        <v>754.33</v>
      </c>
      <c r="H50" s="323"/>
      <c r="I50" s="318">
        <v>0</v>
      </c>
      <c r="J50" s="319"/>
      <c r="K50" s="2"/>
    </row>
    <row r="51" spans="1:14" ht="15.75" thickBot="1">
      <c r="A51" s="11"/>
      <c r="B51" s="12" t="s">
        <v>23</v>
      </c>
      <c r="C51" s="305">
        <f>SUM(C48:D50)</f>
        <v>3810.04</v>
      </c>
      <c r="D51" s="306"/>
      <c r="E51" s="307">
        <f>SUM(E48:E50)</f>
        <v>3297.1849999999999</v>
      </c>
      <c r="F51" s="308"/>
      <c r="G51" s="307">
        <f>G48+G49+G50</f>
        <v>3297.1849999999999</v>
      </c>
      <c r="H51" s="308"/>
      <c r="I51" s="307">
        <f>SUM(I48:J50)</f>
        <v>78.87</v>
      </c>
      <c r="J51" s="309"/>
      <c r="K51" s="2"/>
    </row>
    <row r="53" spans="1:14" ht="15.75" thickBot="1">
      <c r="E53" s="25"/>
    </row>
    <row r="54" spans="1:14" s="130" customFormat="1" ht="19.5" thickBot="1">
      <c r="A54" s="310" t="s">
        <v>32</v>
      </c>
      <c r="B54" s="311"/>
      <c r="C54" s="311"/>
      <c r="D54" s="311"/>
      <c r="E54" s="311"/>
      <c r="F54" s="311"/>
      <c r="G54" s="311"/>
      <c r="H54" s="311"/>
      <c r="I54" s="311"/>
      <c r="J54" s="312"/>
      <c r="L54" s="131"/>
      <c r="M54" s="131"/>
      <c r="N54" s="131"/>
    </row>
    <row r="55" spans="1:14" s="130" customFormat="1">
      <c r="A55" s="28" t="s">
        <v>33</v>
      </c>
      <c r="B55" s="313" t="s">
        <v>34</v>
      </c>
      <c r="C55" s="314"/>
      <c r="D55" s="314"/>
      <c r="E55" s="314"/>
      <c r="F55" s="314"/>
      <c r="G55" s="314"/>
      <c r="H55" s="314"/>
      <c r="I55" s="315"/>
      <c r="J55" s="52" t="s">
        <v>35</v>
      </c>
      <c r="L55" s="131"/>
      <c r="M55" s="131"/>
      <c r="N55" s="131"/>
    </row>
    <row r="56" spans="1:14" s="130" customFormat="1">
      <c r="A56" s="110">
        <v>1</v>
      </c>
      <c r="B56" s="335" t="s">
        <v>122</v>
      </c>
      <c r="C56" s="335"/>
      <c r="D56" s="335"/>
      <c r="E56" s="335"/>
      <c r="F56" s="335"/>
      <c r="G56" s="335"/>
      <c r="H56" s="335"/>
      <c r="I56" s="335"/>
      <c r="J56" s="133">
        <v>23.6</v>
      </c>
      <c r="L56" s="131"/>
      <c r="M56" s="131"/>
      <c r="N56" s="131"/>
    </row>
    <row r="57" spans="1:14" s="130" customFormat="1">
      <c r="A57" s="110">
        <v>2</v>
      </c>
      <c r="B57" s="335" t="s">
        <v>123</v>
      </c>
      <c r="C57" s="335"/>
      <c r="D57" s="335"/>
      <c r="E57" s="335"/>
      <c r="F57" s="335"/>
      <c r="G57" s="335"/>
      <c r="H57" s="335"/>
      <c r="I57" s="335"/>
      <c r="J57" s="133">
        <v>18.899999999999999</v>
      </c>
      <c r="L57" s="131"/>
      <c r="M57" s="131"/>
      <c r="N57" s="131"/>
    </row>
    <row r="58" spans="1:14" s="130" customFormat="1">
      <c r="A58" s="110">
        <v>3</v>
      </c>
      <c r="B58" s="335" t="s">
        <v>115</v>
      </c>
      <c r="C58" s="335"/>
      <c r="D58" s="335"/>
      <c r="E58" s="335"/>
      <c r="F58" s="338"/>
      <c r="G58" s="338"/>
      <c r="H58" s="338"/>
      <c r="I58" s="338"/>
      <c r="J58" s="133">
        <v>8.1999999999999993</v>
      </c>
      <c r="L58" s="131"/>
      <c r="M58" s="131"/>
      <c r="N58" s="131"/>
    </row>
    <row r="59" spans="1:14" s="130" customFormat="1">
      <c r="A59" s="110">
        <v>4</v>
      </c>
      <c r="B59" s="335" t="s">
        <v>98</v>
      </c>
      <c r="C59" s="335"/>
      <c r="D59" s="335"/>
      <c r="E59" s="335"/>
      <c r="F59" s="338"/>
      <c r="G59" s="338"/>
      <c r="H59" s="338"/>
      <c r="I59" s="338"/>
      <c r="J59" s="135">
        <v>22.28</v>
      </c>
      <c r="L59" s="131"/>
      <c r="M59" s="131"/>
      <c r="N59" s="131"/>
    </row>
    <row r="60" spans="1:14" s="4" customFormat="1" ht="15" customHeight="1">
      <c r="A60" s="110">
        <v>5</v>
      </c>
      <c r="B60" s="335" t="s">
        <v>99</v>
      </c>
      <c r="C60" s="335"/>
      <c r="D60" s="335"/>
      <c r="E60" s="335"/>
      <c r="F60" s="338"/>
      <c r="G60" s="338"/>
      <c r="H60" s="338"/>
      <c r="I60" s="338"/>
      <c r="J60" s="134">
        <v>6.1239999999999997</v>
      </c>
      <c r="L60" s="2"/>
      <c r="M60" s="2"/>
      <c r="N60" s="2"/>
    </row>
    <row r="61" spans="1:14" s="4" customFormat="1" ht="15" customHeight="1">
      <c r="A61" s="110">
        <v>6</v>
      </c>
      <c r="B61" s="335" t="s">
        <v>124</v>
      </c>
      <c r="C61" s="335"/>
      <c r="D61" s="335"/>
      <c r="E61" s="335"/>
      <c r="F61" s="335"/>
      <c r="G61" s="335"/>
      <c r="H61" s="335"/>
      <c r="I61" s="335"/>
      <c r="J61" s="133">
        <v>10.8</v>
      </c>
      <c r="L61" s="2"/>
      <c r="M61" s="2"/>
      <c r="N61" s="2"/>
    </row>
    <row r="62" spans="1:14" s="4" customFormat="1" ht="15" customHeight="1">
      <c r="A62" s="110">
        <v>7</v>
      </c>
      <c r="B62" s="335" t="s">
        <v>125</v>
      </c>
      <c r="C62" s="335"/>
      <c r="D62" s="335"/>
      <c r="E62" s="335"/>
      <c r="F62" s="338"/>
      <c r="G62" s="338"/>
      <c r="H62" s="338"/>
      <c r="I62" s="338"/>
      <c r="J62" s="133">
        <v>28.8</v>
      </c>
      <c r="L62" s="2"/>
      <c r="M62" s="2"/>
      <c r="N62" s="2"/>
    </row>
    <row r="63" spans="1:14" s="4" customFormat="1" ht="15" customHeight="1">
      <c r="A63" s="110">
        <v>8</v>
      </c>
      <c r="B63" s="335" t="s">
        <v>126</v>
      </c>
      <c r="C63" s="335"/>
      <c r="D63" s="335"/>
      <c r="E63" s="335"/>
      <c r="F63" s="338"/>
      <c r="G63" s="338"/>
      <c r="H63" s="338"/>
      <c r="I63" s="338"/>
      <c r="J63" s="134">
        <v>2.177</v>
      </c>
      <c r="L63" s="2"/>
      <c r="M63" s="2"/>
      <c r="N63" s="2"/>
    </row>
    <row r="64" spans="1:14" s="4" customFormat="1" ht="15" customHeight="1">
      <c r="A64" s="110">
        <v>9</v>
      </c>
      <c r="B64" s="335" t="s">
        <v>127</v>
      </c>
      <c r="C64" s="335"/>
      <c r="D64" s="335"/>
      <c r="E64" s="335"/>
      <c r="F64" s="338"/>
      <c r="G64" s="338"/>
      <c r="H64" s="338"/>
      <c r="I64" s="338"/>
      <c r="J64" s="134">
        <v>4.1589999999999998</v>
      </c>
      <c r="L64" s="2"/>
      <c r="M64" s="2"/>
      <c r="N64" s="2"/>
    </row>
    <row r="65" spans="1:14" s="4" customFormat="1" ht="15" customHeight="1">
      <c r="A65" s="110">
        <v>10</v>
      </c>
      <c r="B65" s="335" t="s">
        <v>128</v>
      </c>
      <c r="C65" s="335"/>
      <c r="D65" s="335"/>
      <c r="E65" s="335"/>
      <c r="F65" s="338"/>
      <c r="G65" s="338"/>
      <c r="H65" s="338"/>
      <c r="I65" s="338"/>
      <c r="J65" s="132">
        <v>4</v>
      </c>
      <c r="L65" s="2"/>
      <c r="M65" s="2"/>
      <c r="N65" s="2"/>
    </row>
    <row r="66" spans="1:14" s="4" customFormat="1" ht="15" customHeight="1">
      <c r="A66" s="110">
        <v>11</v>
      </c>
      <c r="B66" s="335" t="s">
        <v>117</v>
      </c>
      <c r="C66" s="335"/>
      <c r="D66" s="335"/>
      <c r="E66" s="335"/>
      <c r="F66" s="338"/>
      <c r="G66" s="338"/>
      <c r="H66" s="338"/>
      <c r="I66" s="338"/>
      <c r="J66" s="133">
        <v>46.2</v>
      </c>
      <c r="L66" s="2"/>
      <c r="M66" s="2"/>
      <c r="N66" s="2"/>
    </row>
    <row r="67" spans="1:14" s="4" customFormat="1" ht="15" customHeight="1">
      <c r="A67" s="110">
        <v>12</v>
      </c>
      <c r="B67" s="335" t="s">
        <v>104</v>
      </c>
      <c r="C67" s="335"/>
      <c r="D67" s="335"/>
      <c r="E67" s="335"/>
      <c r="F67" s="338"/>
      <c r="G67" s="338"/>
      <c r="H67" s="338"/>
      <c r="I67" s="338"/>
      <c r="J67" s="133">
        <v>27.5</v>
      </c>
      <c r="L67" s="2"/>
      <c r="M67" s="2"/>
      <c r="N67" s="2"/>
    </row>
    <row r="68" spans="1:14" s="4" customFormat="1" ht="15" customHeight="1">
      <c r="A68" s="110">
        <v>13</v>
      </c>
      <c r="B68" s="336" t="s">
        <v>129</v>
      </c>
      <c r="C68" s="336"/>
      <c r="D68" s="336"/>
      <c r="E68" s="336"/>
      <c r="F68" s="335"/>
      <c r="G68" s="335"/>
      <c r="H68" s="335"/>
      <c r="I68" s="335"/>
      <c r="J68" s="135">
        <v>5.72</v>
      </c>
      <c r="L68" s="2"/>
      <c r="M68" s="2"/>
      <c r="N68" s="2"/>
    </row>
    <row r="69" spans="1:14" s="4" customFormat="1" ht="15" customHeight="1">
      <c r="A69" s="110">
        <v>14</v>
      </c>
      <c r="B69" s="337" t="s">
        <v>130</v>
      </c>
      <c r="C69" s="337"/>
      <c r="D69" s="337"/>
      <c r="E69" s="337"/>
      <c r="F69" s="337"/>
      <c r="G69" s="337"/>
      <c r="H69" s="337"/>
      <c r="I69" s="337"/>
      <c r="J69" s="133">
        <v>5.6</v>
      </c>
      <c r="L69" s="2"/>
      <c r="M69" s="2"/>
      <c r="N69" s="2"/>
    </row>
    <row r="70" spans="1:14" s="4" customFormat="1" ht="15" customHeight="1">
      <c r="A70" s="110">
        <v>15</v>
      </c>
      <c r="B70" s="337" t="s">
        <v>131</v>
      </c>
      <c r="C70" s="337"/>
      <c r="D70" s="337"/>
      <c r="E70" s="337"/>
      <c r="F70" s="337"/>
      <c r="G70" s="337"/>
      <c r="H70" s="337"/>
      <c r="I70" s="337"/>
      <c r="J70" s="132">
        <v>25</v>
      </c>
      <c r="L70" s="2"/>
      <c r="M70" s="2"/>
      <c r="N70" s="2"/>
    </row>
    <row r="71" spans="1:14" s="4" customFormat="1" ht="15" customHeight="1">
      <c r="A71" s="110">
        <v>16</v>
      </c>
      <c r="B71" s="337" t="s">
        <v>132</v>
      </c>
      <c r="C71" s="337"/>
      <c r="D71" s="337"/>
      <c r="E71" s="337"/>
      <c r="F71" s="337"/>
      <c r="G71" s="337"/>
      <c r="H71" s="337"/>
      <c r="I71" s="337"/>
      <c r="J71" s="134">
        <v>0.246</v>
      </c>
      <c r="L71" s="2"/>
      <c r="M71" s="2"/>
      <c r="N71" s="2"/>
    </row>
    <row r="72" spans="1:14" s="4" customFormat="1" ht="15" customHeight="1">
      <c r="A72" s="110">
        <v>17</v>
      </c>
      <c r="B72" s="337" t="s">
        <v>45</v>
      </c>
      <c r="C72" s="337"/>
      <c r="D72" s="337"/>
      <c r="E72" s="337"/>
      <c r="F72" s="337"/>
      <c r="G72" s="337"/>
      <c r="H72" s="337"/>
      <c r="I72" s="337"/>
      <c r="J72" s="135">
        <v>4.62</v>
      </c>
      <c r="L72" s="2"/>
      <c r="M72" s="2"/>
      <c r="N72" s="2"/>
    </row>
    <row r="73" spans="1:14" s="4" customFormat="1" ht="15" customHeight="1">
      <c r="A73" s="110">
        <v>18</v>
      </c>
      <c r="B73" s="337" t="s">
        <v>67</v>
      </c>
      <c r="C73" s="337"/>
      <c r="D73" s="337"/>
      <c r="E73" s="337"/>
      <c r="F73" s="337"/>
      <c r="G73" s="337"/>
      <c r="H73" s="337"/>
      <c r="I73" s="337"/>
      <c r="J73" s="133">
        <v>4.8</v>
      </c>
      <c r="L73" s="2"/>
      <c r="M73" s="2"/>
      <c r="N73" s="2"/>
    </row>
    <row r="74" spans="1:14" s="4" customFormat="1" ht="14.45" customHeight="1">
      <c r="A74" s="110">
        <v>19</v>
      </c>
      <c r="B74" s="337" t="s">
        <v>88</v>
      </c>
      <c r="C74" s="337"/>
      <c r="D74" s="337"/>
      <c r="E74" s="337"/>
      <c r="F74" s="337"/>
      <c r="G74" s="337"/>
      <c r="H74" s="337"/>
      <c r="I74" s="337"/>
      <c r="J74" s="132">
        <v>6</v>
      </c>
      <c r="L74" s="2"/>
      <c r="M74" s="2"/>
      <c r="N74" s="2"/>
    </row>
    <row r="75" spans="1:14" s="4" customFormat="1">
      <c r="A75" s="110">
        <v>20</v>
      </c>
      <c r="B75" s="337" t="s">
        <v>46</v>
      </c>
      <c r="C75" s="337"/>
      <c r="D75" s="337"/>
      <c r="E75" s="337"/>
      <c r="F75" s="337"/>
      <c r="G75" s="337"/>
      <c r="H75" s="337"/>
      <c r="I75" s="337"/>
      <c r="J75" s="132">
        <v>19</v>
      </c>
      <c r="L75" s="2"/>
      <c r="M75" s="2"/>
      <c r="N75" s="2"/>
    </row>
    <row r="76" spans="1:14" s="4" customFormat="1">
      <c r="A76" s="110">
        <v>21</v>
      </c>
      <c r="B76" s="337" t="s">
        <v>133</v>
      </c>
      <c r="C76" s="337"/>
      <c r="D76" s="337"/>
      <c r="E76" s="337"/>
      <c r="F76" s="337"/>
      <c r="G76" s="337"/>
      <c r="H76" s="337"/>
      <c r="I76" s="337"/>
      <c r="J76" s="132">
        <v>4</v>
      </c>
      <c r="L76" s="2"/>
      <c r="M76" s="2"/>
      <c r="N76" s="2"/>
    </row>
    <row r="77" spans="1:14" s="4" customFormat="1">
      <c r="A77" s="110">
        <v>22</v>
      </c>
      <c r="B77" s="337" t="s">
        <v>89</v>
      </c>
      <c r="C77" s="337"/>
      <c r="D77" s="337"/>
      <c r="E77" s="337"/>
      <c r="F77" s="337"/>
      <c r="G77" s="337"/>
      <c r="H77" s="337"/>
      <c r="I77" s="337"/>
      <c r="J77" s="133">
        <v>5.0999999999999996</v>
      </c>
      <c r="L77" s="2"/>
      <c r="M77" s="2"/>
      <c r="N77" s="2"/>
    </row>
    <row r="78" spans="1:14" s="4" customFormat="1">
      <c r="A78" s="110">
        <v>23</v>
      </c>
      <c r="B78" s="337" t="s">
        <v>71</v>
      </c>
      <c r="C78" s="337"/>
      <c r="D78" s="337"/>
      <c r="E78" s="337"/>
      <c r="F78" s="337"/>
      <c r="G78" s="337"/>
      <c r="H78" s="337"/>
      <c r="I78" s="337"/>
      <c r="J78" s="135">
        <v>4.62</v>
      </c>
      <c r="L78" s="2"/>
      <c r="M78" s="2"/>
      <c r="N78" s="2"/>
    </row>
    <row r="79" spans="1:14" s="4" customFormat="1" ht="14.45" customHeight="1">
      <c r="A79" s="110">
        <v>24</v>
      </c>
      <c r="B79" s="337" t="s">
        <v>73</v>
      </c>
      <c r="C79" s="337"/>
      <c r="D79" s="337"/>
      <c r="E79" s="337"/>
      <c r="F79" s="337"/>
      <c r="G79" s="337"/>
      <c r="H79" s="337"/>
      <c r="I79" s="337"/>
      <c r="J79" s="135">
        <v>4.51</v>
      </c>
      <c r="L79" s="2"/>
      <c r="M79" s="2"/>
      <c r="N79" s="2"/>
    </row>
    <row r="80" spans="1:14" s="4" customFormat="1">
      <c r="A80" s="110">
        <v>25</v>
      </c>
      <c r="B80" s="337" t="s">
        <v>134</v>
      </c>
      <c r="C80" s="337"/>
      <c r="D80" s="337"/>
      <c r="E80" s="337"/>
      <c r="F80" s="337"/>
      <c r="G80" s="337"/>
      <c r="H80" s="337"/>
      <c r="I80" s="337"/>
      <c r="J80" s="133">
        <v>4.5</v>
      </c>
      <c r="L80" s="2"/>
      <c r="M80" s="2"/>
      <c r="N80" s="2"/>
    </row>
    <row r="81" spans="1:14" s="4" customFormat="1">
      <c r="A81" s="110">
        <v>26</v>
      </c>
      <c r="B81" s="337" t="s">
        <v>135</v>
      </c>
      <c r="C81" s="337"/>
      <c r="D81" s="337"/>
      <c r="E81" s="337"/>
      <c r="F81" s="337"/>
      <c r="G81" s="337"/>
      <c r="H81" s="337"/>
      <c r="I81" s="337"/>
      <c r="J81" s="133">
        <v>6.3</v>
      </c>
      <c r="L81" s="2"/>
      <c r="M81" s="2"/>
      <c r="N81" s="2"/>
    </row>
    <row r="82" spans="1:14" s="4" customFormat="1" ht="14.45" customHeight="1">
      <c r="A82" s="110">
        <v>27</v>
      </c>
      <c r="B82" s="337" t="s">
        <v>77</v>
      </c>
      <c r="C82" s="337"/>
      <c r="D82" s="337"/>
      <c r="E82" s="337"/>
      <c r="F82" s="337"/>
      <c r="G82" s="337"/>
      <c r="H82" s="337"/>
      <c r="I82" s="337"/>
      <c r="J82" s="135">
        <v>28.35</v>
      </c>
      <c r="L82" s="2"/>
      <c r="M82" s="2"/>
      <c r="N82" s="2"/>
    </row>
    <row r="83" spans="1:14" s="4" customFormat="1">
      <c r="A83" s="110">
        <v>28</v>
      </c>
      <c r="B83" s="337" t="s">
        <v>49</v>
      </c>
      <c r="C83" s="337"/>
      <c r="D83" s="337"/>
      <c r="E83" s="337"/>
      <c r="F83" s="337"/>
      <c r="G83" s="337"/>
      <c r="H83" s="337"/>
      <c r="I83" s="337"/>
      <c r="J83" s="135">
        <v>5.61</v>
      </c>
      <c r="L83" s="2"/>
      <c r="M83" s="2"/>
      <c r="N83" s="2"/>
    </row>
    <row r="84" spans="1:14" s="4" customFormat="1">
      <c r="A84" s="110">
        <v>29</v>
      </c>
      <c r="B84" s="337" t="s">
        <v>136</v>
      </c>
      <c r="C84" s="337"/>
      <c r="D84" s="337"/>
      <c r="E84" s="337"/>
      <c r="F84" s="337"/>
      <c r="G84" s="337"/>
      <c r="H84" s="337"/>
      <c r="I84" s="337"/>
      <c r="J84" s="133">
        <v>5.9</v>
      </c>
      <c r="L84" s="2"/>
      <c r="M84" s="2"/>
      <c r="N84" s="2"/>
    </row>
    <row r="85" spans="1:14" s="4" customFormat="1">
      <c r="A85" s="110">
        <v>30</v>
      </c>
      <c r="B85" s="337" t="s">
        <v>137</v>
      </c>
      <c r="C85" s="337"/>
      <c r="D85" s="337"/>
      <c r="E85" s="337"/>
      <c r="F85" s="337"/>
      <c r="G85" s="337"/>
      <c r="H85" s="337"/>
      <c r="I85" s="337"/>
      <c r="J85" s="132">
        <v>10</v>
      </c>
      <c r="L85" s="2"/>
      <c r="M85" s="2"/>
      <c r="N85" s="2"/>
    </row>
    <row r="86" spans="1:14" s="4" customFormat="1">
      <c r="A86" s="110">
        <v>31</v>
      </c>
      <c r="B86" s="337" t="s">
        <v>121</v>
      </c>
      <c r="C86" s="337"/>
      <c r="D86" s="337"/>
      <c r="E86" s="337"/>
      <c r="F86" s="337"/>
      <c r="G86" s="337"/>
      <c r="H86" s="337"/>
      <c r="I86" s="337"/>
      <c r="J86" s="133">
        <v>9.1999999999999993</v>
      </c>
      <c r="L86" s="2"/>
      <c r="M86" s="2"/>
      <c r="N86" s="2"/>
    </row>
    <row r="87" spans="1:14" s="4" customFormat="1">
      <c r="A87" s="110">
        <v>32</v>
      </c>
      <c r="B87" s="337" t="s">
        <v>138</v>
      </c>
      <c r="C87" s="337"/>
      <c r="D87" s="337"/>
      <c r="E87" s="337"/>
      <c r="F87" s="337"/>
      <c r="G87" s="337"/>
      <c r="H87" s="337"/>
      <c r="I87" s="337"/>
      <c r="J87" s="133">
        <v>48.3</v>
      </c>
      <c r="L87" s="2"/>
      <c r="M87" s="2"/>
      <c r="N87" s="2"/>
    </row>
    <row r="88" spans="1:14" s="4" customFormat="1">
      <c r="A88" s="110">
        <v>33</v>
      </c>
      <c r="B88" s="337" t="s">
        <v>139</v>
      </c>
      <c r="C88" s="337"/>
      <c r="D88" s="337"/>
      <c r="E88" s="337"/>
      <c r="F88" s="337"/>
      <c r="G88" s="337"/>
      <c r="H88" s="337"/>
      <c r="I88" s="337"/>
      <c r="J88" s="132">
        <v>20</v>
      </c>
      <c r="L88" s="2"/>
      <c r="M88" s="2"/>
      <c r="N88" s="2"/>
    </row>
    <row r="89" spans="1:14" s="4" customFormat="1">
      <c r="A89" s="110">
        <v>34</v>
      </c>
      <c r="B89" s="337" t="s">
        <v>140</v>
      </c>
      <c r="C89" s="337"/>
      <c r="D89" s="337"/>
      <c r="E89" s="337"/>
      <c r="F89" s="337"/>
      <c r="G89" s="337"/>
      <c r="H89" s="337"/>
      <c r="I89" s="337"/>
      <c r="J89" s="132">
        <v>7</v>
      </c>
      <c r="L89" s="2"/>
      <c r="M89" s="2"/>
      <c r="N89" s="2"/>
    </row>
    <row r="90" spans="1:14" s="4" customFormat="1">
      <c r="A90" s="110">
        <v>35</v>
      </c>
      <c r="B90" s="337" t="s">
        <v>141</v>
      </c>
      <c r="C90" s="337"/>
      <c r="D90" s="337"/>
      <c r="E90" s="337"/>
      <c r="F90" s="337"/>
      <c r="G90" s="337"/>
      <c r="H90" s="337"/>
      <c r="I90" s="337"/>
      <c r="J90" s="133">
        <v>9.6</v>
      </c>
      <c r="L90" s="2"/>
      <c r="M90" s="2"/>
      <c r="N90" s="2"/>
    </row>
    <row r="91" spans="1:14" s="4" customFormat="1">
      <c r="A91" s="110">
        <v>36</v>
      </c>
      <c r="B91" s="337" t="s">
        <v>142</v>
      </c>
      <c r="C91" s="337"/>
      <c r="D91" s="337"/>
      <c r="E91" s="337"/>
      <c r="F91" s="337"/>
      <c r="G91" s="337"/>
      <c r="H91" s="337"/>
      <c r="I91" s="337"/>
      <c r="J91" s="132">
        <v>9</v>
      </c>
      <c r="L91" s="2"/>
      <c r="M91" s="2"/>
      <c r="N91" s="2"/>
    </row>
    <row r="92" spans="1:14" s="4" customFormat="1">
      <c r="A92" s="153">
        <v>37</v>
      </c>
      <c r="B92" s="335" t="s">
        <v>45</v>
      </c>
      <c r="C92" s="335"/>
      <c r="D92" s="335"/>
      <c r="E92" s="158"/>
      <c r="F92" s="158"/>
      <c r="G92" s="158"/>
      <c r="H92" s="158"/>
      <c r="I92" s="158"/>
      <c r="J92" s="135">
        <v>4.62</v>
      </c>
      <c r="L92" s="2"/>
      <c r="M92" s="2"/>
      <c r="N92" s="2"/>
    </row>
    <row r="93" spans="1:14" s="4" customFormat="1">
      <c r="A93" s="153">
        <v>38</v>
      </c>
      <c r="B93" s="335" t="s">
        <v>67</v>
      </c>
      <c r="C93" s="335"/>
      <c r="D93" s="335"/>
      <c r="E93" s="158"/>
      <c r="F93" s="158"/>
      <c r="G93" s="158"/>
      <c r="H93" s="158"/>
      <c r="I93" s="158"/>
      <c r="J93" s="133">
        <v>4.8</v>
      </c>
      <c r="L93" s="2"/>
      <c r="M93" s="2"/>
      <c r="N93" s="2"/>
    </row>
    <row r="94" spans="1:14" s="4" customFormat="1">
      <c r="A94" s="153">
        <v>39</v>
      </c>
      <c r="B94" s="335" t="s">
        <v>88</v>
      </c>
      <c r="C94" s="335"/>
      <c r="D94" s="335"/>
      <c r="E94" s="158"/>
      <c r="F94" s="158"/>
      <c r="G94" s="158"/>
      <c r="H94" s="158"/>
      <c r="I94" s="158"/>
      <c r="J94" s="132">
        <v>6</v>
      </c>
      <c r="L94" s="2"/>
      <c r="M94" s="2"/>
      <c r="N94" s="2"/>
    </row>
    <row r="95" spans="1:14" s="4" customFormat="1" ht="14.45" customHeight="1">
      <c r="A95" s="153">
        <v>40</v>
      </c>
      <c r="B95" s="335" t="s">
        <v>46</v>
      </c>
      <c r="C95" s="335"/>
      <c r="D95" s="335"/>
      <c r="E95" s="158"/>
      <c r="F95" s="158"/>
      <c r="G95" s="158"/>
      <c r="H95" s="158"/>
      <c r="I95" s="158"/>
      <c r="J95" s="132">
        <v>19</v>
      </c>
      <c r="L95" s="2"/>
      <c r="M95" s="2"/>
      <c r="N95" s="2"/>
    </row>
    <row r="96" spans="1:14" s="4" customFormat="1">
      <c r="A96" s="153">
        <v>41</v>
      </c>
      <c r="B96" s="335" t="s">
        <v>133</v>
      </c>
      <c r="C96" s="335"/>
      <c r="D96" s="335"/>
      <c r="E96" s="158"/>
      <c r="F96" s="158"/>
      <c r="G96" s="158"/>
      <c r="H96" s="158"/>
      <c r="I96" s="158"/>
      <c r="J96" s="132">
        <v>4</v>
      </c>
      <c r="L96" s="2"/>
      <c r="M96" s="2"/>
      <c r="N96" s="2"/>
    </row>
    <row r="97" spans="1:14" s="4" customFormat="1">
      <c r="A97" s="153">
        <v>42</v>
      </c>
      <c r="B97" s="335" t="s">
        <v>89</v>
      </c>
      <c r="C97" s="335"/>
      <c r="D97" s="335"/>
      <c r="E97" s="158"/>
      <c r="F97" s="158"/>
      <c r="G97" s="158"/>
      <c r="H97" s="158"/>
      <c r="I97" s="158"/>
      <c r="J97" s="133">
        <v>5.0999999999999996</v>
      </c>
      <c r="L97" s="2"/>
      <c r="M97" s="2"/>
      <c r="N97" s="2"/>
    </row>
    <row r="98" spans="1:14" s="4" customFormat="1">
      <c r="A98" s="153">
        <v>43</v>
      </c>
      <c r="B98" s="335" t="s">
        <v>71</v>
      </c>
      <c r="C98" s="335"/>
      <c r="D98" s="335"/>
      <c r="E98" s="158"/>
      <c r="F98" s="158"/>
      <c r="G98" s="158"/>
      <c r="H98" s="158"/>
      <c r="I98" s="158"/>
      <c r="J98" s="135">
        <v>4.62</v>
      </c>
      <c r="L98" s="2"/>
      <c r="M98" s="2"/>
      <c r="N98" s="2"/>
    </row>
    <row r="99" spans="1:14" s="4" customFormat="1" ht="14.45" customHeight="1">
      <c r="A99" s="153">
        <v>44</v>
      </c>
      <c r="B99" s="335" t="s">
        <v>73</v>
      </c>
      <c r="C99" s="335"/>
      <c r="D99" s="335"/>
      <c r="E99" s="158"/>
      <c r="F99" s="158"/>
      <c r="G99" s="158"/>
      <c r="H99" s="158"/>
      <c r="I99" s="158"/>
      <c r="J99" s="135">
        <v>4.51</v>
      </c>
      <c r="L99" s="2"/>
      <c r="M99" s="2"/>
      <c r="N99" s="2"/>
    </row>
    <row r="100" spans="1:14" s="4" customFormat="1">
      <c r="A100" s="153">
        <v>45</v>
      </c>
      <c r="B100" s="335" t="s">
        <v>134</v>
      </c>
      <c r="C100" s="335"/>
      <c r="D100" s="335"/>
      <c r="E100" s="158"/>
      <c r="F100" s="158"/>
      <c r="G100" s="158"/>
      <c r="H100" s="158"/>
      <c r="I100" s="158"/>
      <c r="J100" s="133">
        <v>4.5</v>
      </c>
      <c r="L100" s="2"/>
      <c r="M100" s="2"/>
      <c r="N100" s="2"/>
    </row>
    <row r="101" spans="1:14" s="4" customFormat="1">
      <c r="A101" s="153">
        <v>46</v>
      </c>
      <c r="B101" s="335" t="s">
        <v>135</v>
      </c>
      <c r="C101" s="335"/>
      <c r="D101" s="335"/>
      <c r="E101" s="158"/>
      <c r="F101" s="158"/>
      <c r="G101" s="158"/>
      <c r="H101" s="158"/>
      <c r="I101" s="158"/>
      <c r="J101" s="133">
        <v>6.3</v>
      </c>
      <c r="L101" s="2"/>
      <c r="M101" s="2"/>
      <c r="N101" s="2"/>
    </row>
    <row r="102" spans="1:14" s="4" customFormat="1">
      <c r="A102" s="153">
        <v>47</v>
      </c>
      <c r="B102" s="335" t="s">
        <v>77</v>
      </c>
      <c r="C102" s="335"/>
      <c r="D102" s="335"/>
      <c r="E102" s="158"/>
      <c r="F102" s="158"/>
      <c r="G102" s="158"/>
      <c r="H102" s="158"/>
      <c r="I102" s="158"/>
      <c r="J102" s="135">
        <v>28.35</v>
      </c>
      <c r="L102" s="2"/>
      <c r="M102" s="2"/>
      <c r="N102" s="2"/>
    </row>
    <row r="103" spans="1:14" s="4" customFormat="1">
      <c r="A103" s="153">
        <v>48</v>
      </c>
      <c r="B103" s="335" t="s">
        <v>49</v>
      </c>
      <c r="C103" s="335"/>
      <c r="D103" s="335"/>
      <c r="E103" s="158"/>
      <c r="F103" s="158"/>
      <c r="G103" s="158"/>
      <c r="H103" s="158"/>
      <c r="I103" s="158"/>
      <c r="J103" s="135">
        <v>5.61</v>
      </c>
      <c r="L103" s="2"/>
      <c r="M103" s="2"/>
      <c r="N103" s="2"/>
    </row>
    <row r="104" spans="1:14" s="4" customFormat="1" ht="14.45" customHeight="1">
      <c r="A104" s="153">
        <v>49</v>
      </c>
      <c r="B104" s="335" t="s">
        <v>136</v>
      </c>
      <c r="C104" s="335"/>
      <c r="D104" s="335"/>
      <c r="E104" s="158"/>
      <c r="F104" s="158"/>
      <c r="G104" s="158"/>
      <c r="H104" s="158"/>
      <c r="I104" s="158"/>
      <c r="J104" s="133">
        <v>5.9</v>
      </c>
      <c r="L104" s="2"/>
      <c r="M104" s="2"/>
      <c r="N104" s="2"/>
    </row>
    <row r="105" spans="1:14" s="4" customFormat="1">
      <c r="A105" s="153">
        <v>50</v>
      </c>
      <c r="B105" s="335" t="s">
        <v>140</v>
      </c>
      <c r="C105" s="335"/>
      <c r="D105" s="335"/>
      <c r="E105" s="158"/>
      <c r="F105" s="158"/>
      <c r="G105" s="158"/>
      <c r="H105" s="158"/>
      <c r="I105" s="158"/>
      <c r="J105" s="132">
        <v>7</v>
      </c>
      <c r="L105" s="2"/>
      <c r="M105" s="2"/>
      <c r="N105" s="2"/>
    </row>
    <row r="106" spans="1:14" s="4" customFormat="1">
      <c r="A106" s="153">
        <v>51</v>
      </c>
      <c r="B106" s="154"/>
      <c r="C106" s="155"/>
      <c r="D106" s="155"/>
      <c r="E106" s="155"/>
      <c r="F106" s="155"/>
      <c r="G106" s="155"/>
      <c r="H106" s="155"/>
      <c r="I106" s="156"/>
      <c r="J106" s="157"/>
      <c r="L106" s="2"/>
      <c r="M106" s="2"/>
      <c r="N106" s="2"/>
    </row>
    <row r="107" spans="1:14" s="4" customFormat="1">
      <c r="A107" s="153">
        <v>52</v>
      </c>
      <c r="B107" s="154"/>
      <c r="C107" s="155"/>
      <c r="D107" s="155"/>
      <c r="E107" s="155"/>
      <c r="F107" s="155"/>
      <c r="G107" s="155"/>
      <c r="H107" s="155"/>
      <c r="I107" s="156"/>
      <c r="J107" s="157"/>
      <c r="L107" s="2"/>
      <c r="M107" s="2"/>
      <c r="N107" s="2"/>
    </row>
    <row r="108" spans="1:14" s="4" customFormat="1">
      <c r="A108" s="153">
        <v>53</v>
      </c>
      <c r="B108" s="154"/>
      <c r="C108" s="155"/>
      <c r="D108" s="155"/>
      <c r="E108" s="155"/>
      <c r="F108" s="155"/>
      <c r="G108" s="155"/>
      <c r="H108" s="155"/>
      <c r="I108" s="156"/>
      <c r="J108" s="157"/>
      <c r="L108" s="2"/>
      <c r="M108" s="2"/>
      <c r="N108" s="2"/>
    </row>
    <row r="109" spans="1:14" s="4" customFormat="1">
      <c r="A109" s="153">
        <v>54</v>
      </c>
      <c r="B109" s="154"/>
      <c r="C109" s="155"/>
      <c r="D109" s="155"/>
      <c r="E109" s="155"/>
      <c r="F109" s="155"/>
      <c r="G109" s="155"/>
      <c r="H109" s="155"/>
      <c r="I109" s="156"/>
      <c r="J109" s="157"/>
      <c r="L109" s="2"/>
      <c r="M109" s="2"/>
      <c r="N109" s="2"/>
    </row>
    <row r="110" spans="1:14" s="4" customFormat="1">
      <c r="A110" s="153">
        <v>55</v>
      </c>
      <c r="B110" s="154"/>
      <c r="C110" s="155"/>
      <c r="D110" s="155"/>
      <c r="E110" s="155"/>
      <c r="F110" s="155"/>
      <c r="G110" s="155"/>
      <c r="H110" s="155"/>
      <c r="I110" s="156"/>
      <c r="J110" s="157"/>
      <c r="L110" s="2"/>
      <c r="M110" s="2"/>
      <c r="N110" s="2"/>
    </row>
    <row r="111" spans="1:14" s="4" customFormat="1">
      <c r="A111" s="153">
        <v>56</v>
      </c>
      <c r="B111" s="154"/>
      <c r="C111" s="155"/>
      <c r="D111" s="155"/>
      <c r="E111" s="155"/>
      <c r="F111" s="155"/>
      <c r="G111" s="155"/>
      <c r="H111" s="155"/>
      <c r="I111" s="156"/>
      <c r="J111" s="157"/>
      <c r="L111" s="2"/>
      <c r="M111" s="2"/>
      <c r="N111" s="2"/>
    </row>
    <row r="112" spans="1:14" s="4" customFormat="1">
      <c r="A112" s="153">
        <v>57</v>
      </c>
      <c r="B112" s="154"/>
      <c r="C112" s="155"/>
      <c r="D112" s="155"/>
      <c r="E112" s="155"/>
      <c r="F112" s="155"/>
      <c r="G112" s="155"/>
      <c r="H112" s="155"/>
      <c r="I112" s="156"/>
      <c r="J112" s="157"/>
      <c r="L112" s="2"/>
      <c r="M112" s="2"/>
      <c r="N112" s="2"/>
    </row>
    <row r="113" spans="1:14" s="4" customFormat="1">
      <c r="A113" s="153">
        <v>58</v>
      </c>
      <c r="B113" s="154"/>
      <c r="C113" s="155"/>
      <c r="D113" s="155"/>
      <c r="E113" s="155"/>
      <c r="F113" s="155"/>
      <c r="G113" s="155"/>
      <c r="H113" s="155"/>
      <c r="I113" s="156"/>
      <c r="J113" s="157"/>
      <c r="L113" s="2"/>
      <c r="M113" s="2"/>
      <c r="N113" s="2"/>
    </row>
    <row r="114" spans="1:14" s="4" customFormat="1">
      <c r="A114" s="153">
        <v>59</v>
      </c>
      <c r="B114" s="154"/>
      <c r="C114" s="155"/>
      <c r="D114" s="155"/>
      <c r="E114" s="155"/>
      <c r="F114" s="155"/>
      <c r="G114" s="155"/>
      <c r="H114" s="155"/>
      <c r="I114" s="156"/>
      <c r="J114" s="157"/>
      <c r="L114" s="2"/>
      <c r="M114" s="2"/>
      <c r="N114" s="2"/>
    </row>
    <row r="115" spans="1:14" s="4" customFormat="1">
      <c r="A115" s="153">
        <v>60</v>
      </c>
      <c r="B115" s="154"/>
      <c r="C115" s="155"/>
      <c r="D115" s="155"/>
      <c r="E115" s="155"/>
      <c r="F115" s="155"/>
      <c r="G115" s="155"/>
      <c r="H115" s="155"/>
      <c r="I115" s="156"/>
      <c r="J115" s="157"/>
      <c r="L115" s="2"/>
      <c r="M115" s="2"/>
      <c r="N115" s="2"/>
    </row>
    <row r="116" spans="1:14" ht="15.75" thickBot="1">
      <c r="A116" s="108"/>
      <c r="B116" s="325" t="s">
        <v>15</v>
      </c>
      <c r="C116" s="326"/>
      <c r="D116" s="326"/>
      <c r="E116" s="326"/>
      <c r="F116" s="326"/>
      <c r="G116" s="326"/>
      <c r="H116" s="326"/>
      <c r="I116" s="327"/>
      <c r="J116" s="109">
        <f>SUM(J56:J115)</f>
        <v>566.02600000000007</v>
      </c>
    </row>
    <row r="118" spans="1:14" ht="14.45" customHeight="1"/>
    <row r="122" spans="1:14" ht="14.45" customHeight="1"/>
  </sheetData>
  <mergeCells count="129">
    <mergeCell ref="B101:D101"/>
    <mergeCell ref="B102:D102"/>
    <mergeCell ref="B103:D103"/>
    <mergeCell ref="B104:D104"/>
    <mergeCell ref="B105:D105"/>
    <mergeCell ref="B86:I86"/>
    <mergeCell ref="B87:I87"/>
    <mergeCell ref="B88:I88"/>
    <mergeCell ref="B89:I89"/>
    <mergeCell ref="B90:I90"/>
    <mergeCell ref="B91:I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16:I116"/>
    <mergeCell ref="B56:E56"/>
    <mergeCell ref="F56:I56"/>
    <mergeCell ref="B57:E57"/>
    <mergeCell ref="F57:I57"/>
    <mergeCell ref="B58:E58"/>
    <mergeCell ref="F58:I58"/>
    <mergeCell ref="B59:E59"/>
    <mergeCell ref="F59:I59"/>
    <mergeCell ref="B60:E60"/>
    <mergeCell ref="F60:I60"/>
    <mergeCell ref="B61:E61"/>
    <mergeCell ref="F61:I61"/>
    <mergeCell ref="B62:E62"/>
    <mergeCell ref="F62:I62"/>
    <mergeCell ref="B63:E63"/>
    <mergeCell ref="F63:I63"/>
    <mergeCell ref="F64:I64"/>
    <mergeCell ref="B77:I77"/>
    <mergeCell ref="B78:I78"/>
    <mergeCell ref="B79:I79"/>
    <mergeCell ref="B80:I80"/>
    <mergeCell ref="B81:I81"/>
    <mergeCell ref="B82:I82"/>
    <mergeCell ref="B83:I83"/>
    <mergeCell ref="B84:I84"/>
    <mergeCell ref="B85:I85"/>
    <mergeCell ref="B69:I69"/>
    <mergeCell ref="B70:I70"/>
    <mergeCell ref="B71:I71"/>
    <mergeCell ref="B72:I72"/>
    <mergeCell ref="F65:I65"/>
    <mergeCell ref="F66:I66"/>
    <mergeCell ref="F67:I67"/>
    <mergeCell ref="F68:I68"/>
    <mergeCell ref="A54:J54"/>
    <mergeCell ref="B55:I55"/>
    <mergeCell ref="B68:E68"/>
    <mergeCell ref="B73:I73"/>
    <mergeCell ref="B74:I74"/>
    <mergeCell ref="B75:I75"/>
    <mergeCell ref="B76:I76"/>
    <mergeCell ref="A46:J46"/>
    <mergeCell ref="C51:D51"/>
    <mergeCell ref="E51:F51"/>
    <mergeCell ref="G51:H51"/>
    <mergeCell ref="I51:J51"/>
    <mergeCell ref="C49:D49"/>
    <mergeCell ref="E49:F49"/>
    <mergeCell ref="G49:H49"/>
    <mergeCell ref="I49:J49"/>
    <mergeCell ref="C50:D50"/>
    <mergeCell ref="E50:F50"/>
    <mergeCell ref="G50:H50"/>
    <mergeCell ref="I50:J50"/>
    <mergeCell ref="C48:D48"/>
    <mergeCell ref="E48:F48"/>
    <mergeCell ref="G48:H48"/>
    <mergeCell ref="I48:J48"/>
    <mergeCell ref="J6:J7"/>
    <mergeCell ref="K6:L6"/>
    <mergeCell ref="A21:F21"/>
    <mergeCell ref="A24:I24"/>
    <mergeCell ref="A31:C31"/>
    <mergeCell ref="A33:L33"/>
    <mergeCell ref="A6:A7"/>
    <mergeCell ref="B6:B7"/>
    <mergeCell ref="C6:C7"/>
    <mergeCell ref="D6:D7"/>
    <mergeCell ref="F6:F7"/>
    <mergeCell ref="G6:G7"/>
    <mergeCell ref="H6:H7"/>
    <mergeCell ref="I6:I7"/>
    <mergeCell ref="L39:M39"/>
    <mergeCell ref="H35:H36"/>
    <mergeCell ref="I35:I36"/>
    <mergeCell ref="J35:J36"/>
    <mergeCell ref="E47:F47"/>
    <mergeCell ref="G47:H47"/>
    <mergeCell ref="I47:J47"/>
    <mergeCell ref="L41:M41"/>
    <mergeCell ref="L42:M42"/>
    <mergeCell ref="L43:M43"/>
    <mergeCell ref="A44:E44"/>
    <mergeCell ref="G44:L44"/>
    <mergeCell ref="B64:E64"/>
    <mergeCell ref="B65:E65"/>
    <mergeCell ref="B66:E66"/>
    <mergeCell ref="B67:E67"/>
    <mergeCell ref="A1:C1"/>
    <mergeCell ref="E1:H1"/>
    <mergeCell ref="J1:K1"/>
    <mergeCell ref="A2:C2"/>
    <mergeCell ref="F2:H2"/>
    <mergeCell ref="J2:K2"/>
    <mergeCell ref="A3:K3"/>
    <mergeCell ref="A4:L4"/>
    <mergeCell ref="L40:M40"/>
    <mergeCell ref="L34:M34"/>
    <mergeCell ref="A35:A36"/>
    <mergeCell ref="B35:B36"/>
    <mergeCell ref="C35:C36"/>
    <mergeCell ref="D35:D36"/>
    <mergeCell ref="F35:F36"/>
    <mergeCell ref="G35:G36"/>
    <mergeCell ref="K35:K36"/>
    <mergeCell ref="L35:M36"/>
    <mergeCell ref="L37:M37"/>
    <mergeCell ref="L38:M38"/>
  </mergeCells>
  <pageMargins left="0" right="0" top="0.59055118110236204" bottom="0" header="0" footer="0"/>
  <pageSetup paperSize="9" scale="5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N109"/>
  <sheetViews>
    <sheetView zoomScale="85" zoomScaleNormal="85" workbookViewId="0">
      <pane xSplit="3" topLeftCell="D1" activePane="topRight" state="frozen"/>
      <selection pane="topRight" activeCell="E51" sqref="C51:H51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8" width="10.7109375" style="5" customWidth="1"/>
    <col min="9" max="9" width="23.855468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42" t="s">
        <v>51</v>
      </c>
      <c r="B1" s="242"/>
      <c r="C1" s="242"/>
      <c r="D1" s="1"/>
      <c r="E1" s="242" t="s">
        <v>24</v>
      </c>
      <c r="F1" s="242"/>
      <c r="G1" s="242"/>
      <c r="H1" s="242"/>
      <c r="I1" s="148"/>
      <c r="J1" s="243">
        <v>3</v>
      </c>
      <c r="K1" s="243"/>
    </row>
    <row r="2" spans="1:12" ht="28.5">
      <c r="A2" s="244">
        <v>46318</v>
      </c>
      <c r="B2" s="245"/>
      <c r="C2" s="245"/>
      <c r="D2" s="3"/>
      <c r="E2" s="3"/>
      <c r="F2" s="246"/>
      <c r="G2" s="246"/>
      <c r="H2" s="246"/>
      <c r="I2" s="149"/>
      <c r="J2" s="246"/>
      <c r="K2" s="246"/>
    </row>
    <row r="3" spans="1:12" ht="27" thickBot="1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12" ht="18" customHeight="1">
      <c r="A4" s="258" t="s">
        <v>25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60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1" t="s">
        <v>1</v>
      </c>
      <c r="B6" s="262" t="s">
        <v>2</v>
      </c>
      <c r="C6" s="262" t="s">
        <v>3</v>
      </c>
      <c r="D6" s="262" t="s">
        <v>4</v>
      </c>
      <c r="E6" s="151" t="s">
        <v>5</v>
      </c>
      <c r="F6" s="262" t="s">
        <v>6</v>
      </c>
      <c r="G6" s="263" t="s">
        <v>7</v>
      </c>
      <c r="H6" s="264" t="s">
        <v>8</v>
      </c>
      <c r="I6" s="262" t="s">
        <v>9</v>
      </c>
      <c r="J6" s="247" t="s">
        <v>30</v>
      </c>
      <c r="K6" s="249" t="s">
        <v>10</v>
      </c>
      <c r="L6" s="250"/>
    </row>
    <row r="7" spans="1:12" s="8" customFormat="1" ht="63.6" customHeight="1">
      <c r="A7" s="261"/>
      <c r="B7" s="262"/>
      <c r="C7" s="262"/>
      <c r="D7" s="262"/>
      <c r="E7" s="151" t="s">
        <v>11</v>
      </c>
      <c r="F7" s="262"/>
      <c r="G7" s="263"/>
      <c r="H7" s="264"/>
      <c r="I7" s="262"/>
      <c r="J7" s="248"/>
      <c r="K7" s="151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/>
      <c r="G8" s="22"/>
      <c r="H8" s="26"/>
      <c r="I8" s="23"/>
      <c r="J8" s="21">
        <f>I8-F8</f>
        <v>0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0.31597222222222221</v>
      </c>
      <c r="G9" s="22">
        <v>13</v>
      </c>
      <c r="H9" s="26">
        <v>509.411</v>
      </c>
      <c r="I9" s="23"/>
      <c r="J9" s="21">
        <f t="shared" ref="J9:J11" si="0">I9-F9</f>
        <v>-0.31597222222222221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0.32291666666666669</v>
      </c>
      <c r="G10" s="22">
        <v>22</v>
      </c>
      <c r="H10" s="26">
        <v>630.79600000000005</v>
      </c>
      <c r="I10" s="23"/>
      <c r="J10" s="21">
        <f t="shared" si="0"/>
        <v>-0.32291666666666669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0.3263888888888889</v>
      </c>
      <c r="G11" s="22">
        <v>17</v>
      </c>
      <c r="H11" s="26">
        <v>421.64499999999998</v>
      </c>
      <c r="I11" s="23"/>
      <c r="J11" s="21">
        <f t="shared" si="0"/>
        <v>-0.3263888888888889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1" t="s">
        <v>15</v>
      </c>
      <c r="B21" s="252"/>
      <c r="C21" s="252"/>
      <c r="D21" s="252"/>
      <c r="E21" s="252"/>
      <c r="F21" s="253"/>
      <c r="G21" s="70">
        <f>SUM(G8:G20)</f>
        <v>52</v>
      </c>
      <c r="H21" s="70">
        <f>SUM(H8:H20)</f>
        <v>1561.8520000000001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>
        <f>SUM(N49)</f>
        <v>0</v>
      </c>
    </row>
    <row r="24" spans="1:14" ht="18.75">
      <c r="A24" s="254" t="s">
        <v>26</v>
      </c>
      <c r="B24" s="255"/>
      <c r="C24" s="255"/>
      <c r="D24" s="255"/>
      <c r="E24" s="255"/>
      <c r="F24" s="255"/>
      <c r="G24" s="255"/>
      <c r="H24" s="255"/>
      <c r="I24" s="256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51" t="s">
        <v>2</v>
      </c>
      <c r="C26" s="151" t="s">
        <v>3</v>
      </c>
      <c r="D26" s="151" t="s">
        <v>27</v>
      </c>
      <c r="E26" s="151" t="s">
        <v>6</v>
      </c>
      <c r="F26" s="151" t="s">
        <v>28</v>
      </c>
      <c r="G26" s="151" t="s">
        <v>8</v>
      </c>
      <c r="H26" s="151" t="s">
        <v>31</v>
      </c>
      <c r="I26" s="31" t="s">
        <v>30</v>
      </c>
      <c r="J26" s="8"/>
      <c r="K26" s="8"/>
      <c r="L26" s="8"/>
      <c r="N26" s="43"/>
    </row>
    <row r="27" spans="1:14">
      <c r="A27" s="57"/>
      <c r="B27" s="56"/>
      <c r="C27" s="55"/>
      <c r="D27" s="39"/>
      <c r="E27" s="38"/>
      <c r="F27" s="22"/>
      <c r="G27" s="26"/>
      <c r="H27" s="35"/>
      <c r="I27" s="36"/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1" t="s">
        <v>15</v>
      </c>
      <c r="B31" s="252"/>
      <c r="C31" s="253"/>
      <c r="D31" s="10"/>
      <c r="E31" s="32"/>
      <c r="F31" s="32">
        <f>SUM(F30:F30)</f>
        <v>0</v>
      </c>
      <c r="G31" s="32">
        <f>SUM(G27:G30)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4" t="s">
        <v>12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78">
        <v>12</v>
      </c>
      <c r="M34" s="279"/>
    </row>
    <row r="35" spans="1:13" ht="75">
      <c r="A35" s="280" t="s">
        <v>1</v>
      </c>
      <c r="B35" s="265" t="s">
        <v>2</v>
      </c>
      <c r="C35" s="265" t="s">
        <v>3</v>
      </c>
      <c r="D35" s="265" t="s">
        <v>4</v>
      </c>
      <c r="E35" s="97" t="s">
        <v>5</v>
      </c>
      <c r="F35" s="265" t="s">
        <v>14</v>
      </c>
      <c r="G35" s="265" t="s">
        <v>13</v>
      </c>
      <c r="H35" s="265" t="s">
        <v>37</v>
      </c>
      <c r="I35" s="265" t="s">
        <v>39</v>
      </c>
      <c r="J35" s="265" t="s">
        <v>38</v>
      </c>
      <c r="K35" s="265" t="s">
        <v>40</v>
      </c>
      <c r="L35" s="266" t="s">
        <v>36</v>
      </c>
      <c r="M35" s="267"/>
    </row>
    <row r="36" spans="1:13" ht="75">
      <c r="A36" s="281"/>
      <c r="B36" s="248"/>
      <c r="C36" s="248"/>
      <c r="D36" s="248"/>
      <c r="E36" s="150" t="s">
        <v>11</v>
      </c>
      <c r="F36" s="248"/>
      <c r="G36" s="248"/>
      <c r="H36" s="248"/>
      <c r="I36" s="248"/>
      <c r="J36" s="248"/>
      <c r="K36" s="248"/>
      <c r="L36" s="268"/>
      <c r="M36" s="269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70"/>
      <c r="M37" s="271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72"/>
      <c r="M38" s="273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74"/>
      <c r="M39" s="275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76"/>
      <c r="M40" s="277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90"/>
      <c r="M41" s="291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92"/>
      <c r="M42" s="293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94"/>
      <c r="M43" s="295"/>
    </row>
    <row r="44" spans="1:13" ht="15.75" thickBot="1">
      <c r="A44" s="296" t="s">
        <v>15</v>
      </c>
      <c r="B44" s="297"/>
      <c r="C44" s="297"/>
      <c r="D44" s="297"/>
      <c r="E44" s="298"/>
      <c r="F44" s="96"/>
      <c r="G44" s="299">
        <f>SUM(G37:G43)</f>
        <v>0</v>
      </c>
      <c r="H44" s="300"/>
      <c r="I44" s="300"/>
      <c r="J44" s="300"/>
      <c r="K44" s="300"/>
      <c r="L44" s="301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302" t="s">
        <v>16</v>
      </c>
      <c r="B46" s="303"/>
      <c r="C46" s="303"/>
      <c r="D46" s="303"/>
      <c r="E46" s="303"/>
      <c r="F46" s="303"/>
      <c r="G46" s="303"/>
      <c r="H46" s="303"/>
      <c r="I46" s="303"/>
      <c r="J46" s="304"/>
      <c r="K46" s="2"/>
    </row>
    <row r="47" spans="1:13" ht="30">
      <c r="A47" s="50"/>
      <c r="B47" s="18"/>
      <c r="C47" s="152"/>
      <c r="D47" s="152" t="s">
        <v>17</v>
      </c>
      <c r="E47" s="282" t="s">
        <v>18</v>
      </c>
      <c r="F47" s="282"/>
      <c r="G47" s="282" t="s">
        <v>19</v>
      </c>
      <c r="H47" s="282"/>
      <c r="I47" s="282" t="s">
        <v>29</v>
      </c>
      <c r="J47" s="283"/>
      <c r="K47" s="2"/>
    </row>
    <row r="48" spans="1:13">
      <c r="A48" s="50"/>
      <c r="B48" s="24" t="s">
        <v>20</v>
      </c>
      <c r="C48" s="284">
        <v>964.58</v>
      </c>
      <c r="D48" s="285"/>
      <c r="E48" s="286">
        <v>673.33</v>
      </c>
      <c r="F48" s="287"/>
      <c r="G48" s="286">
        <v>673.33</v>
      </c>
      <c r="H48" s="287"/>
      <c r="I48" s="288"/>
      <c r="J48" s="289"/>
      <c r="K48" s="2"/>
    </row>
    <row r="49" spans="1:14">
      <c r="A49" s="51"/>
      <c r="B49" s="24" t="s">
        <v>21</v>
      </c>
      <c r="C49" s="284">
        <v>435.33</v>
      </c>
      <c r="D49" s="285"/>
      <c r="E49" s="316">
        <v>410.26</v>
      </c>
      <c r="F49" s="317"/>
      <c r="G49" s="316">
        <v>410.26</v>
      </c>
      <c r="H49" s="317"/>
      <c r="I49" s="318"/>
      <c r="J49" s="319"/>
      <c r="K49" s="2"/>
    </row>
    <row r="50" spans="1:14" ht="15.75" thickBot="1">
      <c r="A50" s="51"/>
      <c r="B50" s="24" t="s">
        <v>22</v>
      </c>
      <c r="C50" s="320">
        <v>669.04</v>
      </c>
      <c r="D50" s="321"/>
      <c r="E50" s="322">
        <v>479.017</v>
      </c>
      <c r="F50" s="323"/>
      <c r="G50" s="322">
        <v>479.017</v>
      </c>
      <c r="H50" s="323"/>
      <c r="I50" s="318"/>
      <c r="J50" s="319"/>
      <c r="K50" s="2"/>
    </row>
    <row r="51" spans="1:14" ht="15.75" thickBot="1">
      <c r="A51" s="11"/>
      <c r="B51" s="12" t="s">
        <v>23</v>
      </c>
      <c r="C51" s="305">
        <f>SUM(C48:D50)</f>
        <v>2068.9499999999998</v>
      </c>
      <c r="D51" s="306"/>
      <c r="E51" s="307">
        <f>SUM(E48:E50)</f>
        <v>1562.6070000000002</v>
      </c>
      <c r="F51" s="308"/>
      <c r="G51" s="307">
        <f>G48+G49+G50</f>
        <v>1562.6070000000002</v>
      </c>
      <c r="H51" s="308"/>
      <c r="I51" s="307">
        <f>SUM(I48:I50)</f>
        <v>0</v>
      </c>
      <c r="J51" s="309"/>
      <c r="K51" s="2"/>
    </row>
    <row r="53" spans="1:14" ht="15.75" thickBot="1">
      <c r="E53" s="25"/>
    </row>
    <row r="54" spans="1:14" s="130" customFormat="1" ht="19.5" thickBot="1">
      <c r="A54" s="310" t="s">
        <v>32</v>
      </c>
      <c r="B54" s="311"/>
      <c r="C54" s="311"/>
      <c r="D54" s="311"/>
      <c r="E54" s="311"/>
      <c r="F54" s="311"/>
      <c r="G54" s="311"/>
      <c r="H54" s="311"/>
      <c r="I54" s="311"/>
      <c r="J54" s="312"/>
      <c r="L54" s="131"/>
      <c r="M54" s="131"/>
      <c r="N54" s="131"/>
    </row>
    <row r="55" spans="1:14" s="130" customFormat="1">
      <c r="A55" s="160" t="s">
        <v>33</v>
      </c>
      <c r="B55" s="347" t="s">
        <v>34</v>
      </c>
      <c r="C55" s="348"/>
      <c r="D55" s="348"/>
      <c r="E55" s="348"/>
      <c r="F55" s="348"/>
      <c r="G55" s="348"/>
      <c r="H55" s="348"/>
      <c r="I55" s="349"/>
      <c r="J55" s="161" t="s">
        <v>35</v>
      </c>
      <c r="L55" s="131"/>
      <c r="M55" s="131"/>
      <c r="N55" s="131"/>
    </row>
    <row r="56" spans="1:14" s="130" customFormat="1" ht="16.899999999999999" customHeight="1">
      <c r="A56" s="159">
        <v>1</v>
      </c>
      <c r="B56" s="344" t="s">
        <v>45</v>
      </c>
      <c r="C56" s="345"/>
      <c r="D56" s="345"/>
      <c r="E56" s="345"/>
      <c r="F56" s="345"/>
      <c r="G56" s="345"/>
      <c r="H56" s="345"/>
      <c r="I56" s="346"/>
      <c r="J56" s="172">
        <v>9.68</v>
      </c>
      <c r="L56" s="131"/>
      <c r="M56" s="131"/>
      <c r="N56" s="131"/>
    </row>
    <row r="57" spans="1:14" s="130" customFormat="1" ht="30.6" customHeight="1">
      <c r="A57" s="159">
        <v>2</v>
      </c>
      <c r="B57" s="339" t="s">
        <v>143</v>
      </c>
      <c r="C57" s="339"/>
      <c r="D57" s="339"/>
      <c r="E57" s="162"/>
      <c r="F57" s="162"/>
      <c r="G57" s="162"/>
      <c r="H57" s="162"/>
      <c r="I57" s="162"/>
      <c r="J57" s="173">
        <v>4.2</v>
      </c>
      <c r="L57" s="131"/>
      <c r="M57" s="131"/>
      <c r="N57" s="131"/>
    </row>
    <row r="58" spans="1:14" s="130" customFormat="1" ht="20.45" customHeight="1">
      <c r="A58" s="159">
        <v>3</v>
      </c>
      <c r="B58" s="339" t="s">
        <v>46</v>
      </c>
      <c r="C58" s="339"/>
      <c r="D58" s="339"/>
      <c r="E58" s="162"/>
      <c r="F58" s="162"/>
      <c r="G58" s="162"/>
      <c r="H58" s="162"/>
      <c r="I58" s="162"/>
      <c r="J58" s="174">
        <v>53</v>
      </c>
      <c r="L58" s="131"/>
      <c r="M58" s="131"/>
      <c r="N58" s="131"/>
    </row>
    <row r="59" spans="1:14" s="130" customFormat="1" ht="30.6" customHeight="1">
      <c r="A59" s="159">
        <v>4</v>
      </c>
      <c r="B59" s="339" t="s">
        <v>69</v>
      </c>
      <c r="C59" s="339"/>
      <c r="D59" s="339"/>
      <c r="E59" s="162"/>
      <c r="F59" s="162"/>
      <c r="G59" s="162"/>
      <c r="H59" s="162"/>
      <c r="I59" s="162"/>
      <c r="J59" s="175">
        <v>3.948</v>
      </c>
      <c r="L59" s="131"/>
      <c r="M59" s="131"/>
      <c r="N59" s="131"/>
    </row>
    <row r="60" spans="1:14" s="4" customFormat="1" ht="15" customHeight="1">
      <c r="A60" s="159">
        <v>5</v>
      </c>
      <c r="B60" s="339" t="s">
        <v>89</v>
      </c>
      <c r="C60" s="339"/>
      <c r="D60" s="339"/>
      <c r="E60" s="162"/>
      <c r="F60" s="162"/>
      <c r="G60" s="162"/>
      <c r="H60" s="162"/>
      <c r="I60" s="162"/>
      <c r="J60" s="173">
        <v>11.7</v>
      </c>
      <c r="L60" s="2"/>
      <c r="M60" s="2"/>
      <c r="N60" s="2"/>
    </row>
    <row r="61" spans="1:14" s="4" customFormat="1" ht="15" customHeight="1">
      <c r="A61" s="159">
        <v>6</v>
      </c>
      <c r="B61" s="339" t="s">
        <v>144</v>
      </c>
      <c r="C61" s="339"/>
      <c r="D61" s="339"/>
      <c r="E61" s="162"/>
      <c r="F61" s="162"/>
      <c r="G61" s="162"/>
      <c r="H61" s="162"/>
      <c r="I61" s="162"/>
      <c r="J61" s="174">
        <v>9</v>
      </c>
      <c r="L61" s="2"/>
      <c r="M61" s="2"/>
      <c r="N61" s="2"/>
    </row>
    <row r="62" spans="1:14" s="4" customFormat="1" ht="15" customHeight="1">
      <c r="A62" s="159">
        <v>7</v>
      </c>
      <c r="B62" s="339" t="s">
        <v>145</v>
      </c>
      <c r="C62" s="339"/>
      <c r="D62" s="339"/>
      <c r="E62" s="162"/>
      <c r="F62" s="162"/>
      <c r="G62" s="162"/>
      <c r="H62" s="162"/>
      <c r="I62" s="162"/>
      <c r="J62" s="172">
        <v>14.35</v>
      </c>
      <c r="L62" s="2"/>
      <c r="M62" s="2"/>
      <c r="N62" s="2"/>
    </row>
    <row r="63" spans="1:14" s="4" customFormat="1" ht="15" customHeight="1">
      <c r="A63" s="159">
        <v>8</v>
      </c>
      <c r="B63" s="339" t="s">
        <v>71</v>
      </c>
      <c r="C63" s="339"/>
      <c r="D63" s="339"/>
      <c r="E63" s="162"/>
      <c r="F63" s="162"/>
      <c r="G63" s="162"/>
      <c r="H63" s="162"/>
      <c r="I63" s="162"/>
      <c r="J63" s="172">
        <v>3.63</v>
      </c>
      <c r="L63" s="2"/>
      <c r="M63" s="2"/>
      <c r="N63" s="2"/>
    </row>
    <row r="64" spans="1:14" s="4" customFormat="1" ht="15" customHeight="1">
      <c r="A64" s="159">
        <v>9</v>
      </c>
      <c r="B64" s="339" t="s">
        <v>73</v>
      </c>
      <c r="C64" s="339"/>
      <c r="D64" s="339"/>
      <c r="E64" s="162"/>
      <c r="F64" s="162"/>
      <c r="G64" s="162"/>
      <c r="H64" s="162"/>
      <c r="I64" s="162"/>
      <c r="J64" s="172">
        <v>13.94</v>
      </c>
      <c r="L64" s="2"/>
      <c r="M64" s="2"/>
      <c r="N64" s="2"/>
    </row>
    <row r="65" spans="1:14" s="4" customFormat="1" ht="15" customHeight="1">
      <c r="A65" s="159">
        <v>10</v>
      </c>
      <c r="B65" s="339" t="s">
        <v>74</v>
      </c>
      <c r="C65" s="339"/>
      <c r="D65" s="339"/>
      <c r="E65" s="162"/>
      <c r="F65" s="162"/>
      <c r="G65" s="162"/>
      <c r="H65" s="162"/>
      <c r="I65" s="162"/>
      <c r="J65" s="174">
        <v>15</v>
      </c>
      <c r="L65" s="2"/>
      <c r="M65" s="2"/>
      <c r="N65" s="2"/>
    </row>
    <row r="66" spans="1:14" s="4" customFormat="1" ht="15" customHeight="1">
      <c r="A66" s="159">
        <v>11</v>
      </c>
      <c r="B66" s="339" t="s">
        <v>135</v>
      </c>
      <c r="C66" s="339"/>
      <c r="D66" s="339"/>
      <c r="E66" s="162"/>
      <c r="F66" s="162"/>
      <c r="G66" s="162"/>
      <c r="H66" s="162"/>
      <c r="I66" s="162"/>
      <c r="J66" s="173">
        <v>5.6</v>
      </c>
      <c r="L66" s="2"/>
      <c r="M66" s="2"/>
      <c r="N66" s="2"/>
    </row>
    <row r="67" spans="1:14" s="4" customFormat="1" ht="15" customHeight="1">
      <c r="A67" s="159">
        <v>12</v>
      </c>
      <c r="B67" s="339" t="s">
        <v>47</v>
      </c>
      <c r="C67" s="339"/>
      <c r="D67" s="339"/>
      <c r="E67" s="162"/>
      <c r="F67" s="162"/>
      <c r="G67" s="162"/>
      <c r="H67" s="162"/>
      <c r="I67" s="162"/>
      <c r="J67" s="175">
        <v>18.003</v>
      </c>
      <c r="L67" s="2"/>
      <c r="M67" s="2"/>
      <c r="N67" s="2"/>
    </row>
    <row r="68" spans="1:14" s="4" customFormat="1" ht="15" customHeight="1">
      <c r="A68" s="159">
        <v>13</v>
      </c>
      <c r="B68" s="339" t="s">
        <v>77</v>
      </c>
      <c r="C68" s="339"/>
      <c r="D68" s="339"/>
      <c r="E68" s="162"/>
      <c r="F68" s="162"/>
      <c r="G68" s="162"/>
      <c r="H68" s="162"/>
      <c r="I68" s="162"/>
      <c r="J68" s="173">
        <v>28.7</v>
      </c>
      <c r="L68" s="2"/>
      <c r="M68" s="2"/>
      <c r="N68" s="2"/>
    </row>
    <row r="69" spans="1:14" s="4" customFormat="1" ht="15" customHeight="1">
      <c r="A69" s="159">
        <v>14</v>
      </c>
      <c r="B69" s="339" t="s">
        <v>92</v>
      </c>
      <c r="C69" s="339"/>
      <c r="D69" s="339"/>
      <c r="E69" s="162"/>
      <c r="F69" s="162"/>
      <c r="G69" s="162"/>
      <c r="H69" s="162"/>
      <c r="I69" s="162"/>
      <c r="J69" s="172">
        <v>17.149999999999999</v>
      </c>
      <c r="L69" s="2"/>
      <c r="M69" s="2"/>
      <c r="N69" s="2"/>
    </row>
    <row r="70" spans="1:14" s="4" customFormat="1" ht="15" customHeight="1">
      <c r="A70" s="159">
        <v>15</v>
      </c>
      <c r="B70" s="339" t="s">
        <v>146</v>
      </c>
      <c r="C70" s="339"/>
      <c r="D70" s="339"/>
      <c r="E70" s="162"/>
      <c r="F70" s="162"/>
      <c r="G70" s="162"/>
      <c r="H70" s="162"/>
      <c r="I70" s="162"/>
      <c r="J70" s="172">
        <v>8.9600000000000009</v>
      </c>
      <c r="L70" s="2"/>
      <c r="M70" s="2"/>
      <c r="N70" s="2"/>
    </row>
    <row r="71" spans="1:14" s="4" customFormat="1" ht="15" customHeight="1">
      <c r="A71" s="159">
        <v>16</v>
      </c>
      <c r="B71" s="339" t="s">
        <v>147</v>
      </c>
      <c r="C71" s="339"/>
      <c r="D71" s="339"/>
      <c r="E71" s="162"/>
      <c r="F71" s="162"/>
      <c r="G71" s="162"/>
      <c r="H71" s="162"/>
      <c r="I71" s="162"/>
      <c r="J71" s="173">
        <v>4.2</v>
      </c>
      <c r="L71" s="2"/>
      <c r="M71" s="2"/>
      <c r="N71" s="2"/>
    </row>
    <row r="72" spans="1:14" s="4" customFormat="1" ht="15" customHeight="1">
      <c r="A72" s="159">
        <v>17</v>
      </c>
      <c r="B72" s="339" t="s">
        <v>94</v>
      </c>
      <c r="C72" s="339"/>
      <c r="D72" s="339"/>
      <c r="E72" s="162"/>
      <c r="F72" s="162"/>
      <c r="G72" s="162"/>
      <c r="H72" s="162"/>
      <c r="I72" s="162"/>
      <c r="J72" s="172">
        <v>16.52</v>
      </c>
      <c r="L72" s="2"/>
      <c r="M72" s="2"/>
      <c r="N72" s="2"/>
    </row>
    <row r="73" spans="1:14" s="4" customFormat="1" ht="15" customHeight="1">
      <c r="A73" s="159">
        <v>18</v>
      </c>
      <c r="B73" s="339" t="s">
        <v>81</v>
      </c>
      <c r="C73" s="339"/>
      <c r="D73" s="339"/>
      <c r="E73" s="162"/>
      <c r="F73" s="162"/>
      <c r="G73" s="162"/>
      <c r="H73" s="162"/>
      <c r="I73" s="162"/>
      <c r="J73" s="172">
        <v>6.56</v>
      </c>
      <c r="L73" s="2"/>
      <c r="M73" s="2"/>
      <c r="N73" s="2"/>
    </row>
    <row r="74" spans="1:14" s="4" customFormat="1" ht="14.45" customHeight="1">
      <c r="A74" s="159">
        <v>19</v>
      </c>
      <c r="B74" s="339" t="s">
        <v>148</v>
      </c>
      <c r="C74" s="339"/>
      <c r="D74" s="339"/>
      <c r="E74" s="162"/>
      <c r="F74" s="162"/>
      <c r="G74" s="162"/>
      <c r="H74" s="162"/>
      <c r="I74" s="162"/>
      <c r="J74" s="173">
        <v>4.7</v>
      </c>
      <c r="L74" s="2"/>
      <c r="M74" s="2"/>
      <c r="N74" s="2"/>
    </row>
    <row r="75" spans="1:14" s="4" customFormat="1" ht="30.6" customHeight="1">
      <c r="A75" s="159">
        <v>20</v>
      </c>
      <c r="B75" s="339" t="s">
        <v>149</v>
      </c>
      <c r="C75" s="339"/>
      <c r="D75" s="339"/>
      <c r="E75" s="162"/>
      <c r="F75" s="162"/>
      <c r="G75" s="162"/>
      <c r="H75" s="162"/>
      <c r="I75" s="162"/>
      <c r="J75" s="173">
        <v>5.4</v>
      </c>
      <c r="L75" s="2"/>
      <c r="M75" s="2"/>
      <c r="N75" s="2"/>
    </row>
    <row r="76" spans="1:14" s="4" customFormat="1" ht="30.6" customHeight="1">
      <c r="A76" s="159">
        <v>21</v>
      </c>
      <c r="B76" s="340" t="s">
        <v>150</v>
      </c>
      <c r="C76" s="340"/>
      <c r="D76" s="340"/>
      <c r="E76" s="162"/>
      <c r="F76" s="162"/>
      <c r="G76" s="162"/>
      <c r="H76" s="162"/>
      <c r="I76" s="162"/>
      <c r="J76" s="173">
        <v>0.2</v>
      </c>
      <c r="L76" s="2"/>
      <c r="M76" s="2"/>
      <c r="N76" s="2"/>
    </row>
    <row r="77" spans="1:14" s="4" customFormat="1" ht="30.6" customHeight="1">
      <c r="A77" s="159">
        <v>22</v>
      </c>
      <c r="B77" s="341" t="s">
        <v>151</v>
      </c>
      <c r="C77" s="342"/>
      <c r="D77" s="343"/>
      <c r="E77" s="162"/>
      <c r="F77" s="162"/>
      <c r="G77" s="162"/>
      <c r="H77" s="162"/>
      <c r="I77" s="162"/>
      <c r="J77" s="168">
        <v>110</v>
      </c>
      <c r="L77" s="2"/>
      <c r="M77" s="2"/>
      <c r="N77" s="2"/>
    </row>
    <row r="78" spans="1:14" s="4" customFormat="1" ht="30.6" customHeight="1">
      <c r="A78" s="159">
        <v>23</v>
      </c>
      <c r="B78" s="341" t="s">
        <v>152</v>
      </c>
      <c r="C78" s="342"/>
      <c r="D78" s="343"/>
      <c r="E78" s="162"/>
      <c r="F78" s="162"/>
      <c r="G78" s="162"/>
      <c r="H78" s="162"/>
      <c r="I78" s="162"/>
      <c r="J78" s="169">
        <v>53.927999999999997</v>
      </c>
      <c r="L78" s="2"/>
      <c r="M78" s="2"/>
      <c r="N78" s="2"/>
    </row>
    <row r="79" spans="1:14" s="4" customFormat="1" ht="14.45" customHeight="1">
      <c r="A79" s="159">
        <v>24</v>
      </c>
      <c r="B79" s="341" t="s">
        <v>97</v>
      </c>
      <c r="C79" s="342"/>
      <c r="D79" s="343"/>
      <c r="E79" s="162"/>
      <c r="F79" s="162"/>
      <c r="G79" s="162"/>
      <c r="H79" s="162"/>
      <c r="I79" s="162"/>
      <c r="J79" s="168">
        <v>5</v>
      </c>
      <c r="L79" s="2"/>
      <c r="M79" s="2"/>
      <c r="N79" s="2"/>
    </row>
    <row r="80" spans="1:14" s="4" customFormat="1" ht="30.6" customHeight="1">
      <c r="A80" s="159">
        <v>25</v>
      </c>
      <c r="B80" s="341" t="s">
        <v>103</v>
      </c>
      <c r="C80" s="342"/>
      <c r="D80" s="343"/>
      <c r="E80" s="162"/>
      <c r="F80" s="162"/>
      <c r="G80" s="162"/>
      <c r="H80" s="162"/>
      <c r="I80" s="162"/>
      <c r="J80" s="170">
        <v>12.5</v>
      </c>
      <c r="L80" s="2"/>
      <c r="M80" s="2"/>
      <c r="N80" s="2"/>
    </row>
    <row r="81" spans="1:14" s="4" customFormat="1" ht="30.6" customHeight="1">
      <c r="A81" s="159">
        <v>26</v>
      </c>
      <c r="B81" s="341" t="s">
        <v>105</v>
      </c>
      <c r="C81" s="342"/>
      <c r="D81" s="343"/>
      <c r="E81" s="162"/>
      <c r="F81" s="162"/>
      <c r="G81" s="162"/>
      <c r="H81" s="162"/>
      <c r="I81" s="162"/>
      <c r="J81" s="168">
        <v>5</v>
      </c>
      <c r="L81" s="2"/>
      <c r="M81" s="2"/>
      <c r="N81" s="2"/>
    </row>
    <row r="82" spans="1:14" s="4" customFormat="1" ht="14.45" customHeight="1">
      <c r="A82" s="159">
        <v>27</v>
      </c>
      <c r="B82" s="341" t="s">
        <v>153</v>
      </c>
      <c r="C82" s="342"/>
      <c r="D82" s="343"/>
      <c r="E82" s="162"/>
      <c r="F82" s="162"/>
      <c r="G82" s="162"/>
      <c r="H82" s="162"/>
      <c r="I82" s="162"/>
      <c r="J82" s="168">
        <v>5</v>
      </c>
      <c r="L82" s="2"/>
      <c r="M82" s="2"/>
      <c r="N82" s="2"/>
    </row>
    <row r="83" spans="1:14" s="4" customFormat="1" ht="30.6" customHeight="1">
      <c r="A83" s="159">
        <v>28</v>
      </c>
      <c r="B83" s="341" t="s">
        <v>45</v>
      </c>
      <c r="C83" s="342"/>
      <c r="D83" s="343"/>
      <c r="E83" s="162"/>
      <c r="F83" s="162"/>
      <c r="G83" s="162"/>
      <c r="H83" s="162"/>
      <c r="I83" s="162"/>
      <c r="J83" s="171">
        <v>9.68</v>
      </c>
      <c r="L83" s="2"/>
      <c r="M83" s="2"/>
      <c r="N83" s="2"/>
    </row>
    <row r="84" spans="1:14" s="4" customFormat="1" ht="30.6" customHeight="1">
      <c r="A84" s="159">
        <v>29</v>
      </c>
      <c r="B84" s="341" t="s">
        <v>143</v>
      </c>
      <c r="C84" s="342"/>
      <c r="D84" s="343"/>
      <c r="E84" s="162"/>
      <c r="F84" s="162"/>
      <c r="G84" s="162"/>
      <c r="H84" s="162"/>
      <c r="I84" s="162"/>
      <c r="J84" s="170">
        <v>4.2</v>
      </c>
      <c r="L84" s="2"/>
      <c r="M84" s="2"/>
      <c r="N84" s="2"/>
    </row>
    <row r="85" spans="1:14" s="4" customFormat="1" ht="20.45" customHeight="1">
      <c r="A85" s="159">
        <v>30</v>
      </c>
      <c r="B85" s="341" t="s">
        <v>46</v>
      </c>
      <c r="C85" s="342"/>
      <c r="D85" s="343"/>
      <c r="E85" s="162"/>
      <c r="F85" s="162"/>
      <c r="G85" s="162"/>
      <c r="H85" s="162"/>
      <c r="I85" s="162"/>
      <c r="J85" s="168">
        <v>53</v>
      </c>
      <c r="L85" s="2"/>
      <c r="M85" s="2"/>
      <c r="N85" s="2"/>
    </row>
    <row r="86" spans="1:14" s="4" customFormat="1" ht="30.6" customHeight="1">
      <c r="A86" s="159">
        <v>31</v>
      </c>
      <c r="B86" s="341" t="s">
        <v>89</v>
      </c>
      <c r="C86" s="342"/>
      <c r="D86" s="343"/>
      <c r="E86" s="162"/>
      <c r="F86" s="162"/>
      <c r="G86" s="162"/>
      <c r="H86" s="162"/>
      <c r="I86" s="162"/>
      <c r="J86" s="170">
        <v>11.7</v>
      </c>
      <c r="L86" s="2"/>
      <c r="M86" s="2"/>
      <c r="N86" s="2"/>
    </row>
    <row r="87" spans="1:14" s="4" customFormat="1" ht="20.45" customHeight="1">
      <c r="A87" s="159">
        <v>32</v>
      </c>
      <c r="B87" s="341" t="s">
        <v>144</v>
      </c>
      <c r="C87" s="342"/>
      <c r="D87" s="343"/>
      <c r="E87" s="162"/>
      <c r="F87" s="162"/>
      <c r="G87" s="162"/>
      <c r="H87" s="162"/>
      <c r="I87" s="162"/>
      <c r="J87" s="168">
        <v>9</v>
      </c>
      <c r="L87" s="2"/>
      <c r="M87" s="2"/>
      <c r="N87" s="2"/>
    </row>
    <row r="88" spans="1:14" s="4" customFormat="1" ht="30.6" customHeight="1">
      <c r="A88" s="159">
        <v>33</v>
      </c>
      <c r="B88" s="341" t="s">
        <v>145</v>
      </c>
      <c r="C88" s="342"/>
      <c r="D88" s="343"/>
      <c r="E88" s="162"/>
      <c r="F88" s="162"/>
      <c r="G88" s="162"/>
      <c r="H88" s="162"/>
      <c r="I88" s="162"/>
      <c r="J88" s="171">
        <v>14.35</v>
      </c>
      <c r="L88" s="2"/>
      <c r="M88" s="2"/>
      <c r="N88" s="2"/>
    </row>
    <row r="89" spans="1:14" s="4" customFormat="1" ht="30.6" customHeight="1">
      <c r="A89" s="159">
        <v>34</v>
      </c>
      <c r="B89" s="341" t="s">
        <v>73</v>
      </c>
      <c r="C89" s="342"/>
      <c r="D89" s="343"/>
      <c r="E89" s="162"/>
      <c r="F89" s="162"/>
      <c r="G89" s="162"/>
      <c r="H89" s="162"/>
      <c r="I89" s="162"/>
      <c r="J89" s="171">
        <v>13.94</v>
      </c>
      <c r="L89" s="2"/>
      <c r="M89" s="2"/>
      <c r="N89" s="2"/>
    </row>
    <row r="90" spans="1:14" s="4" customFormat="1" ht="20.45" customHeight="1">
      <c r="A90" s="159">
        <v>35</v>
      </c>
      <c r="B90" s="341" t="s">
        <v>74</v>
      </c>
      <c r="C90" s="342"/>
      <c r="D90" s="343"/>
      <c r="E90" s="162"/>
      <c r="F90" s="162"/>
      <c r="G90" s="162"/>
      <c r="H90" s="162"/>
      <c r="I90" s="162"/>
      <c r="J90" s="168">
        <v>15</v>
      </c>
      <c r="L90" s="2"/>
      <c r="M90" s="2"/>
      <c r="N90" s="2"/>
    </row>
    <row r="91" spans="1:14" s="4" customFormat="1" ht="30.6" customHeight="1">
      <c r="A91" s="159">
        <v>36</v>
      </c>
      <c r="B91" s="341" t="s">
        <v>135</v>
      </c>
      <c r="C91" s="342"/>
      <c r="D91" s="343"/>
      <c r="E91" s="162"/>
      <c r="F91" s="162"/>
      <c r="G91" s="162"/>
      <c r="H91" s="162"/>
      <c r="I91" s="162"/>
      <c r="J91" s="170">
        <v>5.6</v>
      </c>
      <c r="L91" s="2"/>
      <c r="M91" s="2"/>
      <c r="N91" s="2"/>
    </row>
    <row r="92" spans="1:14" s="4" customFormat="1" ht="30.6" customHeight="1">
      <c r="A92" s="159">
        <v>37</v>
      </c>
      <c r="B92" s="341" t="s">
        <v>47</v>
      </c>
      <c r="C92" s="342"/>
      <c r="D92" s="343"/>
      <c r="E92" s="162"/>
      <c r="F92" s="162"/>
      <c r="G92" s="162"/>
      <c r="H92" s="162"/>
      <c r="I92" s="162"/>
      <c r="J92" s="169">
        <v>18.003</v>
      </c>
      <c r="L92" s="2"/>
      <c r="M92" s="2"/>
      <c r="N92" s="2"/>
    </row>
    <row r="93" spans="1:14" s="4" customFormat="1" ht="30.6" customHeight="1">
      <c r="A93" s="159">
        <v>38</v>
      </c>
      <c r="B93" s="341" t="s">
        <v>77</v>
      </c>
      <c r="C93" s="342"/>
      <c r="D93" s="343"/>
      <c r="E93" s="162"/>
      <c r="F93" s="162"/>
      <c r="G93" s="162"/>
      <c r="H93" s="162"/>
      <c r="I93" s="162"/>
      <c r="J93" s="170">
        <v>28.7</v>
      </c>
      <c r="L93" s="2"/>
      <c r="M93" s="2"/>
      <c r="N93" s="2"/>
    </row>
    <row r="94" spans="1:14" s="4" customFormat="1" ht="30.6" customHeight="1">
      <c r="A94" s="159">
        <v>39</v>
      </c>
      <c r="B94" s="341" t="s">
        <v>92</v>
      </c>
      <c r="C94" s="342"/>
      <c r="D94" s="343"/>
      <c r="E94" s="162"/>
      <c r="F94" s="162"/>
      <c r="G94" s="162"/>
      <c r="H94" s="162"/>
      <c r="I94" s="162"/>
      <c r="J94" s="171">
        <v>17.149999999999999</v>
      </c>
      <c r="L94" s="2"/>
      <c r="M94" s="2"/>
      <c r="N94" s="2"/>
    </row>
    <row r="95" spans="1:14" s="4" customFormat="1" ht="14.45" customHeight="1">
      <c r="A95" s="159">
        <v>40</v>
      </c>
      <c r="B95" s="341" t="s">
        <v>146</v>
      </c>
      <c r="C95" s="342"/>
      <c r="D95" s="343"/>
      <c r="E95" s="162"/>
      <c r="F95" s="162"/>
      <c r="G95" s="162"/>
      <c r="H95" s="162"/>
      <c r="I95" s="162"/>
      <c r="J95" s="171">
        <v>8.9600000000000009</v>
      </c>
      <c r="L95" s="2"/>
      <c r="M95" s="2"/>
      <c r="N95" s="2"/>
    </row>
    <row r="96" spans="1:14" s="4" customFormat="1" ht="20.45" customHeight="1">
      <c r="A96" s="159">
        <v>41</v>
      </c>
      <c r="B96" s="341" t="s">
        <v>147</v>
      </c>
      <c r="C96" s="342"/>
      <c r="D96" s="343"/>
      <c r="E96" s="162"/>
      <c r="F96" s="162"/>
      <c r="G96" s="162"/>
      <c r="H96" s="162"/>
      <c r="I96" s="162"/>
      <c r="J96" s="170">
        <v>4.2</v>
      </c>
      <c r="L96" s="2"/>
      <c r="M96" s="2"/>
      <c r="N96" s="2"/>
    </row>
    <row r="97" spans="1:14" s="4" customFormat="1" ht="30.6" customHeight="1">
      <c r="A97" s="159">
        <v>42</v>
      </c>
      <c r="B97" s="341" t="s">
        <v>94</v>
      </c>
      <c r="C97" s="342"/>
      <c r="D97" s="343"/>
      <c r="E97" s="162"/>
      <c r="F97" s="162"/>
      <c r="G97" s="162"/>
      <c r="H97" s="162"/>
      <c r="I97" s="162"/>
      <c r="J97" s="171">
        <v>16.52</v>
      </c>
      <c r="L97" s="2"/>
      <c r="M97" s="2"/>
      <c r="N97" s="2"/>
    </row>
    <row r="98" spans="1:14" s="4" customFormat="1" ht="30.6" customHeight="1">
      <c r="A98" s="159">
        <v>43</v>
      </c>
      <c r="B98" s="341" t="s">
        <v>81</v>
      </c>
      <c r="C98" s="342"/>
      <c r="D98" s="343"/>
      <c r="E98" s="162"/>
      <c r="F98" s="162"/>
      <c r="G98" s="162"/>
      <c r="H98" s="162"/>
      <c r="I98" s="162"/>
      <c r="J98" s="171">
        <v>6.56</v>
      </c>
      <c r="L98" s="2"/>
      <c r="M98" s="2"/>
      <c r="N98" s="2"/>
    </row>
    <row r="99" spans="1:14" s="4" customFormat="1" ht="14.45" customHeight="1">
      <c r="A99" s="159">
        <v>44</v>
      </c>
      <c r="B99" s="341" t="s">
        <v>148</v>
      </c>
      <c r="C99" s="342"/>
      <c r="D99" s="343"/>
      <c r="E99" s="162"/>
      <c r="F99" s="162"/>
      <c r="G99" s="162"/>
      <c r="H99" s="162"/>
      <c r="I99" s="162"/>
      <c r="J99" s="170">
        <v>4.7</v>
      </c>
      <c r="L99" s="2"/>
      <c r="M99" s="2"/>
      <c r="N99" s="2"/>
    </row>
    <row r="100" spans="1:14" s="4" customFormat="1" ht="30.6" customHeight="1">
      <c r="A100" s="159">
        <v>45</v>
      </c>
      <c r="B100" s="341" t="s">
        <v>149</v>
      </c>
      <c r="C100" s="342"/>
      <c r="D100" s="343"/>
      <c r="E100" s="162"/>
      <c r="F100" s="162"/>
      <c r="G100" s="162"/>
      <c r="H100" s="162"/>
      <c r="I100" s="162"/>
      <c r="J100" s="170">
        <v>5.4</v>
      </c>
      <c r="L100" s="2"/>
      <c r="M100" s="2"/>
      <c r="N100" s="2"/>
    </row>
    <row r="101" spans="1:14" s="4" customFormat="1" ht="30.6" customHeight="1">
      <c r="A101" s="159">
        <v>46</v>
      </c>
      <c r="B101" s="341" t="s">
        <v>154</v>
      </c>
      <c r="C101" s="342"/>
      <c r="D101" s="343"/>
      <c r="E101" s="162"/>
      <c r="F101" s="162"/>
      <c r="G101" s="162"/>
      <c r="H101" s="162"/>
      <c r="I101" s="162"/>
      <c r="J101" s="168">
        <v>5</v>
      </c>
      <c r="L101" s="2"/>
      <c r="M101" s="2"/>
      <c r="N101" s="2"/>
    </row>
    <row r="102" spans="1:14" s="4" customFormat="1" ht="51" customHeight="1">
      <c r="A102" s="159">
        <v>47</v>
      </c>
      <c r="B102" s="341" t="s">
        <v>138</v>
      </c>
      <c r="C102" s="342"/>
      <c r="D102" s="343"/>
      <c r="E102" s="162"/>
      <c r="F102" s="162"/>
      <c r="G102" s="162"/>
      <c r="H102" s="162"/>
      <c r="I102" s="162"/>
      <c r="J102" s="170">
        <v>4.9000000000000004</v>
      </c>
      <c r="L102" s="2"/>
      <c r="M102" s="2"/>
      <c r="N102" s="2"/>
    </row>
    <row r="103" spans="1:14" ht="15.75" thickBot="1">
      <c r="A103" s="108"/>
      <c r="B103" s="325" t="s">
        <v>15</v>
      </c>
      <c r="C103" s="326"/>
      <c r="D103" s="326"/>
      <c r="E103" s="326"/>
      <c r="F103" s="326"/>
      <c r="G103" s="326"/>
      <c r="H103" s="326"/>
      <c r="I103" s="327"/>
      <c r="J103" s="109">
        <f>SUM(J56:J102)</f>
        <v>702.43200000000024</v>
      </c>
    </row>
    <row r="105" spans="1:14" ht="14.45" customHeight="1"/>
    <row r="109" spans="1:14" ht="14.45" customHeight="1"/>
  </sheetData>
  <mergeCells count="113">
    <mergeCell ref="A1:C1"/>
    <mergeCell ref="E1:H1"/>
    <mergeCell ref="J1:K1"/>
    <mergeCell ref="A2:C2"/>
    <mergeCell ref="F2:H2"/>
    <mergeCell ref="J2:K2"/>
    <mergeCell ref="A21:F21"/>
    <mergeCell ref="A24:I24"/>
    <mergeCell ref="A31:C31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33:L33"/>
    <mergeCell ref="L34:M34"/>
    <mergeCell ref="A35:A36"/>
    <mergeCell ref="B35:B36"/>
    <mergeCell ref="C35:C36"/>
    <mergeCell ref="D35:D36"/>
    <mergeCell ref="F35:F36"/>
    <mergeCell ref="G35:G36"/>
    <mergeCell ref="L43:M43"/>
    <mergeCell ref="K35:K36"/>
    <mergeCell ref="L35:M36"/>
    <mergeCell ref="L37:M37"/>
    <mergeCell ref="L38:M38"/>
    <mergeCell ref="L39:M39"/>
    <mergeCell ref="L40:M40"/>
    <mergeCell ref="H35:H36"/>
    <mergeCell ref="I35:I36"/>
    <mergeCell ref="J35:J36"/>
    <mergeCell ref="L41:M41"/>
    <mergeCell ref="L42:M42"/>
    <mergeCell ref="A44:E44"/>
    <mergeCell ref="G44:L44"/>
    <mergeCell ref="A46:J46"/>
    <mergeCell ref="B55:I55"/>
    <mergeCell ref="B59:D59"/>
    <mergeCell ref="B60:D60"/>
    <mergeCell ref="C50:D50"/>
    <mergeCell ref="E50:F50"/>
    <mergeCell ref="G50:H50"/>
    <mergeCell ref="I50:J50"/>
    <mergeCell ref="G48:H48"/>
    <mergeCell ref="I48:J48"/>
    <mergeCell ref="C49:D49"/>
    <mergeCell ref="E49:F49"/>
    <mergeCell ref="G49:H49"/>
    <mergeCell ref="I49:J49"/>
    <mergeCell ref="E47:F47"/>
    <mergeCell ref="G47:H47"/>
    <mergeCell ref="I47:J47"/>
    <mergeCell ref="C48:D48"/>
    <mergeCell ref="E48:F48"/>
    <mergeCell ref="B61:D61"/>
    <mergeCell ref="B62:D62"/>
    <mergeCell ref="C51:D51"/>
    <mergeCell ref="E51:F51"/>
    <mergeCell ref="G51:H51"/>
    <mergeCell ref="I51:J51"/>
    <mergeCell ref="A54:J54"/>
    <mergeCell ref="B56:I56"/>
    <mergeCell ref="B57:D57"/>
    <mergeCell ref="B58:D58"/>
    <mergeCell ref="B68:D68"/>
    <mergeCell ref="B69:D69"/>
    <mergeCell ref="B70:D70"/>
    <mergeCell ref="B71:D71"/>
    <mergeCell ref="B72:D72"/>
    <mergeCell ref="B63:D63"/>
    <mergeCell ref="B64:D64"/>
    <mergeCell ref="B65:D65"/>
    <mergeCell ref="B66:D66"/>
    <mergeCell ref="B67:D67"/>
    <mergeCell ref="B103:I103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73:D73"/>
    <mergeCell ref="B74:D74"/>
    <mergeCell ref="B75:D75"/>
    <mergeCell ref="B76:D76"/>
    <mergeCell ref="B98:D98"/>
    <mergeCell ref="B99:D99"/>
    <mergeCell ref="B100:D100"/>
    <mergeCell ref="B101:D101"/>
    <mergeCell ref="B102:D102"/>
    <mergeCell ref="B93:D93"/>
    <mergeCell ref="B94:D94"/>
    <mergeCell ref="B95:D95"/>
    <mergeCell ref="B96:D96"/>
    <mergeCell ref="B97:D97"/>
  </mergeCells>
  <pageMargins left="0" right="0" top="0.59055118110236204" bottom="0" header="0" footer="0"/>
  <pageSetup paperSize="9"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7249-1866-4FB8-B9A2-718271FFBD95}">
  <sheetPr>
    <tabColor rgb="FFFFFF00"/>
    <pageSetUpPr fitToPage="1"/>
  </sheetPr>
  <dimension ref="A1:N85"/>
  <sheetViews>
    <sheetView topLeftCell="A43" zoomScale="85" zoomScaleNormal="85" workbookViewId="0">
      <pane xSplit="3" topLeftCell="D1" activePane="topRight" state="frozen"/>
      <selection pane="topRight" activeCell="J15" sqref="J15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8" width="10.7109375" style="5" customWidth="1"/>
    <col min="9" max="9" width="23.855468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42" t="s">
        <v>51</v>
      </c>
      <c r="B1" s="242"/>
      <c r="C1" s="242"/>
      <c r="D1" s="1"/>
      <c r="E1" s="242" t="s">
        <v>24</v>
      </c>
      <c r="F1" s="242"/>
      <c r="G1" s="242"/>
      <c r="H1" s="242"/>
      <c r="I1" s="165"/>
      <c r="J1" s="243">
        <v>3</v>
      </c>
      <c r="K1" s="243"/>
    </row>
    <row r="2" spans="1:12" ht="28.5">
      <c r="A2" s="244">
        <v>46319</v>
      </c>
      <c r="B2" s="245"/>
      <c r="C2" s="245"/>
      <c r="D2" s="3"/>
      <c r="E2" s="3"/>
      <c r="F2" s="246"/>
      <c r="G2" s="246"/>
      <c r="H2" s="246"/>
      <c r="I2" s="166"/>
      <c r="J2" s="246"/>
      <c r="K2" s="246"/>
    </row>
    <row r="3" spans="1:12" ht="27" thickBot="1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12" ht="18" customHeight="1">
      <c r="A4" s="258" t="s">
        <v>25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60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1" t="s">
        <v>1</v>
      </c>
      <c r="B6" s="262" t="s">
        <v>2</v>
      </c>
      <c r="C6" s="262" t="s">
        <v>3</v>
      </c>
      <c r="D6" s="262" t="s">
        <v>4</v>
      </c>
      <c r="E6" s="164" t="s">
        <v>5</v>
      </c>
      <c r="F6" s="262" t="s">
        <v>6</v>
      </c>
      <c r="G6" s="263" t="s">
        <v>7</v>
      </c>
      <c r="H6" s="264" t="s">
        <v>8</v>
      </c>
      <c r="I6" s="262" t="s">
        <v>9</v>
      </c>
      <c r="J6" s="247" t="s">
        <v>30</v>
      </c>
      <c r="K6" s="249" t="s">
        <v>10</v>
      </c>
      <c r="L6" s="250"/>
    </row>
    <row r="7" spans="1:12" s="8" customFormat="1" ht="63.6" customHeight="1">
      <c r="A7" s="261"/>
      <c r="B7" s="262"/>
      <c r="C7" s="262"/>
      <c r="D7" s="262"/>
      <c r="E7" s="164" t="s">
        <v>11</v>
      </c>
      <c r="F7" s="262"/>
      <c r="G7" s="263"/>
      <c r="H7" s="264"/>
      <c r="I7" s="262"/>
      <c r="J7" s="248"/>
      <c r="K7" s="164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</v>
      </c>
      <c r="G8" s="22"/>
      <c r="H8" s="26"/>
      <c r="I8" s="23"/>
      <c r="J8" s="21">
        <f>I8-F8</f>
        <v>0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0.30555555555555558</v>
      </c>
      <c r="G9" s="22">
        <v>30</v>
      </c>
      <c r="H9" s="26">
        <v>976.97</v>
      </c>
      <c r="I9" s="23">
        <v>0.70486111111111116</v>
      </c>
      <c r="J9" s="21">
        <f t="shared" ref="J9:J11" si="0">I9-F9</f>
        <v>0.39930555555555558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0.3263888888888889</v>
      </c>
      <c r="G10" s="22">
        <v>33</v>
      </c>
      <c r="H10" s="26">
        <v>584.154</v>
      </c>
      <c r="I10" s="23">
        <v>0.69791666666666663</v>
      </c>
      <c r="J10" s="21">
        <f t="shared" si="0"/>
        <v>0.37152777777777773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0.31597222222222221</v>
      </c>
      <c r="G11" s="22">
        <v>18</v>
      </c>
      <c r="H11" s="26">
        <v>596.77</v>
      </c>
      <c r="I11" s="23">
        <v>0.71527777777777779</v>
      </c>
      <c r="J11" s="21">
        <f t="shared" si="0"/>
        <v>0.39930555555555558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1" t="s">
        <v>15</v>
      </c>
      <c r="B21" s="252"/>
      <c r="C21" s="252"/>
      <c r="D21" s="252"/>
      <c r="E21" s="252"/>
      <c r="F21" s="253"/>
      <c r="G21" s="70">
        <f>SUM(G8:G20)</f>
        <v>81</v>
      </c>
      <c r="H21" s="70">
        <f>SUM(H8:H20)</f>
        <v>2157.8940000000002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>
        <f>SUM(N49)</f>
        <v>0</v>
      </c>
    </row>
    <row r="24" spans="1:14" ht="18.75">
      <c r="A24" s="254" t="s">
        <v>26</v>
      </c>
      <c r="B24" s="255"/>
      <c r="C24" s="255"/>
      <c r="D24" s="255"/>
      <c r="E24" s="255"/>
      <c r="F24" s="255"/>
      <c r="G24" s="255"/>
      <c r="H24" s="255"/>
      <c r="I24" s="256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64" t="s">
        <v>2</v>
      </c>
      <c r="C26" s="164" t="s">
        <v>3</v>
      </c>
      <c r="D26" s="164" t="s">
        <v>27</v>
      </c>
      <c r="E26" s="164" t="s">
        <v>6</v>
      </c>
      <c r="F26" s="164" t="s">
        <v>28</v>
      </c>
      <c r="G26" s="164" t="s">
        <v>8</v>
      </c>
      <c r="H26" s="164" t="s">
        <v>31</v>
      </c>
      <c r="I26" s="31" t="s">
        <v>30</v>
      </c>
      <c r="J26" s="8"/>
      <c r="K26" s="8"/>
      <c r="L26" s="8"/>
      <c r="N26" s="43"/>
    </row>
    <row r="27" spans="1:14">
      <c r="A27" s="57"/>
      <c r="B27" s="56"/>
      <c r="C27" s="55"/>
      <c r="D27" s="39"/>
      <c r="E27" s="38"/>
      <c r="F27" s="22"/>
      <c r="G27" s="26"/>
      <c r="H27" s="35"/>
      <c r="I27" s="36"/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1" t="s">
        <v>15</v>
      </c>
      <c r="B31" s="252"/>
      <c r="C31" s="253"/>
      <c r="D31" s="10"/>
      <c r="E31" s="32"/>
      <c r="F31" s="32">
        <f>SUM(F30:F30)</f>
        <v>0</v>
      </c>
      <c r="G31" s="32">
        <f>SUM(G27:G30)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4" t="s">
        <v>12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78">
        <v>12</v>
      </c>
      <c r="M34" s="279"/>
    </row>
    <row r="35" spans="1:13" ht="75">
      <c r="A35" s="280" t="s">
        <v>1</v>
      </c>
      <c r="B35" s="265" t="s">
        <v>2</v>
      </c>
      <c r="C35" s="265" t="s">
        <v>3</v>
      </c>
      <c r="D35" s="265" t="s">
        <v>4</v>
      </c>
      <c r="E35" s="97" t="s">
        <v>5</v>
      </c>
      <c r="F35" s="265" t="s">
        <v>14</v>
      </c>
      <c r="G35" s="265" t="s">
        <v>13</v>
      </c>
      <c r="H35" s="265" t="s">
        <v>37</v>
      </c>
      <c r="I35" s="265" t="s">
        <v>39</v>
      </c>
      <c r="J35" s="265" t="s">
        <v>38</v>
      </c>
      <c r="K35" s="265" t="s">
        <v>40</v>
      </c>
      <c r="L35" s="266" t="s">
        <v>36</v>
      </c>
      <c r="M35" s="267"/>
    </row>
    <row r="36" spans="1:13" ht="75">
      <c r="A36" s="281"/>
      <c r="B36" s="248"/>
      <c r="C36" s="248"/>
      <c r="D36" s="248"/>
      <c r="E36" s="167" t="s">
        <v>11</v>
      </c>
      <c r="F36" s="248"/>
      <c r="G36" s="248"/>
      <c r="H36" s="248"/>
      <c r="I36" s="248"/>
      <c r="J36" s="248"/>
      <c r="K36" s="248"/>
      <c r="L36" s="268"/>
      <c r="M36" s="269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70"/>
      <c r="M37" s="271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72"/>
      <c r="M38" s="273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74"/>
      <c r="M39" s="275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76"/>
      <c r="M40" s="277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90"/>
      <c r="M41" s="291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92"/>
      <c r="M42" s="293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94"/>
      <c r="M43" s="295"/>
    </row>
    <row r="44" spans="1:13" ht="15.75" thickBot="1">
      <c r="A44" s="296" t="s">
        <v>15</v>
      </c>
      <c r="B44" s="297"/>
      <c r="C44" s="297"/>
      <c r="D44" s="297"/>
      <c r="E44" s="298"/>
      <c r="F44" s="96"/>
      <c r="G44" s="299">
        <f>SUM(G37:G43)</f>
        <v>0</v>
      </c>
      <c r="H44" s="300"/>
      <c r="I44" s="300"/>
      <c r="J44" s="300"/>
      <c r="K44" s="300"/>
      <c r="L44" s="301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302" t="s">
        <v>16</v>
      </c>
      <c r="B46" s="303"/>
      <c r="C46" s="303"/>
      <c r="D46" s="303"/>
      <c r="E46" s="303"/>
      <c r="F46" s="303"/>
      <c r="G46" s="303"/>
      <c r="H46" s="303"/>
      <c r="I46" s="303"/>
      <c r="J46" s="304"/>
      <c r="K46" s="2"/>
    </row>
    <row r="47" spans="1:13" ht="30">
      <c r="A47" s="50"/>
      <c r="B47" s="18"/>
      <c r="C47" s="163"/>
      <c r="D47" s="163" t="s">
        <v>17</v>
      </c>
      <c r="E47" s="282" t="s">
        <v>18</v>
      </c>
      <c r="F47" s="282"/>
      <c r="G47" s="282" t="s">
        <v>19</v>
      </c>
      <c r="H47" s="282"/>
      <c r="I47" s="282" t="s">
        <v>29</v>
      </c>
      <c r="J47" s="283"/>
      <c r="K47" s="2"/>
    </row>
    <row r="48" spans="1:13">
      <c r="A48" s="50"/>
      <c r="B48" s="24" t="s">
        <v>20</v>
      </c>
      <c r="C48" s="284">
        <v>1399.34</v>
      </c>
      <c r="D48" s="285"/>
      <c r="E48" s="286">
        <v>1219.7729999999999</v>
      </c>
      <c r="F48" s="287"/>
      <c r="G48" s="286">
        <v>1219.7729999999999</v>
      </c>
      <c r="H48" s="287"/>
      <c r="I48" s="288"/>
      <c r="J48" s="289"/>
      <c r="K48" s="2"/>
    </row>
    <row r="49" spans="1:14">
      <c r="A49" s="51"/>
      <c r="B49" s="24" t="s">
        <v>21</v>
      </c>
      <c r="C49" s="284">
        <v>342.98</v>
      </c>
      <c r="D49" s="285"/>
      <c r="E49" s="316">
        <v>302.19</v>
      </c>
      <c r="F49" s="317"/>
      <c r="G49" s="316">
        <v>302.19</v>
      </c>
      <c r="H49" s="317"/>
      <c r="I49" s="318"/>
      <c r="J49" s="319"/>
      <c r="K49" s="2"/>
    </row>
    <row r="50" spans="1:14" ht="15.75" thickBot="1">
      <c r="A50" s="51"/>
      <c r="B50" s="24" t="s">
        <v>22</v>
      </c>
      <c r="C50" s="284">
        <v>1330.67</v>
      </c>
      <c r="D50" s="285"/>
      <c r="E50" s="350">
        <v>635.92999999999995</v>
      </c>
      <c r="F50" s="351"/>
      <c r="G50" s="350">
        <v>635.92999999999995</v>
      </c>
      <c r="H50" s="351"/>
      <c r="I50" s="318"/>
      <c r="J50" s="319"/>
      <c r="K50" s="2"/>
    </row>
    <row r="51" spans="1:14" ht="15.75" thickBot="1">
      <c r="A51" s="11"/>
      <c r="B51" s="12" t="s">
        <v>23</v>
      </c>
      <c r="C51" s="305"/>
      <c r="D51" s="306"/>
      <c r="E51" s="307"/>
      <c r="F51" s="308"/>
      <c r="G51" s="307"/>
      <c r="H51" s="308"/>
      <c r="I51" s="307">
        <f>SUM(I48:I50)</f>
        <v>0</v>
      </c>
      <c r="J51" s="309"/>
      <c r="K51" s="2"/>
    </row>
    <row r="53" spans="1:14" ht="15.75" thickBot="1">
      <c r="E53" s="25"/>
    </row>
    <row r="54" spans="1:14" s="130" customFormat="1" ht="19.5" thickBot="1">
      <c r="A54" s="310" t="s">
        <v>32</v>
      </c>
      <c r="B54" s="311"/>
      <c r="C54" s="311"/>
      <c r="D54" s="311"/>
      <c r="E54" s="311"/>
      <c r="F54" s="311"/>
      <c r="G54" s="311"/>
      <c r="H54" s="311"/>
      <c r="I54" s="311"/>
      <c r="J54" s="312"/>
      <c r="L54" s="131"/>
      <c r="M54" s="131"/>
      <c r="N54" s="131"/>
    </row>
    <row r="55" spans="1:14" s="130" customFormat="1">
      <c r="A55" s="160" t="s">
        <v>33</v>
      </c>
      <c r="B55" s="353" t="s">
        <v>34</v>
      </c>
      <c r="C55" s="354"/>
      <c r="D55" s="354"/>
      <c r="E55" s="354"/>
      <c r="F55" s="354"/>
      <c r="G55" s="354"/>
      <c r="H55" s="354"/>
      <c r="I55" s="355"/>
      <c r="J55" s="161" t="s">
        <v>35</v>
      </c>
      <c r="L55" s="131"/>
      <c r="M55" s="131"/>
      <c r="N55" s="131"/>
    </row>
    <row r="56" spans="1:14" s="130" customFormat="1" ht="16.899999999999999" customHeight="1">
      <c r="A56" s="176">
        <v>1</v>
      </c>
      <c r="B56" s="352" t="s">
        <v>122</v>
      </c>
      <c r="C56" s="352"/>
      <c r="D56" s="352"/>
      <c r="E56" s="352"/>
      <c r="F56" s="352"/>
      <c r="G56" s="352"/>
      <c r="H56" s="352"/>
      <c r="I56" s="352"/>
      <c r="J56" s="177">
        <v>5.6470000000000002</v>
      </c>
      <c r="L56" s="131"/>
      <c r="M56" s="131"/>
      <c r="N56" s="131"/>
    </row>
    <row r="57" spans="1:14" s="130" customFormat="1" ht="30.6" customHeight="1">
      <c r="A57" s="176">
        <v>2</v>
      </c>
      <c r="B57" s="352" t="s">
        <v>151</v>
      </c>
      <c r="C57" s="352"/>
      <c r="D57" s="352"/>
      <c r="E57" s="352"/>
      <c r="F57" s="352"/>
      <c r="G57" s="352"/>
      <c r="H57" s="352"/>
      <c r="I57" s="352"/>
      <c r="J57" s="177">
        <v>29.064</v>
      </c>
      <c r="L57" s="131"/>
      <c r="M57" s="131"/>
      <c r="N57" s="131"/>
    </row>
    <row r="58" spans="1:14" s="130" customFormat="1" ht="20.45" customHeight="1">
      <c r="A58" s="176">
        <v>3</v>
      </c>
      <c r="B58" s="352" t="s">
        <v>152</v>
      </c>
      <c r="C58" s="352"/>
      <c r="D58" s="352"/>
      <c r="E58" s="352"/>
      <c r="F58" s="352"/>
      <c r="G58" s="352"/>
      <c r="H58" s="352"/>
      <c r="I58" s="352"/>
      <c r="J58" s="177">
        <v>7.2480000000000002</v>
      </c>
      <c r="L58" s="131"/>
      <c r="M58" s="131"/>
      <c r="N58" s="131"/>
    </row>
    <row r="59" spans="1:14" s="130" customFormat="1" ht="30.6" customHeight="1">
      <c r="A59" s="176">
        <v>4</v>
      </c>
      <c r="B59" s="352" t="s">
        <v>96</v>
      </c>
      <c r="C59" s="352"/>
      <c r="D59" s="352"/>
      <c r="E59" s="352"/>
      <c r="F59" s="352"/>
      <c r="G59" s="352"/>
      <c r="H59" s="352"/>
      <c r="I59" s="352"/>
      <c r="J59" s="177">
        <v>7.6749999999999998</v>
      </c>
      <c r="L59" s="131"/>
      <c r="M59" s="131"/>
      <c r="N59" s="131"/>
    </row>
    <row r="60" spans="1:14" s="4" customFormat="1" ht="15" customHeight="1">
      <c r="A60" s="176">
        <v>5</v>
      </c>
      <c r="B60" s="352" t="s">
        <v>155</v>
      </c>
      <c r="C60" s="352"/>
      <c r="D60" s="352"/>
      <c r="E60" s="352"/>
      <c r="F60" s="352"/>
      <c r="G60" s="352"/>
      <c r="H60" s="352"/>
      <c r="I60" s="352"/>
      <c r="J60" s="178">
        <v>6.9</v>
      </c>
      <c r="L60" s="2"/>
      <c r="M60" s="2"/>
      <c r="N60" s="2"/>
    </row>
    <row r="61" spans="1:14" s="4" customFormat="1" ht="15" customHeight="1">
      <c r="A61" s="176">
        <v>6</v>
      </c>
      <c r="B61" s="352" t="s">
        <v>99</v>
      </c>
      <c r="C61" s="352"/>
      <c r="D61" s="352"/>
      <c r="E61" s="352"/>
      <c r="F61" s="352"/>
      <c r="G61" s="352"/>
      <c r="H61" s="352"/>
      <c r="I61" s="352"/>
      <c r="J61" s="178">
        <v>6.5</v>
      </c>
      <c r="L61" s="2"/>
      <c r="M61" s="2"/>
      <c r="N61" s="2"/>
    </row>
    <row r="62" spans="1:14" s="4" customFormat="1" ht="15" customHeight="1">
      <c r="A62" s="176">
        <v>7</v>
      </c>
      <c r="B62" s="352" t="s">
        <v>156</v>
      </c>
      <c r="C62" s="352"/>
      <c r="D62" s="352"/>
      <c r="E62" s="352"/>
      <c r="F62" s="352"/>
      <c r="G62" s="352"/>
      <c r="H62" s="352"/>
      <c r="I62" s="352"/>
      <c r="J62" s="178">
        <v>18.399999999999999</v>
      </c>
      <c r="L62" s="2"/>
      <c r="M62" s="2"/>
      <c r="N62" s="2"/>
    </row>
    <row r="63" spans="1:14" s="4" customFormat="1" ht="15" customHeight="1">
      <c r="A63" s="176">
        <v>8</v>
      </c>
      <c r="B63" s="352" t="s">
        <v>127</v>
      </c>
      <c r="C63" s="352"/>
      <c r="D63" s="352"/>
      <c r="E63" s="352"/>
      <c r="F63" s="352"/>
      <c r="G63" s="352"/>
      <c r="H63" s="352"/>
      <c r="I63" s="352"/>
      <c r="J63" s="178">
        <v>7.8</v>
      </c>
      <c r="L63" s="2"/>
      <c r="M63" s="2"/>
      <c r="N63" s="2"/>
    </row>
    <row r="64" spans="1:14" s="4" customFormat="1" ht="15" customHeight="1">
      <c r="A64" s="176">
        <v>9</v>
      </c>
      <c r="B64" s="352" t="s">
        <v>157</v>
      </c>
      <c r="C64" s="352"/>
      <c r="D64" s="352"/>
      <c r="E64" s="352"/>
      <c r="F64" s="352"/>
      <c r="G64" s="352"/>
      <c r="H64" s="352"/>
      <c r="I64" s="352"/>
      <c r="J64" s="177">
        <v>9.2240000000000002</v>
      </c>
      <c r="L64" s="2"/>
      <c r="M64" s="2"/>
      <c r="N64" s="2"/>
    </row>
    <row r="65" spans="1:14" s="4" customFormat="1" ht="15" customHeight="1">
      <c r="A65" s="176">
        <v>10</v>
      </c>
      <c r="B65" s="352" t="s">
        <v>158</v>
      </c>
      <c r="C65" s="352"/>
      <c r="D65" s="352"/>
      <c r="E65" s="352"/>
      <c r="F65" s="352"/>
      <c r="G65" s="352"/>
      <c r="H65" s="352"/>
      <c r="I65" s="352"/>
      <c r="J65" s="178">
        <v>5.6</v>
      </c>
      <c r="L65" s="2"/>
      <c r="M65" s="2"/>
      <c r="N65" s="2"/>
    </row>
    <row r="66" spans="1:14" s="4" customFormat="1" ht="15" customHeight="1">
      <c r="A66" s="176">
        <v>11</v>
      </c>
      <c r="B66" s="352" t="s">
        <v>103</v>
      </c>
      <c r="C66" s="352"/>
      <c r="D66" s="352"/>
      <c r="E66" s="352"/>
      <c r="F66" s="352"/>
      <c r="G66" s="352"/>
      <c r="H66" s="352"/>
      <c r="I66" s="352"/>
      <c r="J66" s="178">
        <v>17.5</v>
      </c>
      <c r="L66" s="2"/>
      <c r="M66" s="2"/>
      <c r="N66" s="2"/>
    </row>
    <row r="67" spans="1:14" s="4" customFormat="1" ht="15" customHeight="1">
      <c r="A67" s="176">
        <v>12</v>
      </c>
      <c r="B67" s="352" t="s">
        <v>105</v>
      </c>
      <c r="C67" s="352"/>
      <c r="D67" s="352"/>
      <c r="E67" s="352"/>
      <c r="F67" s="352"/>
      <c r="G67" s="352"/>
      <c r="H67" s="352"/>
      <c r="I67" s="352"/>
      <c r="J67" s="177">
        <v>22.702000000000002</v>
      </c>
      <c r="L67" s="2"/>
      <c r="M67" s="2"/>
      <c r="N67" s="2"/>
    </row>
    <row r="68" spans="1:14" s="4" customFormat="1" ht="15" customHeight="1">
      <c r="A68" s="176">
        <v>13</v>
      </c>
      <c r="B68" s="352" t="s">
        <v>159</v>
      </c>
      <c r="C68" s="352"/>
      <c r="D68" s="352"/>
      <c r="E68" s="352"/>
      <c r="F68" s="352"/>
      <c r="G68" s="352"/>
      <c r="H68" s="352"/>
      <c r="I68" s="352"/>
      <c r="J68" s="178">
        <v>7.8</v>
      </c>
      <c r="L68" s="2"/>
      <c r="M68" s="2"/>
      <c r="N68" s="2"/>
    </row>
    <row r="69" spans="1:14" s="4" customFormat="1" ht="15" customHeight="1">
      <c r="A69" s="176">
        <v>14</v>
      </c>
      <c r="B69" s="352" t="s">
        <v>154</v>
      </c>
      <c r="C69" s="352"/>
      <c r="D69" s="352"/>
      <c r="E69" s="352"/>
      <c r="F69" s="352"/>
      <c r="G69" s="352"/>
      <c r="H69" s="352"/>
      <c r="I69" s="352"/>
      <c r="J69" s="179">
        <v>8</v>
      </c>
      <c r="L69" s="2"/>
      <c r="M69" s="2"/>
      <c r="N69" s="2"/>
    </row>
    <row r="70" spans="1:14" s="4" customFormat="1" ht="15" customHeight="1">
      <c r="A70" s="176">
        <v>15</v>
      </c>
      <c r="B70" s="352" t="s">
        <v>160</v>
      </c>
      <c r="C70" s="352"/>
      <c r="D70" s="352"/>
      <c r="E70" s="352"/>
      <c r="F70" s="352"/>
      <c r="G70" s="352"/>
      <c r="H70" s="352"/>
      <c r="I70" s="352"/>
      <c r="J70" s="179">
        <v>6</v>
      </c>
      <c r="L70" s="2"/>
      <c r="M70" s="2"/>
      <c r="N70" s="2"/>
    </row>
    <row r="71" spans="1:14" s="4" customFormat="1" ht="15" customHeight="1">
      <c r="A71" s="176">
        <v>16</v>
      </c>
      <c r="B71" s="352" t="s">
        <v>109</v>
      </c>
      <c r="C71" s="352"/>
      <c r="D71" s="352"/>
      <c r="E71" s="352"/>
      <c r="F71" s="352"/>
      <c r="G71" s="352"/>
      <c r="H71" s="352"/>
      <c r="I71" s="352"/>
      <c r="J71" s="178">
        <v>5.2</v>
      </c>
      <c r="L71" s="2"/>
      <c r="M71" s="2"/>
      <c r="N71" s="2"/>
    </row>
    <row r="72" spans="1:14" s="4" customFormat="1" ht="15" customHeight="1">
      <c r="A72" s="176">
        <v>17</v>
      </c>
      <c r="B72" s="352" t="s">
        <v>139</v>
      </c>
      <c r="C72" s="352"/>
      <c r="D72" s="352"/>
      <c r="E72" s="352"/>
      <c r="F72" s="352"/>
      <c r="G72" s="352"/>
      <c r="H72" s="352"/>
      <c r="I72" s="352"/>
      <c r="J72" s="179">
        <v>7</v>
      </c>
      <c r="L72" s="2"/>
      <c r="M72" s="2"/>
      <c r="N72" s="2"/>
    </row>
    <row r="73" spans="1:14" s="4" customFormat="1" ht="15" customHeight="1">
      <c r="A73" s="176">
        <v>18</v>
      </c>
      <c r="B73" s="352" t="s">
        <v>88</v>
      </c>
      <c r="C73" s="352"/>
      <c r="D73" s="352"/>
      <c r="E73" s="352"/>
      <c r="F73" s="352"/>
      <c r="G73" s="352"/>
      <c r="H73" s="352"/>
      <c r="I73" s="352"/>
      <c r="J73" s="178">
        <v>7.2</v>
      </c>
      <c r="L73" s="2"/>
      <c r="M73" s="2"/>
      <c r="N73" s="2"/>
    </row>
    <row r="74" spans="1:14" s="4" customFormat="1" ht="14.45" customHeight="1">
      <c r="A74" s="176">
        <v>19</v>
      </c>
      <c r="B74" s="352" t="s">
        <v>46</v>
      </c>
      <c r="C74" s="352"/>
      <c r="D74" s="352"/>
      <c r="E74" s="352"/>
      <c r="F74" s="352"/>
      <c r="G74" s="352"/>
      <c r="H74" s="352"/>
      <c r="I74" s="352"/>
      <c r="J74" s="179">
        <v>7</v>
      </c>
      <c r="L74" s="2"/>
      <c r="M74" s="2"/>
      <c r="N74" s="2"/>
    </row>
    <row r="75" spans="1:14" s="4" customFormat="1" ht="30.6" customHeight="1">
      <c r="A75" s="176">
        <v>20</v>
      </c>
      <c r="B75" s="352" t="s">
        <v>69</v>
      </c>
      <c r="C75" s="352"/>
      <c r="D75" s="352"/>
      <c r="E75" s="352"/>
      <c r="F75" s="352"/>
      <c r="G75" s="352"/>
      <c r="H75" s="352"/>
      <c r="I75" s="352"/>
      <c r="J75" s="179">
        <v>13</v>
      </c>
      <c r="L75" s="2"/>
      <c r="M75" s="2"/>
      <c r="N75" s="2"/>
    </row>
    <row r="76" spans="1:14" s="4" customFormat="1" ht="30.6" customHeight="1">
      <c r="A76" s="176">
        <v>21</v>
      </c>
      <c r="B76" s="352" t="s">
        <v>70</v>
      </c>
      <c r="C76" s="352"/>
      <c r="D76" s="352"/>
      <c r="E76" s="352"/>
      <c r="F76" s="352"/>
      <c r="G76" s="352"/>
      <c r="H76" s="352"/>
      <c r="I76" s="352"/>
      <c r="J76" s="180">
        <v>19.25</v>
      </c>
      <c r="L76" s="2"/>
      <c r="M76" s="2"/>
      <c r="N76" s="2"/>
    </row>
    <row r="77" spans="1:14" s="4" customFormat="1" ht="30.6" customHeight="1">
      <c r="A77" s="176">
        <v>22</v>
      </c>
      <c r="B77" s="352" t="s">
        <v>77</v>
      </c>
      <c r="C77" s="352"/>
      <c r="D77" s="352"/>
      <c r="E77" s="352"/>
      <c r="F77" s="352"/>
      <c r="G77" s="352"/>
      <c r="H77" s="352"/>
      <c r="I77" s="352"/>
      <c r="J77" s="180">
        <v>19.25</v>
      </c>
      <c r="L77" s="2"/>
      <c r="M77" s="2"/>
      <c r="N77" s="2"/>
    </row>
    <row r="78" spans="1:14" s="4" customFormat="1" ht="30.6" customHeight="1">
      <c r="A78" s="176">
        <v>23</v>
      </c>
      <c r="B78" s="352" t="s">
        <v>161</v>
      </c>
      <c r="C78" s="352"/>
      <c r="D78" s="352"/>
      <c r="E78" s="352"/>
      <c r="F78" s="352"/>
      <c r="G78" s="352"/>
      <c r="H78" s="352"/>
      <c r="I78" s="352"/>
      <c r="J78" s="179">
        <v>6</v>
      </c>
      <c r="L78" s="2"/>
      <c r="M78" s="2"/>
      <c r="N78" s="2"/>
    </row>
    <row r="79" spans="1:14">
      <c r="A79" s="181"/>
      <c r="B79" s="356"/>
      <c r="C79" s="356"/>
      <c r="D79" s="356"/>
      <c r="E79" s="356"/>
      <c r="F79" s="356"/>
      <c r="G79" s="356"/>
      <c r="H79" s="356"/>
      <c r="I79" s="356"/>
      <c r="J79" s="182">
        <f>SUM(J56:J78)</f>
        <v>249.95999999999998</v>
      </c>
    </row>
    <row r="81" ht="14.45" customHeight="1"/>
    <row r="85" ht="14.45" customHeight="1"/>
  </sheetData>
  <mergeCells count="89">
    <mergeCell ref="B67:I67"/>
    <mergeCell ref="B68:I68"/>
    <mergeCell ref="B69:I69"/>
    <mergeCell ref="B70:I70"/>
    <mergeCell ref="B71:I71"/>
    <mergeCell ref="B79:I79"/>
    <mergeCell ref="B57:I57"/>
    <mergeCell ref="B58:I58"/>
    <mergeCell ref="B59:I59"/>
    <mergeCell ref="B74:I74"/>
    <mergeCell ref="B75:I75"/>
    <mergeCell ref="B76:I76"/>
    <mergeCell ref="B77:I77"/>
    <mergeCell ref="B72:I72"/>
    <mergeCell ref="B73:I73"/>
    <mergeCell ref="B62:I62"/>
    <mergeCell ref="B63:I63"/>
    <mergeCell ref="B64:I64"/>
    <mergeCell ref="B65:I65"/>
    <mergeCell ref="B78:I78"/>
    <mergeCell ref="B66:I66"/>
    <mergeCell ref="B56:I56"/>
    <mergeCell ref="B60:I60"/>
    <mergeCell ref="B61:I61"/>
    <mergeCell ref="C51:D51"/>
    <mergeCell ref="E51:F51"/>
    <mergeCell ref="G51:H51"/>
    <mergeCell ref="I51:J51"/>
    <mergeCell ref="A54:J54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E47:F47"/>
    <mergeCell ref="G47:H47"/>
    <mergeCell ref="I47:J47"/>
    <mergeCell ref="C48:D48"/>
    <mergeCell ref="E48:F48"/>
    <mergeCell ref="G48:H48"/>
    <mergeCell ref="I48:J48"/>
    <mergeCell ref="A46:J46"/>
    <mergeCell ref="K35:K36"/>
    <mergeCell ref="L35:M36"/>
    <mergeCell ref="L37:M37"/>
    <mergeCell ref="L38:M38"/>
    <mergeCell ref="L39:M39"/>
    <mergeCell ref="L40:M40"/>
    <mergeCell ref="L41:M41"/>
    <mergeCell ref="L42:M42"/>
    <mergeCell ref="L43:M43"/>
    <mergeCell ref="A44:E44"/>
    <mergeCell ref="G44:L44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21:F21"/>
    <mergeCell ref="A24:I24"/>
    <mergeCell ref="A31:C31"/>
    <mergeCell ref="A1:C1"/>
    <mergeCell ref="E1:H1"/>
    <mergeCell ref="J1:K1"/>
    <mergeCell ref="A2:C2"/>
    <mergeCell ref="F2:H2"/>
    <mergeCell ref="J2:K2"/>
  </mergeCells>
  <pageMargins left="0" right="0" top="0.59055118110236204" bottom="0" header="0" footer="0"/>
  <pageSetup paperSize="9"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F6D9-19A7-4EA6-9B53-694DAC6013BA}">
  <sheetPr>
    <tabColor rgb="FFFFFF00"/>
    <pageSetUpPr fitToPage="1"/>
  </sheetPr>
  <dimension ref="A1:N153"/>
  <sheetViews>
    <sheetView zoomScale="85" zoomScaleNormal="85" workbookViewId="0">
      <pane xSplit="3" topLeftCell="D1" activePane="topRight" state="frozen"/>
      <selection pane="topRight" activeCell="J9" sqref="J9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8" width="10.7109375" style="5" customWidth="1"/>
    <col min="9" max="9" width="23.855468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42" t="s">
        <v>51</v>
      </c>
      <c r="B1" s="242"/>
      <c r="C1" s="242"/>
      <c r="D1" s="1"/>
      <c r="E1" s="242" t="s">
        <v>24</v>
      </c>
      <c r="F1" s="242"/>
      <c r="G1" s="242"/>
      <c r="H1" s="242"/>
      <c r="I1" s="165"/>
      <c r="J1" s="243">
        <v>4</v>
      </c>
      <c r="K1" s="243"/>
    </row>
    <row r="2" spans="1:12" ht="28.5">
      <c r="A2" s="244">
        <v>46322</v>
      </c>
      <c r="B2" s="245"/>
      <c r="C2" s="245"/>
      <c r="D2" s="3"/>
      <c r="E2" s="3"/>
      <c r="F2" s="246"/>
      <c r="G2" s="246"/>
      <c r="H2" s="246"/>
      <c r="I2" s="166"/>
      <c r="J2" s="246"/>
      <c r="K2" s="246"/>
    </row>
    <row r="3" spans="1:12" ht="27" thickBot="1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12" ht="18" customHeight="1">
      <c r="A4" s="258" t="s">
        <v>25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60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1" t="s">
        <v>1</v>
      </c>
      <c r="B6" s="262" t="s">
        <v>2</v>
      </c>
      <c r="C6" s="262" t="s">
        <v>3</v>
      </c>
      <c r="D6" s="262" t="s">
        <v>4</v>
      </c>
      <c r="E6" s="164" t="s">
        <v>5</v>
      </c>
      <c r="F6" s="262" t="s">
        <v>6</v>
      </c>
      <c r="G6" s="263" t="s">
        <v>7</v>
      </c>
      <c r="H6" s="264" t="s">
        <v>8</v>
      </c>
      <c r="I6" s="262" t="s">
        <v>9</v>
      </c>
      <c r="J6" s="247" t="s">
        <v>30</v>
      </c>
      <c r="K6" s="249" t="s">
        <v>10</v>
      </c>
      <c r="L6" s="250"/>
    </row>
    <row r="7" spans="1:12" s="8" customFormat="1" ht="63.6" customHeight="1">
      <c r="A7" s="261"/>
      <c r="B7" s="262"/>
      <c r="C7" s="262"/>
      <c r="D7" s="262"/>
      <c r="E7" s="164" t="s">
        <v>11</v>
      </c>
      <c r="F7" s="262"/>
      <c r="G7" s="263"/>
      <c r="H7" s="264"/>
      <c r="I7" s="262"/>
      <c r="J7" s="248"/>
      <c r="K7" s="164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0.3125</v>
      </c>
      <c r="G8" s="22">
        <v>27</v>
      </c>
      <c r="H8" s="26">
        <v>956.44799999999998</v>
      </c>
      <c r="I8" s="23">
        <v>0.67361111111111116</v>
      </c>
      <c r="J8" s="21"/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0.30555555555555558</v>
      </c>
      <c r="G9" s="22">
        <v>23</v>
      </c>
      <c r="H9" s="26">
        <v>801.96</v>
      </c>
      <c r="I9" s="23">
        <v>0.68055555555555558</v>
      </c>
      <c r="J9" s="21">
        <v>0.375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0.29166666666666669</v>
      </c>
      <c r="G10" s="22">
        <v>31</v>
      </c>
      <c r="H10" s="183">
        <v>918.88199999999995</v>
      </c>
      <c r="I10" s="23">
        <v>0.64583333333333337</v>
      </c>
      <c r="J10" s="21">
        <v>0.35416666666666669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0.28472222222222221</v>
      </c>
      <c r="G11" s="22">
        <v>13</v>
      </c>
      <c r="H11" s="183">
        <v>706.53499999999997</v>
      </c>
      <c r="I11" s="23">
        <v>0.55902777777777779</v>
      </c>
      <c r="J11" s="21">
        <f t="shared" ref="J11" si="0">SUM(F11:I11)</f>
        <v>720.37874999999997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1" t="s">
        <v>15</v>
      </c>
      <c r="B21" s="252"/>
      <c r="C21" s="252"/>
      <c r="D21" s="252"/>
      <c r="E21" s="252"/>
      <c r="F21" s="253"/>
      <c r="G21" s="70">
        <f>SUM(G8:G20)</f>
        <v>94</v>
      </c>
      <c r="H21" s="70">
        <f>SUM(H8:H20)</f>
        <v>3383.8249999999998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/>
    </row>
    <row r="24" spans="1:14" ht="18.75">
      <c r="A24" s="254" t="s">
        <v>26</v>
      </c>
      <c r="B24" s="255"/>
      <c r="C24" s="255"/>
      <c r="D24" s="255"/>
      <c r="E24" s="255"/>
      <c r="F24" s="255"/>
      <c r="G24" s="255"/>
      <c r="H24" s="255"/>
      <c r="I24" s="256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64" t="s">
        <v>2</v>
      </c>
      <c r="C26" s="164" t="s">
        <v>3</v>
      </c>
      <c r="D26" s="164" t="s">
        <v>27</v>
      </c>
      <c r="E26" s="164" t="s">
        <v>6</v>
      </c>
      <c r="F26" s="164" t="s">
        <v>28</v>
      </c>
      <c r="G26" s="164" t="s">
        <v>8</v>
      </c>
      <c r="H26" s="164" t="s">
        <v>31</v>
      </c>
      <c r="I26" s="31" t="s">
        <v>30</v>
      </c>
      <c r="J26" s="8"/>
      <c r="K26" s="8"/>
      <c r="L26" s="8"/>
      <c r="N26" s="43"/>
    </row>
    <row r="27" spans="1:14">
      <c r="A27" s="57"/>
      <c r="B27" s="56"/>
      <c r="C27" s="55"/>
      <c r="D27" s="39"/>
      <c r="E27" s="38"/>
      <c r="F27" s="22"/>
      <c r="G27" s="26"/>
      <c r="H27" s="35"/>
      <c r="I27" s="36"/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1" t="s">
        <v>15</v>
      </c>
      <c r="B31" s="252"/>
      <c r="C31" s="253"/>
      <c r="D31" s="10"/>
      <c r="E31" s="32"/>
      <c r="F31" s="32">
        <f>SUM(F30:F30)</f>
        <v>0</v>
      </c>
      <c r="G31" s="32">
        <f>SUM(G27:G30)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4" t="s">
        <v>12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78">
        <v>12</v>
      </c>
      <c r="M34" s="279"/>
    </row>
    <row r="35" spans="1:13" ht="75">
      <c r="A35" s="280" t="s">
        <v>1</v>
      </c>
      <c r="B35" s="265" t="s">
        <v>2</v>
      </c>
      <c r="C35" s="265" t="s">
        <v>3</v>
      </c>
      <c r="D35" s="265" t="s">
        <v>4</v>
      </c>
      <c r="E35" s="97" t="s">
        <v>5</v>
      </c>
      <c r="F35" s="265" t="s">
        <v>14</v>
      </c>
      <c r="G35" s="265" t="s">
        <v>13</v>
      </c>
      <c r="H35" s="265" t="s">
        <v>37</v>
      </c>
      <c r="I35" s="265" t="s">
        <v>39</v>
      </c>
      <c r="J35" s="265" t="s">
        <v>38</v>
      </c>
      <c r="K35" s="265" t="s">
        <v>40</v>
      </c>
      <c r="L35" s="266" t="s">
        <v>36</v>
      </c>
      <c r="M35" s="267"/>
    </row>
    <row r="36" spans="1:13" ht="75">
      <c r="A36" s="281"/>
      <c r="B36" s="248"/>
      <c r="C36" s="248"/>
      <c r="D36" s="248"/>
      <c r="E36" s="167" t="s">
        <v>11</v>
      </c>
      <c r="F36" s="248"/>
      <c r="G36" s="248"/>
      <c r="H36" s="248"/>
      <c r="I36" s="248"/>
      <c r="J36" s="248"/>
      <c r="K36" s="248"/>
      <c r="L36" s="268"/>
      <c r="M36" s="269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70"/>
      <c r="M37" s="271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72"/>
      <c r="M38" s="273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74"/>
      <c r="M39" s="275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76"/>
      <c r="M40" s="277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90"/>
      <c r="M41" s="291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92"/>
      <c r="M42" s="293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94"/>
      <c r="M43" s="295"/>
    </row>
    <row r="44" spans="1:13" ht="15.75" thickBot="1">
      <c r="A44" s="296" t="s">
        <v>15</v>
      </c>
      <c r="B44" s="297"/>
      <c r="C44" s="297"/>
      <c r="D44" s="297"/>
      <c r="E44" s="298"/>
      <c r="F44" s="96"/>
      <c r="G44" s="299">
        <f>SUM(G37:G43)</f>
        <v>0</v>
      </c>
      <c r="H44" s="300"/>
      <c r="I44" s="300"/>
      <c r="J44" s="300"/>
      <c r="K44" s="300"/>
      <c r="L44" s="301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302" t="s">
        <v>16</v>
      </c>
      <c r="B46" s="303"/>
      <c r="C46" s="303"/>
      <c r="D46" s="303"/>
      <c r="E46" s="303"/>
      <c r="F46" s="303"/>
      <c r="G46" s="303"/>
      <c r="H46" s="303"/>
      <c r="I46" s="303"/>
      <c r="J46" s="304"/>
      <c r="K46" s="2"/>
    </row>
    <row r="47" spans="1:13" ht="30">
      <c r="A47" s="50"/>
      <c r="B47" s="18"/>
      <c r="C47" s="163"/>
      <c r="D47" s="163" t="s">
        <v>17</v>
      </c>
      <c r="E47" s="282" t="s">
        <v>18</v>
      </c>
      <c r="F47" s="282"/>
      <c r="G47" s="282" t="s">
        <v>19</v>
      </c>
      <c r="H47" s="282"/>
      <c r="I47" s="282" t="s">
        <v>29</v>
      </c>
      <c r="J47" s="283"/>
      <c r="K47" s="2"/>
    </row>
    <row r="48" spans="1:13">
      <c r="A48" s="50"/>
      <c r="B48" s="24" t="s">
        <v>20</v>
      </c>
      <c r="C48" s="284">
        <v>1417.52</v>
      </c>
      <c r="D48" s="285"/>
      <c r="E48" s="286">
        <v>1348.6020000000001</v>
      </c>
      <c r="F48" s="287"/>
      <c r="G48" s="286">
        <v>1348.6020000000001</v>
      </c>
      <c r="H48" s="287"/>
      <c r="I48" s="286">
        <v>52.62</v>
      </c>
      <c r="J48" s="358"/>
      <c r="K48" s="2"/>
    </row>
    <row r="49" spans="1:14">
      <c r="A49" s="51"/>
      <c r="B49" s="24" t="s">
        <v>21</v>
      </c>
      <c r="C49" s="284">
        <v>1010.26</v>
      </c>
      <c r="D49" s="285"/>
      <c r="E49" s="316">
        <v>915.19</v>
      </c>
      <c r="F49" s="317"/>
      <c r="G49" s="316">
        <v>915.19</v>
      </c>
      <c r="H49" s="317"/>
      <c r="I49" s="316">
        <v>0</v>
      </c>
      <c r="J49" s="362"/>
      <c r="K49" s="2"/>
    </row>
    <row r="50" spans="1:14" ht="15.75" thickBot="1">
      <c r="A50" s="51"/>
      <c r="B50" s="24" t="s">
        <v>22</v>
      </c>
      <c r="C50" s="363">
        <v>1568.88</v>
      </c>
      <c r="D50" s="364"/>
      <c r="E50" s="350">
        <v>1120.03</v>
      </c>
      <c r="F50" s="351"/>
      <c r="G50" s="350">
        <v>1120.03</v>
      </c>
      <c r="H50" s="351"/>
      <c r="I50" s="316">
        <v>29.681999999999999</v>
      </c>
      <c r="J50" s="362"/>
      <c r="K50" s="2"/>
    </row>
    <row r="51" spans="1:14" ht="15.75" thickBot="1">
      <c r="A51" s="11"/>
      <c r="B51" s="12" t="s">
        <v>23</v>
      </c>
      <c r="C51" s="305">
        <f>SUM(C48:D50)</f>
        <v>3996.66</v>
      </c>
      <c r="D51" s="306"/>
      <c r="E51" s="307">
        <f>SUM(E48:F50)</f>
        <v>3383.8220000000001</v>
      </c>
      <c r="F51" s="308"/>
      <c r="G51" s="307">
        <f>SUM(G48:H50)</f>
        <v>3383.8220000000001</v>
      </c>
      <c r="H51" s="308"/>
      <c r="I51" s="307">
        <f>SUM(I48:I50)</f>
        <v>82.301999999999992</v>
      </c>
      <c r="J51" s="309"/>
      <c r="K51" s="2"/>
    </row>
    <row r="53" spans="1:14" ht="15.75" thickBot="1">
      <c r="E53" s="25"/>
      <c r="M53" s="2" t="s">
        <v>170</v>
      </c>
    </row>
    <row r="54" spans="1:14" s="130" customFormat="1" ht="19.5" thickBot="1">
      <c r="A54" s="365" t="s">
        <v>32</v>
      </c>
      <c r="B54" s="366"/>
      <c r="C54" s="366"/>
      <c r="D54" s="366"/>
      <c r="E54" s="366"/>
      <c r="F54" s="366"/>
      <c r="G54" s="366"/>
      <c r="H54" s="366"/>
      <c r="I54" s="366"/>
      <c r="J54" s="312"/>
      <c r="L54" s="131"/>
      <c r="M54" s="131"/>
      <c r="N54" s="131"/>
    </row>
    <row r="55" spans="1:14" s="130" customFormat="1">
      <c r="A55" s="184" t="s">
        <v>33</v>
      </c>
      <c r="B55" s="356" t="s">
        <v>34</v>
      </c>
      <c r="C55" s="356"/>
      <c r="D55" s="356"/>
      <c r="E55" s="356"/>
      <c r="F55" s="356"/>
      <c r="G55" s="356"/>
      <c r="H55" s="356"/>
      <c r="I55" s="356"/>
      <c r="J55" s="161" t="s">
        <v>35</v>
      </c>
      <c r="L55" s="131"/>
      <c r="M55" s="131"/>
      <c r="N55" s="131"/>
    </row>
    <row r="56" spans="1:14" s="130" customFormat="1" ht="16.899999999999999" customHeight="1">
      <c r="A56" s="162">
        <v>1</v>
      </c>
      <c r="B56" s="357" t="s">
        <v>97</v>
      </c>
      <c r="C56" s="357"/>
      <c r="D56" s="357"/>
      <c r="E56" s="357"/>
      <c r="F56" s="190"/>
      <c r="G56" s="190"/>
      <c r="H56" s="190"/>
      <c r="I56" s="190"/>
      <c r="J56" s="200">
        <v>7.2</v>
      </c>
      <c r="L56" s="131"/>
      <c r="M56" s="131"/>
      <c r="N56" s="131"/>
    </row>
    <row r="57" spans="1:14" s="130" customFormat="1" ht="30.6" customHeight="1">
      <c r="A57" s="162">
        <v>2</v>
      </c>
      <c r="B57" s="357" t="s">
        <v>114</v>
      </c>
      <c r="C57" s="357"/>
      <c r="D57" s="357"/>
      <c r="E57" s="357"/>
      <c r="F57" s="190"/>
      <c r="G57" s="190"/>
      <c r="H57" s="190"/>
      <c r="I57" s="190"/>
      <c r="J57" s="198">
        <v>17.5</v>
      </c>
      <c r="L57" s="131"/>
      <c r="M57" s="131"/>
      <c r="N57" s="131"/>
    </row>
    <row r="58" spans="1:14" s="130" customFormat="1" ht="20.45" customHeight="1">
      <c r="A58" s="162">
        <v>3</v>
      </c>
      <c r="B58" s="357" t="s">
        <v>115</v>
      </c>
      <c r="C58" s="357"/>
      <c r="D58" s="357"/>
      <c r="E58" s="357"/>
      <c r="F58" s="190"/>
      <c r="G58" s="190"/>
      <c r="H58" s="190"/>
      <c r="I58" s="190"/>
      <c r="J58" s="198">
        <v>9.5</v>
      </c>
      <c r="L58" s="131"/>
      <c r="M58" s="131"/>
      <c r="N58" s="131"/>
    </row>
    <row r="59" spans="1:14" s="130" customFormat="1" ht="30.6" customHeight="1">
      <c r="A59" s="162">
        <v>4</v>
      </c>
      <c r="B59" s="357" t="s">
        <v>156</v>
      </c>
      <c r="C59" s="357"/>
      <c r="D59" s="357"/>
      <c r="E59" s="357"/>
      <c r="F59" s="190"/>
      <c r="G59" s="190"/>
      <c r="H59" s="190"/>
      <c r="I59" s="190"/>
      <c r="J59" s="198">
        <v>5.4</v>
      </c>
      <c r="L59" s="131"/>
      <c r="M59" s="131"/>
      <c r="N59" s="131"/>
    </row>
    <row r="60" spans="1:14" s="4" customFormat="1" ht="15" customHeight="1">
      <c r="A60" s="162">
        <v>5</v>
      </c>
      <c r="B60" s="357" t="s">
        <v>162</v>
      </c>
      <c r="C60" s="357"/>
      <c r="D60" s="357"/>
      <c r="E60" s="357"/>
      <c r="F60" s="357"/>
      <c r="G60" s="357"/>
      <c r="H60" s="357"/>
      <c r="I60" s="357"/>
      <c r="J60" s="198">
        <v>13.2</v>
      </c>
      <c r="L60" s="2"/>
      <c r="M60" s="2"/>
      <c r="N60" s="2"/>
    </row>
    <row r="61" spans="1:14" s="4" customFormat="1" ht="15" customHeight="1">
      <c r="A61" s="162">
        <v>6</v>
      </c>
      <c r="B61" s="357" t="s">
        <v>103</v>
      </c>
      <c r="C61" s="357"/>
      <c r="D61" s="357"/>
      <c r="E61" s="357"/>
      <c r="F61" s="190"/>
      <c r="G61" s="190"/>
      <c r="H61" s="190"/>
      <c r="I61" s="190"/>
      <c r="J61" s="201">
        <v>3.774</v>
      </c>
      <c r="L61" s="2"/>
      <c r="M61" s="2"/>
      <c r="N61" s="2"/>
    </row>
    <row r="62" spans="1:14" s="4" customFormat="1" ht="15" customHeight="1">
      <c r="A62" s="162">
        <v>7</v>
      </c>
      <c r="B62" s="357" t="s">
        <v>104</v>
      </c>
      <c r="C62" s="357"/>
      <c r="D62" s="357"/>
      <c r="E62" s="357"/>
      <c r="F62" s="190"/>
      <c r="G62" s="190"/>
      <c r="H62" s="190"/>
      <c r="I62" s="190"/>
      <c r="J62" s="200">
        <v>15</v>
      </c>
      <c r="L62" s="2"/>
      <c r="M62" s="2"/>
      <c r="N62" s="2"/>
    </row>
    <row r="63" spans="1:14" s="4" customFormat="1" ht="15" customHeight="1">
      <c r="A63" s="162">
        <v>8</v>
      </c>
      <c r="B63" s="357" t="s">
        <v>105</v>
      </c>
      <c r="C63" s="357"/>
      <c r="D63" s="357"/>
      <c r="E63" s="357"/>
      <c r="F63" s="190"/>
      <c r="G63" s="190"/>
      <c r="H63" s="190"/>
      <c r="I63" s="190"/>
      <c r="J63" s="198">
        <v>12.5</v>
      </c>
      <c r="L63" s="2"/>
      <c r="M63" s="2"/>
      <c r="N63" s="2"/>
    </row>
    <row r="64" spans="1:14" s="4" customFormat="1" ht="15" customHeight="1">
      <c r="A64" s="162">
        <v>9</v>
      </c>
      <c r="B64" s="357" t="s">
        <v>106</v>
      </c>
      <c r="C64" s="357"/>
      <c r="D64" s="357"/>
      <c r="E64" s="357"/>
      <c r="F64" s="190"/>
      <c r="G64" s="190"/>
      <c r="H64" s="190"/>
      <c r="I64" s="190"/>
      <c r="J64" s="201">
        <v>14.894</v>
      </c>
      <c r="L64" s="2"/>
      <c r="M64" s="2"/>
      <c r="N64" s="2"/>
    </row>
    <row r="65" spans="1:14" s="4" customFormat="1" ht="15" customHeight="1">
      <c r="A65" s="162">
        <v>10</v>
      </c>
      <c r="B65" s="357" t="s">
        <v>171</v>
      </c>
      <c r="C65" s="357"/>
      <c r="D65" s="357"/>
      <c r="E65" s="357"/>
      <c r="F65" s="190"/>
      <c r="G65" s="190"/>
      <c r="H65" s="190"/>
      <c r="I65" s="190"/>
      <c r="J65" s="198">
        <v>3.9</v>
      </c>
      <c r="L65" s="2"/>
      <c r="M65" s="2"/>
      <c r="N65" s="2"/>
    </row>
    <row r="66" spans="1:14" s="4" customFormat="1" ht="15" customHeight="1">
      <c r="A66" s="162">
        <v>11</v>
      </c>
      <c r="B66" s="357" t="s">
        <v>61</v>
      </c>
      <c r="C66" s="357"/>
      <c r="D66" s="357"/>
      <c r="E66" s="357"/>
      <c r="F66" s="190"/>
      <c r="G66" s="190"/>
      <c r="H66" s="190"/>
      <c r="I66" s="190"/>
      <c r="J66" s="201">
        <v>4.3860000000000001</v>
      </c>
      <c r="L66" s="2"/>
      <c r="M66" s="2"/>
      <c r="N66" s="2"/>
    </row>
    <row r="67" spans="1:14" s="4" customFormat="1" ht="15" customHeight="1">
      <c r="A67" s="162">
        <v>12</v>
      </c>
      <c r="B67" s="357" t="s">
        <v>163</v>
      </c>
      <c r="C67" s="357"/>
      <c r="D67" s="357"/>
      <c r="E67" s="357"/>
      <c r="F67" s="190"/>
      <c r="G67" s="190"/>
      <c r="H67" s="190"/>
      <c r="I67" s="190"/>
      <c r="J67" s="201">
        <v>4.4459999999999997</v>
      </c>
      <c r="L67" s="2"/>
      <c r="M67" s="2"/>
      <c r="N67" s="2"/>
    </row>
    <row r="68" spans="1:14" s="4" customFormat="1" ht="15" customHeight="1">
      <c r="A68" s="162">
        <v>13</v>
      </c>
      <c r="B68" s="357" t="s">
        <v>85</v>
      </c>
      <c r="C68" s="357"/>
      <c r="D68" s="357"/>
      <c r="E68" s="357"/>
      <c r="F68" s="190"/>
      <c r="G68" s="190"/>
      <c r="H68" s="190"/>
      <c r="I68" s="190"/>
      <c r="J68" s="199">
        <v>7.25</v>
      </c>
      <c r="L68" s="2"/>
      <c r="M68" s="2"/>
      <c r="N68" s="2"/>
    </row>
    <row r="69" spans="1:14" s="4" customFormat="1" ht="15" customHeight="1">
      <c r="A69" s="162">
        <v>14</v>
      </c>
      <c r="B69" s="357" t="s">
        <v>164</v>
      </c>
      <c r="C69" s="357"/>
      <c r="D69" s="357"/>
      <c r="E69" s="357"/>
      <c r="F69" s="190"/>
      <c r="G69" s="190"/>
      <c r="H69" s="190"/>
      <c r="I69" s="190"/>
      <c r="J69" s="200">
        <v>7</v>
      </c>
      <c r="L69" s="2"/>
      <c r="M69" s="2"/>
      <c r="N69" s="2"/>
    </row>
    <row r="70" spans="1:14" s="4" customFormat="1" ht="15" customHeight="1">
      <c r="A70" s="162">
        <v>15</v>
      </c>
      <c r="B70" s="357" t="s">
        <v>65</v>
      </c>
      <c r="C70" s="357"/>
      <c r="D70" s="357"/>
      <c r="E70" s="357"/>
      <c r="F70" s="190"/>
      <c r="G70" s="190"/>
      <c r="H70" s="190"/>
      <c r="I70" s="190"/>
      <c r="J70" s="198">
        <v>4.5</v>
      </c>
      <c r="L70" s="2"/>
      <c r="M70" s="2"/>
      <c r="N70" s="2"/>
    </row>
    <row r="71" spans="1:14" s="4" customFormat="1" ht="15" customHeight="1">
      <c r="A71" s="162">
        <v>16</v>
      </c>
      <c r="B71" s="357" t="s">
        <v>68</v>
      </c>
      <c r="C71" s="357"/>
      <c r="D71" s="357"/>
      <c r="E71" s="357"/>
      <c r="F71" s="190"/>
      <c r="G71" s="190"/>
      <c r="H71" s="190"/>
      <c r="I71" s="190"/>
      <c r="J71" s="201">
        <v>5.9829999999999997</v>
      </c>
      <c r="L71" s="2"/>
      <c r="M71" s="2"/>
      <c r="N71" s="2"/>
    </row>
    <row r="72" spans="1:14" s="4" customFormat="1" ht="15" customHeight="1">
      <c r="A72" s="162">
        <v>17</v>
      </c>
      <c r="B72" s="357" t="s">
        <v>50</v>
      </c>
      <c r="C72" s="357"/>
      <c r="D72" s="357"/>
      <c r="E72" s="357"/>
      <c r="F72" s="190"/>
      <c r="G72" s="190"/>
      <c r="H72" s="190"/>
      <c r="I72" s="190"/>
      <c r="J72" s="198">
        <v>29.6</v>
      </c>
      <c r="L72" s="2"/>
      <c r="M72" s="2"/>
      <c r="N72" s="2"/>
    </row>
    <row r="73" spans="1:14" s="4" customFormat="1" ht="15" customHeight="1">
      <c r="A73" s="162">
        <v>18</v>
      </c>
      <c r="B73" s="357" t="s">
        <v>88</v>
      </c>
      <c r="C73" s="357"/>
      <c r="D73" s="357"/>
      <c r="E73" s="357"/>
      <c r="F73" s="190"/>
      <c r="G73" s="190"/>
      <c r="H73" s="190"/>
      <c r="I73" s="190"/>
      <c r="J73" s="198">
        <v>9.6999999999999993</v>
      </c>
      <c r="L73" s="2"/>
      <c r="M73" s="2"/>
      <c r="N73" s="2"/>
    </row>
    <row r="74" spans="1:14" s="4" customFormat="1" ht="14.45" customHeight="1">
      <c r="A74" s="162">
        <v>19</v>
      </c>
      <c r="B74" s="357" t="s">
        <v>46</v>
      </c>
      <c r="C74" s="357"/>
      <c r="D74" s="357"/>
      <c r="E74" s="357"/>
      <c r="F74" s="190"/>
      <c r="G74" s="190"/>
      <c r="H74" s="190"/>
      <c r="I74" s="190"/>
      <c r="J74" s="198">
        <v>6.4</v>
      </c>
      <c r="L74" s="2"/>
      <c r="M74" s="2"/>
      <c r="N74" s="2"/>
    </row>
    <row r="75" spans="1:14" s="4" customFormat="1" ht="30.6" customHeight="1">
      <c r="A75" s="162">
        <v>20</v>
      </c>
      <c r="B75" s="357" t="s">
        <v>69</v>
      </c>
      <c r="C75" s="357"/>
      <c r="D75" s="357"/>
      <c r="E75" s="357"/>
      <c r="F75" s="190"/>
      <c r="G75" s="190"/>
      <c r="H75" s="190"/>
      <c r="I75" s="190"/>
      <c r="J75" s="200">
        <v>57</v>
      </c>
      <c r="L75" s="2"/>
      <c r="M75" s="2"/>
      <c r="N75" s="2"/>
    </row>
    <row r="76" spans="1:14" s="4" customFormat="1" ht="30.6" customHeight="1">
      <c r="A76" s="162">
        <v>21</v>
      </c>
      <c r="B76" s="357" t="s">
        <v>89</v>
      </c>
      <c r="C76" s="357"/>
      <c r="D76" s="357"/>
      <c r="E76" s="357"/>
      <c r="F76" s="190"/>
      <c r="G76" s="190"/>
      <c r="H76" s="190"/>
      <c r="I76" s="190"/>
      <c r="J76" s="200">
        <v>12</v>
      </c>
      <c r="L76" s="2"/>
      <c r="M76" s="2"/>
      <c r="N76" s="2"/>
    </row>
    <row r="77" spans="1:14" s="4" customFormat="1" ht="30.6" customHeight="1">
      <c r="A77" s="162">
        <v>22</v>
      </c>
      <c r="B77" s="357" t="s">
        <v>144</v>
      </c>
      <c r="C77" s="357"/>
      <c r="D77" s="357"/>
      <c r="E77" s="357"/>
      <c r="F77" s="190"/>
      <c r="G77" s="190"/>
      <c r="H77" s="190"/>
      <c r="I77" s="190"/>
      <c r="J77" s="198">
        <v>4.8</v>
      </c>
      <c r="L77" s="2"/>
      <c r="M77" s="2"/>
      <c r="N77" s="2"/>
    </row>
    <row r="78" spans="1:14" s="4" customFormat="1" ht="30.6" customHeight="1">
      <c r="A78" s="162">
        <v>23</v>
      </c>
      <c r="B78" s="357" t="s">
        <v>70</v>
      </c>
      <c r="C78" s="357"/>
      <c r="D78" s="357"/>
      <c r="E78" s="357"/>
      <c r="F78" s="190"/>
      <c r="G78" s="190"/>
      <c r="H78" s="190"/>
      <c r="I78" s="190"/>
      <c r="J78" s="200">
        <v>7</v>
      </c>
      <c r="L78" s="2"/>
      <c r="M78" s="2"/>
      <c r="N78" s="2"/>
    </row>
    <row r="79" spans="1:14" s="4" customFormat="1" ht="30.6" customHeight="1">
      <c r="A79" s="162">
        <v>24</v>
      </c>
      <c r="B79" s="357" t="s">
        <v>145</v>
      </c>
      <c r="C79" s="357"/>
      <c r="D79" s="357"/>
      <c r="E79" s="357"/>
      <c r="F79" s="190"/>
      <c r="G79" s="190"/>
      <c r="H79" s="190"/>
      <c r="I79" s="190"/>
      <c r="J79" s="198">
        <v>50.4</v>
      </c>
      <c r="L79" s="2"/>
      <c r="M79" s="2"/>
      <c r="N79" s="2"/>
    </row>
    <row r="80" spans="1:14" s="4" customFormat="1" ht="30.6" customHeight="1">
      <c r="A80" s="162">
        <v>25</v>
      </c>
      <c r="B80" s="357" t="s">
        <v>71</v>
      </c>
      <c r="C80" s="357"/>
      <c r="D80" s="357"/>
      <c r="E80" s="357"/>
      <c r="F80" s="190"/>
      <c r="G80" s="190"/>
      <c r="H80" s="190"/>
      <c r="I80" s="190"/>
      <c r="J80" s="199">
        <v>24.19</v>
      </c>
      <c r="L80" s="2"/>
      <c r="M80" s="2"/>
      <c r="N80" s="2"/>
    </row>
    <row r="81" spans="1:14" s="4" customFormat="1" ht="30.6" customHeight="1">
      <c r="A81" s="162">
        <v>26</v>
      </c>
      <c r="B81" s="357" t="s">
        <v>165</v>
      </c>
      <c r="C81" s="357"/>
      <c r="D81" s="357"/>
      <c r="E81" s="357"/>
      <c r="F81" s="190"/>
      <c r="G81" s="190"/>
      <c r="H81" s="190"/>
      <c r="I81" s="190"/>
      <c r="J81" s="199">
        <v>5.28</v>
      </c>
      <c r="L81" s="2"/>
      <c r="M81" s="2"/>
      <c r="N81" s="2"/>
    </row>
    <row r="82" spans="1:14" s="4" customFormat="1" ht="30.6" customHeight="1">
      <c r="A82" s="162">
        <v>27</v>
      </c>
      <c r="B82" s="357" t="s">
        <v>74</v>
      </c>
      <c r="C82" s="357"/>
      <c r="D82" s="357"/>
      <c r="E82" s="357"/>
      <c r="F82" s="190"/>
      <c r="G82" s="190"/>
      <c r="H82" s="190"/>
      <c r="I82" s="190"/>
      <c r="J82" s="199">
        <v>7.92</v>
      </c>
      <c r="L82" s="2"/>
      <c r="M82" s="2"/>
      <c r="N82" s="2"/>
    </row>
    <row r="83" spans="1:14" s="4" customFormat="1" ht="30.6" customHeight="1">
      <c r="A83" s="162">
        <v>28</v>
      </c>
      <c r="B83" s="357" t="s">
        <v>166</v>
      </c>
      <c r="C83" s="357"/>
      <c r="D83" s="357"/>
      <c r="E83" s="357"/>
      <c r="F83" s="190"/>
      <c r="G83" s="190"/>
      <c r="H83" s="190"/>
      <c r="I83" s="190"/>
      <c r="J83" s="201">
        <v>18.779</v>
      </c>
      <c r="L83" s="2"/>
      <c r="M83" s="2"/>
      <c r="N83" s="2"/>
    </row>
    <row r="84" spans="1:14" s="4" customFormat="1" ht="30.6" customHeight="1">
      <c r="A84" s="162">
        <v>29</v>
      </c>
      <c r="B84" s="357" t="s">
        <v>47</v>
      </c>
      <c r="C84" s="357"/>
      <c r="D84" s="357"/>
      <c r="E84" s="357"/>
      <c r="F84" s="190"/>
      <c r="G84" s="190"/>
      <c r="H84" s="190"/>
      <c r="I84" s="190"/>
      <c r="J84" s="198">
        <v>7.2</v>
      </c>
      <c r="L84" s="2"/>
      <c r="M84" s="2"/>
      <c r="N84" s="2"/>
    </row>
    <row r="85" spans="1:14" s="4" customFormat="1" ht="30.6" customHeight="1">
      <c r="A85" s="162">
        <v>30</v>
      </c>
      <c r="B85" s="357" t="s">
        <v>77</v>
      </c>
      <c r="C85" s="357"/>
      <c r="D85" s="357"/>
      <c r="E85" s="357"/>
      <c r="F85" s="190"/>
      <c r="G85" s="190"/>
      <c r="H85" s="190"/>
      <c r="I85" s="190"/>
      <c r="J85" s="198">
        <v>39.299999999999997</v>
      </c>
      <c r="L85" s="2"/>
      <c r="M85" s="2"/>
      <c r="N85" s="2"/>
    </row>
    <row r="86" spans="1:14" s="4" customFormat="1" ht="30.6" customHeight="1">
      <c r="A86" s="162">
        <v>31</v>
      </c>
      <c r="B86" s="357" t="s">
        <v>172</v>
      </c>
      <c r="C86" s="357"/>
      <c r="D86" s="357"/>
      <c r="E86" s="357"/>
      <c r="F86" s="190"/>
      <c r="G86" s="190"/>
      <c r="H86" s="190"/>
      <c r="I86" s="190"/>
      <c r="J86" s="198">
        <v>57.4</v>
      </c>
      <c r="L86" s="2"/>
      <c r="M86" s="2"/>
      <c r="N86" s="2"/>
    </row>
    <row r="87" spans="1:14" s="4" customFormat="1" ht="30.6" customHeight="1">
      <c r="A87" s="162">
        <v>32</v>
      </c>
      <c r="B87" s="357" t="s">
        <v>167</v>
      </c>
      <c r="C87" s="357"/>
      <c r="D87" s="357"/>
      <c r="E87" s="357"/>
      <c r="F87" s="190"/>
      <c r="G87" s="190"/>
      <c r="H87" s="190"/>
      <c r="I87" s="190"/>
      <c r="J87" s="199">
        <v>7.28</v>
      </c>
      <c r="L87" s="2"/>
      <c r="M87" s="2"/>
      <c r="N87" s="2"/>
    </row>
    <row r="88" spans="1:14" s="4" customFormat="1" ht="30.6" customHeight="1">
      <c r="A88" s="162">
        <v>33</v>
      </c>
      <c r="B88" s="357" t="s">
        <v>80</v>
      </c>
      <c r="C88" s="357"/>
      <c r="D88" s="357"/>
      <c r="E88" s="357"/>
      <c r="F88" s="190"/>
      <c r="G88" s="190"/>
      <c r="H88" s="190"/>
      <c r="I88" s="190"/>
      <c r="J88" s="199">
        <v>32.479999999999997</v>
      </c>
      <c r="L88" s="2"/>
      <c r="M88" s="2"/>
      <c r="N88" s="2"/>
    </row>
    <row r="89" spans="1:14" s="4" customFormat="1" ht="30.6" customHeight="1">
      <c r="A89" s="162">
        <v>34</v>
      </c>
      <c r="B89" s="357" t="s">
        <v>146</v>
      </c>
      <c r="C89" s="357"/>
      <c r="D89" s="357"/>
      <c r="E89" s="357"/>
      <c r="F89" s="190"/>
      <c r="G89" s="190"/>
      <c r="H89" s="190"/>
      <c r="I89" s="190"/>
      <c r="J89" s="198">
        <v>4.4000000000000004</v>
      </c>
      <c r="L89" s="2"/>
      <c r="M89" s="2"/>
      <c r="N89" s="2"/>
    </row>
    <row r="90" spans="1:14" s="4" customFormat="1" ht="30.6" customHeight="1">
      <c r="A90" s="162">
        <v>35</v>
      </c>
      <c r="B90" s="357" t="s">
        <v>147</v>
      </c>
      <c r="C90" s="357"/>
      <c r="D90" s="357"/>
      <c r="E90" s="357"/>
      <c r="F90" s="190"/>
      <c r="G90" s="190"/>
      <c r="H90" s="190"/>
      <c r="I90" s="190"/>
      <c r="J90" s="199">
        <v>4.4800000000000004</v>
      </c>
      <c r="L90" s="2"/>
      <c r="M90" s="2"/>
      <c r="N90" s="2"/>
    </row>
    <row r="91" spans="1:14" s="4" customFormat="1" ht="30.6" customHeight="1">
      <c r="A91" s="162">
        <v>36</v>
      </c>
      <c r="B91" s="357" t="s">
        <v>81</v>
      </c>
      <c r="C91" s="357"/>
      <c r="D91" s="357"/>
      <c r="E91" s="357"/>
      <c r="F91" s="190"/>
      <c r="G91" s="190"/>
      <c r="H91" s="190"/>
      <c r="I91" s="190"/>
      <c r="J91" s="199">
        <v>11.25</v>
      </c>
      <c r="L91" s="2"/>
      <c r="M91" s="2"/>
      <c r="N91" s="2"/>
    </row>
    <row r="92" spans="1:14" s="4" customFormat="1" ht="30.6" customHeight="1">
      <c r="A92" s="162">
        <v>37</v>
      </c>
      <c r="B92" s="357" t="s">
        <v>168</v>
      </c>
      <c r="C92" s="357"/>
      <c r="D92" s="357"/>
      <c r="E92" s="357"/>
      <c r="F92" s="190"/>
      <c r="G92" s="190"/>
      <c r="H92" s="190"/>
      <c r="I92" s="190"/>
      <c r="J92" s="199">
        <v>9.84</v>
      </c>
      <c r="L92" s="2"/>
      <c r="M92" s="2"/>
      <c r="N92" s="2"/>
    </row>
    <row r="93" spans="1:14" s="4" customFormat="1" ht="30.6" customHeight="1">
      <c r="A93" s="162">
        <v>38</v>
      </c>
      <c r="B93" s="357" t="s">
        <v>173</v>
      </c>
      <c r="C93" s="357"/>
      <c r="D93" s="357"/>
      <c r="E93" s="357"/>
      <c r="F93" s="190"/>
      <c r="G93" s="190"/>
      <c r="H93" s="190"/>
      <c r="I93" s="190"/>
      <c r="J93" s="198">
        <v>9.9</v>
      </c>
      <c r="L93" s="2"/>
      <c r="M93" s="2"/>
      <c r="N93" s="2"/>
    </row>
    <row r="94" spans="1:14" s="4" customFormat="1" ht="30.6" customHeight="1">
      <c r="A94" s="162">
        <v>39</v>
      </c>
      <c r="B94" s="357" t="s">
        <v>169</v>
      </c>
      <c r="C94" s="357"/>
      <c r="D94" s="357"/>
      <c r="E94" s="357"/>
      <c r="F94" s="190"/>
      <c r="G94" s="190"/>
      <c r="H94" s="190"/>
      <c r="I94" s="190"/>
      <c r="J94" s="198">
        <v>6.4</v>
      </c>
      <c r="L94" s="2"/>
      <c r="M94" s="2"/>
      <c r="N94" s="2"/>
    </row>
    <row r="95" spans="1:14" s="4" customFormat="1" ht="30.6" customHeight="1">
      <c r="A95" s="162">
        <v>40</v>
      </c>
      <c r="B95" s="357" t="s">
        <v>174</v>
      </c>
      <c r="C95" s="357"/>
      <c r="D95" s="357"/>
      <c r="E95" s="357"/>
      <c r="F95" s="190"/>
      <c r="G95" s="190"/>
      <c r="H95" s="190"/>
      <c r="I95" s="190"/>
      <c r="J95" s="199">
        <v>22.24</v>
      </c>
      <c r="L95" s="2"/>
      <c r="M95" s="2"/>
      <c r="N95" s="2"/>
    </row>
    <row r="96" spans="1:14" s="4" customFormat="1" ht="30.6" customHeight="1">
      <c r="A96" s="162">
        <v>41</v>
      </c>
      <c r="B96" s="357" t="s">
        <v>175</v>
      </c>
      <c r="C96" s="357"/>
      <c r="D96" s="357"/>
      <c r="E96" s="357"/>
      <c r="F96" s="190"/>
      <c r="G96" s="190"/>
      <c r="H96" s="190"/>
      <c r="I96" s="190"/>
      <c r="J96" s="198">
        <v>11.2</v>
      </c>
      <c r="L96" s="2"/>
      <c r="M96" s="2"/>
      <c r="N96" s="2"/>
    </row>
    <row r="97" spans="1:14" s="4" customFormat="1" ht="30.6" customHeight="1">
      <c r="A97" s="162">
        <v>42</v>
      </c>
      <c r="B97" s="357" t="s">
        <v>137</v>
      </c>
      <c r="C97" s="357"/>
      <c r="D97" s="357"/>
      <c r="E97" s="357"/>
      <c r="F97" s="190"/>
      <c r="G97" s="190"/>
      <c r="H97" s="190"/>
      <c r="I97" s="190"/>
      <c r="J97" s="200">
        <v>7</v>
      </c>
      <c r="L97" s="2"/>
      <c r="M97" s="2"/>
      <c r="N97" s="2"/>
    </row>
    <row r="98" spans="1:14" s="4" customFormat="1" ht="30.6" customHeight="1">
      <c r="A98" s="162">
        <v>43</v>
      </c>
      <c r="B98" s="357" t="s">
        <v>121</v>
      </c>
      <c r="C98" s="357"/>
      <c r="D98" s="357"/>
      <c r="E98" s="357"/>
      <c r="F98" s="190"/>
      <c r="G98" s="190"/>
      <c r="H98" s="190"/>
      <c r="I98" s="190"/>
      <c r="J98" s="200">
        <v>10</v>
      </c>
      <c r="L98" s="2"/>
      <c r="M98" s="2"/>
      <c r="N98" s="2"/>
    </row>
    <row r="99" spans="1:14" s="4" customFormat="1" ht="30.6" customHeight="1">
      <c r="A99" s="162">
        <v>44</v>
      </c>
      <c r="B99" s="357" t="s">
        <v>138</v>
      </c>
      <c r="C99" s="357"/>
      <c r="D99" s="357"/>
      <c r="E99" s="357"/>
      <c r="F99" s="190"/>
      <c r="G99" s="190"/>
      <c r="H99" s="190"/>
      <c r="I99" s="190"/>
      <c r="J99" s="198">
        <v>33.200000000000003</v>
      </c>
      <c r="L99" s="2"/>
      <c r="M99" s="2"/>
      <c r="N99" s="2"/>
    </row>
    <row r="100" spans="1:14" s="4" customFormat="1" ht="30.6" customHeight="1">
      <c r="A100" s="162">
        <v>45</v>
      </c>
      <c r="B100" s="357" t="s">
        <v>176</v>
      </c>
      <c r="C100" s="357"/>
      <c r="D100" s="357"/>
      <c r="E100" s="357"/>
      <c r="F100" s="190"/>
      <c r="G100" s="190"/>
      <c r="H100" s="190"/>
      <c r="I100" s="190"/>
      <c r="J100" s="200">
        <v>49</v>
      </c>
      <c r="L100" s="2"/>
      <c r="M100" s="2"/>
      <c r="N100" s="2"/>
    </row>
    <row r="101" spans="1:14" s="4" customFormat="1" ht="30.6" customHeight="1">
      <c r="A101" s="162">
        <v>46</v>
      </c>
      <c r="B101" s="357" t="s">
        <v>97</v>
      </c>
      <c r="C101" s="357"/>
      <c r="D101" s="357"/>
      <c r="E101" s="357"/>
      <c r="F101" s="190"/>
      <c r="G101" s="190"/>
      <c r="H101" s="190"/>
      <c r="I101" s="190"/>
      <c r="J101" s="198">
        <v>17.5</v>
      </c>
      <c r="L101" s="2"/>
      <c r="M101" s="2"/>
      <c r="N101" s="2"/>
    </row>
    <row r="102" spans="1:14" s="4" customFormat="1" ht="30.6" customHeight="1">
      <c r="A102" s="162">
        <v>47</v>
      </c>
      <c r="B102" s="357" t="s">
        <v>114</v>
      </c>
      <c r="C102" s="357"/>
      <c r="D102" s="357"/>
      <c r="E102" s="357"/>
      <c r="F102" s="190"/>
      <c r="G102" s="190"/>
      <c r="H102" s="190"/>
      <c r="I102" s="190"/>
      <c r="J102" s="198">
        <v>9.5</v>
      </c>
      <c r="L102" s="2"/>
      <c r="M102" s="2"/>
      <c r="N102" s="2"/>
    </row>
    <row r="103" spans="1:14" s="4" customFormat="1" ht="30.6" customHeight="1">
      <c r="A103" s="162">
        <v>48</v>
      </c>
      <c r="B103" s="357" t="s">
        <v>115</v>
      </c>
      <c r="C103" s="357"/>
      <c r="D103" s="357"/>
      <c r="E103" s="357"/>
      <c r="F103" s="190"/>
      <c r="G103" s="190"/>
      <c r="H103" s="190"/>
      <c r="I103" s="190"/>
      <c r="J103" s="198">
        <v>5.4</v>
      </c>
      <c r="L103" s="2"/>
      <c r="M103" s="2"/>
      <c r="N103" s="2"/>
    </row>
    <row r="104" spans="1:14" s="4" customFormat="1" ht="30.6" customHeight="1">
      <c r="A104" s="162">
        <v>49</v>
      </c>
      <c r="B104" s="357" t="s">
        <v>177</v>
      </c>
      <c r="C104" s="357"/>
      <c r="D104" s="357"/>
      <c r="E104" s="357"/>
      <c r="F104" s="190"/>
      <c r="G104" s="190"/>
      <c r="H104" s="190"/>
      <c r="I104" s="190"/>
      <c r="J104" s="198">
        <v>3.9</v>
      </c>
      <c r="L104" s="2"/>
      <c r="M104" s="2"/>
      <c r="N104" s="2"/>
    </row>
    <row r="105" spans="1:14" s="4" customFormat="1" ht="30.6" customHeight="1">
      <c r="A105" s="162">
        <v>50</v>
      </c>
      <c r="B105" s="357" t="s">
        <v>156</v>
      </c>
      <c r="C105" s="357"/>
      <c r="D105" s="357"/>
      <c r="E105" s="357"/>
      <c r="F105" s="190"/>
      <c r="G105" s="190"/>
      <c r="H105" s="190"/>
      <c r="I105" s="190"/>
      <c r="J105" s="198">
        <v>13.2</v>
      </c>
      <c r="L105" s="2"/>
      <c r="M105" s="2"/>
      <c r="N105" s="2"/>
    </row>
    <row r="106" spans="1:14" s="4" customFormat="1" ht="30.6" customHeight="1">
      <c r="A106" s="162">
        <v>51</v>
      </c>
      <c r="B106" s="357" t="s">
        <v>103</v>
      </c>
      <c r="C106" s="357"/>
      <c r="D106" s="357"/>
      <c r="E106" s="357"/>
      <c r="F106" s="190"/>
      <c r="G106" s="190"/>
      <c r="H106" s="190"/>
      <c r="I106" s="190"/>
      <c r="J106" s="200">
        <v>15</v>
      </c>
      <c r="L106" s="2"/>
      <c r="M106" s="2"/>
      <c r="N106" s="2"/>
    </row>
    <row r="107" spans="1:14" s="4" customFormat="1" ht="30.6" customHeight="1">
      <c r="A107" s="162">
        <v>52</v>
      </c>
      <c r="B107" s="357" t="s">
        <v>104</v>
      </c>
      <c r="C107" s="357"/>
      <c r="D107" s="357"/>
      <c r="E107" s="357"/>
      <c r="F107" s="190"/>
      <c r="G107" s="190"/>
      <c r="H107" s="190"/>
      <c r="I107" s="190"/>
      <c r="J107" s="198">
        <v>12.5</v>
      </c>
      <c r="L107" s="2"/>
      <c r="M107" s="2"/>
      <c r="N107" s="2"/>
    </row>
    <row r="108" spans="1:14" s="4" customFormat="1" ht="30.6" customHeight="1">
      <c r="A108" s="162">
        <v>53</v>
      </c>
      <c r="B108" s="357" t="s">
        <v>105</v>
      </c>
      <c r="C108" s="357"/>
      <c r="D108" s="357"/>
      <c r="E108" s="357"/>
      <c r="F108" s="190"/>
      <c r="G108" s="190"/>
      <c r="H108" s="190"/>
      <c r="I108" s="190"/>
      <c r="J108" s="201">
        <v>14.894</v>
      </c>
      <c r="L108" s="2"/>
      <c r="M108" s="2"/>
      <c r="N108" s="2"/>
    </row>
    <row r="109" spans="1:14" s="4" customFormat="1" ht="30.6" customHeight="1">
      <c r="A109" s="162">
        <v>54</v>
      </c>
      <c r="B109" s="357" t="s">
        <v>106</v>
      </c>
      <c r="C109" s="357"/>
      <c r="D109" s="357"/>
      <c r="E109" s="357"/>
      <c r="F109" s="190"/>
      <c r="G109" s="190"/>
      <c r="H109" s="190"/>
      <c r="I109" s="190"/>
      <c r="J109" s="198">
        <v>3.9</v>
      </c>
      <c r="L109" s="2"/>
      <c r="M109" s="2"/>
      <c r="N109" s="2"/>
    </row>
    <row r="110" spans="1:14" s="4" customFormat="1" ht="30.6" customHeight="1">
      <c r="A110" s="162">
        <v>55</v>
      </c>
      <c r="B110" s="357" t="s">
        <v>171</v>
      </c>
      <c r="C110" s="357"/>
      <c r="D110" s="357"/>
      <c r="E110" s="357"/>
      <c r="F110" s="190"/>
      <c r="G110" s="190"/>
      <c r="H110" s="190"/>
      <c r="I110" s="190"/>
      <c r="J110" s="201">
        <v>4.3860000000000001</v>
      </c>
      <c r="L110" s="2"/>
      <c r="M110" s="2"/>
      <c r="N110" s="2"/>
    </row>
    <row r="111" spans="1:14" s="4" customFormat="1" ht="30.6" customHeight="1">
      <c r="A111" s="162">
        <v>56</v>
      </c>
      <c r="B111" s="357" t="s">
        <v>153</v>
      </c>
      <c r="C111" s="357"/>
      <c r="D111" s="357"/>
      <c r="E111" s="357"/>
      <c r="F111" s="190"/>
      <c r="G111" s="190"/>
      <c r="H111" s="190"/>
      <c r="I111" s="190"/>
      <c r="J111" s="200">
        <v>5</v>
      </c>
      <c r="L111" s="2"/>
      <c r="M111" s="2"/>
      <c r="N111" s="2"/>
    </row>
    <row r="112" spans="1:14" s="4" customFormat="1" ht="30.6" customHeight="1">
      <c r="A112" s="162"/>
      <c r="B112" s="357" t="s">
        <v>61</v>
      </c>
      <c r="C112" s="357"/>
      <c r="D112" s="357"/>
      <c r="E112" s="357"/>
      <c r="F112" s="190"/>
      <c r="G112" s="190"/>
      <c r="H112" s="190"/>
      <c r="I112" s="190"/>
      <c r="J112" s="201">
        <v>4.4459999999999997</v>
      </c>
      <c r="L112" s="2"/>
      <c r="M112" s="2"/>
      <c r="N112" s="2"/>
    </row>
    <row r="113" spans="1:14" s="4" customFormat="1" ht="30.6" customHeight="1">
      <c r="A113" s="162"/>
      <c r="B113" s="357" t="s">
        <v>163</v>
      </c>
      <c r="C113" s="357"/>
      <c r="D113" s="357"/>
      <c r="E113" s="357"/>
      <c r="F113" s="190"/>
      <c r="G113" s="190"/>
      <c r="H113" s="190"/>
      <c r="I113" s="190"/>
      <c r="J113" s="199">
        <v>7.25</v>
      </c>
      <c r="L113" s="2"/>
      <c r="M113" s="2"/>
      <c r="N113" s="2"/>
    </row>
    <row r="114" spans="1:14" s="4" customFormat="1" ht="30.6" customHeight="1">
      <c r="A114" s="162"/>
      <c r="B114" s="357" t="s">
        <v>85</v>
      </c>
      <c r="C114" s="357"/>
      <c r="D114" s="357"/>
      <c r="E114" s="357"/>
      <c r="F114" s="190"/>
      <c r="G114" s="190"/>
      <c r="H114" s="190"/>
      <c r="I114" s="190"/>
      <c r="J114" s="200">
        <v>7</v>
      </c>
      <c r="L114" s="2"/>
      <c r="M114" s="2"/>
      <c r="N114" s="2"/>
    </row>
    <row r="115" spans="1:14" s="4" customFormat="1" ht="30.6" customHeight="1">
      <c r="A115" s="162"/>
      <c r="B115" s="357" t="s">
        <v>65</v>
      </c>
      <c r="C115" s="357"/>
      <c r="D115" s="357"/>
      <c r="E115" s="357"/>
      <c r="F115" s="190"/>
      <c r="G115" s="190"/>
      <c r="H115" s="190"/>
      <c r="I115" s="190"/>
      <c r="J115" s="201">
        <v>5.9829999999999997</v>
      </c>
      <c r="L115" s="2"/>
      <c r="M115" s="2"/>
      <c r="N115" s="2"/>
    </row>
    <row r="116" spans="1:14" s="4" customFormat="1" ht="30.6" customHeight="1">
      <c r="A116" s="162"/>
      <c r="B116" s="357" t="s">
        <v>68</v>
      </c>
      <c r="C116" s="357"/>
      <c r="D116" s="357"/>
      <c r="E116" s="357"/>
      <c r="F116" s="190"/>
      <c r="G116" s="190"/>
      <c r="H116" s="190"/>
      <c r="I116" s="190"/>
      <c r="J116" s="198">
        <v>29.6</v>
      </c>
      <c r="L116" s="2"/>
      <c r="M116" s="2"/>
      <c r="N116" s="2"/>
    </row>
    <row r="117" spans="1:14" s="4" customFormat="1" ht="30.6" customHeight="1">
      <c r="A117" s="162"/>
      <c r="B117" s="357" t="s">
        <v>50</v>
      </c>
      <c r="C117" s="357"/>
      <c r="D117" s="357"/>
      <c r="E117" s="357"/>
      <c r="F117" s="190"/>
      <c r="G117" s="190"/>
      <c r="H117" s="190"/>
      <c r="I117" s="190"/>
      <c r="J117" s="198">
        <v>9.6999999999999993</v>
      </c>
      <c r="L117" s="2"/>
      <c r="M117" s="2"/>
      <c r="N117" s="2"/>
    </row>
    <row r="118" spans="1:14" s="4" customFormat="1" ht="30.6" customHeight="1">
      <c r="A118" s="162"/>
      <c r="B118" s="357" t="s">
        <v>88</v>
      </c>
      <c r="C118" s="357"/>
      <c r="D118" s="357"/>
      <c r="E118" s="357"/>
      <c r="F118" s="190"/>
      <c r="G118" s="190"/>
      <c r="H118" s="190"/>
      <c r="I118" s="190"/>
      <c r="J118" s="198">
        <v>6.4</v>
      </c>
      <c r="L118" s="2"/>
      <c r="M118" s="2"/>
      <c r="N118" s="2"/>
    </row>
    <row r="119" spans="1:14" s="4" customFormat="1" ht="30.6" customHeight="1">
      <c r="A119" s="162"/>
      <c r="B119" s="357" t="s">
        <v>46</v>
      </c>
      <c r="C119" s="357"/>
      <c r="D119" s="357"/>
      <c r="E119" s="357"/>
      <c r="F119" s="190"/>
      <c r="G119" s="190"/>
      <c r="H119" s="190"/>
      <c r="I119" s="190"/>
      <c r="J119" s="200">
        <v>57</v>
      </c>
      <c r="L119" s="2"/>
      <c r="M119" s="2"/>
      <c r="N119" s="2"/>
    </row>
    <row r="120" spans="1:14" s="4" customFormat="1" ht="30.6" customHeight="1">
      <c r="A120" s="162"/>
      <c r="B120" s="357" t="s">
        <v>69</v>
      </c>
      <c r="C120" s="357"/>
      <c r="D120" s="357"/>
      <c r="E120" s="357"/>
      <c r="F120" s="190"/>
      <c r="G120" s="190"/>
      <c r="H120" s="190"/>
      <c r="I120" s="190"/>
      <c r="J120" s="200">
        <v>12</v>
      </c>
      <c r="L120" s="2"/>
      <c r="M120" s="2"/>
      <c r="N120" s="2"/>
    </row>
    <row r="121" spans="1:14" s="4" customFormat="1" ht="30.6" customHeight="1">
      <c r="A121" s="162"/>
      <c r="B121" s="357" t="s">
        <v>89</v>
      </c>
      <c r="C121" s="357"/>
      <c r="D121" s="357"/>
      <c r="E121" s="357"/>
      <c r="F121" s="190"/>
      <c r="G121" s="190"/>
      <c r="H121" s="190"/>
      <c r="I121" s="190"/>
      <c r="J121" s="198">
        <v>4.8</v>
      </c>
      <c r="L121" s="2"/>
      <c r="M121" s="2"/>
      <c r="N121" s="2"/>
    </row>
    <row r="122" spans="1:14" s="4" customFormat="1" ht="30.6" customHeight="1">
      <c r="A122" s="162"/>
      <c r="B122" s="357" t="s">
        <v>144</v>
      </c>
      <c r="C122" s="357"/>
      <c r="D122" s="357"/>
      <c r="E122" s="357"/>
      <c r="F122" s="190"/>
      <c r="G122" s="190"/>
      <c r="H122" s="190"/>
      <c r="I122" s="190"/>
      <c r="J122" s="200">
        <v>7</v>
      </c>
      <c r="L122" s="2"/>
      <c r="M122" s="2"/>
      <c r="N122" s="2"/>
    </row>
    <row r="123" spans="1:14" s="4" customFormat="1" ht="30.6" customHeight="1">
      <c r="A123" s="162"/>
      <c r="B123" s="357" t="s">
        <v>70</v>
      </c>
      <c r="C123" s="357"/>
      <c r="D123" s="357"/>
      <c r="E123" s="357"/>
      <c r="F123" s="190"/>
      <c r="G123" s="190"/>
      <c r="H123" s="190"/>
      <c r="I123" s="190"/>
      <c r="J123" s="198">
        <v>50.4</v>
      </c>
      <c r="L123" s="2"/>
      <c r="M123" s="2"/>
      <c r="N123" s="2"/>
    </row>
    <row r="124" spans="1:14" s="4" customFormat="1" ht="30.6" customHeight="1">
      <c r="A124" s="162"/>
      <c r="B124" s="357" t="s">
        <v>145</v>
      </c>
      <c r="C124" s="357"/>
      <c r="D124" s="357"/>
      <c r="E124" s="357"/>
      <c r="F124" s="190"/>
      <c r="G124" s="190"/>
      <c r="H124" s="190"/>
      <c r="I124" s="190"/>
      <c r="J124" s="199">
        <v>24.19</v>
      </c>
      <c r="L124" s="2"/>
      <c r="M124" s="2"/>
      <c r="N124" s="2"/>
    </row>
    <row r="125" spans="1:14" s="4" customFormat="1" ht="30.6" customHeight="1">
      <c r="A125" s="162"/>
      <c r="B125" s="357" t="s">
        <v>71</v>
      </c>
      <c r="C125" s="357"/>
      <c r="D125" s="357"/>
      <c r="E125" s="357"/>
      <c r="F125" s="190"/>
      <c r="G125" s="190"/>
      <c r="H125" s="190"/>
      <c r="I125" s="190"/>
      <c r="J125" s="199">
        <v>5.28</v>
      </c>
      <c r="L125" s="2"/>
      <c r="M125" s="2"/>
      <c r="N125" s="2"/>
    </row>
    <row r="126" spans="1:14" s="4" customFormat="1" ht="30.6" customHeight="1">
      <c r="A126" s="162"/>
      <c r="B126" s="357" t="s">
        <v>165</v>
      </c>
      <c r="C126" s="357"/>
      <c r="D126" s="357"/>
      <c r="E126" s="357"/>
      <c r="F126" s="190"/>
      <c r="G126" s="190"/>
      <c r="H126" s="190"/>
      <c r="I126" s="190"/>
      <c r="J126" s="199">
        <v>7.92</v>
      </c>
      <c r="L126" s="2"/>
      <c r="M126" s="2"/>
      <c r="N126" s="2"/>
    </row>
    <row r="127" spans="1:14" s="4" customFormat="1" ht="30.6" customHeight="1">
      <c r="A127" s="162"/>
      <c r="B127" s="357" t="s">
        <v>73</v>
      </c>
      <c r="C127" s="357"/>
      <c r="D127" s="357"/>
      <c r="E127" s="357"/>
      <c r="F127" s="190"/>
      <c r="G127" s="190"/>
      <c r="H127" s="190"/>
      <c r="I127" s="190"/>
      <c r="J127" s="199">
        <v>7.38</v>
      </c>
      <c r="L127" s="2"/>
      <c r="M127" s="2"/>
      <c r="N127" s="2"/>
    </row>
    <row r="128" spans="1:14" s="4" customFormat="1" ht="30.6" customHeight="1">
      <c r="A128" s="162"/>
      <c r="B128" s="357" t="s">
        <v>74</v>
      </c>
      <c r="C128" s="357"/>
      <c r="D128" s="357"/>
      <c r="E128" s="357"/>
      <c r="F128" s="190"/>
      <c r="G128" s="190"/>
      <c r="H128" s="190"/>
      <c r="I128" s="190"/>
      <c r="J128" s="201">
        <v>18.779</v>
      </c>
      <c r="L128" s="2"/>
      <c r="M128" s="2"/>
      <c r="N128" s="2"/>
    </row>
    <row r="129" spans="1:14" s="4" customFormat="1" ht="30.6" customHeight="1">
      <c r="A129" s="162"/>
      <c r="B129" s="357" t="s">
        <v>166</v>
      </c>
      <c r="C129" s="357"/>
      <c r="D129" s="357"/>
      <c r="E129" s="357"/>
      <c r="F129" s="190"/>
      <c r="G129" s="190"/>
      <c r="H129" s="190"/>
      <c r="I129" s="190"/>
      <c r="J129" s="198">
        <v>7.2</v>
      </c>
      <c r="L129" s="2"/>
      <c r="M129" s="2"/>
      <c r="N129" s="2"/>
    </row>
    <row r="130" spans="1:14" s="4" customFormat="1" ht="30.6" customHeight="1">
      <c r="A130" s="162"/>
      <c r="B130" s="357" t="s">
        <v>47</v>
      </c>
      <c r="C130" s="357"/>
      <c r="D130" s="357"/>
      <c r="E130" s="357"/>
      <c r="F130" s="190"/>
      <c r="G130" s="190"/>
      <c r="H130" s="190"/>
      <c r="I130" s="190"/>
      <c r="J130" s="198">
        <v>39.299999999999997</v>
      </c>
      <c r="L130" s="2"/>
      <c r="M130" s="2"/>
      <c r="N130" s="2"/>
    </row>
    <row r="131" spans="1:14" s="4" customFormat="1" ht="30.6" customHeight="1">
      <c r="A131" s="162"/>
      <c r="B131" s="357" t="s">
        <v>77</v>
      </c>
      <c r="C131" s="357"/>
      <c r="D131" s="357"/>
      <c r="E131" s="357"/>
      <c r="F131" s="190"/>
      <c r="G131" s="190"/>
      <c r="H131" s="190"/>
      <c r="I131" s="190"/>
      <c r="J131" s="198">
        <v>57.4</v>
      </c>
      <c r="L131" s="2"/>
      <c r="M131" s="2"/>
      <c r="N131" s="2"/>
    </row>
    <row r="132" spans="1:14" s="4" customFormat="1" ht="30.6" customHeight="1">
      <c r="A132" s="162"/>
      <c r="B132" s="357" t="s">
        <v>172</v>
      </c>
      <c r="C132" s="357"/>
      <c r="D132" s="357"/>
      <c r="E132" s="357"/>
      <c r="F132" s="190"/>
      <c r="G132" s="190"/>
      <c r="H132" s="190"/>
      <c r="I132" s="190"/>
      <c r="J132" s="199">
        <v>7.28</v>
      </c>
      <c r="L132" s="2"/>
      <c r="M132" s="2"/>
      <c r="N132" s="2"/>
    </row>
    <row r="133" spans="1:14" s="4" customFormat="1" ht="30.6" customHeight="1">
      <c r="A133" s="162"/>
      <c r="B133" s="357" t="s">
        <v>167</v>
      </c>
      <c r="C133" s="357"/>
      <c r="D133" s="357"/>
      <c r="E133" s="357"/>
      <c r="F133" s="190"/>
      <c r="G133" s="190"/>
      <c r="H133" s="190"/>
      <c r="I133" s="190"/>
      <c r="J133" s="199">
        <v>32.479999999999997</v>
      </c>
      <c r="L133" s="2"/>
      <c r="M133" s="2"/>
      <c r="N133" s="2"/>
    </row>
    <row r="134" spans="1:14" s="4" customFormat="1" ht="30.6" customHeight="1">
      <c r="A134" s="162"/>
      <c r="B134" s="357" t="s">
        <v>80</v>
      </c>
      <c r="C134" s="357"/>
      <c r="D134" s="357"/>
      <c r="E134" s="357"/>
      <c r="F134" s="190"/>
      <c r="G134" s="190"/>
      <c r="H134" s="190"/>
      <c r="I134" s="190"/>
      <c r="J134" s="198">
        <v>4.4000000000000004</v>
      </c>
      <c r="L134" s="2"/>
      <c r="M134" s="2"/>
      <c r="N134" s="2"/>
    </row>
    <row r="135" spans="1:14" s="4" customFormat="1" ht="30.6" customHeight="1">
      <c r="A135" s="162"/>
      <c r="B135" s="357" t="s">
        <v>146</v>
      </c>
      <c r="C135" s="357"/>
      <c r="D135" s="357"/>
      <c r="E135" s="357"/>
      <c r="F135" s="190"/>
      <c r="G135" s="190"/>
      <c r="H135" s="190"/>
      <c r="I135" s="190"/>
      <c r="J135" s="199">
        <v>4.4800000000000004</v>
      </c>
      <c r="L135" s="2"/>
      <c r="M135" s="2"/>
      <c r="N135" s="2"/>
    </row>
    <row r="136" spans="1:14" s="4" customFormat="1" ht="30.6" customHeight="1">
      <c r="A136" s="162"/>
      <c r="B136" s="357" t="s">
        <v>147</v>
      </c>
      <c r="C136" s="357"/>
      <c r="D136" s="357"/>
      <c r="E136" s="357"/>
      <c r="F136" s="190"/>
      <c r="G136" s="190"/>
      <c r="H136" s="190"/>
      <c r="I136" s="190"/>
      <c r="J136" s="199">
        <v>11.25</v>
      </c>
      <c r="L136" s="2"/>
      <c r="M136" s="2"/>
      <c r="N136" s="2"/>
    </row>
    <row r="137" spans="1:14" s="4" customFormat="1" ht="30.6" customHeight="1">
      <c r="A137" s="162"/>
      <c r="B137" s="357" t="s">
        <v>81</v>
      </c>
      <c r="C137" s="357"/>
      <c r="D137" s="357"/>
      <c r="E137" s="357"/>
      <c r="F137" s="190"/>
      <c r="G137" s="190"/>
      <c r="H137" s="190"/>
      <c r="I137" s="190"/>
      <c r="J137" s="199">
        <v>9.84</v>
      </c>
      <c r="L137" s="2"/>
      <c r="M137" s="2"/>
      <c r="N137" s="2"/>
    </row>
    <row r="138" spans="1:14" s="4" customFormat="1" ht="30.6" customHeight="1">
      <c r="A138" s="162"/>
      <c r="B138" s="357" t="s">
        <v>168</v>
      </c>
      <c r="C138" s="357"/>
      <c r="D138" s="357"/>
      <c r="E138" s="357"/>
      <c r="F138" s="190"/>
      <c r="G138" s="190"/>
      <c r="H138" s="190"/>
      <c r="I138" s="190"/>
      <c r="J138" s="198">
        <v>9.9</v>
      </c>
      <c r="L138" s="2"/>
      <c r="M138" s="2"/>
      <c r="N138" s="2"/>
    </row>
    <row r="139" spans="1:14" s="4" customFormat="1" ht="30.6" customHeight="1">
      <c r="A139" s="162"/>
      <c r="B139" s="357" t="s">
        <v>173</v>
      </c>
      <c r="C139" s="357"/>
      <c r="D139" s="357"/>
      <c r="E139" s="357"/>
      <c r="F139" s="190"/>
      <c r="G139" s="190"/>
      <c r="H139" s="190"/>
      <c r="I139" s="190"/>
      <c r="J139" s="198">
        <v>6.4</v>
      </c>
      <c r="L139" s="2"/>
      <c r="M139" s="2"/>
      <c r="N139" s="2"/>
    </row>
    <row r="140" spans="1:14" s="4" customFormat="1" ht="30.6" customHeight="1">
      <c r="A140" s="162"/>
      <c r="B140" s="357" t="s">
        <v>169</v>
      </c>
      <c r="C140" s="357"/>
      <c r="D140" s="357"/>
      <c r="E140" s="357"/>
      <c r="F140" s="190"/>
      <c r="G140" s="190"/>
      <c r="H140" s="190"/>
      <c r="I140" s="190"/>
      <c r="J140" s="199">
        <v>22.24</v>
      </c>
      <c r="L140" s="2"/>
      <c r="M140" s="2"/>
      <c r="N140" s="2"/>
    </row>
    <row r="141" spans="1:14" s="4" customFormat="1" ht="30.6" customHeight="1">
      <c r="A141" s="162"/>
      <c r="B141" s="357" t="s">
        <v>174</v>
      </c>
      <c r="C141" s="357"/>
      <c r="D141" s="357"/>
      <c r="E141" s="357"/>
      <c r="F141" s="190"/>
      <c r="G141" s="190"/>
      <c r="H141" s="190"/>
      <c r="I141" s="190"/>
      <c r="J141" s="198">
        <v>11.2</v>
      </c>
      <c r="L141" s="2"/>
      <c r="M141" s="2"/>
      <c r="N141" s="2"/>
    </row>
    <row r="142" spans="1:14" s="4" customFormat="1" ht="30.6" customHeight="1">
      <c r="A142" s="162"/>
      <c r="B142" s="357" t="s">
        <v>175</v>
      </c>
      <c r="C142" s="357"/>
      <c r="D142" s="357"/>
      <c r="E142" s="357"/>
      <c r="F142" s="190"/>
      <c r="G142" s="190"/>
      <c r="H142" s="190"/>
      <c r="I142" s="190"/>
      <c r="J142" s="200">
        <v>7</v>
      </c>
      <c r="L142" s="2"/>
      <c r="M142" s="2"/>
      <c r="N142" s="2"/>
    </row>
    <row r="143" spans="1:14" s="4" customFormat="1" ht="30.6" customHeight="1">
      <c r="A143" s="162"/>
      <c r="B143" s="357" t="s">
        <v>137</v>
      </c>
      <c r="C143" s="357"/>
      <c r="D143" s="357"/>
      <c r="E143" s="357"/>
      <c r="F143" s="190"/>
      <c r="G143" s="190"/>
      <c r="H143" s="190"/>
      <c r="I143" s="190"/>
      <c r="J143" s="200">
        <v>10</v>
      </c>
      <c r="L143" s="2"/>
      <c r="M143" s="2"/>
      <c r="N143" s="2"/>
    </row>
    <row r="144" spans="1:14" s="4" customFormat="1" ht="30.6" customHeight="1">
      <c r="A144" s="162"/>
      <c r="B144" s="357" t="s">
        <v>121</v>
      </c>
      <c r="C144" s="357"/>
      <c r="D144" s="357"/>
      <c r="E144" s="357"/>
      <c r="F144" s="190"/>
      <c r="G144" s="190"/>
      <c r="H144" s="190"/>
      <c r="I144" s="190"/>
      <c r="J144" s="198">
        <v>33.200000000000003</v>
      </c>
      <c r="L144" s="2"/>
      <c r="M144" s="2"/>
      <c r="N144" s="2"/>
    </row>
    <row r="145" spans="1:14" s="4" customFormat="1" ht="30.6" customHeight="1">
      <c r="A145" s="162"/>
      <c r="B145" s="357" t="s">
        <v>138</v>
      </c>
      <c r="C145" s="357"/>
      <c r="D145" s="357"/>
      <c r="E145" s="357"/>
      <c r="F145" s="190"/>
      <c r="G145" s="190"/>
      <c r="H145" s="190"/>
      <c r="I145" s="190"/>
      <c r="J145" s="200">
        <v>49</v>
      </c>
      <c r="L145" s="2"/>
      <c r="M145" s="2"/>
      <c r="N145" s="2"/>
    </row>
    <row r="146" spans="1:14" s="4" customFormat="1" ht="30.6" customHeight="1">
      <c r="A146" s="162"/>
      <c r="B146" s="357" t="s">
        <v>176</v>
      </c>
      <c r="C146" s="357"/>
      <c r="D146" s="357"/>
      <c r="E146" s="357"/>
      <c r="F146" s="190"/>
      <c r="G146" s="190"/>
      <c r="H146" s="190"/>
      <c r="I146" s="190"/>
      <c r="J146" s="200">
        <v>7</v>
      </c>
      <c r="L146" s="2"/>
      <c r="M146" s="2"/>
      <c r="N146" s="2"/>
    </row>
    <row r="147" spans="1:14" ht="15" customHeight="1">
      <c r="A147" s="181"/>
      <c r="B147" s="359"/>
      <c r="C147" s="360"/>
      <c r="D147" s="360"/>
      <c r="E147" s="360"/>
      <c r="F147" s="360"/>
      <c r="G147" s="360"/>
      <c r="H147" s="360"/>
      <c r="I147" s="361"/>
      <c r="J147" s="182">
        <f>SUM(J56:J111)</f>
        <v>797.25199999999995</v>
      </c>
    </row>
    <row r="149" spans="1:14" ht="14.45" customHeight="1"/>
    <row r="153" spans="1:14" ht="14.45" customHeight="1"/>
  </sheetData>
  <mergeCells count="158">
    <mergeCell ref="B99:E99"/>
    <mergeCell ref="B100:E100"/>
    <mergeCell ref="B101:E101"/>
    <mergeCell ref="B102:E102"/>
    <mergeCell ref="B103:E103"/>
    <mergeCell ref="B104:E104"/>
    <mergeCell ref="B105:E105"/>
    <mergeCell ref="B60:E60"/>
    <mergeCell ref="F60:I60"/>
    <mergeCell ref="B87:E87"/>
    <mergeCell ref="B88:E88"/>
    <mergeCell ref="B84:E84"/>
    <mergeCell ref="B85:E85"/>
    <mergeCell ref="B86:E86"/>
    <mergeCell ref="B81:E81"/>
    <mergeCell ref="B82:E82"/>
    <mergeCell ref="B83:E83"/>
    <mergeCell ref="B78:E78"/>
    <mergeCell ref="B79:E79"/>
    <mergeCell ref="B80:E80"/>
    <mergeCell ref="B75:E75"/>
    <mergeCell ref="B76:E76"/>
    <mergeCell ref="B77:E77"/>
    <mergeCell ref="B72:E72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68:E68"/>
    <mergeCell ref="B69:E69"/>
    <mergeCell ref="B64:E64"/>
    <mergeCell ref="B65:E65"/>
    <mergeCell ref="B66:E66"/>
    <mergeCell ref="B61:E61"/>
    <mergeCell ref="B62:E62"/>
    <mergeCell ref="B63:E63"/>
    <mergeCell ref="B89:E89"/>
    <mergeCell ref="B58:E58"/>
    <mergeCell ref="B59:E59"/>
    <mergeCell ref="B147:I147"/>
    <mergeCell ref="B70:E70"/>
    <mergeCell ref="B71:E71"/>
    <mergeCell ref="B56:E56"/>
    <mergeCell ref="B57:E57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C51:D51"/>
    <mergeCell ref="E51:F51"/>
    <mergeCell ref="G51:H51"/>
    <mergeCell ref="I51:J51"/>
    <mergeCell ref="A54:J54"/>
    <mergeCell ref="B73:E73"/>
    <mergeCell ref="B74:E74"/>
    <mergeCell ref="B67:E67"/>
    <mergeCell ref="E47:F47"/>
    <mergeCell ref="G47:H47"/>
    <mergeCell ref="I47:J47"/>
    <mergeCell ref="C48:D48"/>
    <mergeCell ref="E48:F48"/>
    <mergeCell ref="G48:H48"/>
    <mergeCell ref="I48:J48"/>
    <mergeCell ref="A46:J46"/>
    <mergeCell ref="K35:K36"/>
    <mergeCell ref="L37:M37"/>
    <mergeCell ref="L38:M38"/>
    <mergeCell ref="L39:M39"/>
    <mergeCell ref="L40:M40"/>
    <mergeCell ref="L41:M41"/>
    <mergeCell ref="L42:M42"/>
    <mergeCell ref="L43:M43"/>
    <mergeCell ref="A44:E44"/>
    <mergeCell ref="G44:L44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L35:M36"/>
    <mergeCell ref="A1:C1"/>
    <mergeCell ref="E1:H1"/>
    <mergeCell ref="J1:K1"/>
    <mergeCell ref="A2:C2"/>
    <mergeCell ref="F2:H2"/>
    <mergeCell ref="J2:K2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21:F21"/>
    <mergeCell ref="A24:I24"/>
    <mergeCell ref="A31:C31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42:E142"/>
    <mergeCell ref="B143:E143"/>
    <mergeCell ref="B144:E144"/>
    <mergeCell ref="B145:E145"/>
    <mergeCell ref="B146:E146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</mergeCells>
  <pageMargins left="0" right="0" top="0.59055118110236204" bottom="0" header="0" footer="0"/>
  <pageSetup paperSize="9" scale="5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36F8-0346-454F-B261-318D116A59C6}">
  <sheetPr>
    <tabColor rgb="FFFFFF00"/>
    <pageSetUpPr fitToPage="1"/>
  </sheetPr>
  <dimension ref="A1:N111"/>
  <sheetViews>
    <sheetView topLeftCell="A43" zoomScale="85" zoomScaleNormal="85" workbookViewId="0">
      <pane xSplit="3" topLeftCell="D1" activePane="topRight" state="frozen"/>
      <selection pane="topRight" activeCell="E51" sqref="E51:F51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8" width="10.7109375" style="5" customWidth="1"/>
    <col min="9" max="9" width="23.855468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42" t="s">
        <v>51</v>
      </c>
      <c r="B1" s="242"/>
      <c r="C1" s="242"/>
      <c r="D1" s="1"/>
      <c r="E1" s="242" t="s">
        <v>24</v>
      </c>
      <c r="F1" s="242"/>
      <c r="G1" s="242"/>
      <c r="H1" s="242"/>
      <c r="I1" s="185"/>
      <c r="J1" s="243">
        <v>5</v>
      </c>
      <c r="K1" s="243"/>
    </row>
    <row r="2" spans="1:12" ht="28.5">
      <c r="A2" s="244">
        <v>46323</v>
      </c>
      <c r="B2" s="245"/>
      <c r="C2" s="245"/>
      <c r="D2" s="3"/>
      <c r="E2" s="3"/>
      <c r="F2" s="246"/>
      <c r="G2" s="246"/>
      <c r="H2" s="246"/>
      <c r="I2" s="186"/>
      <c r="J2" s="246"/>
      <c r="K2" s="246"/>
    </row>
    <row r="3" spans="1:12" ht="27" thickBot="1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12" ht="18" customHeight="1">
      <c r="A4" s="258" t="s">
        <v>25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60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1" t="s">
        <v>1</v>
      </c>
      <c r="B6" s="262" t="s">
        <v>2</v>
      </c>
      <c r="C6" s="262" t="s">
        <v>3</v>
      </c>
      <c r="D6" s="262" t="s">
        <v>4</v>
      </c>
      <c r="E6" s="188" t="s">
        <v>5</v>
      </c>
      <c r="F6" s="262" t="s">
        <v>6</v>
      </c>
      <c r="G6" s="263" t="s">
        <v>7</v>
      </c>
      <c r="H6" s="264" t="s">
        <v>8</v>
      </c>
      <c r="I6" s="262" t="s">
        <v>9</v>
      </c>
      <c r="J6" s="247" t="s">
        <v>30</v>
      </c>
      <c r="K6" s="249" t="s">
        <v>10</v>
      </c>
      <c r="L6" s="250"/>
    </row>
    <row r="7" spans="1:12" s="8" customFormat="1" ht="63.6" customHeight="1">
      <c r="A7" s="261"/>
      <c r="B7" s="262"/>
      <c r="C7" s="262"/>
      <c r="D7" s="262"/>
      <c r="E7" s="188" t="s">
        <v>11</v>
      </c>
      <c r="F7" s="262"/>
      <c r="G7" s="263"/>
      <c r="H7" s="264"/>
      <c r="I7" s="262"/>
      <c r="J7" s="248"/>
      <c r="K7" s="188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0.30208333333333331</v>
      </c>
      <c r="G8" s="22">
        <v>30</v>
      </c>
      <c r="H8" s="202">
        <v>956.73500000000001</v>
      </c>
      <c r="I8" s="23">
        <v>0.75</v>
      </c>
      <c r="J8" s="21">
        <f>I8-F8</f>
        <v>0.44791666666666669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0.30555555555555558</v>
      </c>
      <c r="G9" s="22">
        <v>32</v>
      </c>
      <c r="H9" s="202">
        <v>1086.252</v>
      </c>
      <c r="I9" s="23">
        <v>0.6875</v>
      </c>
      <c r="J9" s="21">
        <f t="shared" ref="J9:J10" si="0">I9-F9</f>
        <v>0.38194444444444442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0.3125</v>
      </c>
      <c r="G10" s="22">
        <v>39</v>
      </c>
      <c r="H10" s="202">
        <v>1149.6659999999999</v>
      </c>
      <c r="I10" s="23">
        <v>0.71527777777777779</v>
      </c>
      <c r="J10" s="21">
        <f t="shared" si="0"/>
        <v>0.40277777777777779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0.32291666666666669</v>
      </c>
      <c r="G11" s="22">
        <v>19</v>
      </c>
      <c r="H11" s="183">
        <v>676.63</v>
      </c>
      <c r="I11" s="23">
        <v>0.73958333333333337</v>
      </c>
      <c r="J11" s="21">
        <f>I11-F11</f>
        <v>0.41666666666666669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1" t="s">
        <v>15</v>
      </c>
      <c r="B21" s="252"/>
      <c r="C21" s="252"/>
      <c r="D21" s="252"/>
      <c r="E21" s="252"/>
      <c r="F21" s="253"/>
      <c r="G21" s="70">
        <f>SUM(G8:G20)</f>
        <v>120</v>
      </c>
      <c r="H21" s="70">
        <f>SUM(H8:H20)</f>
        <v>3869.2830000000004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/>
    </row>
    <row r="24" spans="1:14" ht="18.75">
      <c r="A24" s="254" t="s">
        <v>26</v>
      </c>
      <c r="B24" s="255"/>
      <c r="C24" s="255"/>
      <c r="D24" s="255"/>
      <c r="E24" s="255"/>
      <c r="F24" s="255"/>
      <c r="G24" s="255"/>
      <c r="H24" s="255"/>
      <c r="I24" s="256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88" t="s">
        <v>2</v>
      </c>
      <c r="C26" s="188" t="s">
        <v>3</v>
      </c>
      <c r="D26" s="188" t="s">
        <v>27</v>
      </c>
      <c r="E26" s="188" t="s">
        <v>6</v>
      </c>
      <c r="F26" s="188" t="s">
        <v>28</v>
      </c>
      <c r="G26" s="188" t="s">
        <v>8</v>
      </c>
      <c r="H26" s="188" t="s">
        <v>31</v>
      </c>
      <c r="I26" s="31" t="s">
        <v>30</v>
      </c>
      <c r="J26" s="8"/>
      <c r="K26" s="8"/>
      <c r="L26" s="8"/>
      <c r="N26" s="43"/>
    </row>
    <row r="27" spans="1:14">
      <c r="A27" s="57"/>
      <c r="B27" s="56" t="s">
        <v>43</v>
      </c>
      <c r="C27" s="55" t="s">
        <v>178</v>
      </c>
      <c r="D27" s="39">
        <v>9000</v>
      </c>
      <c r="E27" s="38">
        <v>0.33333333333333331</v>
      </c>
      <c r="F27" s="22">
        <v>21</v>
      </c>
      <c r="G27" s="202">
        <v>804.16399999999999</v>
      </c>
      <c r="H27" s="35">
        <v>0.70833333333333337</v>
      </c>
      <c r="I27" s="36">
        <f>I8-F8</f>
        <v>0.44791666666666669</v>
      </c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1" t="s">
        <v>15</v>
      </c>
      <c r="B31" s="252"/>
      <c r="C31" s="253"/>
      <c r="D31" s="10"/>
      <c r="E31" s="32"/>
      <c r="F31" s="32">
        <v>21</v>
      </c>
      <c r="G31" s="32">
        <f>SUM(G27:G30)</f>
        <v>804.16399999999999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4" t="s">
        <v>12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78">
        <v>12</v>
      </c>
      <c r="M34" s="279"/>
    </row>
    <row r="35" spans="1:13" ht="75">
      <c r="A35" s="280" t="s">
        <v>1</v>
      </c>
      <c r="B35" s="265" t="s">
        <v>2</v>
      </c>
      <c r="C35" s="265" t="s">
        <v>3</v>
      </c>
      <c r="D35" s="265" t="s">
        <v>4</v>
      </c>
      <c r="E35" s="97" t="s">
        <v>5</v>
      </c>
      <c r="F35" s="265" t="s">
        <v>14</v>
      </c>
      <c r="G35" s="265" t="s">
        <v>13</v>
      </c>
      <c r="H35" s="265" t="s">
        <v>37</v>
      </c>
      <c r="I35" s="265" t="s">
        <v>39</v>
      </c>
      <c r="J35" s="265" t="s">
        <v>38</v>
      </c>
      <c r="K35" s="265" t="s">
        <v>40</v>
      </c>
      <c r="L35" s="266" t="s">
        <v>36</v>
      </c>
      <c r="M35" s="267"/>
    </row>
    <row r="36" spans="1:13" ht="75">
      <c r="A36" s="281"/>
      <c r="B36" s="248"/>
      <c r="C36" s="248"/>
      <c r="D36" s="248"/>
      <c r="E36" s="187" t="s">
        <v>11</v>
      </c>
      <c r="F36" s="248"/>
      <c r="G36" s="248"/>
      <c r="H36" s="248"/>
      <c r="I36" s="248"/>
      <c r="J36" s="248"/>
      <c r="K36" s="248"/>
      <c r="L36" s="268"/>
      <c r="M36" s="269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70"/>
      <c r="M37" s="271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72"/>
      <c r="M38" s="273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74"/>
      <c r="M39" s="275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76"/>
      <c r="M40" s="277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90"/>
      <c r="M41" s="291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92"/>
      <c r="M42" s="293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94"/>
      <c r="M43" s="295"/>
    </row>
    <row r="44" spans="1:13" ht="15.75" thickBot="1">
      <c r="A44" s="296" t="s">
        <v>15</v>
      </c>
      <c r="B44" s="297"/>
      <c r="C44" s="297"/>
      <c r="D44" s="297"/>
      <c r="E44" s="298"/>
      <c r="F44" s="96"/>
      <c r="G44" s="299">
        <f>SUM(G37:G43)</f>
        <v>0</v>
      </c>
      <c r="H44" s="300"/>
      <c r="I44" s="300"/>
      <c r="J44" s="300"/>
      <c r="K44" s="300"/>
      <c r="L44" s="301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302" t="s">
        <v>16</v>
      </c>
      <c r="B46" s="303"/>
      <c r="C46" s="303"/>
      <c r="D46" s="303"/>
      <c r="E46" s="303"/>
      <c r="F46" s="303"/>
      <c r="G46" s="303"/>
      <c r="H46" s="303"/>
      <c r="I46" s="303"/>
      <c r="J46" s="304"/>
      <c r="K46" s="2"/>
    </row>
    <row r="47" spans="1:13" ht="30">
      <c r="A47" s="50"/>
      <c r="B47" s="18"/>
      <c r="C47" s="189"/>
      <c r="D47" s="189" t="s">
        <v>17</v>
      </c>
      <c r="E47" s="282" t="s">
        <v>18</v>
      </c>
      <c r="F47" s="282"/>
      <c r="G47" s="282" t="s">
        <v>19</v>
      </c>
      <c r="H47" s="282"/>
      <c r="I47" s="282" t="s">
        <v>29</v>
      </c>
      <c r="J47" s="283"/>
      <c r="K47" s="2"/>
    </row>
    <row r="48" spans="1:13">
      <c r="A48" s="50"/>
      <c r="B48" s="24" t="s">
        <v>20</v>
      </c>
      <c r="C48" s="284">
        <v>2613.69</v>
      </c>
      <c r="D48" s="285"/>
      <c r="E48" s="286">
        <v>2383.6239999999998</v>
      </c>
      <c r="F48" s="287"/>
      <c r="G48" s="286">
        <v>2383.6239999999998</v>
      </c>
      <c r="H48" s="287"/>
      <c r="I48" s="286">
        <v>43.831000000000003</v>
      </c>
      <c r="J48" s="358"/>
      <c r="K48" s="2"/>
    </row>
    <row r="49" spans="1:14">
      <c r="A49" s="51"/>
      <c r="B49" s="24" t="s">
        <v>21</v>
      </c>
      <c r="C49" s="284">
        <v>1032.08</v>
      </c>
      <c r="D49" s="285"/>
      <c r="E49" s="316">
        <v>991.06399999999996</v>
      </c>
      <c r="F49" s="317"/>
      <c r="G49" s="316">
        <v>991.06399999999996</v>
      </c>
      <c r="H49" s="317"/>
      <c r="I49" s="316">
        <v>14.28</v>
      </c>
      <c r="J49" s="362"/>
      <c r="K49" s="2"/>
    </row>
    <row r="50" spans="1:14" ht="15.75" thickBot="1">
      <c r="A50" s="51"/>
      <c r="B50" s="24" t="s">
        <v>22</v>
      </c>
      <c r="C50" s="363">
        <v>1027.68</v>
      </c>
      <c r="D50" s="364"/>
      <c r="E50" s="350">
        <v>691.38</v>
      </c>
      <c r="F50" s="351"/>
      <c r="G50" s="350">
        <v>691.38</v>
      </c>
      <c r="H50" s="351"/>
      <c r="I50" s="322">
        <v>51.718000000000004</v>
      </c>
      <c r="J50" s="370"/>
      <c r="K50" s="2"/>
    </row>
    <row r="51" spans="1:14" ht="15.75" thickBot="1">
      <c r="A51" s="11"/>
      <c r="B51" s="12" t="s">
        <v>23</v>
      </c>
      <c r="C51" s="305">
        <f>SUM(C48:D50)</f>
        <v>4673.45</v>
      </c>
      <c r="D51" s="306"/>
      <c r="E51" s="305"/>
      <c r="F51" s="306"/>
      <c r="G51" s="305">
        <f t="shared" ref="G51" si="1">SUM(G48:H50)</f>
        <v>4066.0679999999998</v>
      </c>
      <c r="H51" s="306"/>
      <c r="I51" s="305">
        <f t="shared" ref="I51" si="2">SUM(I48:J50)</f>
        <v>109.82900000000001</v>
      </c>
      <c r="J51" s="306"/>
      <c r="K51" s="2"/>
    </row>
    <row r="52" spans="1:14" ht="15.75" thickBot="1"/>
    <row r="53" spans="1:14" s="130" customFormat="1" ht="19.5" thickBot="1">
      <c r="A53" s="365" t="s">
        <v>32</v>
      </c>
      <c r="B53" s="366"/>
      <c r="C53" s="366"/>
      <c r="D53" s="366"/>
      <c r="E53" s="366"/>
      <c r="F53" s="366"/>
      <c r="G53" s="366"/>
      <c r="H53" s="366"/>
      <c r="I53" s="366"/>
      <c r="J53" s="312"/>
      <c r="L53" s="131"/>
      <c r="M53" s="131"/>
      <c r="N53" s="131"/>
    </row>
    <row r="54" spans="1:14" s="130" customFormat="1">
      <c r="A54" s="191" t="s">
        <v>33</v>
      </c>
      <c r="B54" s="371" t="s">
        <v>34</v>
      </c>
      <c r="C54" s="371"/>
      <c r="D54" s="371"/>
      <c r="E54" s="371"/>
      <c r="F54" s="371"/>
      <c r="G54" s="371"/>
      <c r="H54" s="371"/>
      <c r="I54" s="371"/>
      <c r="J54" s="161" t="s">
        <v>35</v>
      </c>
      <c r="L54" s="131"/>
      <c r="M54" s="131"/>
      <c r="N54" s="131"/>
    </row>
    <row r="55" spans="1:14" s="130" customFormat="1" ht="30.6" customHeight="1">
      <c r="A55" s="162"/>
      <c r="B55" s="367" t="s">
        <v>61</v>
      </c>
      <c r="C55" s="368"/>
      <c r="D55" s="369"/>
      <c r="E55" s="190"/>
      <c r="F55" s="190"/>
      <c r="G55" s="190"/>
      <c r="H55" s="190"/>
      <c r="I55" s="190"/>
      <c r="J55" s="201">
        <v>13.989000000000001</v>
      </c>
      <c r="L55" s="131"/>
      <c r="M55" s="131"/>
      <c r="N55" s="131"/>
    </row>
    <row r="56" spans="1:14" s="130" customFormat="1" ht="20.45" customHeight="1">
      <c r="A56" s="162"/>
      <c r="B56" s="367" t="s">
        <v>163</v>
      </c>
      <c r="C56" s="368"/>
      <c r="D56" s="369"/>
      <c r="E56" s="190"/>
      <c r="F56" s="190"/>
      <c r="G56" s="190"/>
      <c r="H56" s="190"/>
      <c r="I56" s="190"/>
      <c r="J56" s="199">
        <v>5.75</v>
      </c>
      <c r="L56" s="131"/>
      <c r="M56" s="131"/>
      <c r="N56" s="131"/>
    </row>
    <row r="57" spans="1:14" s="130" customFormat="1" ht="30.6" customHeight="1">
      <c r="A57" s="162"/>
      <c r="B57" s="367" t="s">
        <v>85</v>
      </c>
      <c r="C57" s="368"/>
      <c r="D57" s="369"/>
      <c r="E57" s="190"/>
      <c r="F57" s="190"/>
      <c r="G57" s="190"/>
      <c r="H57" s="190"/>
      <c r="I57" s="190"/>
      <c r="J57" s="199">
        <v>11.75</v>
      </c>
      <c r="L57" s="131"/>
      <c r="M57" s="131"/>
      <c r="N57" s="131"/>
    </row>
    <row r="58" spans="1:14" s="4" customFormat="1" ht="15" customHeight="1">
      <c r="A58" s="162"/>
      <c r="B58" s="367" t="s">
        <v>45</v>
      </c>
      <c r="C58" s="368"/>
      <c r="D58" s="369"/>
      <c r="E58" s="190"/>
      <c r="F58" s="190"/>
      <c r="G58" s="190"/>
      <c r="H58" s="190"/>
      <c r="I58" s="190"/>
      <c r="J58" s="199">
        <v>6.16</v>
      </c>
      <c r="L58" s="2"/>
      <c r="M58" s="2"/>
      <c r="N58" s="2"/>
    </row>
    <row r="59" spans="1:14" s="4" customFormat="1" ht="15" customHeight="1">
      <c r="A59" s="162"/>
      <c r="B59" s="367" t="s">
        <v>68</v>
      </c>
      <c r="C59" s="368"/>
      <c r="D59" s="369"/>
      <c r="E59" s="190"/>
      <c r="F59" s="190"/>
      <c r="G59" s="190"/>
      <c r="H59" s="190"/>
      <c r="I59" s="190"/>
      <c r="J59" s="198">
        <v>23.2</v>
      </c>
      <c r="L59" s="2"/>
      <c r="M59" s="2"/>
      <c r="N59" s="2"/>
    </row>
    <row r="60" spans="1:14" s="4" customFormat="1" ht="15" customHeight="1">
      <c r="A60" s="162"/>
      <c r="B60" s="367" t="s">
        <v>87</v>
      </c>
      <c r="C60" s="368"/>
      <c r="D60" s="369"/>
      <c r="E60" s="190"/>
      <c r="F60" s="190"/>
      <c r="G60" s="190"/>
      <c r="H60" s="190"/>
      <c r="I60" s="190"/>
      <c r="J60" s="198">
        <v>14.4</v>
      </c>
      <c r="L60" s="2"/>
      <c r="M60" s="2"/>
      <c r="N60" s="2"/>
    </row>
    <row r="61" spans="1:14" s="4" customFormat="1" ht="15" customHeight="1">
      <c r="A61" s="162"/>
      <c r="B61" s="367" t="s">
        <v>50</v>
      </c>
      <c r="C61" s="368"/>
      <c r="D61" s="369"/>
      <c r="E61" s="190"/>
      <c r="F61" s="190"/>
      <c r="G61" s="190"/>
      <c r="H61" s="190"/>
      <c r="I61" s="190"/>
      <c r="J61" s="198">
        <v>16.2</v>
      </c>
      <c r="L61" s="2"/>
      <c r="M61" s="2"/>
      <c r="N61" s="2"/>
    </row>
    <row r="62" spans="1:14" s="4" customFormat="1" ht="15" customHeight="1">
      <c r="A62" s="162"/>
      <c r="B62" s="367" t="s">
        <v>46</v>
      </c>
      <c r="C62" s="368"/>
      <c r="D62" s="369"/>
      <c r="E62" s="190"/>
      <c r="F62" s="190"/>
      <c r="G62" s="190"/>
      <c r="H62" s="190"/>
      <c r="I62" s="190"/>
      <c r="J62" s="200">
        <v>22</v>
      </c>
      <c r="L62" s="2"/>
      <c r="M62" s="2"/>
      <c r="N62" s="2"/>
    </row>
    <row r="63" spans="1:14" s="4" customFormat="1" ht="15" customHeight="1">
      <c r="A63" s="162"/>
      <c r="B63" s="367" t="s">
        <v>69</v>
      </c>
      <c r="C63" s="368"/>
      <c r="D63" s="369"/>
      <c r="E63" s="190"/>
      <c r="F63" s="190"/>
      <c r="G63" s="190"/>
      <c r="H63" s="190"/>
      <c r="I63" s="190"/>
      <c r="J63" s="200">
        <v>25</v>
      </c>
      <c r="L63" s="2"/>
      <c r="M63" s="2"/>
      <c r="N63" s="2"/>
    </row>
    <row r="64" spans="1:14" s="4" customFormat="1" ht="15" customHeight="1">
      <c r="A64" s="162"/>
      <c r="B64" s="367" t="s">
        <v>70</v>
      </c>
      <c r="C64" s="368"/>
      <c r="D64" s="369"/>
      <c r="E64" s="190"/>
      <c r="F64" s="190"/>
      <c r="G64" s="190"/>
      <c r="H64" s="190"/>
      <c r="I64" s="190"/>
      <c r="J64" s="200">
        <v>35</v>
      </c>
      <c r="L64" s="2"/>
      <c r="M64" s="2"/>
      <c r="N64" s="2"/>
    </row>
    <row r="65" spans="1:14" s="4" customFormat="1" ht="15" customHeight="1">
      <c r="A65" s="162"/>
      <c r="B65" s="367" t="s">
        <v>145</v>
      </c>
      <c r="C65" s="368"/>
      <c r="D65" s="369"/>
      <c r="E65" s="190"/>
      <c r="F65" s="190"/>
      <c r="G65" s="190"/>
      <c r="H65" s="190"/>
      <c r="I65" s="190"/>
      <c r="J65" s="199">
        <v>12.71</v>
      </c>
      <c r="L65" s="2"/>
      <c r="M65" s="2"/>
      <c r="N65" s="2"/>
    </row>
    <row r="66" spans="1:14" s="4" customFormat="1" ht="15" customHeight="1">
      <c r="A66" s="162"/>
      <c r="B66" s="367" t="s">
        <v>73</v>
      </c>
      <c r="C66" s="368"/>
      <c r="D66" s="369"/>
      <c r="E66" s="190"/>
      <c r="F66" s="190"/>
      <c r="G66" s="190"/>
      <c r="H66" s="190"/>
      <c r="I66" s="190"/>
      <c r="J66" s="199">
        <v>8.61</v>
      </c>
      <c r="L66" s="2"/>
      <c r="M66" s="2"/>
      <c r="N66" s="2"/>
    </row>
    <row r="67" spans="1:14" s="4" customFormat="1" ht="15" customHeight="1">
      <c r="A67" s="162"/>
      <c r="B67" s="367" t="s">
        <v>75</v>
      </c>
      <c r="C67" s="368"/>
      <c r="D67" s="369"/>
      <c r="E67" s="190"/>
      <c r="F67" s="190"/>
      <c r="G67" s="190"/>
      <c r="H67" s="190"/>
      <c r="I67" s="190"/>
      <c r="J67" s="199">
        <v>5.33</v>
      </c>
      <c r="L67" s="2"/>
      <c r="M67" s="2"/>
      <c r="N67" s="2"/>
    </row>
    <row r="68" spans="1:14" s="4" customFormat="1" ht="15" customHeight="1">
      <c r="A68" s="162"/>
      <c r="B68" s="367" t="s">
        <v>47</v>
      </c>
      <c r="C68" s="368"/>
      <c r="D68" s="369"/>
      <c r="E68" s="190"/>
      <c r="F68" s="190"/>
      <c r="G68" s="190"/>
      <c r="H68" s="190"/>
      <c r="I68" s="190"/>
      <c r="J68" s="198">
        <v>8.6999999999999993</v>
      </c>
      <c r="L68" s="2"/>
      <c r="M68" s="2"/>
      <c r="N68" s="2"/>
    </row>
    <row r="69" spans="1:14" s="4" customFormat="1" ht="15" customHeight="1">
      <c r="A69" s="162"/>
      <c r="B69" s="367" t="s">
        <v>48</v>
      </c>
      <c r="C69" s="368"/>
      <c r="D69" s="369"/>
      <c r="E69" s="190"/>
      <c r="F69" s="190"/>
      <c r="G69" s="190"/>
      <c r="H69" s="190"/>
      <c r="I69" s="190"/>
      <c r="J69" s="198">
        <v>20.399999999999999</v>
      </c>
      <c r="L69" s="2"/>
      <c r="M69" s="2"/>
      <c r="N69" s="2"/>
    </row>
    <row r="70" spans="1:14" s="4" customFormat="1" ht="15" customHeight="1">
      <c r="A70" s="162"/>
      <c r="B70" s="367" t="s">
        <v>77</v>
      </c>
      <c r="C70" s="368"/>
      <c r="D70" s="369"/>
      <c r="E70" s="190"/>
      <c r="F70" s="190"/>
      <c r="G70" s="190"/>
      <c r="H70" s="190"/>
      <c r="I70" s="190"/>
      <c r="J70" s="198">
        <v>26.6</v>
      </c>
      <c r="L70" s="2"/>
      <c r="M70" s="2"/>
      <c r="N70" s="2"/>
    </row>
    <row r="71" spans="1:14" s="4" customFormat="1" ht="15" customHeight="1">
      <c r="A71" s="162"/>
      <c r="B71" s="367" t="s">
        <v>172</v>
      </c>
      <c r="C71" s="368"/>
      <c r="D71" s="369"/>
      <c r="E71" s="190"/>
      <c r="F71" s="190"/>
      <c r="G71" s="190"/>
      <c r="H71" s="190"/>
      <c r="I71" s="190"/>
      <c r="J71" s="199">
        <v>5.04</v>
      </c>
      <c r="L71" s="2"/>
      <c r="M71" s="2"/>
      <c r="N71" s="2"/>
    </row>
    <row r="72" spans="1:14" s="4" customFormat="1" ht="14.45" customHeight="1">
      <c r="A72" s="162"/>
      <c r="B72" s="367" t="s">
        <v>167</v>
      </c>
      <c r="C72" s="368"/>
      <c r="D72" s="369"/>
      <c r="E72" s="190"/>
      <c r="F72" s="190"/>
      <c r="G72" s="190"/>
      <c r="H72" s="190"/>
      <c r="I72" s="190"/>
      <c r="J72" s="199">
        <v>18.760000000000002</v>
      </c>
      <c r="L72" s="2"/>
      <c r="M72" s="2"/>
      <c r="N72" s="2"/>
    </row>
    <row r="73" spans="1:14" s="4" customFormat="1" ht="30.6" customHeight="1">
      <c r="A73" s="162"/>
      <c r="B73" s="367" t="s">
        <v>80</v>
      </c>
      <c r="C73" s="368"/>
      <c r="D73" s="369"/>
      <c r="E73" s="190"/>
      <c r="F73" s="190"/>
      <c r="G73" s="190"/>
      <c r="H73" s="190"/>
      <c r="I73" s="190"/>
      <c r="J73" s="198">
        <v>4.8</v>
      </c>
      <c r="L73" s="2"/>
      <c r="M73" s="2"/>
      <c r="N73" s="2"/>
    </row>
    <row r="74" spans="1:14" s="4" customFormat="1" ht="30.6" customHeight="1">
      <c r="A74" s="162"/>
      <c r="B74" s="367" t="s">
        <v>180</v>
      </c>
      <c r="C74" s="368"/>
      <c r="D74" s="369"/>
      <c r="E74" s="190"/>
      <c r="F74" s="190"/>
      <c r="G74" s="190"/>
      <c r="H74" s="190"/>
      <c r="I74" s="190"/>
      <c r="J74" s="198">
        <v>5.6</v>
      </c>
      <c r="L74" s="2"/>
      <c r="M74" s="2"/>
      <c r="N74" s="2"/>
    </row>
    <row r="75" spans="1:14" s="4" customFormat="1" ht="30.6" customHeight="1">
      <c r="A75" s="162"/>
      <c r="B75" s="367" t="s">
        <v>181</v>
      </c>
      <c r="C75" s="368"/>
      <c r="D75" s="369"/>
      <c r="E75" s="190"/>
      <c r="F75" s="190"/>
      <c r="G75" s="190"/>
      <c r="H75" s="190"/>
      <c r="I75" s="190"/>
      <c r="J75" s="198">
        <v>6.4</v>
      </c>
      <c r="L75" s="2"/>
      <c r="M75" s="2"/>
      <c r="N75" s="2"/>
    </row>
    <row r="76" spans="1:14" s="4" customFormat="1" ht="30.6" customHeight="1">
      <c r="A76" s="162"/>
      <c r="B76" s="367" t="s">
        <v>152</v>
      </c>
      <c r="C76" s="368"/>
      <c r="D76" s="368"/>
      <c r="E76" s="369"/>
      <c r="F76" s="190"/>
      <c r="G76" s="190"/>
      <c r="H76" s="190"/>
      <c r="I76" s="190"/>
      <c r="J76" s="200">
        <v>24</v>
      </c>
      <c r="L76" s="2"/>
      <c r="M76" s="2"/>
      <c r="N76" s="2"/>
    </row>
    <row r="77" spans="1:14" s="4" customFormat="1" ht="30.6" customHeight="1">
      <c r="A77" s="162"/>
      <c r="B77" s="367" t="s">
        <v>97</v>
      </c>
      <c r="C77" s="368"/>
      <c r="D77" s="368"/>
      <c r="E77" s="369"/>
      <c r="F77" s="190"/>
      <c r="G77" s="190"/>
      <c r="H77" s="190"/>
      <c r="I77" s="190"/>
      <c r="J77" s="200">
        <v>60</v>
      </c>
      <c r="L77" s="2"/>
      <c r="M77" s="2"/>
      <c r="N77" s="2"/>
    </row>
    <row r="78" spans="1:14" s="4" customFormat="1" ht="30.6" customHeight="1">
      <c r="A78" s="162"/>
      <c r="B78" s="367" t="s">
        <v>114</v>
      </c>
      <c r="C78" s="368"/>
      <c r="D78" s="368"/>
      <c r="E78" s="369"/>
      <c r="F78" s="190"/>
      <c r="G78" s="190"/>
      <c r="H78" s="190"/>
      <c r="I78" s="190"/>
      <c r="J78" s="198">
        <v>9.6</v>
      </c>
      <c r="L78" s="2"/>
      <c r="M78" s="2"/>
      <c r="N78" s="2"/>
    </row>
    <row r="79" spans="1:14" s="4" customFormat="1" ht="30.6" customHeight="1">
      <c r="A79" s="162"/>
      <c r="B79" s="367" t="s">
        <v>182</v>
      </c>
      <c r="C79" s="368"/>
      <c r="D79" s="368"/>
      <c r="E79" s="369"/>
      <c r="F79" s="190"/>
      <c r="G79" s="190"/>
      <c r="H79" s="190"/>
      <c r="I79" s="190"/>
      <c r="J79" s="198">
        <v>10.4</v>
      </c>
      <c r="L79" s="2"/>
      <c r="M79" s="2"/>
      <c r="N79" s="2"/>
    </row>
    <row r="80" spans="1:14" s="4" customFormat="1" ht="30.6" customHeight="1">
      <c r="A80" s="162"/>
      <c r="B80" s="367" t="s">
        <v>183</v>
      </c>
      <c r="C80" s="368"/>
      <c r="D80" s="368"/>
      <c r="E80" s="369"/>
      <c r="F80" s="190"/>
      <c r="G80" s="190"/>
      <c r="H80" s="190"/>
      <c r="I80" s="190"/>
      <c r="J80" s="199">
        <v>5.14</v>
      </c>
      <c r="L80" s="2"/>
      <c r="M80" s="2"/>
      <c r="N80" s="2"/>
    </row>
    <row r="81" spans="1:14" s="4" customFormat="1" ht="30.6" customHeight="1">
      <c r="A81" s="162"/>
      <c r="B81" s="367" t="s">
        <v>184</v>
      </c>
      <c r="C81" s="368"/>
      <c r="D81" s="368"/>
      <c r="E81" s="369"/>
      <c r="F81" s="190"/>
      <c r="G81" s="190"/>
      <c r="H81" s="190"/>
      <c r="I81" s="190"/>
      <c r="J81" s="198">
        <v>6.6</v>
      </c>
      <c r="L81" s="2"/>
      <c r="M81" s="2"/>
      <c r="N81" s="2"/>
    </row>
    <row r="82" spans="1:14" s="4" customFormat="1" ht="30.6" customHeight="1">
      <c r="A82" s="162"/>
      <c r="B82" s="367" t="s">
        <v>127</v>
      </c>
      <c r="C82" s="368"/>
      <c r="D82" s="368"/>
      <c r="E82" s="369"/>
      <c r="F82" s="190"/>
      <c r="G82" s="190"/>
      <c r="H82" s="190"/>
      <c r="I82" s="190"/>
      <c r="J82" s="198">
        <v>17.3</v>
      </c>
      <c r="L82" s="2"/>
      <c r="M82" s="2"/>
      <c r="N82" s="2"/>
    </row>
    <row r="83" spans="1:14" s="4" customFormat="1" ht="30.6" customHeight="1">
      <c r="A83" s="162"/>
      <c r="B83" s="367" t="s">
        <v>157</v>
      </c>
      <c r="C83" s="368"/>
      <c r="D83" s="368"/>
      <c r="E83" s="369"/>
      <c r="F83" s="190"/>
      <c r="G83" s="190"/>
      <c r="H83" s="190"/>
      <c r="I83" s="190"/>
      <c r="J83" s="199">
        <v>18.71</v>
      </c>
      <c r="L83" s="2"/>
      <c r="M83" s="2"/>
      <c r="N83" s="2"/>
    </row>
    <row r="84" spans="1:14" s="4" customFormat="1" ht="30.6" customHeight="1">
      <c r="A84" s="162"/>
      <c r="B84" s="367" t="s">
        <v>162</v>
      </c>
      <c r="C84" s="368"/>
      <c r="D84" s="368"/>
      <c r="E84" s="369"/>
      <c r="F84" s="190"/>
      <c r="G84" s="190"/>
      <c r="H84" s="190"/>
      <c r="I84" s="190"/>
      <c r="J84" s="198">
        <v>5.7</v>
      </c>
      <c r="L84" s="2"/>
      <c r="M84" s="2"/>
      <c r="N84" s="2"/>
    </row>
    <row r="85" spans="1:14" s="4" customFormat="1" ht="30.6" customHeight="1">
      <c r="A85" s="162"/>
      <c r="B85" s="367" t="s">
        <v>104</v>
      </c>
      <c r="C85" s="368"/>
      <c r="D85" s="368"/>
      <c r="E85" s="369"/>
      <c r="F85" s="190"/>
      <c r="G85" s="190"/>
      <c r="H85" s="190"/>
      <c r="I85" s="190"/>
      <c r="J85" s="201">
        <v>23.809000000000001</v>
      </c>
      <c r="L85" s="2"/>
      <c r="M85" s="2"/>
      <c r="N85" s="2"/>
    </row>
    <row r="86" spans="1:14" s="4" customFormat="1" ht="30.6" customHeight="1">
      <c r="A86" s="162"/>
      <c r="B86" s="367" t="s">
        <v>105</v>
      </c>
      <c r="C86" s="368"/>
      <c r="D86" s="368"/>
      <c r="E86" s="369"/>
      <c r="F86" s="190"/>
      <c r="G86" s="190"/>
      <c r="H86" s="190"/>
      <c r="I86" s="190"/>
      <c r="J86" s="201">
        <v>63.265999999999998</v>
      </c>
      <c r="L86" s="2"/>
      <c r="M86" s="2"/>
      <c r="N86" s="2"/>
    </row>
    <row r="87" spans="1:14" s="4" customFormat="1" ht="30.6" customHeight="1">
      <c r="A87" s="162"/>
      <c r="B87" s="367" t="s">
        <v>106</v>
      </c>
      <c r="C87" s="368"/>
      <c r="D87" s="368"/>
      <c r="E87" s="369"/>
      <c r="F87" s="190"/>
      <c r="G87" s="190"/>
      <c r="H87" s="190"/>
      <c r="I87" s="190"/>
      <c r="J87" s="201">
        <v>7.2309999999999999</v>
      </c>
      <c r="L87" s="2"/>
      <c r="M87" s="2"/>
      <c r="N87" s="2"/>
    </row>
    <row r="88" spans="1:14" s="4" customFormat="1" ht="30.6" customHeight="1">
      <c r="A88" s="162"/>
      <c r="B88" s="367" t="s">
        <v>61</v>
      </c>
      <c r="C88" s="368"/>
      <c r="D88" s="368"/>
      <c r="E88" s="369"/>
      <c r="F88" s="190"/>
      <c r="G88" s="190"/>
      <c r="H88" s="190"/>
      <c r="I88" s="190"/>
      <c r="J88" s="201">
        <v>13.989000000000001</v>
      </c>
      <c r="L88" s="2"/>
      <c r="M88" s="2"/>
      <c r="N88" s="2"/>
    </row>
    <row r="89" spans="1:14" s="4" customFormat="1" ht="30.6" customHeight="1">
      <c r="A89" s="162"/>
      <c r="B89" s="367" t="s">
        <v>163</v>
      </c>
      <c r="C89" s="368"/>
      <c r="D89" s="368"/>
      <c r="E89" s="369"/>
      <c r="F89" s="190"/>
      <c r="G89" s="190"/>
      <c r="H89" s="190"/>
      <c r="I89" s="190"/>
      <c r="J89" s="199">
        <v>5.75</v>
      </c>
      <c r="L89" s="2"/>
      <c r="M89" s="2"/>
      <c r="N89" s="2"/>
    </row>
    <row r="90" spans="1:14" s="4" customFormat="1" ht="30.6" customHeight="1">
      <c r="A90" s="162"/>
      <c r="B90" s="367" t="s">
        <v>85</v>
      </c>
      <c r="C90" s="368"/>
      <c r="D90" s="368"/>
      <c r="E90" s="369"/>
      <c r="F90" s="190"/>
      <c r="G90" s="190"/>
      <c r="H90" s="190"/>
      <c r="I90" s="190"/>
      <c r="J90" s="199">
        <v>11.75</v>
      </c>
      <c r="L90" s="2"/>
      <c r="M90" s="2"/>
      <c r="N90" s="2"/>
    </row>
    <row r="91" spans="1:14" s="4" customFormat="1" ht="30.6" customHeight="1">
      <c r="A91" s="162"/>
      <c r="B91" s="367" t="s">
        <v>45</v>
      </c>
      <c r="C91" s="368"/>
      <c r="D91" s="368"/>
      <c r="E91" s="369"/>
      <c r="F91" s="190"/>
      <c r="G91" s="190"/>
      <c r="H91" s="190"/>
      <c r="I91" s="190"/>
      <c r="J91" s="199">
        <v>6.16</v>
      </c>
      <c r="L91" s="2"/>
      <c r="M91" s="2"/>
      <c r="N91" s="2"/>
    </row>
    <row r="92" spans="1:14" s="4" customFormat="1" ht="30.6" customHeight="1">
      <c r="A92" s="162"/>
      <c r="B92" s="367" t="s">
        <v>68</v>
      </c>
      <c r="C92" s="368"/>
      <c r="D92" s="368"/>
      <c r="E92" s="369"/>
      <c r="F92" s="190"/>
      <c r="G92" s="190"/>
      <c r="H92" s="190"/>
      <c r="I92" s="190"/>
      <c r="J92" s="198">
        <v>23.2</v>
      </c>
      <c r="L92" s="2"/>
      <c r="M92" s="2"/>
      <c r="N92" s="2"/>
    </row>
    <row r="93" spans="1:14" s="4" customFormat="1" ht="30.6" customHeight="1">
      <c r="A93" s="162"/>
      <c r="B93" s="367" t="s">
        <v>87</v>
      </c>
      <c r="C93" s="368"/>
      <c r="D93" s="368"/>
      <c r="E93" s="369"/>
      <c r="F93" s="190"/>
      <c r="G93" s="190"/>
      <c r="H93" s="190"/>
      <c r="I93" s="190"/>
      <c r="J93" s="198">
        <v>14.4</v>
      </c>
      <c r="L93" s="2"/>
      <c r="M93" s="2"/>
      <c r="N93" s="2"/>
    </row>
    <row r="94" spans="1:14" s="4" customFormat="1" ht="30.6" customHeight="1">
      <c r="A94" s="162"/>
      <c r="B94" s="367" t="s">
        <v>50</v>
      </c>
      <c r="C94" s="368"/>
      <c r="D94" s="368"/>
      <c r="E94" s="369"/>
      <c r="F94" s="190"/>
      <c r="G94" s="190"/>
      <c r="H94" s="190"/>
      <c r="I94" s="190"/>
      <c r="J94" s="198">
        <v>16.2</v>
      </c>
      <c r="L94" s="2"/>
      <c r="M94" s="2"/>
      <c r="N94" s="2"/>
    </row>
    <row r="95" spans="1:14" s="4" customFormat="1" ht="30.6" customHeight="1">
      <c r="A95" s="162"/>
      <c r="B95" s="367" t="s">
        <v>46</v>
      </c>
      <c r="C95" s="368"/>
      <c r="D95" s="368"/>
      <c r="E95" s="369"/>
      <c r="F95" s="190"/>
      <c r="G95" s="190"/>
      <c r="H95" s="190"/>
      <c r="I95" s="190"/>
      <c r="J95" s="200">
        <v>22</v>
      </c>
      <c r="L95" s="2"/>
      <c r="M95" s="2"/>
      <c r="N95" s="2"/>
    </row>
    <row r="96" spans="1:14" s="4" customFormat="1" ht="30.6" customHeight="1">
      <c r="A96" s="162"/>
      <c r="B96" s="367" t="s">
        <v>69</v>
      </c>
      <c r="C96" s="368"/>
      <c r="D96" s="368"/>
      <c r="E96" s="369"/>
      <c r="F96" s="190"/>
      <c r="G96" s="190"/>
      <c r="H96" s="190"/>
      <c r="I96" s="190"/>
      <c r="J96" s="200">
        <v>25</v>
      </c>
      <c r="L96" s="2"/>
      <c r="M96" s="2"/>
      <c r="N96" s="2"/>
    </row>
    <row r="97" spans="1:14" s="4" customFormat="1" ht="30.6" customHeight="1">
      <c r="A97" s="162"/>
      <c r="B97" s="367" t="s">
        <v>70</v>
      </c>
      <c r="C97" s="368"/>
      <c r="D97" s="368"/>
      <c r="E97" s="369"/>
      <c r="F97" s="190"/>
      <c r="G97" s="190"/>
      <c r="H97" s="190"/>
      <c r="I97" s="190"/>
      <c r="J97" s="200">
        <v>35</v>
      </c>
      <c r="L97" s="2"/>
      <c r="M97" s="2"/>
      <c r="N97" s="2"/>
    </row>
    <row r="98" spans="1:14" s="204" customFormat="1" ht="30.6" customHeight="1">
      <c r="A98" s="203"/>
      <c r="B98" s="367" t="s">
        <v>145</v>
      </c>
      <c r="C98" s="368"/>
      <c r="D98" s="368"/>
      <c r="E98" s="369"/>
      <c r="F98" s="206"/>
      <c r="G98" s="206"/>
      <c r="H98" s="206"/>
      <c r="I98" s="206"/>
      <c r="J98" s="199">
        <v>12.71</v>
      </c>
      <c r="L98" s="205"/>
      <c r="M98" s="205"/>
      <c r="N98" s="205"/>
    </row>
    <row r="99" spans="1:14" s="204" customFormat="1" ht="30.6" customHeight="1">
      <c r="A99" s="203"/>
      <c r="B99" s="367" t="s">
        <v>179</v>
      </c>
      <c r="C99" s="368"/>
      <c r="D99" s="368"/>
      <c r="E99" s="369"/>
      <c r="F99" s="206"/>
      <c r="G99" s="206"/>
      <c r="H99" s="206"/>
      <c r="I99" s="206"/>
      <c r="J99" s="200">
        <v>4</v>
      </c>
      <c r="L99" s="205"/>
      <c r="M99" s="205"/>
      <c r="N99" s="205"/>
    </row>
    <row r="100" spans="1:14" s="204" customFormat="1" ht="30.6" customHeight="1">
      <c r="A100" s="203"/>
      <c r="B100" s="367" t="s">
        <v>73</v>
      </c>
      <c r="C100" s="368"/>
      <c r="D100" s="368"/>
      <c r="E100" s="369"/>
      <c r="F100" s="206"/>
      <c r="G100" s="206"/>
      <c r="H100" s="206"/>
      <c r="I100" s="206"/>
      <c r="J100" s="199">
        <v>8.61</v>
      </c>
      <c r="L100" s="205"/>
      <c r="M100" s="205"/>
      <c r="N100" s="205"/>
    </row>
    <row r="101" spans="1:14" s="204" customFormat="1" ht="30.6" customHeight="1">
      <c r="A101" s="203"/>
      <c r="B101" s="367" t="s">
        <v>75</v>
      </c>
      <c r="C101" s="368"/>
      <c r="D101" s="368"/>
      <c r="E101" s="369"/>
      <c r="F101" s="206"/>
      <c r="G101" s="206"/>
      <c r="H101" s="206"/>
      <c r="I101" s="206"/>
      <c r="J101" s="199">
        <v>5.33</v>
      </c>
      <c r="L101" s="205"/>
      <c r="M101" s="205"/>
      <c r="N101" s="205"/>
    </row>
    <row r="102" spans="1:14" s="204" customFormat="1" ht="30.6" customHeight="1">
      <c r="A102" s="203"/>
      <c r="B102" s="367" t="s">
        <v>47</v>
      </c>
      <c r="C102" s="368"/>
      <c r="D102" s="368"/>
      <c r="E102" s="369"/>
      <c r="F102" s="206"/>
      <c r="G102" s="206"/>
      <c r="H102" s="206"/>
      <c r="I102" s="206"/>
      <c r="J102" s="198">
        <v>8.6999999999999993</v>
      </c>
      <c r="L102" s="205"/>
      <c r="M102" s="205"/>
      <c r="N102" s="205"/>
    </row>
    <row r="103" spans="1:14" s="204" customFormat="1" ht="30.6" customHeight="1">
      <c r="A103" s="203"/>
      <c r="B103" s="367" t="s">
        <v>48</v>
      </c>
      <c r="C103" s="368"/>
      <c r="D103" s="368"/>
      <c r="E103" s="369"/>
      <c r="F103" s="206"/>
      <c r="G103" s="206"/>
      <c r="H103" s="206"/>
      <c r="I103" s="206"/>
      <c r="J103" s="198">
        <v>20.399999999999999</v>
      </c>
      <c r="L103" s="205"/>
      <c r="M103" s="205"/>
      <c r="N103" s="205"/>
    </row>
    <row r="104" spans="1:14" s="204" customFormat="1" ht="30.6" customHeight="1">
      <c r="A104" s="203"/>
      <c r="B104" s="367" t="s">
        <v>77</v>
      </c>
      <c r="C104" s="368"/>
      <c r="D104" s="368"/>
      <c r="E104" s="369"/>
      <c r="F104" s="206"/>
      <c r="G104" s="206"/>
      <c r="H104" s="206"/>
      <c r="I104" s="206"/>
      <c r="J104" s="198">
        <v>26.6</v>
      </c>
      <c r="L104" s="205"/>
      <c r="M104" s="205"/>
      <c r="N104" s="205"/>
    </row>
    <row r="105" spans="1:14" s="204" customFormat="1" ht="30.6" customHeight="1">
      <c r="A105" s="203"/>
      <c r="B105" s="367" t="s">
        <v>172</v>
      </c>
      <c r="C105" s="368"/>
      <c r="D105" s="368"/>
      <c r="E105" s="369"/>
      <c r="F105" s="206"/>
      <c r="G105" s="206"/>
      <c r="H105" s="206"/>
      <c r="I105" s="206"/>
      <c r="J105" s="199">
        <v>5.04</v>
      </c>
      <c r="L105" s="205"/>
      <c r="M105" s="205"/>
      <c r="N105" s="205"/>
    </row>
    <row r="106" spans="1:14" s="204" customFormat="1" ht="30.6" customHeight="1">
      <c r="A106" s="203"/>
      <c r="B106" s="367" t="s">
        <v>167</v>
      </c>
      <c r="C106" s="368"/>
      <c r="D106" s="368"/>
      <c r="E106" s="369"/>
      <c r="F106" s="206"/>
      <c r="G106" s="206"/>
      <c r="H106" s="206"/>
      <c r="I106" s="206"/>
      <c r="J106" s="199">
        <v>18.760000000000002</v>
      </c>
      <c r="L106" s="205"/>
      <c r="M106" s="205"/>
      <c r="N106" s="205"/>
    </row>
    <row r="107" spans="1:14" s="204" customFormat="1" ht="30.6" customHeight="1">
      <c r="A107" s="203"/>
      <c r="B107" s="367" t="s">
        <v>80</v>
      </c>
      <c r="C107" s="368"/>
      <c r="D107" s="368"/>
      <c r="E107" s="369"/>
      <c r="F107" s="206"/>
      <c r="G107" s="206"/>
      <c r="H107" s="206"/>
      <c r="I107" s="206"/>
      <c r="J107" s="198">
        <v>4.8</v>
      </c>
      <c r="L107" s="205"/>
      <c r="M107" s="205"/>
      <c r="N107" s="205"/>
    </row>
    <row r="108" spans="1:14" s="204" customFormat="1" ht="30.6" customHeight="1">
      <c r="A108" s="203"/>
      <c r="B108" s="367" t="s">
        <v>180</v>
      </c>
      <c r="C108" s="368"/>
      <c r="D108" s="368"/>
      <c r="E108" s="369"/>
      <c r="F108" s="206"/>
      <c r="G108" s="206"/>
      <c r="H108" s="206"/>
      <c r="I108" s="206"/>
      <c r="J108" s="198">
        <v>5.6</v>
      </c>
      <c r="L108" s="205"/>
      <c r="M108" s="205"/>
      <c r="N108" s="205"/>
    </row>
    <row r="109" spans="1:14" s="204" customFormat="1" ht="30.6" customHeight="1">
      <c r="A109" s="203"/>
      <c r="B109" s="367" t="s">
        <v>181</v>
      </c>
      <c r="C109" s="368"/>
      <c r="D109" s="368"/>
      <c r="E109" s="369"/>
      <c r="F109" s="206"/>
      <c r="G109" s="206"/>
      <c r="H109" s="206"/>
      <c r="I109" s="206"/>
      <c r="J109" s="198">
        <v>6.4</v>
      </c>
      <c r="L109" s="205"/>
      <c r="M109" s="205"/>
      <c r="N109" s="205"/>
    </row>
    <row r="110" spans="1:14" s="204" customFormat="1" ht="30.6" customHeight="1">
      <c r="A110" s="203"/>
      <c r="B110" s="367" t="s">
        <v>185</v>
      </c>
      <c r="C110" s="368"/>
      <c r="D110" s="368"/>
      <c r="E110" s="369"/>
      <c r="F110" s="206"/>
      <c r="G110" s="206"/>
      <c r="H110" s="206"/>
      <c r="I110" s="206"/>
      <c r="J110" s="199">
        <v>20.88</v>
      </c>
      <c r="L110" s="205"/>
      <c r="M110" s="205"/>
      <c r="N110" s="205"/>
    </row>
    <row r="111" spans="1:14" ht="15" customHeight="1">
      <c r="A111" s="191"/>
      <c r="B111" s="359"/>
      <c r="C111" s="360"/>
      <c r="D111" s="360"/>
      <c r="E111" s="360"/>
      <c r="F111" s="360"/>
      <c r="G111" s="360"/>
      <c r="H111" s="360"/>
      <c r="I111" s="361"/>
      <c r="J111" s="182">
        <f>SUM(J55:J97)</f>
        <v>721.60400000000004</v>
      </c>
    </row>
  </sheetData>
  <mergeCells count="122">
    <mergeCell ref="A1:C1"/>
    <mergeCell ref="E1:H1"/>
    <mergeCell ref="J1:K1"/>
    <mergeCell ref="A2:C2"/>
    <mergeCell ref="F2:H2"/>
    <mergeCell ref="J2:K2"/>
    <mergeCell ref="J6:J7"/>
    <mergeCell ref="K6:L6"/>
    <mergeCell ref="A21:F21"/>
    <mergeCell ref="A24:I24"/>
    <mergeCell ref="A31:C31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K35:K36"/>
    <mergeCell ref="L35:M36"/>
    <mergeCell ref="L37:M37"/>
    <mergeCell ref="L38:M38"/>
    <mergeCell ref="L39:M39"/>
    <mergeCell ref="L40:M40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I47:J47"/>
    <mergeCell ref="C48:D48"/>
    <mergeCell ref="E48:F48"/>
    <mergeCell ref="G48:H48"/>
    <mergeCell ref="I48:J48"/>
    <mergeCell ref="L41:M41"/>
    <mergeCell ref="L42:M42"/>
    <mergeCell ref="L43:M43"/>
    <mergeCell ref="A44:E44"/>
    <mergeCell ref="G44:L44"/>
    <mergeCell ref="A46:J46"/>
    <mergeCell ref="B84:E84"/>
    <mergeCell ref="B85:E85"/>
    <mergeCell ref="B86:E86"/>
    <mergeCell ref="B87:E87"/>
    <mergeCell ref="B78:E78"/>
    <mergeCell ref="B79:E79"/>
    <mergeCell ref="B80:E80"/>
    <mergeCell ref="E47:F47"/>
    <mergeCell ref="G47:H47"/>
    <mergeCell ref="B76:E76"/>
    <mergeCell ref="B77:E77"/>
    <mergeCell ref="C51:D51"/>
    <mergeCell ref="E51:F51"/>
    <mergeCell ref="G51:H51"/>
    <mergeCell ref="I51:J51"/>
    <mergeCell ref="C49:D49"/>
    <mergeCell ref="E49:F49"/>
    <mergeCell ref="G49:H49"/>
    <mergeCell ref="I49:J49"/>
    <mergeCell ref="C50:D50"/>
    <mergeCell ref="E50:F50"/>
    <mergeCell ref="G50:H50"/>
    <mergeCell ref="I50:J50"/>
    <mergeCell ref="A53:J53"/>
    <mergeCell ref="B54:I54"/>
    <mergeCell ref="B81:E81"/>
    <mergeCell ref="B82:E82"/>
    <mergeCell ref="B83:E83"/>
    <mergeCell ref="B109:E109"/>
    <mergeCell ref="B110:E110"/>
    <mergeCell ref="B90:E90"/>
    <mergeCell ref="B91:E91"/>
    <mergeCell ref="B92:E92"/>
    <mergeCell ref="B93:E93"/>
    <mergeCell ref="B94:E94"/>
    <mergeCell ref="B95:E95"/>
    <mergeCell ref="B96:E96"/>
    <mergeCell ref="B97:E97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88:E88"/>
    <mergeCell ref="B89:E89"/>
    <mergeCell ref="B111:I111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98:E98"/>
    <mergeCell ref="B99:E99"/>
  </mergeCells>
  <pageMargins left="0" right="0" top="0.59055118110236204" bottom="0" header="0" footer="0"/>
  <pageSetup paperSize="9" scale="5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4B48-D624-4CCB-9C44-2E601057D613}">
  <sheetPr>
    <tabColor rgb="FFFFFF00"/>
    <pageSetUpPr fitToPage="1"/>
  </sheetPr>
  <dimension ref="A1:N124"/>
  <sheetViews>
    <sheetView topLeftCell="A109" zoomScale="85" zoomScaleNormal="85" workbookViewId="0">
      <pane xSplit="3" topLeftCell="D1" activePane="topRight" state="frozen"/>
      <selection pane="topRight" activeCell="B37" sqref="B37:I37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8" width="10.7109375" style="5" customWidth="1"/>
    <col min="9" max="9" width="23.855468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42" t="s">
        <v>51</v>
      </c>
      <c r="B1" s="242"/>
      <c r="C1" s="242"/>
      <c r="D1" s="1"/>
      <c r="E1" s="242" t="s">
        <v>24</v>
      </c>
      <c r="F1" s="242"/>
      <c r="G1" s="242"/>
      <c r="H1" s="242"/>
      <c r="I1" s="194"/>
      <c r="J1" s="243">
        <v>3</v>
      </c>
      <c r="K1" s="243"/>
    </row>
    <row r="2" spans="1:12" ht="28.5">
      <c r="A2" s="244">
        <v>46324</v>
      </c>
      <c r="B2" s="245"/>
      <c r="C2" s="245"/>
      <c r="D2" s="3"/>
      <c r="E2" s="3"/>
      <c r="F2" s="246"/>
      <c r="G2" s="246"/>
      <c r="H2" s="246"/>
      <c r="I2" s="195"/>
      <c r="J2" s="246"/>
      <c r="K2" s="246"/>
    </row>
    <row r="3" spans="1:12" ht="27" thickBot="1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12" ht="18" customHeight="1">
      <c r="A4" s="258" t="s">
        <v>25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60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1" t="s">
        <v>1</v>
      </c>
      <c r="B6" s="262" t="s">
        <v>2</v>
      </c>
      <c r="C6" s="262" t="s">
        <v>3</v>
      </c>
      <c r="D6" s="262" t="s">
        <v>4</v>
      </c>
      <c r="E6" s="193" t="s">
        <v>5</v>
      </c>
      <c r="F6" s="262" t="s">
        <v>6</v>
      </c>
      <c r="G6" s="263" t="s">
        <v>7</v>
      </c>
      <c r="H6" s="264" t="s">
        <v>8</v>
      </c>
      <c r="I6" s="262" t="s">
        <v>9</v>
      </c>
      <c r="J6" s="247" t="s">
        <v>30</v>
      </c>
      <c r="K6" s="249" t="s">
        <v>10</v>
      </c>
      <c r="L6" s="250"/>
    </row>
    <row r="7" spans="1:12" s="8" customFormat="1" ht="63.6" customHeight="1">
      <c r="A7" s="261"/>
      <c r="B7" s="262"/>
      <c r="C7" s="262"/>
      <c r="D7" s="262"/>
      <c r="E7" s="193" t="s">
        <v>11</v>
      </c>
      <c r="F7" s="262"/>
      <c r="G7" s="263"/>
      <c r="H7" s="264"/>
      <c r="I7" s="262"/>
      <c r="J7" s="248"/>
      <c r="K7" s="193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192</v>
      </c>
      <c r="E8" s="56" t="s">
        <v>41</v>
      </c>
      <c r="F8" s="38">
        <v>0.3125</v>
      </c>
      <c r="G8" s="22">
        <v>21</v>
      </c>
      <c r="H8" s="220">
        <v>1072.8589999999999</v>
      </c>
      <c r="I8" s="23">
        <v>0.6875</v>
      </c>
      <c r="J8" s="21">
        <f>I8-F8</f>
        <v>0.375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0.31944444444444442</v>
      </c>
      <c r="G9" s="22">
        <v>27</v>
      </c>
      <c r="H9" s="220">
        <v>569.67999999999995</v>
      </c>
      <c r="I9" s="23">
        <v>0.67361111111111116</v>
      </c>
      <c r="J9" s="21">
        <f t="shared" ref="J9:J10" si="0">I9-F9</f>
        <v>0.35416666666666674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0.30902777777777779</v>
      </c>
      <c r="G10" s="22">
        <v>34</v>
      </c>
      <c r="H10" s="220">
        <v>892.37699999999995</v>
      </c>
      <c r="I10" s="23">
        <v>0.65625</v>
      </c>
      <c r="J10" s="21">
        <f t="shared" si="0"/>
        <v>0.34722222222222221</v>
      </c>
      <c r="K10" s="26"/>
      <c r="L10" s="67"/>
    </row>
    <row r="11" spans="1:12">
      <c r="A11" s="75">
        <v>4</v>
      </c>
      <c r="B11" s="56"/>
      <c r="C11" s="55"/>
      <c r="D11" s="104"/>
      <c r="E11" s="56"/>
      <c r="F11" s="38"/>
      <c r="G11" s="22"/>
      <c r="H11" s="220"/>
      <c r="I11" s="23"/>
      <c r="J11" s="21"/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1" t="s">
        <v>15</v>
      </c>
      <c r="B21" s="252"/>
      <c r="C21" s="252"/>
      <c r="D21" s="252"/>
      <c r="E21" s="252"/>
      <c r="F21" s="253"/>
      <c r="G21" s="70">
        <f>SUM(G8:G20)</f>
        <v>82</v>
      </c>
      <c r="H21" s="70">
        <f>SUM(H8:H20)</f>
        <v>2534.9159999999997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/>
    </row>
    <row r="24" spans="1:14" ht="18.75">
      <c r="A24" s="254" t="s">
        <v>26</v>
      </c>
      <c r="B24" s="255"/>
      <c r="C24" s="255"/>
      <c r="D24" s="255"/>
      <c r="E24" s="255"/>
      <c r="F24" s="255"/>
      <c r="G24" s="255"/>
      <c r="H24" s="255"/>
      <c r="I24" s="256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93" t="s">
        <v>2</v>
      </c>
      <c r="C26" s="193" t="s">
        <v>3</v>
      </c>
      <c r="D26" s="193" t="s">
        <v>27</v>
      </c>
      <c r="E26" s="193" t="s">
        <v>6</v>
      </c>
      <c r="F26" s="193" t="s">
        <v>28</v>
      </c>
      <c r="G26" s="193" t="s">
        <v>8</v>
      </c>
      <c r="H26" s="193" t="s">
        <v>31</v>
      </c>
      <c r="I26" s="31" t="s">
        <v>30</v>
      </c>
      <c r="J26" s="8"/>
      <c r="K26" s="8"/>
      <c r="L26" s="8"/>
      <c r="N26" s="43"/>
    </row>
    <row r="27" spans="1:14">
      <c r="A27" s="57"/>
      <c r="B27" s="56"/>
      <c r="C27" s="55"/>
      <c r="D27" s="39"/>
      <c r="E27" s="38"/>
      <c r="F27" s="22"/>
      <c r="G27" s="26"/>
      <c r="H27" s="35"/>
      <c r="I27" s="36"/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1" t="s">
        <v>15</v>
      </c>
      <c r="B31" s="252"/>
      <c r="C31" s="253"/>
      <c r="D31" s="10"/>
      <c r="E31" s="32"/>
      <c r="F31" s="32">
        <f>SUM(F30:F30)</f>
        <v>0</v>
      </c>
      <c r="G31" s="32">
        <f>SUM(G27:G30)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4" t="s">
        <v>12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6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78">
        <v>12</v>
      </c>
      <c r="M34" s="279"/>
    </row>
    <row r="35" spans="1:13" ht="75">
      <c r="A35" s="280" t="s">
        <v>1</v>
      </c>
      <c r="B35" s="265" t="s">
        <v>2</v>
      </c>
      <c r="C35" s="265" t="s">
        <v>3</v>
      </c>
      <c r="D35" s="265" t="s">
        <v>4</v>
      </c>
      <c r="E35" s="97" t="s">
        <v>5</v>
      </c>
      <c r="F35" s="265" t="s">
        <v>14</v>
      </c>
      <c r="G35" s="265" t="s">
        <v>13</v>
      </c>
      <c r="H35" s="265" t="s">
        <v>37</v>
      </c>
      <c r="I35" s="265" t="s">
        <v>39</v>
      </c>
      <c r="J35" s="265" t="s">
        <v>38</v>
      </c>
      <c r="K35" s="265" t="s">
        <v>40</v>
      </c>
      <c r="L35" s="266" t="s">
        <v>36</v>
      </c>
      <c r="M35" s="267"/>
    </row>
    <row r="36" spans="1:13" ht="75">
      <c r="A36" s="281"/>
      <c r="B36" s="248"/>
      <c r="C36" s="248"/>
      <c r="D36" s="248"/>
      <c r="E36" s="196" t="s">
        <v>11</v>
      </c>
      <c r="F36" s="248"/>
      <c r="G36" s="248"/>
      <c r="H36" s="248"/>
      <c r="I36" s="248"/>
      <c r="J36" s="248"/>
      <c r="K36" s="248"/>
      <c r="L36" s="268"/>
      <c r="M36" s="269"/>
    </row>
    <row r="37" spans="1:13" s="27" customFormat="1" ht="46.5" customHeight="1">
      <c r="A37" s="40"/>
      <c r="B37" s="221" t="s">
        <v>43</v>
      </c>
      <c r="C37" s="221" t="s">
        <v>60</v>
      </c>
      <c r="D37" s="222" t="s">
        <v>59</v>
      </c>
      <c r="E37" s="221"/>
      <c r="F37" s="223">
        <v>46323</v>
      </c>
      <c r="G37" s="85"/>
      <c r="H37" s="79"/>
      <c r="I37" s="223">
        <v>46323</v>
      </c>
      <c r="J37" s="112"/>
      <c r="K37" s="81"/>
      <c r="L37" s="270"/>
      <c r="M37" s="271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72"/>
      <c r="M38" s="273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74"/>
      <c r="M39" s="275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76"/>
      <c r="M40" s="277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90"/>
      <c r="M41" s="291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92"/>
      <c r="M42" s="293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94"/>
      <c r="M43" s="295"/>
    </row>
    <row r="44" spans="1:13" ht="15.75" thickBot="1">
      <c r="A44" s="296" t="s">
        <v>15</v>
      </c>
      <c r="B44" s="297"/>
      <c r="C44" s="297"/>
      <c r="D44" s="297"/>
      <c r="E44" s="298"/>
      <c r="F44" s="96"/>
      <c r="G44" s="299">
        <f>SUM(G37:G43)</f>
        <v>0</v>
      </c>
      <c r="H44" s="300"/>
      <c r="I44" s="300"/>
      <c r="J44" s="300"/>
      <c r="K44" s="300"/>
      <c r="L44" s="301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302" t="s">
        <v>16</v>
      </c>
      <c r="B46" s="303"/>
      <c r="C46" s="303"/>
      <c r="D46" s="303"/>
      <c r="E46" s="303"/>
      <c r="F46" s="303"/>
      <c r="G46" s="303"/>
      <c r="H46" s="303"/>
      <c r="I46" s="303"/>
      <c r="J46" s="304"/>
      <c r="K46" s="2"/>
    </row>
    <row r="47" spans="1:13" ht="30">
      <c r="A47" s="50"/>
      <c r="B47" s="18"/>
      <c r="C47" s="192"/>
      <c r="D47" s="192" t="s">
        <v>17</v>
      </c>
      <c r="E47" s="282" t="s">
        <v>18</v>
      </c>
      <c r="F47" s="282"/>
      <c r="G47" s="282" t="s">
        <v>19</v>
      </c>
      <c r="H47" s="282"/>
      <c r="I47" s="282" t="s">
        <v>29</v>
      </c>
      <c r="J47" s="283"/>
      <c r="K47" s="2"/>
    </row>
    <row r="48" spans="1:13" ht="15.75" thickBot="1">
      <c r="A48" s="50"/>
      <c r="B48" s="24" t="s">
        <v>20</v>
      </c>
      <c r="C48" s="284">
        <v>1781.16</v>
      </c>
      <c r="D48" s="285"/>
      <c r="E48" s="350">
        <v>1684.0719999999999</v>
      </c>
      <c r="F48" s="351"/>
      <c r="G48" s="350">
        <v>1684.0719999999999</v>
      </c>
      <c r="H48" s="351"/>
      <c r="I48" s="286">
        <v>20.555</v>
      </c>
      <c r="J48" s="358"/>
      <c r="K48" s="2"/>
    </row>
    <row r="49" spans="1:14">
      <c r="A49" s="51"/>
      <c r="B49" s="24" t="s">
        <v>21</v>
      </c>
      <c r="C49" s="284">
        <v>568.01</v>
      </c>
      <c r="D49" s="285"/>
      <c r="E49" s="316">
        <v>531.43600000000004</v>
      </c>
      <c r="F49" s="317"/>
      <c r="G49" s="316">
        <v>531.43600000000004</v>
      </c>
      <c r="H49" s="317"/>
      <c r="I49" s="316">
        <v>6.6</v>
      </c>
      <c r="J49" s="362"/>
      <c r="K49" s="2"/>
    </row>
    <row r="50" spans="1:14" ht="15.75" thickBot="1">
      <c r="A50" s="51"/>
      <c r="B50" s="24" t="s">
        <v>22</v>
      </c>
      <c r="C50" s="363">
        <v>704.04</v>
      </c>
      <c r="D50" s="364"/>
      <c r="E50" s="286">
        <v>310.87</v>
      </c>
      <c r="F50" s="287"/>
      <c r="G50" s="286">
        <v>310.87</v>
      </c>
      <c r="H50" s="287"/>
      <c r="I50" s="316">
        <v>8.0239999999999991</v>
      </c>
      <c r="J50" s="362"/>
      <c r="K50" s="2"/>
    </row>
    <row r="51" spans="1:14" ht="15.75" thickBot="1">
      <c r="A51" s="11"/>
      <c r="B51" s="12" t="s">
        <v>23</v>
      </c>
      <c r="C51" s="305">
        <f>SUM(C48:D50)</f>
        <v>3053.21</v>
      </c>
      <c r="D51" s="306"/>
      <c r="E51" s="307">
        <f>SUM(E48:F50)</f>
        <v>2526.3779999999997</v>
      </c>
      <c r="F51" s="308"/>
      <c r="G51" s="307">
        <f>SUM(G48:H50)</f>
        <v>2526.3779999999997</v>
      </c>
      <c r="H51" s="308"/>
      <c r="I51" s="307">
        <f>SUM(I48:J50)</f>
        <v>35.179000000000002</v>
      </c>
      <c r="J51" s="308"/>
      <c r="K51" s="2"/>
    </row>
    <row r="53" spans="1:14" ht="15.75" thickBot="1">
      <c r="E53" s="25"/>
      <c r="M53" s="2" t="s">
        <v>170</v>
      </c>
    </row>
    <row r="54" spans="1:14" s="130" customFormat="1" ht="19.5" thickBot="1">
      <c r="A54" s="365" t="s">
        <v>32</v>
      </c>
      <c r="B54" s="366"/>
      <c r="C54" s="366"/>
      <c r="D54" s="366"/>
      <c r="E54" s="366"/>
      <c r="F54" s="366"/>
      <c r="G54" s="366"/>
      <c r="H54" s="366"/>
      <c r="I54" s="366"/>
      <c r="J54" s="312"/>
      <c r="L54" s="131"/>
      <c r="M54" s="131"/>
      <c r="N54" s="131"/>
    </row>
    <row r="55" spans="1:14" s="130" customFormat="1">
      <c r="A55" s="197" t="s">
        <v>33</v>
      </c>
      <c r="B55" s="208" t="s">
        <v>34</v>
      </c>
      <c r="C55" s="208"/>
      <c r="D55" s="208"/>
      <c r="E55" s="208"/>
      <c r="F55" s="208"/>
      <c r="G55" s="208"/>
      <c r="H55" s="208"/>
      <c r="I55" s="208"/>
      <c r="J55" s="161" t="s">
        <v>35</v>
      </c>
      <c r="L55" s="131"/>
      <c r="M55" s="131"/>
      <c r="N55" s="131"/>
    </row>
    <row r="56" spans="1:14" s="130" customFormat="1" ht="30.6" customHeight="1">
      <c r="A56" s="216"/>
      <c r="B56" s="372" t="s">
        <v>163</v>
      </c>
      <c r="C56" s="372"/>
      <c r="D56" s="372"/>
      <c r="E56" s="209"/>
      <c r="F56" s="209"/>
      <c r="G56" s="209"/>
      <c r="H56" s="209"/>
      <c r="I56" s="209"/>
      <c r="J56" s="211">
        <v>5</v>
      </c>
      <c r="L56" s="131"/>
      <c r="M56" s="131"/>
      <c r="N56" s="131"/>
    </row>
    <row r="57" spans="1:14" s="130" customFormat="1" ht="20.45" customHeight="1">
      <c r="A57" s="216"/>
      <c r="B57" s="372" t="s">
        <v>85</v>
      </c>
      <c r="C57" s="372"/>
      <c r="D57" s="372"/>
      <c r="E57" s="209"/>
      <c r="F57" s="209"/>
      <c r="G57" s="209"/>
      <c r="H57" s="209"/>
      <c r="I57" s="209"/>
      <c r="J57" s="212" t="s">
        <v>191</v>
      </c>
      <c r="L57" s="131"/>
      <c r="M57" s="131"/>
      <c r="N57" s="131"/>
    </row>
    <row r="58" spans="1:14" s="4" customFormat="1" ht="15" customHeight="1">
      <c r="A58" s="216"/>
      <c r="B58" s="372" t="s">
        <v>63</v>
      </c>
      <c r="C58" s="372"/>
      <c r="D58" s="372"/>
      <c r="E58" s="209"/>
      <c r="F58" s="209"/>
      <c r="G58" s="209"/>
      <c r="H58" s="209"/>
      <c r="I58" s="209"/>
      <c r="J58" s="213">
        <v>4.8</v>
      </c>
      <c r="L58" s="2"/>
      <c r="M58" s="2"/>
      <c r="N58" s="2"/>
    </row>
    <row r="59" spans="1:14" s="4" customFormat="1" ht="15" customHeight="1">
      <c r="A59" s="216"/>
      <c r="B59" s="372" t="s">
        <v>67</v>
      </c>
      <c r="C59" s="372"/>
      <c r="D59" s="372"/>
      <c r="E59" s="209"/>
      <c r="F59" s="209"/>
      <c r="G59" s="209"/>
      <c r="H59" s="209"/>
      <c r="I59" s="209"/>
      <c r="J59" s="211">
        <v>32</v>
      </c>
      <c r="L59" s="2"/>
      <c r="M59" s="2"/>
      <c r="N59" s="2"/>
    </row>
    <row r="60" spans="1:14" s="4" customFormat="1" ht="15" customHeight="1">
      <c r="A60" s="216"/>
      <c r="B60" s="372" t="s">
        <v>68</v>
      </c>
      <c r="C60" s="372"/>
      <c r="D60" s="372"/>
      <c r="E60" s="209"/>
      <c r="F60" s="209"/>
      <c r="G60" s="209"/>
      <c r="H60" s="209"/>
      <c r="I60" s="209"/>
      <c r="J60" s="213">
        <v>25.6</v>
      </c>
      <c r="L60" s="2"/>
      <c r="M60" s="2"/>
      <c r="N60" s="2"/>
    </row>
    <row r="61" spans="1:14" s="4" customFormat="1" ht="15" customHeight="1">
      <c r="A61" s="216"/>
      <c r="B61" s="372" t="s">
        <v>87</v>
      </c>
      <c r="C61" s="372"/>
      <c r="D61" s="372"/>
      <c r="E61" s="209"/>
      <c r="F61" s="209"/>
      <c r="G61" s="209"/>
      <c r="H61" s="209"/>
      <c r="I61" s="209"/>
      <c r="J61" s="211">
        <v>4</v>
      </c>
      <c r="L61" s="2"/>
      <c r="M61" s="2"/>
      <c r="N61" s="2"/>
    </row>
    <row r="62" spans="1:14" s="4" customFormat="1" ht="15" customHeight="1">
      <c r="A62" s="216"/>
      <c r="B62" s="372" t="s">
        <v>88</v>
      </c>
      <c r="C62" s="372"/>
      <c r="D62" s="372"/>
      <c r="E62" s="209"/>
      <c r="F62" s="209"/>
      <c r="G62" s="209"/>
      <c r="H62" s="209"/>
      <c r="I62" s="209"/>
      <c r="J62" s="211">
        <v>31</v>
      </c>
      <c r="L62" s="2"/>
      <c r="M62" s="2"/>
      <c r="N62" s="2"/>
    </row>
    <row r="63" spans="1:14" s="4" customFormat="1" ht="15" customHeight="1">
      <c r="A63" s="216"/>
      <c r="B63" s="372" t="s">
        <v>46</v>
      </c>
      <c r="C63" s="372"/>
      <c r="D63" s="372"/>
      <c r="E63" s="209"/>
      <c r="F63" s="209"/>
      <c r="G63" s="209"/>
      <c r="H63" s="209"/>
      <c r="I63" s="209"/>
      <c r="J63" s="211">
        <v>4</v>
      </c>
      <c r="L63" s="2"/>
      <c r="M63" s="2"/>
      <c r="N63" s="2"/>
    </row>
    <row r="64" spans="1:14" s="4" customFormat="1" ht="15" customHeight="1">
      <c r="A64" s="216"/>
      <c r="B64" s="372" t="s">
        <v>69</v>
      </c>
      <c r="C64" s="372"/>
      <c r="D64" s="372"/>
      <c r="E64" s="209"/>
      <c r="F64" s="209"/>
      <c r="G64" s="209"/>
      <c r="H64" s="209"/>
      <c r="I64" s="209"/>
      <c r="J64" s="211">
        <v>42</v>
      </c>
      <c r="L64" s="2"/>
      <c r="M64" s="2"/>
      <c r="N64" s="2"/>
    </row>
    <row r="65" spans="1:14" s="4" customFormat="1" ht="15" customHeight="1">
      <c r="A65" s="216"/>
      <c r="B65" s="372" t="s">
        <v>70</v>
      </c>
      <c r="C65" s="372"/>
      <c r="D65" s="372"/>
      <c r="E65" s="209"/>
      <c r="F65" s="209"/>
      <c r="G65" s="209"/>
      <c r="H65" s="209"/>
      <c r="I65" s="209"/>
      <c r="J65" s="214">
        <v>4.51</v>
      </c>
      <c r="L65" s="2"/>
      <c r="M65" s="2"/>
      <c r="N65" s="2"/>
    </row>
    <row r="66" spans="1:14" s="4" customFormat="1" ht="15" customHeight="1">
      <c r="A66" s="216"/>
      <c r="B66" s="372" t="s">
        <v>186</v>
      </c>
      <c r="C66" s="372"/>
      <c r="D66" s="372"/>
      <c r="E66" s="209"/>
      <c r="F66" s="209"/>
      <c r="G66" s="209"/>
      <c r="H66" s="209"/>
      <c r="I66" s="209"/>
      <c r="J66" s="213">
        <v>4.0999999999999996</v>
      </c>
      <c r="L66" s="2"/>
      <c r="M66" s="2"/>
      <c r="N66" s="2"/>
    </row>
    <row r="67" spans="1:14" s="4" customFormat="1" ht="15" customHeight="1">
      <c r="A67" s="216"/>
      <c r="B67" s="372" t="s">
        <v>145</v>
      </c>
      <c r="C67" s="372"/>
      <c r="D67" s="372"/>
      <c r="E67" s="209"/>
      <c r="F67" s="209"/>
      <c r="G67" s="209"/>
      <c r="H67" s="209"/>
      <c r="I67" s="209"/>
      <c r="J67" s="215">
        <v>4.0919999999999996</v>
      </c>
      <c r="L67" s="2"/>
      <c r="M67" s="2"/>
      <c r="N67" s="2"/>
    </row>
    <row r="68" spans="1:14" s="4" customFormat="1" ht="15" customHeight="1">
      <c r="A68" s="216"/>
      <c r="B68" s="372" t="s">
        <v>187</v>
      </c>
      <c r="C68" s="372"/>
      <c r="D68" s="372"/>
      <c r="E68" s="209"/>
      <c r="F68" s="209"/>
      <c r="G68" s="209"/>
      <c r="H68" s="209"/>
      <c r="I68" s="209"/>
      <c r="J68" s="215">
        <v>5.952</v>
      </c>
      <c r="L68" s="2"/>
      <c r="M68" s="2"/>
      <c r="N68" s="2"/>
    </row>
    <row r="69" spans="1:14" s="4" customFormat="1" ht="15" customHeight="1">
      <c r="A69" s="216"/>
      <c r="B69" s="372" t="s">
        <v>188</v>
      </c>
      <c r="C69" s="372"/>
      <c r="D69" s="372"/>
      <c r="E69" s="209"/>
      <c r="F69" s="209"/>
      <c r="G69" s="209"/>
      <c r="H69" s="209"/>
      <c r="I69" s="209"/>
      <c r="J69" s="213">
        <v>9.1</v>
      </c>
      <c r="L69" s="2"/>
      <c r="M69" s="2"/>
      <c r="N69" s="2"/>
    </row>
    <row r="70" spans="1:14" s="4" customFormat="1" ht="15" customHeight="1">
      <c r="A70" s="216"/>
      <c r="B70" s="372" t="s">
        <v>47</v>
      </c>
      <c r="C70" s="372"/>
      <c r="D70" s="372"/>
      <c r="E70" s="209"/>
      <c r="F70" s="209"/>
      <c r="G70" s="209"/>
      <c r="H70" s="209"/>
      <c r="I70" s="209"/>
      <c r="J70" s="213">
        <v>27.4</v>
      </c>
      <c r="L70" s="2"/>
      <c r="M70" s="2"/>
      <c r="N70" s="2"/>
    </row>
    <row r="71" spans="1:14" s="4" customFormat="1" ht="15" customHeight="1">
      <c r="A71" s="216"/>
      <c r="B71" s="372" t="s">
        <v>48</v>
      </c>
      <c r="C71" s="372"/>
      <c r="D71" s="372"/>
      <c r="E71" s="209"/>
      <c r="F71" s="209"/>
      <c r="G71" s="209"/>
      <c r="H71" s="209"/>
      <c r="I71" s="209"/>
      <c r="J71" s="214">
        <v>43.05</v>
      </c>
      <c r="L71" s="2"/>
      <c r="M71" s="2"/>
      <c r="N71" s="2"/>
    </row>
    <row r="72" spans="1:14" s="4" customFormat="1" ht="14.45" customHeight="1">
      <c r="A72" s="216"/>
      <c r="B72" s="372" t="s">
        <v>77</v>
      </c>
      <c r="C72" s="372"/>
      <c r="D72" s="372"/>
      <c r="E72" s="209"/>
      <c r="F72" s="209"/>
      <c r="G72" s="209"/>
      <c r="H72" s="209"/>
      <c r="I72" s="209"/>
      <c r="J72" s="214">
        <v>12.32</v>
      </c>
      <c r="L72" s="2"/>
      <c r="M72" s="2"/>
      <c r="N72" s="2"/>
    </row>
    <row r="73" spans="1:14" s="4" customFormat="1" ht="30.6" customHeight="1">
      <c r="A73" s="216"/>
      <c r="B73" s="372" t="s">
        <v>172</v>
      </c>
      <c r="C73" s="372"/>
      <c r="D73" s="372"/>
      <c r="E73" s="209"/>
      <c r="F73" s="209"/>
      <c r="G73" s="209"/>
      <c r="H73" s="209"/>
      <c r="I73" s="209"/>
      <c r="J73" s="214">
        <v>10.36</v>
      </c>
      <c r="L73" s="2"/>
      <c r="M73" s="2"/>
      <c r="N73" s="2"/>
    </row>
    <row r="74" spans="1:14" s="4" customFormat="1" ht="30.6" customHeight="1">
      <c r="A74" s="216"/>
      <c r="B74" s="372" t="s">
        <v>167</v>
      </c>
      <c r="C74" s="372"/>
      <c r="D74" s="372"/>
      <c r="E74" s="209"/>
      <c r="F74" s="209"/>
      <c r="G74" s="209"/>
      <c r="H74" s="209"/>
      <c r="I74" s="209"/>
      <c r="J74" s="213">
        <v>4.8</v>
      </c>
      <c r="L74" s="2"/>
      <c r="M74" s="2"/>
      <c r="N74" s="2"/>
    </row>
    <row r="75" spans="1:14" s="4" customFormat="1" ht="30.6" customHeight="1">
      <c r="A75" s="216"/>
      <c r="B75" s="372" t="s">
        <v>80</v>
      </c>
      <c r="C75" s="372"/>
      <c r="D75" s="372"/>
      <c r="E75" s="209"/>
      <c r="F75" s="209"/>
      <c r="G75" s="209"/>
      <c r="H75" s="209"/>
      <c r="I75" s="209"/>
      <c r="J75" s="213">
        <v>8.4</v>
      </c>
      <c r="L75" s="2"/>
      <c r="M75" s="2"/>
      <c r="N75" s="2"/>
    </row>
    <row r="76" spans="1:14" s="4" customFormat="1" ht="30.6" customHeight="1">
      <c r="A76" s="216"/>
      <c r="B76" s="372" t="s">
        <v>169</v>
      </c>
      <c r="C76" s="372"/>
      <c r="D76" s="372"/>
      <c r="E76" s="209"/>
      <c r="F76" s="209"/>
      <c r="G76" s="209"/>
      <c r="H76" s="209"/>
      <c r="I76" s="209"/>
      <c r="J76" s="211">
        <v>12</v>
      </c>
      <c r="L76" s="2"/>
      <c r="M76" s="2"/>
      <c r="N76" s="2"/>
    </row>
    <row r="77" spans="1:14" s="4" customFormat="1" ht="30.6" customHeight="1">
      <c r="A77" s="216"/>
      <c r="B77" s="372" t="s">
        <v>181</v>
      </c>
      <c r="C77" s="372"/>
      <c r="D77" s="372"/>
      <c r="E77" s="209"/>
      <c r="F77" s="209"/>
      <c r="G77" s="209"/>
      <c r="H77" s="209"/>
      <c r="I77" s="209"/>
      <c r="J77" s="213">
        <v>4.2</v>
      </c>
      <c r="L77" s="2"/>
      <c r="M77" s="2"/>
      <c r="N77" s="2"/>
    </row>
    <row r="78" spans="1:14" s="4" customFormat="1" ht="30.6" customHeight="1">
      <c r="A78" s="216"/>
      <c r="B78" s="372" t="s">
        <v>140</v>
      </c>
      <c r="C78" s="372"/>
      <c r="D78" s="372"/>
      <c r="E78" s="209"/>
      <c r="F78" s="209"/>
      <c r="G78" s="209"/>
      <c r="H78" s="209"/>
      <c r="I78" s="209"/>
      <c r="J78" s="213">
        <v>4.5999999999999996</v>
      </c>
      <c r="L78" s="2"/>
      <c r="M78" s="2"/>
      <c r="N78" s="2"/>
    </row>
    <row r="79" spans="1:14" s="4" customFormat="1" ht="30.6" customHeight="1">
      <c r="A79" s="216"/>
      <c r="B79" s="372" t="s">
        <v>122</v>
      </c>
      <c r="C79" s="372"/>
      <c r="D79" s="372"/>
      <c r="E79" s="372"/>
      <c r="F79" s="209"/>
      <c r="G79" s="209"/>
      <c r="H79" s="209"/>
      <c r="I79" s="209"/>
      <c r="J79" s="213">
        <v>5.4</v>
      </c>
      <c r="L79" s="2"/>
      <c r="M79" s="2"/>
      <c r="N79" s="2"/>
    </row>
    <row r="80" spans="1:14" s="4" customFormat="1" ht="30.6" customHeight="1">
      <c r="A80" s="216"/>
      <c r="B80" s="372" t="s">
        <v>151</v>
      </c>
      <c r="C80" s="372"/>
      <c r="D80" s="372"/>
      <c r="E80" s="372"/>
      <c r="F80" s="209"/>
      <c r="G80" s="209"/>
      <c r="H80" s="209"/>
      <c r="I80" s="209"/>
      <c r="J80" s="215">
        <v>6.3940000000000001</v>
      </c>
      <c r="L80" s="2"/>
      <c r="M80" s="2"/>
      <c r="N80" s="2"/>
    </row>
    <row r="81" spans="1:14" s="4" customFormat="1" ht="30.6" customHeight="1">
      <c r="A81" s="216"/>
      <c r="B81" s="372" t="s">
        <v>97</v>
      </c>
      <c r="C81" s="372"/>
      <c r="D81" s="372"/>
      <c r="E81" s="372"/>
      <c r="F81" s="209"/>
      <c r="G81" s="209"/>
      <c r="H81" s="209"/>
      <c r="I81" s="209"/>
      <c r="J81" s="215">
        <v>7.6989999999999998</v>
      </c>
      <c r="L81" s="2"/>
      <c r="M81" s="2"/>
      <c r="N81" s="2"/>
    </row>
    <row r="82" spans="1:14" s="4" customFormat="1" ht="30.6" customHeight="1">
      <c r="A82" s="216"/>
      <c r="B82" s="372" t="s">
        <v>177</v>
      </c>
      <c r="C82" s="372"/>
      <c r="D82" s="372"/>
      <c r="E82" s="372"/>
      <c r="F82" s="209"/>
      <c r="G82" s="209"/>
      <c r="H82" s="209"/>
      <c r="I82" s="209"/>
      <c r="J82" s="213">
        <v>5.3</v>
      </c>
      <c r="L82" s="2"/>
      <c r="M82" s="2"/>
      <c r="N82" s="2"/>
    </row>
    <row r="83" spans="1:14" s="4" customFormat="1" ht="30.6" customHeight="1">
      <c r="A83" s="216"/>
      <c r="B83" s="372" t="s">
        <v>116</v>
      </c>
      <c r="C83" s="372"/>
      <c r="D83" s="372"/>
      <c r="E83" s="372"/>
      <c r="F83" s="209"/>
      <c r="G83" s="209"/>
      <c r="H83" s="209"/>
      <c r="I83" s="209"/>
      <c r="J83" s="213">
        <v>18.899999999999999</v>
      </c>
      <c r="L83" s="2"/>
      <c r="M83" s="2"/>
      <c r="N83" s="2"/>
    </row>
    <row r="84" spans="1:14" s="4" customFormat="1" ht="30.6" customHeight="1">
      <c r="A84" s="216"/>
      <c r="B84" s="372" t="s">
        <v>189</v>
      </c>
      <c r="C84" s="372"/>
      <c r="D84" s="372"/>
      <c r="E84" s="372"/>
      <c r="F84" s="209"/>
      <c r="G84" s="209"/>
      <c r="H84" s="209"/>
      <c r="I84" s="209"/>
      <c r="J84" s="213">
        <v>9.6</v>
      </c>
      <c r="L84" s="2"/>
      <c r="M84" s="2"/>
      <c r="N84" s="2"/>
    </row>
    <row r="85" spans="1:14" s="4" customFormat="1" ht="30.6" customHeight="1">
      <c r="A85" s="216"/>
      <c r="B85" s="372" t="s">
        <v>125</v>
      </c>
      <c r="C85" s="372"/>
      <c r="D85" s="372"/>
      <c r="E85" s="372"/>
      <c r="F85" s="209"/>
      <c r="G85" s="209"/>
      <c r="H85" s="209"/>
      <c r="I85" s="209"/>
      <c r="J85" s="213">
        <v>7.2</v>
      </c>
      <c r="L85" s="2"/>
      <c r="M85" s="2"/>
      <c r="N85" s="2"/>
    </row>
    <row r="86" spans="1:14" s="4" customFormat="1" ht="30.6" customHeight="1">
      <c r="A86" s="216"/>
      <c r="B86" s="372" t="s">
        <v>190</v>
      </c>
      <c r="C86" s="372"/>
      <c r="D86" s="372"/>
      <c r="E86" s="372"/>
      <c r="F86" s="209"/>
      <c r="G86" s="209"/>
      <c r="H86" s="209"/>
      <c r="I86" s="209"/>
      <c r="J86" s="213">
        <v>9.9</v>
      </c>
      <c r="L86" s="2"/>
      <c r="M86" s="2"/>
      <c r="N86" s="2"/>
    </row>
    <row r="87" spans="1:14" s="4" customFormat="1" ht="30.6" customHeight="1">
      <c r="A87" s="216"/>
      <c r="B87" s="372" t="s">
        <v>103</v>
      </c>
      <c r="C87" s="372"/>
      <c r="D87" s="372"/>
      <c r="E87" s="372"/>
      <c r="F87" s="209"/>
      <c r="G87" s="209"/>
      <c r="H87" s="209"/>
      <c r="I87" s="209"/>
      <c r="J87" s="215">
        <v>7.6180000000000003</v>
      </c>
      <c r="L87" s="2"/>
      <c r="M87" s="2"/>
      <c r="N87" s="2"/>
    </row>
    <row r="88" spans="1:14" s="4" customFormat="1" ht="30.6" customHeight="1">
      <c r="A88" s="216"/>
      <c r="B88" s="372" t="s">
        <v>104</v>
      </c>
      <c r="C88" s="372"/>
      <c r="D88" s="372"/>
      <c r="E88" s="372"/>
      <c r="F88" s="209"/>
      <c r="G88" s="209"/>
      <c r="H88" s="209"/>
      <c r="I88" s="209"/>
      <c r="J88" s="211">
        <v>10</v>
      </c>
      <c r="L88" s="2"/>
      <c r="M88" s="2"/>
      <c r="N88" s="2"/>
    </row>
    <row r="89" spans="1:14" s="4" customFormat="1" ht="30.6" customHeight="1">
      <c r="A89" s="216"/>
      <c r="B89" s="372" t="s">
        <v>105</v>
      </c>
      <c r="C89" s="372"/>
      <c r="D89" s="372"/>
      <c r="E89" s="372"/>
      <c r="F89" s="209"/>
      <c r="G89" s="209"/>
      <c r="H89" s="209"/>
      <c r="I89" s="209"/>
      <c r="J89" s="215">
        <v>5.1230000000000002</v>
      </c>
      <c r="L89" s="2"/>
      <c r="M89" s="2"/>
      <c r="N89" s="2"/>
    </row>
    <row r="90" spans="1:14" s="4" customFormat="1" ht="30.6" customHeight="1">
      <c r="A90" s="216"/>
      <c r="B90" s="372" t="s">
        <v>153</v>
      </c>
      <c r="C90" s="372"/>
      <c r="D90" s="372"/>
      <c r="E90" s="372"/>
      <c r="F90" s="209"/>
      <c r="G90" s="209"/>
      <c r="H90" s="209"/>
      <c r="I90" s="209"/>
      <c r="J90" s="211">
        <v>5</v>
      </c>
      <c r="L90" s="2"/>
      <c r="M90" s="2"/>
      <c r="N90" s="2"/>
    </row>
    <row r="91" spans="1:14" s="4" customFormat="1" ht="30.6" customHeight="1">
      <c r="A91" s="216"/>
      <c r="B91" s="372" t="s">
        <v>163</v>
      </c>
      <c r="C91" s="372"/>
      <c r="D91" s="372"/>
      <c r="E91" s="372"/>
      <c r="F91" s="209"/>
      <c r="G91" s="209"/>
      <c r="H91" s="209"/>
      <c r="I91" s="209"/>
      <c r="J91" s="213">
        <v>4.5</v>
      </c>
      <c r="L91" s="2"/>
      <c r="M91" s="2"/>
      <c r="N91" s="2"/>
    </row>
    <row r="92" spans="1:14" s="4" customFormat="1" ht="30.6" customHeight="1">
      <c r="A92" s="216"/>
      <c r="B92" s="372" t="s">
        <v>85</v>
      </c>
      <c r="C92" s="372"/>
      <c r="D92" s="372"/>
      <c r="E92" s="372"/>
      <c r="F92" s="209"/>
      <c r="G92" s="209"/>
      <c r="H92" s="209"/>
      <c r="I92" s="209"/>
      <c r="J92" s="211">
        <v>5</v>
      </c>
      <c r="L92" s="2"/>
      <c r="M92" s="2"/>
      <c r="N92" s="2"/>
    </row>
    <row r="93" spans="1:14" s="4" customFormat="1" ht="30.6" customHeight="1">
      <c r="A93" s="216"/>
      <c r="B93" s="372" t="s">
        <v>63</v>
      </c>
      <c r="C93" s="372"/>
      <c r="D93" s="372"/>
      <c r="E93" s="372"/>
      <c r="F93" s="209"/>
      <c r="G93" s="209"/>
      <c r="H93" s="209"/>
      <c r="I93" s="209"/>
      <c r="J93" s="213">
        <v>36.1</v>
      </c>
      <c r="L93" s="2"/>
      <c r="M93" s="2"/>
      <c r="N93" s="2"/>
    </row>
    <row r="94" spans="1:14" s="4" customFormat="1" ht="30.6" customHeight="1">
      <c r="A94" s="216"/>
      <c r="B94" s="372" t="s">
        <v>67</v>
      </c>
      <c r="C94" s="372"/>
      <c r="D94" s="372"/>
      <c r="E94" s="372"/>
      <c r="F94" s="209"/>
      <c r="G94" s="209"/>
      <c r="H94" s="209"/>
      <c r="I94" s="209"/>
      <c r="J94" s="213">
        <v>4.8</v>
      </c>
      <c r="L94" s="2"/>
      <c r="M94" s="2"/>
      <c r="N94" s="2"/>
    </row>
    <row r="95" spans="1:14" s="4" customFormat="1" ht="30.6" customHeight="1">
      <c r="A95" s="216"/>
      <c r="B95" s="372" t="s">
        <v>68</v>
      </c>
      <c r="C95" s="372"/>
      <c r="D95" s="372"/>
      <c r="E95" s="372"/>
      <c r="F95" s="209"/>
      <c r="G95" s="209"/>
      <c r="H95" s="209"/>
      <c r="I95" s="209"/>
      <c r="J95" s="211">
        <v>32</v>
      </c>
      <c r="L95" s="2"/>
      <c r="M95" s="2"/>
      <c r="N95" s="2"/>
    </row>
    <row r="96" spans="1:14" s="4" customFormat="1" ht="30.6" customHeight="1">
      <c r="A96" s="216"/>
      <c r="B96" s="372" t="s">
        <v>87</v>
      </c>
      <c r="C96" s="372"/>
      <c r="D96" s="372"/>
      <c r="E96" s="372"/>
      <c r="F96" s="209"/>
      <c r="G96" s="209"/>
      <c r="H96" s="209"/>
      <c r="I96" s="209"/>
      <c r="J96" s="213">
        <v>25.6</v>
      </c>
      <c r="L96" s="2"/>
      <c r="M96" s="2"/>
      <c r="N96" s="2"/>
    </row>
    <row r="97" spans="1:14" s="4" customFormat="1" ht="30.6" customHeight="1">
      <c r="A97" s="216"/>
      <c r="B97" s="372" t="s">
        <v>88</v>
      </c>
      <c r="C97" s="372"/>
      <c r="D97" s="372"/>
      <c r="E97" s="372"/>
      <c r="F97" s="209"/>
      <c r="G97" s="209"/>
      <c r="H97" s="209"/>
      <c r="I97" s="209"/>
      <c r="J97" s="211">
        <v>4</v>
      </c>
      <c r="L97" s="2"/>
      <c r="M97" s="2"/>
      <c r="N97" s="2"/>
    </row>
    <row r="98" spans="1:14" s="4" customFormat="1" ht="30.6" customHeight="1">
      <c r="A98" s="216"/>
      <c r="B98" s="372" t="s">
        <v>46</v>
      </c>
      <c r="C98" s="372"/>
      <c r="D98" s="372"/>
      <c r="E98" s="372"/>
      <c r="F98" s="209"/>
      <c r="G98" s="209"/>
      <c r="H98" s="209"/>
      <c r="I98" s="209"/>
      <c r="J98" s="211">
        <v>31</v>
      </c>
      <c r="L98" s="2"/>
      <c r="M98" s="2"/>
      <c r="N98" s="2"/>
    </row>
    <row r="99" spans="1:14" s="4" customFormat="1" ht="30.6" customHeight="1">
      <c r="A99" s="216"/>
      <c r="B99" s="372" t="s">
        <v>70</v>
      </c>
      <c r="C99" s="372"/>
      <c r="D99" s="372"/>
      <c r="E99" s="372"/>
      <c r="F99" s="209"/>
      <c r="G99" s="209"/>
      <c r="H99" s="209"/>
      <c r="I99" s="209"/>
      <c r="J99" s="211">
        <v>42</v>
      </c>
      <c r="L99" s="2"/>
      <c r="M99" s="2"/>
      <c r="N99" s="2"/>
    </row>
    <row r="100" spans="1:14" s="4" customFormat="1" ht="30.6" customHeight="1">
      <c r="A100" s="216"/>
      <c r="B100" s="372" t="s">
        <v>186</v>
      </c>
      <c r="C100" s="372"/>
      <c r="D100" s="372"/>
      <c r="E100" s="372"/>
      <c r="F100" s="209"/>
      <c r="G100" s="209"/>
      <c r="H100" s="209"/>
      <c r="I100" s="209"/>
      <c r="J100" s="214">
        <v>4.51</v>
      </c>
      <c r="L100" s="2"/>
      <c r="M100" s="2"/>
      <c r="N100" s="2"/>
    </row>
    <row r="101" spans="1:14" s="4" customFormat="1" ht="30.6" customHeight="1">
      <c r="A101" s="216"/>
      <c r="B101" s="372" t="s">
        <v>145</v>
      </c>
      <c r="C101" s="372"/>
      <c r="D101" s="372"/>
      <c r="E101" s="372"/>
      <c r="F101" s="209"/>
      <c r="G101" s="209"/>
      <c r="H101" s="209"/>
      <c r="I101" s="209"/>
      <c r="J101" s="213">
        <v>4.0999999999999996</v>
      </c>
      <c r="L101" s="2"/>
      <c r="M101" s="2"/>
      <c r="N101" s="2"/>
    </row>
    <row r="102" spans="1:14" s="4" customFormat="1" ht="30.6" customHeight="1">
      <c r="A102" s="216"/>
      <c r="B102" s="372" t="s">
        <v>187</v>
      </c>
      <c r="C102" s="372"/>
      <c r="D102" s="372"/>
      <c r="E102" s="372"/>
      <c r="F102" s="209"/>
      <c r="G102" s="209"/>
      <c r="H102" s="209"/>
      <c r="I102" s="209"/>
      <c r="J102" s="215">
        <v>4.0919999999999996</v>
      </c>
      <c r="L102" s="2"/>
      <c r="M102" s="2"/>
      <c r="N102" s="2"/>
    </row>
    <row r="103" spans="1:14" s="4" customFormat="1" ht="30.6" customHeight="1">
      <c r="A103" s="216"/>
      <c r="B103" s="372" t="s">
        <v>188</v>
      </c>
      <c r="C103" s="372"/>
      <c r="D103" s="372"/>
      <c r="E103" s="372"/>
      <c r="F103" s="209"/>
      <c r="G103" s="209"/>
      <c r="H103" s="209"/>
      <c r="I103" s="209"/>
      <c r="J103" s="215">
        <v>5.952</v>
      </c>
      <c r="L103" s="2"/>
      <c r="M103" s="2"/>
      <c r="N103" s="2"/>
    </row>
    <row r="104" spans="1:14" s="4" customFormat="1" ht="30.6" customHeight="1">
      <c r="A104" s="216"/>
      <c r="B104" s="372" t="s">
        <v>47</v>
      </c>
      <c r="C104" s="372"/>
      <c r="D104" s="372"/>
      <c r="E104" s="372"/>
      <c r="F104" s="209"/>
      <c r="G104" s="209"/>
      <c r="H104" s="209"/>
      <c r="I104" s="209"/>
      <c r="J104" s="213">
        <v>9.1</v>
      </c>
      <c r="L104" s="2"/>
      <c r="M104" s="2"/>
      <c r="N104" s="2"/>
    </row>
    <row r="105" spans="1:14" s="4" customFormat="1" ht="30.6" customHeight="1">
      <c r="A105" s="216"/>
      <c r="B105" s="372" t="s">
        <v>48</v>
      </c>
      <c r="C105" s="372"/>
      <c r="D105" s="372"/>
      <c r="E105" s="372"/>
      <c r="F105" s="209"/>
      <c r="G105" s="209"/>
      <c r="H105" s="209"/>
      <c r="I105" s="209"/>
      <c r="J105" s="213">
        <v>27.4</v>
      </c>
      <c r="L105" s="2"/>
      <c r="M105" s="2"/>
      <c r="N105" s="2"/>
    </row>
    <row r="106" spans="1:14" s="4" customFormat="1" ht="30.6" customHeight="1">
      <c r="A106" s="216"/>
      <c r="B106" s="372" t="s">
        <v>77</v>
      </c>
      <c r="C106" s="372"/>
      <c r="D106" s="372"/>
      <c r="E106" s="372"/>
      <c r="F106" s="209"/>
      <c r="G106" s="209"/>
      <c r="H106" s="209"/>
      <c r="I106" s="209"/>
      <c r="J106" s="214">
        <v>43.05</v>
      </c>
      <c r="L106" s="2"/>
      <c r="M106" s="2"/>
      <c r="N106" s="2"/>
    </row>
    <row r="107" spans="1:14" s="4" customFormat="1" ht="30.6" customHeight="1">
      <c r="A107" s="216"/>
      <c r="B107" s="372" t="s">
        <v>172</v>
      </c>
      <c r="C107" s="372"/>
      <c r="D107" s="372"/>
      <c r="E107" s="372"/>
      <c r="F107" s="209"/>
      <c r="G107" s="209"/>
      <c r="H107" s="209"/>
      <c r="I107" s="209"/>
      <c r="J107" s="214">
        <v>12.32</v>
      </c>
      <c r="L107" s="2"/>
      <c r="M107" s="2"/>
      <c r="N107" s="2"/>
    </row>
    <row r="108" spans="1:14" s="4" customFormat="1" ht="30.6" customHeight="1">
      <c r="A108" s="216"/>
      <c r="B108" s="372" t="s">
        <v>167</v>
      </c>
      <c r="C108" s="372"/>
      <c r="D108" s="372"/>
      <c r="E108" s="372"/>
      <c r="F108" s="209"/>
      <c r="G108" s="209"/>
      <c r="H108" s="209"/>
      <c r="I108" s="209"/>
      <c r="J108" s="214">
        <v>10.36</v>
      </c>
      <c r="L108" s="2"/>
      <c r="M108" s="2"/>
      <c r="N108" s="2"/>
    </row>
    <row r="109" spans="1:14" s="4" customFormat="1" ht="30.6" customHeight="1">
      <c r="A109" s="216"/>
      <c r="B109" s="372" t="s">
        <v>80</v>
      </c>
      <c r="C109" s="372"/>
      <c r="D109" s="372"/>
      <c r="E109" s="372"/>
      <c r="F109" s="209"/>
      <c r="G109" s="209"/>
      <c r="H109" s="209"/>
      <c r="I109" s="209"/>
      <c r="J109" s="213">
        <v>4.8</v>
      </c>
      <c r="L109" s="2"/>
      <c r="M109" s="2"/>
      <c r="N109" s="2"/>
    </row>
    <row r="110" spans="1:14" s="4" customFormat="1" ht="30.6" customHeight="1">
      <c r="A110" s="216"/>
      <c r="B110" s="372" t="s">
        <v>168</v>
      </c>
      <c r="C110" s="372"/>
      <c r="D110" s="372"/>
      <c r="E110" s="372"/>
      <c r="F110" s="209"/>
      <c r="G110" s="209"/>
      <c r="H110" s="209"/>
      <c r="I110" s="209"/>
      <c r="J110" s="213">
        <v>3.9</v>
      </c>
      <c r="L110" s="2"/>
      <c r="M110" s="2"/>
      <c r="N110" s="2"/>
    </row>
    <row r="111" spans="1:14" s="4" customFormat="1" ht="30.6" customHeight="1">
      <c r="A111" s="216"/>
      <c r="B111" s="372" t="s">
        <v>169</v>
      </c>
      <c r="C111" s="372"/>
      <c r="D111" s="372"/>
      <c r="E111" s="372"/>
      <c r="F111" s="209"/>
      <c r="G111" s="209"/>
      <c r="H111" s="209"/>
      <c r="I111" s="209"/>
      <c r="J111" s="213">
        <v>8.4</v>
      </c>
      <c r="L111" s="2"/>
      <c r="M111" s="2"/>
      <c r="N111" s="2"/>
    </row>
    <row r="112" spans="1:14" s="4" customFormat="1" ht="30.6" customHeight="1">
      <c r="A112" s="216"/>
      <c r="B112" s="372" t="s">
        <v>181</v>
      </c>
      <c r="C112" s="372"/>
      <c r="D112" s="372"/>
      <c r="E112" s="372"/>
      <c r="F112" s="209"/>
      <c r="G112" s="209"/>
      <c r="H112" s="209"/>
      <c r="I112" s="209"/>
      <c r="J112" s="211">
        <v>12</v>
      </c>
      <c r="L112" s="2"/>
      <c r="M112" s="2"/>
      <c r="N112" s="2"/>
    </row>
    <row r="113" spans="1:14" s="4" customFormat="1" ht="30.6" customHeight="1">
      <c r="A113" s="216"/>
      <c r="B113" s="372" t="s">
        <v>185</v>
      </c>
      <c r="C113" s="372"/>
      <c r="D113" s="372"/>
      <c r="E113" s="372"/>
      <c r="F113" s="209"/>
      <c r="G113" s="209"/>
      <c r="H113" s="209"/>
      <c r="I113" s="209"/>
      <c r="J113" s="211">
        <v>6</v>
      </c>
      <c r="L113" s="2"/>
      <c r="M113" s="2"/>
      <c r="N113" s="2"/>
    </row>
    <row r="114" spans="1:14" s="4" customFormat="1" ht="30.6" customHeight="1">
      <c r="A114" s="216"/>
      <c r="B114" s="372" t="s">
        <v>137</v>
      </c>
      <c r="C114" s="372"/>
      <c r="D114" s="372"/>
      <c r="E114" s="372"/>
      <c r="F114" s="209"/>
      <c r="G114" s="209"/>
      <c r="H114" s="209"/>
      <c r="I114" s="209"/>
      <c r="J114" s="211">
        <v>10</v>
      </c>
      <c r="L114" s="2"/>
      <c r="M114" s="2"/>
      <c r="N114" s="2"/>
    </row>
    <row r="115" spans="1:14" s="4" customFormat="1" ht="30.6" customHeight="1">
      <c r="A115" s="216"/>
      <c r="B115" s="372" t="s">
        <v>140</v>
      </c>
      <c r="C115" s="372"/>
      <c r="D115" s="372"/>
      <c r="E115" s="372"/>
      <c r="F115" s="209"/>
      <c r="G115" s="209"/>
      <c r="H115" s="209"/>
      <c r="I115" s="209"/>
      <c r="J115" s="213">
        <v>4.2</v>
      </c>
      <c r="L115" s="2"/>
      <c r="M115" s="2"/>
      <c r="N115" s="2"/>
    </row>
    <row r="116" spans="1:14" s="4" customFormat="1" ht="30.6" customHeight="1">
      <c r="A116" s="216"/>
      <c r="B116" s="372" t="s">
        <v>150</v>
      </c>
      <c r="C116" s="372"/>
      <c r="D116" s="372"/>
      <c r="E116" s="372"/>
      <c r="F116" s="209"/>
      <c r="G116" s="209"/>
      <c r="H116" s="209"/>
      <c r="I116" s="209"/>
      <c r="J116" s="213">
        <v>4.5999999999999996</v>
      </c>
      <c r="L116" s="2"/>
      <c r="M116" s="2"/>
      <c r="N116" s="2"/>
    </row>
    <row r="117" spans="1:14" s="4" customFormat="1" ht="30.6" customHeight="1">
      <c r="A117" s="216"/>
      <c r="B117" s="372" t="s">
        <v>142</v>
      </c>
      <c r="C117" s="372"/>
      <c r="D117" s="372"/>
      <c r="E117" s="372"/>
      <c r="F117" s="209"/>
      <c r="G117" s="209"/>
      <c r="H117" s="209"/>
      <c r="I117" s="209"/>
      <c r="J117" s="214">
        <v>8.25</v>
      </c>
      <c r="L117" s="2"/>
      <c r="M117" s="2"/>
      <c r="N117" s="2"/>
    </row>
    <row r="118" spans="1:14" ht="15" customHeight="1">
      <c r="A118" s="217"/>
      <c r="B118" s="373"/>
      <c r="C118" s="373"/>
      <c r="D118" s="373"/>
      <c r="E118" s="373"/>
      <c r="F118" s="373"/>
      <c r="G118" s="373"/>
      <c r="H118" s="373"/>
      <c r="I118" s="373"/>
      <c r="J118" s="219">
        <f>SUM(J56:J109)</f>
        <v>712.10199999999998</v>
      </c>
    </row>
    <row r="120" spans="1:14" ht="14.45" customHeight="1"/>
    <row r="124" spans="1:14" ht="14.45" customHeight="1"/>
  </sheetData>
  <mergeCells count="127">
    <mergeCell ref="B113:E113"/>
    <mergeCell ref="B114:E114"/>
    <mergeCell ref="B115:E115"/>
    <mergeCell ref="B116:E116"/>
    <mergeCell ref="B117:E117"/>
    <mergeCell ref="B118:I118"/>
    <mergeCell ref="B107:E107"/>
    <mergeCell ref="B108:E108"/>
    <mergeCell ref="B109:E109"/>
    <mergeCell ref="B110:E110"/>
    <mergeCell ref="B111:E111"/>
    <mergeCell ref="B112:E112"/>
    <mergeCell ref="B101:E101"/>
    <mergeCell ref="B102:E102"/>
    <mergeCell ref="B103:E103"/>
    <mergeCell ref="B104:E104"/>
    <mergeCell ref="B105:E105"/>
    <mergeCell ref="B106:E106"/>
    <mergeCell ref="B95:E95"/>
    <mergeCell ref="B96:E96"/>
    <mergeCell ref="B97:E97"/>
    <mergeCell ref="B98:E98"/>
    <mergeCell ref="B99:E99"/>
    <mergeCell ref="B100:E100"/>
    <mergeCell ref="B89:E89"/>
    <mergeCell ref="B90:E90"/>
    <mergeCell ref="B91:E91"/>
    <mergeCell ref="B92:E92"/>
    <mergeCell ref="B93:E93"/>
    <mergeCell ref="B94:E94"/>
    <mergeCell ref="B76:D76"/>
    <mergeCell ref="B83:E83"/>
    <mergeCell ref="B84:E84"/>
    <mergeCell ref="B85:E85"/>
    <mergeCell ref="B86:E86"/>
    <mergeCell ref="B87:E87"/>
    <mergeCell ref="B88:E88"/>
    <mergeCell ref="B79:E79"/>
    <mergeCell ref="B80:E80"/>
    <mergeCell ref="B81:E81"/>
    <mergeCell ref="B82:E82"/>
    <mergeCell ref="B77:D77"/>
    <mergeCell ref="B78:D78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C51:D51"/>
    <mergeCell ref="E51:F51"/>
    <mergeCell ref="G51:H51"/>
    <mergeCell ref="I51:J51"/>
    <mergeCell ref="A54:J54"/>
    <mergeCell ref="C49:D49"/>
    <mergeCell ref="E49:F49"/>
    <mergeCell ref="G49:H49"/>
    <mergeCell ref="I49:J49"/>
    <mergeCell ref="C50:D50"/>
    <mergeCell ref="E50:F50"/>
    <mergeCell ref="G50:H50"/>
    <mergeCell ref="I50:J50"/>
    <mergeCell ref="E47:F47"/>
    <mergeCell ref="G47:H47"/>
    <mergeCell ref="I47:J47"/>
    <mergeCell ref="C48:D48"/>
    <mergeCell ref="E48:F48"/>
    <mergeCell ref="G48:H48"/>
    <mergeCell ref="I48:J48"/>
    <mergeCell ref="L41:M41"/>
    <mergeCell ref="L42:M42"/>
    <mergeCell ref="L43:M43"/>
    <mergeCell ref="A44:E44"/>
    <mergeCell ref="G44:L44"/>
    <mergeCell ref="A46:J46"/>
    <mergeCell ref="K35:K36"/>
    <mergeCell ref="L35:M36"/>
    <mergeCell ref="L37:M37"/>
    <mergeCell ref="L38:M38"/>
    <mergeCell ref="L39:M39"/>
    <mergeCell ref="L40:M40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1:C1"/>
    <mergeCell ref="E1:H1"/>
    <mergeCell ref="J1:K1"/>
    <mergeCell ref="A2:C2"/>
    <mergeCell ref="F2:H2"/>
    <mergeCell ref="J2:K2"/>
    <mergeCell ref="B56:D56"/>
    <mergeCell ref="B57:D57"/>
    <mergeCell ref="J6:J7"/>
    <mergeCell ref="K6:L6"/>
    <mergeCell ref="A21:F21"/>
    <mergeCell ref="A24:I24"/>
    <mergeCell ref="A31:C31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</mergeCells>
  <pageMargins left="0" right="0" top="0.59055118110236204" bottom="0" header="0" footer="0"/>
  <pageSetup paperSize="9" scale="5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8782-AF07-4AF9-AD51-5E7BECAC12E1}">
  <sheetPr>
    <tabColor rgb="FFFFFF00"/>
    <pageSetUpPr fitToPage="1"/>
  </sheetPr>
  <dimension ref="A1:N110"/>
  <sheetViews>
    <sheetView topLeftCell="A83" zoomScale="85" zoomScaleNormal="85" workbookViewId="0">
      <pane xSplit="3" topLeftCell="D1" activePane="topRight" state="frozen"/>
      <selection pane="topRight" activeCell="B48" sqref="B48:J103"/>
    </sheetView>
  </sheetViews>
  <sheetFormatPr defaultColWidth="9.140625" defaultRowHeight="15"/>
  <cols>
    <col min="1" max="1" width="5.7109375" style="4" customWidth="1"/>
    <col min="2" max="2" width="49.855468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8" width="10.7109375" style="5" customWidth="1"/>
    <col min="9" max="9" width="23.855468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4" ht="46.9" customHeight="1">
      <c r="A1" s="242" t="s">
        <v>51</v>
      </c>
      <c r="B1" s="242"/>
      <c r="C1" s="242"/>
      <c r="D1" s="1"/>
      <c r="E1" s="242" t="s">
        <v>24</v>
      </c>
      <c r="F1" s="242"/>
      <c r="G1" s="242"/>
      <c r="H1" s="242"/>
      <c r="I1" s="194"/>
      <c r="J1" s="243">
        <v>2</v>
      </c>
      <c r="K1" s="243"/>
    </row>
    <row r="2" spans="1:14" ht="28.5">
      <c r="A2" s="244">
        <v>46325</v>
      </c>
      <c r="B2" s="245"/>
      <c r="C2" s="245"/>
      <c r="D2" s="3"/>
      <c r="E2" s="3"/>
      <c r="F2" s="246"/>
      <c r="G2" s="246"/>
      <c r="H2" s="246"/>
      <c r="I2" s="195"/>
      <c r="J2" s="246"/>
      <c r="K2" s="246"/>
    </row>
    <row r="3" spans="1:14" ht="27" thickBot="1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</row>
    <row r="4" spans="1:14" ht="18" customHeight="1">
      <c r="A4" s="258" t="s">
        <v>25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60"/>
    </row>
    <row r="5" spans="1:14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4" ht="82.9" customHeight="1">
      <c r="A6" s="261" t="s">
        <v>1</v>
      </c>
      <c r="B6" s="262" t="s">
        <v>2</v>
      </c>
      <c r="C6" s="262" t="s">
        <v>3</v>
      </c>
      <c r="D6" s="262" t="s">
        <v>4</v>
      </c>
      <c r="E6" s="193" t="s">
        <v>5</v>
      </c>
      <c r="F6" s="262" t="s">
        <v>6</v>
      </c>
      <c r="G6" s="263" t="s">
        <v>7</v>
      </c>
      <c r="H6" s="264" t="s">
        <v>8</v>
      </c>
      <c r="I6" s="262" t="s">
        <v>9</v>
      </c>
      <c r="J6" s="247" t="s">
        <v>30</v>
      </c>
      <c r="K6" s="249" t="s">
        <v>10</v>
      </c>
      <c r="L6" s="250"/>
    </row>
    <row r="7" spans="1:14" s="8" customFormat="1" ht="63.6" customHeight="1">
      <c r="A7" s="261"/>
      <c r="B7" s="262"/>
      <c r="C7" s="262"/>
      <c r="D7" s="262"/>
      <c r="E7" s="193" t="s">
        <v>11</v>
      </c>
      <c r="F7" s="262"/>
      <c r="G7" s="263"/>
      <c r="H7" s="264"/>
      <c r="I7" s="262"/>
      <c r="J7" s="248"/>
      <c r="K7" s="193" t="s">
        <v>7</v>
      </c>
      <c r="L7" s="61" t="s">
        <v>8</v>
      </c>
      <c r="N7" s="8" t="s">
        <v>194</v>
      </c>
    </row>
    <row r="8" spans="1:14" s="8" customFormat="1">
      <c r="A8" s="75">
        <v>1</v>
      </c>
      <c r="B8" s="76" t="s">
        <v>53</v>
      </c>
      <c r="C8" s="76" t="s">
        <v>56</v>
      </c>
      <c r="D8" s="104" t="s">
        <v>55</v>
      </c>
      <c r="E8" s="56" t="s">
        <v>41</v>
      </c>
      <c r="F8" s="38">
        <v>0.28819444444444442</v>
      </c>
      <c r="G8" s="22">
        <v>27</v>
      </c>
      <c r="H8" s="224">
        <v>656.41200000000003</v>
      </c>
      <c r="I8" s="23"/>
      <c r="J8" s="21"/>
      <c r="K8" s="26"/>
      <c r="L8" s="67"/>
    </row>
    <row r="9" spans="1:14">
      <c r="A9" s="75">
        <v>2</v>
      </c>
      <c r="B9" s="76" t="s">
        <v>53</v>
      </c>
      <c r="C9" s="76" t="s">
        <v>57</v>
      </c>
      <c r="D9" s="104" t="s">
        <v>59</v>
      </c>
      <c r="E9" s="77" t="s">
        <v>42</v>
      </c>
      <c r="F9" s="38">
        <v>0.2951388888888889</v>
      </c>
      <c r="G9" s="22">
        <v>25</v>
      </c>
      <c r="H9" s="224">
        <v>410.37299999999999</v>
      </c>
      <c r="I9" s="23"/>
      <c r="J9" s="21"/>
      <c r="K9" s="26"/>
      <c r="L9" s="67"/>
    </row>
    <row r="10" spans="1:14">
      <c r="A10" s="20">
        <v>3</v>
      </c>
      <c r="B10" s="76"/>
      <c r="C10" s="55"/>
      <c r="D10" s="104"/>
      <c r="E10" s="78"/>
      <c r="F10" s="38"/>
      <c r="G10" s="22"/>
      <c r="H10" s="183"/>
      <c r="I10" s="23"/>
      <c r="J10" s="21"/>
      <c r="K10" s="26"/>
      <c r="L10" s="67"/>
    </row>
    <row r="11" spans="1:14">
      <c r="A11" s="225">
        <v>4</v>
      </c>
      <c r="B11" s="236"/>
      <c r="C11" s="237"/>
      <c r="D11" s="238"/>
      <c r="E11" s="78"/>
      <c r="F11" s="239"/>
      <c r="G11" s="240"/>
      <c r="H11" s="241"/>
      <c r="I11" s="23"/>
      <c r="J11" s="21"/>
      <c r="K11" s="26"/>
      <c r="L11" s="235"/>
    </row>
    <row r="12" spans="1:14">
      <c r="A12" s="225">
        <v>5</v>
      </c>
      <c r="B12" s="226"/>
      <c r="C12" s="227"/>
      <c r="D12" s="228"/>
      <c r="E12" s="78"/>
      <c r="F12" s="229"/>
      <c r="G12" s="230"/>
      <c r="H12" s="231"/>
      <c r="I12" s="232"/>
      <c r="J12" s="233"/>
      <c r="K12" s="234"/>
      <c r="L12" s="235"/>
    </row>
    <row r="13" spans="1:14">
      <c r="A13" s="75">
        <v>6</v>
      </c>
      <c r="B13" s="56"/>
      <c r="C13" s="55"/>
      <c r="D13" s="104"/>
      <c r="E13" s="56"/>
      <c r="F13" s="38"/>
      <c r="G13" s="22"/>
      <c r="H13" s="183"/>
      <c r="I13" s="23"/>
      <c r="J13" s="21"/>
      <c r="K13" s="26"/>
      <c r="L13" s="67"/>
    </row>
    <row r="14" spans="1:14" ht="15.75" thickBot="1">
      <c r="A14" s="251" t="s">
        <v>15</v>
      </c>
      <c r="B14" s="252"/>
      <c r="C14" s="252"/>
      <c r="D14" s="252"/>
      <c r="E14" s="252"/>
      <c r="F14" s="253"/>
      <c r="G14" s="70">
        <f>SUM(G8:G13)</f>
        <v>52</v>
      </c>
      <c r="H14" s="70">
        <f>SUM(H8:H13)</f>
        <v>1066.7850000000001</v>
      </c>
      <c r="I14" s="71"/>
      <c r="J14" s="71"/>
      <c r="K14" s="70">
        <f>SUM(K8:K13)</f>
        <v>0</v>
      </c>
      <c r="L14" s="72">
        <f>SUM(L8:L13)</f>
        <v>0</v>
      </c>
    </row>
    <row r="16" spans="1:14" ht="15.75" thickBot="1">
      <c r="B16" s="4"/>
      <c r="C16" s="4"/>
      <c r="D16" s="13"/>
      <c r="E16" s="14"/>
      <c r="F16" s="15"/>
      <c r="G16" s="16"/>
      <c r="H16" s="14"/>
      <c r="I16" s="14"/>
      <c r="L16" s="8"/>
      <c r="N16" s="43"/>
    </row>
    <row r="17" spans="1:14" ht="18.75">
      <c r="A17" s="254" t="s">
        <v>26</v>
      </c>
      <c r="B17" s="255"/>
      <c r="C17" s="255"/>
      <c r="D17" s="255"/>
      <c r="E17" s="255"/>
      <c r="F17" s="255"/>
      <c r="G17" s="255"/>
      <c r="H17" s="255"/>
      <c r="I17" s="256"/>
      <c r="J17" s="8"/>
      <c r="K17" s="8"/>
      <c r="L17" s="8"/>
      <c r="N17" s="43"/>
    </row>
    <row r="18" spans="1:14">
      <c r="A18" s="29">
        <v>1</v>
      </c>
      <c r="B18" s="74">
        <v>2</v>
      </c>
      <c r="C18" s="74">
        <v>3</v>
      </c>
      <c r="D18" s="74">
        <v>4</v>
      </c>
      <c r="E18" s="74">
        <v>5</v>
      </c>
      <c r="F18" s="74">
        <v>6</v>
      </c>
      <c r="G18" s="74">
        <v>7</v>
      </c>
      <c r="H18" s="74">
        <v>8</v>
      </c>
      <c r="I18" s="30">
        <v>9</v>
      </c>
      <c r="J18" s="8"/>
      <c r="K18" s="8"/>
      <c r="N18" s="43"/>
    </row>
    <row r="19" spans="1:14" ht="30">
      <c r="A19" s="54" t="s">
        <v>1</v>
      </c>
      <c r="B19" s="193" t="s">
        <v>2</v>
      </c>
      <c r="C19" s="193" t="s">
        <v>3</v>
      </c>
      <c r="D19" s="193" t="s">
        <v>27</v>
      </c>
      <c r="E19" s="193" t="s">
        <v>6</v>
      </c>
      <c r="F19" s="193" t="s">
        <v>28</v>
      </c>
      <c r="G19" s="193" t="s">
        <v>8</v>
      </c>
      <c r="H19" s="193" t="s">
        <v>31</v>
      </c>
      <c r="I19" s="31" t="s">
        <v>30</v>
      </c>
      <c r="J19" s="8"/>
      <c r="K19" s="8"/>
      <c r="L19" s="8"/>
      <c r="N19" s="43"/>
    </row>
    <row r="20" spans="1:14">
      <c r="A20" s="57"/>
      <c r="B20" s="56"/>
      <c r="C20" s="55"/>
      <c r="D20" s="39"/>
      <c r="E20" s="38"/>
      <c r="F20" s="22"/>
      <c r="G20" s="26"/>
      <c r="H20" s="35"/>
      <c r="I20" s="36"/>
      <c r="J20" s="8"/>
      <c r="K20" s="8"/>
      <c r="L20" s="8"/>
    </row>
    <row r="21" spans="1:14">
      <c r="A21" s="55"/>
      <c r="B21" s="56"/>
      <c r="C21" s="55"/>
      <c r="D21" s="39"/>
      <c r="E21" s="38"/>
      <c r="F21" s="22"/>
      <c r="G21" s="26"/>
      <c r="H21" s="35"/>
      <c r="I21" s="36"/>
      <c r="J21" s="8"/>
      <c r="K21" s="8"/>
      <c r="L21" s="8"/>
    </row>
    <row r="22" spans="1:14">
      <c r="A22" s="55"/>
      <c r="B22" s="55"/>
      <c r="C22" s="55"/>
      <c r="D22" s="39"/>
      <c r="E22" s="38"/>
      <c r="F22" s="22"/>
      <c r="G22" s="26"/>
      <c r="H22" s="35"/>
      <c r="I22" s="36"/>
      <c r="J22" s="8"/>
      <c r="K22" s="8"/>
      <c r="L22" s="8"/>
    </row>
    <row r="23" spans="1:14">
      <c r="A23" s="58"/>
      <c r="B23" s="58"/>
      <c r="C23" s="58"/>
      <c r="D23" s="39"/>
      <c r="E23" s="38"/>
      <c r="F23" s="22"/>
      <c r="G23" s="26"/>
      <c r="H23" s="35"/>
      <c r="I23" s="36"/>
      <c r="J23" s="8"/>
      <c r="K23" s="8"/>
      <c r="L23" s="8"/>
    </row>
    <row r="24" spans="1:14" ht="15.75" thickBot="1">
      <c r="A24" s="251" t="s">
        <v>15</v>
      </c>
      <c r="B24" s="252"/>
      <c r="C24" s="253"/>
      <c r="D24" s="10"/>
      <c r="E24" s="32"/>
      <c r="F24" s="32">
        <f>SUM(F23:F23)</f>
        <v>0</v>
      </c>
      <c r="G24" s="32">
        <f>SUM(G20:G23)</f>
        <v>0</v>
      </c>
      <c r="H24" s="33"/>
      <c r="I24" s="34"/>
      <c r="J24" s="2"/>
      <c r="K24" s="2"/>
    </row>
    <row r="25" spans="1:14" ht="15.75" thickBot="1">
      <c r="B25" s="4"/>
      <c r="C25" s="4"/>
      <c r="D25" s="13"/>
      <c r="E25" s="14"/>
      <c r="F25" s="15"/>
      <c r="G25" s="16"/>
      <c r="H25" s="14"/>
      <c r="I25" s="14"/>
      <c r="L25" s="8"/>
    </row>
    <row r="26" spans="1:14" ht="18.75">
      <c r="A26" s="254" t="s">
        <v>12</v>
      </c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6"/>
    </row>
    <row r="27" spans="1:14" ht="15.75" thickBot="1">
      <c r="A27" s="94">
        <v>1</v>
      </c>
      <c r="B27" s="95">
        <v>2</v>
      </c>
      <c r="C27" s="95">
        <v>3</v>
      </c>
      <c r="D27" s="95">
        <v>4</v>
      </c>
      <c r="E27" s="95">
        <v>5</v>
      </c>
      <c r="F27" s="95">
        <v>6</v>
      </c>
      <c r="G27" s="95">
        <v>7</v>
      </c>
      <c r="H27" s="95">
        <v>8</v>
      </c>
      <c r="I27" s="95">
        <v>9</v>
      </c>
      <c r="J27" s="95">
        <v>10</v>
      </c>
      <c r="K27" s="95">
        <v>11</v>
      </c>
      <c r="L27" s="278">
        <v>12</v>
      </c>
      <c r="M27" s="279"/>
    </row>
    <row r="28" spans="1:14" ht="75">
      <c r="A28" s="280" t="s">
        <v>1</v>
      </c>
      <c r="B28" s="265" t="s">
        <v>2</v>
      </c>
      <c r="C28" s="265" t="s">
        <v>3</v>
      </c>
      <c r="D28" s="265" t="s">
        <v>4</v>
      </c>
      <c r="E28" s="97" t="s">
        <v>5</v>
      </c>
      <c r="F28" s="265" t="s">
        <v>14</v>
      </c>
      <c r="G28" s="265" t="s">
        <v>13</v>
      </c>
      <c r="H28" s="265" t="s">
        <v>37</v>
      </c>
      <c r="I28" s="265" t="s">
        <v>39</v>
      </c>
      <c r="J28" s="265" t="s">
        <v>38</v>
      </c>
      <c r="K28" s="265" t="s">
        <v>40</v>
      </c>
      <c r="L28" s="266" t="s">
        <v>36</v>
      </c>
      <c r="M28" s="267"/>
    </row>
    <row r="29" spans="1:14" ht="75">
      <c r="A29" s="281"/>
      <c r="B29" s="248"/>
      <c r="C29" s="248"/>
      <c r="D29" s="248"/>
      <c r="E29" s="196" t="s">
        <v>11</v>
      </c>
      <c r="F29" s="248"/>
      <c r="G29" s="248"/>
      <c r="H29" s="248"/>
      <c r="I29" s="248"/>
      <c r="J29" s="248"/>
      <c r="K29" s="248"/>
      <c r="L29" s="268"/>
      <c r="M29" s="269"/>
    </row>
    <row r="30" spans="1:14" s="27" customFormat="1" ht="46.5" customHeight="1">
      <c r="A30" s="40"/>
      <c r="B30" s="221" t="s">
        <v>43</v>
      </c>
      <c r="C30" s="221" t="s">
        <v>60</v>
      </c>
      <c r="D30" s="222" t="s">
        <v>59</v>
      </c>
      <c r="E30" s="221"/>
      <c r="F30" s="223">
        <v>46323</v>
      </c>
      <c r="G30" s="85"/>
      <c r="H30" s="79"/>
      <c r="I30" s="223">
        <v>46323</v>
      </c>
      <c r="J30" s="112"/>
      <c r="K30" s="81"/>
      <c r="L30" s="270"/>
      <c r="M30" s="271"/>
    </row>
    <row r="31" spans="1:14" s="53" customFormat="1">
      <c r="A31" s="40"/>
      <c r="B31" s="76"/>
      <c r="C31" s="76"/>
      <c r="D31" s="76"/>
      <c r="E31" s="83"/>
      <c r="F31" s="87"/>
      <c r="G31" s="85"/>
      <c r="H31" s="88"/>
      <c r="I31" s="82"/>
      <c r="J31" s="82"/>
      <c r="K31" s="89"/>
      <c r="L31" s="272"/>
      <c r="M31" s="273"/>
    </row>
    <row r="32" spans="1:14" ht="16.5" customHeight="1">
      <c r="A32" s="113"/>
      <c r="B32" s="17"/>
      <c r="C32" s="17"/>
      <c r="D32" s="17"/>
      <c r="E32" s="17"/>
      <c r="F32" s="90"/>
      <c r="G32" s="91"/>
      <c r="H32" s="17"/>
      <c r="I32" s="17"/>
      <c r="J32" s="74"/>
      <c r="K32" s="74"/>
      <c r="L32" s="274"/>
      <c r="M32" s="275"/>
    </row>
    <row r="33" spans="1:14">
      <c r="A33" s="40"/>
      <c r="B33" s="17"/>
      <c r="C33" s="17"/>
      <c r="D33" s="17"/>
      <c r="E33" s="17"/>
      <c r="F33" s="90"/>
      <c r="G33" s="91"/>
      <c r="H33" s="17"/>
      <c r="I33" s="17"/>
      <c r="J33" s="74"/>
      <c r="K33" s="74"/>
      <c r="L33" s="276"/>
      <c r="M33" s="277"/>
    </row>
    <row r="34" spans="1:14">
      <c r="A34" s="40"/>
      <c r="B34" s="41"/>
      <c r="C34" s="42"/>
      <c r="D34" s="42"/>
      <c r="E34" s="79"/>
      <c r="F34" s="92"/>
      <c r="G34" s="86"/>
      <c r="H34" s="93"/>
      <c r="I34" s="92"/>
      <c r="J34" s="92"/>
      <c r="K34" s="93"/>
      <c r="L34" s="290"/>
      <c r="M34" s="291"/>
    </row>
    <row r="35" spans="1:14">
      <c r="A35" s="40"/>
      <c r="B35" s="41"/>
      <c r="C35" s="42"/>
      <c r="D35" s="73"/>
      <c r="E35" s="37"/>
      <c r="F35" s="44"/>
      <c r="G35" s="86"/>
      <c r="H35" s="49"/>
      <c r="I35" s="44"/>
      <c r="J35" s="44"/>
      <c r="K35" s="49"/>
      <c r="L35" s="292"/>
      <c r="M35" s="293"/>
    </row>
    <row r="36" spans="1:14" ht="15.75" thickBot="1">
      <c r="A36" s="40"/>
      <c r="B36" s="98"/>
      <c r="C36" s="99"/>
      <c r="D36" s="99"/>
      <c r="E36" s="100"/>
      <c r="F36" s="101"/>
      <c r="G36" s="102"/>
      <c r="H36" s="103"/>
      <c r="I36" s="101"/>
      <c r="J36" s="101"/>
      <c r="K36" s="103"/>
      <c r="L36" s="294"/>
      <c r="M36" s="295"/>
    </row>
    <row r="37" spans="1:14" ht="15.75" thickBot="1">
      <c r="A37" s="296" t="s">
        <v>15</v>
      </c>
      <c r="B37" s="297"/>
      <c r="C37" s="297"/>
      <c r="D37" s="297"/>
      <c r="E37" s="298"/>
      <c r="F37" s="96"/>
      <c r="G37" s="299">
        <f>SUM(G30:G36)</f>
        <v>0</v>
      </c>
      <c r="H37" s="300"/>
      <c r="I37" s="300"/>
      <c r="J37" s="300"/>
      <c r="K37" s="300"/>
      <c r="L37" s="301"/>
    </row>
    <row r="38" spans="1:14" ht="15.75" thickBot="1">
      <c r="A38" s="45"/>
      <c r="B38" s="45"/>
      <c r="C38" s="45"/>
      <c r="D38" s="45"/>
      <c r="E38" s="46"/>
      <c r="F38" s="46"/>
      <c r="G38" s="47"/>
      <c r="H38" s="47"/>
      <c r="J38" s="9"/>
      <c r="K38" s="48"/>
    </row>
    <row r="39" spans="1:14" ht="18.75">
      <c r="A39" s="302" t="s">
        <v>16</v>
      </c>
      <c r="B39" s="303"/>
      <c r="C39" s="303"/>
      <c r="D39" s="303"/>
      <c r="E39" s="303"/>
      <c r="F39" s="303"/>
      <c r="G39" s="303"/>
      <c r="H39" s="303"/>
      <c r="I39" s="303"/>
      <c r="J39" s="304"/>
      <c r="K39" s="2"/>
    </row>
    <row r="40" spans="1:14" ht="30">
      <c r="A40" s="50"/>
      <c r="B40" s="18"/>
      <c r="C40" s="192"/>
      <c r="D40" s="192" t="s">
        <v>17</v>
      </c>
      <c r="E40" s="282" t="s">
        <v>18</v>
      </c>
      <c r="F40" s="282"/>
      <c r="G40" s="282" t="s">
        <v>19</v>
      </c>
      <c r="H40" s="282"/>
      <c r="I40" s="282" t="s">
        <v>29</v>
      </c>
      <c r="J40" s="283"/>
      <c r="K40" s="2"/>
    </row>
    <row r="41" spans="1:14">
      <c r="A41" s="50"/>
      <c r="B41" s="24" t="s">
        <v>20</v>
      </c>
      <c r="C41" s="284">
        <v>503.37</v>
      </c>
      <c r="D41" s="285"/>
      <c r="E41" s="316">
        <v>408.74700000000001</v>
      </c>
      <c r="F41" s="317"/>
      <c r="G41" s="316">
        <v>408.74700000000001</v>
      </c>
      <c r="H41" s="317"/>
      <c r="I41" s="286"/>
      <c r="J41" s="358"/>
      <c r="K41" s="2"/>
    </row>
    <row r="42" spans="1:14">
      <c r="A42" s="51"/>
      <c r="B42" s="24" t="s">
        <v>21</v>
      </c>
      <c r="C42" s="284">
        <v>420.29</v>
      </c>
      <c r="D42" s="285"/>
      <c r="E42" s="316">
        <v>445.65</v>
      </c>
      <c r="F42" s="317"/>
      <c r="G42" s="316">
        <v>445.65</v>
      </c>
      <c r="H42" s="317"/>
      <c r="I42" s="316"/>
      <c r="J42" s="362"/>
      <c r="K42" s="2"/>
    </row>
    <row r="43" spans="1:14" ht="15.75" thickBot="1">
      <c r="A43" s="51"/>
      <c r="B43" s="24" t="s">
        <v>22</v>
      </c>
      <c r="C43" s="363">
        <v>599.29</v>
      </c>
      <c r="D43" s="364"/>
      <c r="E43" s="350">
        <v>212.39</v>
      </c>
      <c r="F43" s="351"/>
      <c r="G43" s="350">
        <v>212.39</v>
      </c>
      <c r="H43" s="351"/>
      <c r="I43" s="316"/>
      <c r="J43" s="362"/>
      <c r="K43" s="2"/>
    </row>
    <row r="44" spans="1:14" ht="15.75" thickBot="1">
      <c r="A44" s="11"/>
      <c r="B44" s="12" t="s">
        <v>23</v>
      </c>
      <c r="C44" s="305">
        <f>SUM(C41:D43)</f>
        <v>1522.95</v>
      </c>
      <c r="D44" s="306"/>
      <c r="E44" s="307">
        <f>SUM(E41:F43)</f>
        <v>1066.7869999999998</v>
      </c>
      <c r="F44" s="308"/>
      <c r="G44" s="307">
        <f>SUM(G41:H43)</f>
        <v>1066.7869999999998</v>
      </c>
      <c r="H44" s="308"/>
      <c r="I44" s="307">
        <f>SUM(I41:I43)</f>
        <v>0</v>
      </c>
      <c r="J44" s="309"/>
      <c r="K44" s="2"/>
    </row>
    <row r="46" spans="1:14" ht="15.75" thickBot="1">
      <c r="E46" s="25"/>
      <c r="M46" s="2" t="s">
        <v>170</v>
      </c>
    </row>
    <row r="47" spans="1:14" s="130" customFormat="1" ht="19.5" thickBot="1">
      <c r="A47" s="365" t="s">
        <v>32</v>
      </c>
      <c r="B47" s="366"/>
      <c r="C47" s="366"/>
      <c r="D47" s="366"/>
      <c r="E47" s="366"/>
      <c r="F47" s="366"/>
      <c r="G47" s="366"/>
      <c r="H47" s="366"/>
      <c r="I47" s="366"/>
      <c r="J47" s="312"/>
      <c r="L47" s="131"/>
      <c r="M47" s="131"/>
      <c r="N47" s="131"/>
    </row>
    <row r="48" spans="1:14" s="130" customFormat="1">
      <c r="A48" s="207" t="s">
        <v>33</v>
      </c>
      <c r="B48" s="371" t="s">
        <v>34</v>
      </c>
      <c r="C48" s="371"/>
      <c r="D48" s="371"/>
      <c r="E48" s="371"/>
      <c r="F48" s="371"/>
      <c r="G48" s="371"/>
      <c r="H48" s="371"/>
      <c r="I48" s="371"/>
      <c r="J48" s="161" t="s">
        <v>35</v>
      </c>
      <c r="L48" s="131"/>
      <c r="M48" s="131"/>
      <c r="N48" s="131"/>
    </row>
    <row r="49" spans="1:14" s="130" customFormat="1" ht="16.899999999999999" customHeight="1">
      <c r="A49" s="216"/>
      <c r="B49" s="210" t="s">
        <v>97</v>
      </c>
      <c r="C49" s="209"/>
      <c r="D49" s="209"/>
      <c r="E49" s="209"/>
      <c r="F49" s="209"/>
      <c r="G49" s="209"/>
      <c r="H49" s="209"/>
      <c r="I49" s="209"/>
      <c r="J49" s="215">
        <v>10.507</v>
      </c>
      <c r="L49" s="131"/>
      <c r="M49" s="131"/>
      <c r="N49" s="131"/>
    </row>
    <row r="50" spans="1:14" s="130" customFormat="1" ht="30.6" customHeight="1">
      <c r="A50" s="216"/>
      <c r="B50" s="210" t="s">
        <v>44</v>
      </c>
      <c r="C50" s="209"/>
      <c r="D50" s="209"/>
      <c r="E50" s="209"/>
      <c r="F50" s="209"/>
      <c r="G50" s="209"/>
      <c r="H50" s="209"/>
      <c r="I50" s="209"/>
      <c r="J50" s="214">
        <v>17.89</v>
      </c>
      <c r="L50" s="131"/>
      <c r="M50" s="131"/>
      <c r="N50" s="131"/>
    </row>
    <row r="51" spans="1:14" s="130" customFormat="1" ht="20.45" customHeight="1">
      <c r="A51" s="216"/>
      <c r="B51" s="210" t="s">
        <v>163</v>
      </c>
      <c r="C51" s="209"/>
      <c r="D51" s="209"/>
      <c r="E51" s="209"/>
      <c r="F51" s="209"/>
      <c r="G51" s="209"/>
      <c r="H51" s="209"/>
      <c r="I51" s="209"/>
      <c r="J51" s="214">
        <v>7.75</v>
      </c>
      <c r="L51" s="131"/>
      <c r="M51" s="131"/>
      <c r="N51" s="131"/>
    </row>
    <row r="52" spans="1:14" s="130" customFormat="1" ht="30.6" customHeight="1">
      <c r="A52" s="216"/>
      <c r="B52" s="210" t="s">
        <v>85</v>
      </c>
      <c r="C52" s="209"/>
      <c r="D52" s="209"/>
      <c r="E52" s="209"/>
      <c r="F52" s="209"/>
      <c r="G52" s="209"/>
      <c r="H52" s="209"/>
      <c r="I52" s="209"/>
      <c r="J52" s="214">
        <v>7.75</v>
      </c>
      <c r="L52" s="131"/>
      <c r="M52" s="131"/>
      <c r="N52" s="131"/>
    </row>
    <row r="53" spans="1:14" s="4" customFormat="1" ht="15" customHeight="1">
      <c r="A53" s="216"/>
      <c r="B53" s="210" t="s">
        <v>63</v>
      </c>
      <c r="C53" s="209"/>
      <c r="D53" s="209"/>
      <c r="E53" s="209"/>
      <c r="F53" s="209"/>
      <c r="G53" s="209"/>
      <c r="H53" s="209"/>
      <c r="I53" s="209"/>
      <c r="J53" s="213">
        <v>4.2</v>
      </c>
      <c r="L53" s="2"/>
      <c r="M53" s="2"/>
      <c r="N53" s="2"/>
    </row>
    <row r="54" spans="1:14" s="4" customFormat="1" ht="15" customHeight="1">
      <c r="A54" s="216"/>
      <c r="B54" s="210" t="s">
        <v>65</v>
      </c>
      <c r="C54" s="209"/>
      <c r="D54" s="209"/>
      <c r="E54" s="209"/>
      <c r="F54" s="209"/>
      <c r="G54" s="209"/>
      <c r="H54" s="209"/>
      <c r="I54" s="209"/>
      <c r="J54" s="211">
        <v>8</v>
      </c>
      <c r="L54" s="2"/>
      <c r="M54" s="2"/>
      <c r="N54" s="2"/>
    </row>
    <row r="55" spans="1:14" s="4" customFormat="1" ht="15" customHeight="1">
      <c r="A55" s="216"/>
      <c r="B55" s="210" t="s">
        <v>66</v>
      </c>
      <c r="C55" s="209"/>
      <c r="D55" s="209"/>
      <c r="E55" s="209"/>
      <c r="F55" s="209"/>
      <c r="G55" s="209"/>
      <c r="H55" s="209"/>
      <c r="I55" s="209"/>
      <c r="J55" s="211">
        <v>12</v>
      </c>
      <c r="L55" s="2"/>
      <c r="M55" s="2"/>
      <c r="N55" s="2"/>
    </row>
    <row r="56" spans="1:14" s="4" customFormat="1" ht="15" customHeight="1">
      <c r="A56" s="216"/>
      <c r="B56" s="210" t="s">
        <v>68</v>
      </c>
      <c r="C56" s="209"/>
      <c r="D56" s="209"/>
      <c r="E56" s="209"/>
      <c r="F56" s="209"/>
      <c r="G56" s="209"/>
      <c r="H56" s="209"/>
      <c r="I56" s="209"/>
      <c r="J56" s="213">
        <v>17.2</v>
      </c>
      <c r="L56" s="2"/>
      <c r="M56" s="2"/>
      <c r="N56" s="2"/>
    </row>
    <row r="57" spans="1:14" s="4" customFormat="1" ht="15" customHeight="1">
      <c r="A57" s="216"/>
      <c r="B57" s="210" t="s">
        <v>87</v>
      </c>
      <c r="C57" s="209"/>
      <c r="D57" s="209"/>
      <c r="E57" s="209"/>
      <c r="F57" s="209"/>
      <c r="G57" s="209"/>
      <c r="H57" s="209"/>
      <c r="I57" s="209"/>
      <c r="J57" s="213">
        <v>8.8000000000000007</v>
      </c>
      <c r="L57" s="2"/>
      <c r="M57" s="2"/>
      <c r="N57" s="2"/>
    </row>
    <row r="58" spans="1:14" s="4" customFormat="1" ht="15" customHeight="1">
      <c r="A58" s="216"/>
      <c r="B58" s="210" t="s">
        <v>46</v>
      </c>
      <c r="C58" s="209"/>
      <c r="D58" s="209"/>
      <c r="E58" s="209"/>
      <c r="F58" s="209"/>
      <c r="G58" s="209"/>
      <c r="H58" s="209"/>
      <c r="I58" s="209"/>
      <c r="J58" s="211">
        <v>39</v>
      </c>
      <c r="L58" s="2"/>
      <c r="M58" s="2"/>
      <c r="N58" s="2"/>
    </row>
    <row r="59" spans="1:14" s="4" customFormat="1" ht="15" customHeight="1">
      <c r="A59" s="216"/>
      <c r="B59" s="210" t="s">
        <v>69</v>
      </c>
      <c r="C59" s="209"/>
      <c r="D59" s="209"/>
      <c r="E59" s="209"/>
      <c r="F59" s="209"/>
      <c r="G59" s="209"/>
      <c r="H59" s="209"/>
      <c r="I59" s="209"/>
      <c r="J59" s="211">
        <v>12</v>
      </c>
      <c r="L59" s="2"/>
      <c r="M59" s="2"/>
      <c r="N59" s="2"/>
    </row>
    <row r="60" spans="1:14" s="4" customFormat="1" ht="15" customHeight="1">
      <c r="A60" s="216"/>
      <c r="B60" s="210" t="s">
        <v>70</v>
      </c>
      <c r="C60" s="209"/>
      <c r="D60" s="209"/>
      <c r="E60" s="209"/>
      <c r="F60" s="209"/>
      <c r="G60" s="209"/>
      <c r="H60" s="209"/>
      <c r="I60" s="209"/>
      <c r="J60" s="214">
        <v>28.35</v>
      </c>
      <c r="L60" s="2"/>
      <c r="M60" s="2"/>
      <c r="N60" s="2"/>
    </row>
    <row r="61" spans="1:14" s="4" customFormat="1" ht="15" customHeight="1">
      <c r="A61" s="216"/>
      <c r="B61" s="210" t="s">
        <v>145</v>
      </c>
      <c r="C61" s="209"/>
      <c r="D61" s="209"/>
      <c r="E61" s="209"/>
      <c r="F61" s="209"/>
      <c r="G61" s="209"/>
      <c r="H61" s="209"/>
      <c r="I61" s="209"/>
      <c r="J61" s="214">
        <v>6.56</v>
      </c>
      <c r="L61" s="2"/>
      <c r="M61" s="2"/>
      <c r="N61" s="2"/>
    </row>
    <row r="62" spans="1:14" s="4" customFormat="1" ht="15" customHeight="1">
      <c r="A62" s="216"/>
      <c r="B62" s="210" t="s">
        <v>73</v>
      </c>
      <c r="C62" s="209"/>
      <c r="D62" s="209"/>
      <c r="E62" s="209"/>
      <c r="F62" s="209"/>
      <c r="G62" s="209"/>
      <c r="H62" s="209"/>
      <c r="I62" s="209"/>
      <c r="J62" s="213">
        <v>24.6</v>
      </c>
      <c r="L62" s="2"/>
      <c r="M62" s="2"/>
      <c r="N62" s="2"/>
    </row>
    <row r="63" spans="1:14" s="4" customFormat="1" ht="15" customHeight="1">
      <c r="A63" s="216"/>
      <c r="B63" s="210" t="s">
        <v>74</v>
      </c>
      <c r="C63" s="209"/>
      <c r="D63" s="209"/>
      <c r="E63" s="209"/>
      <c r="F63" s="209"/>
      <c r="G63" s="209"/>
      <c r="H63" s="209"/>
      <c r="I63" s="209"/>
      <c r="J63" s="213">
        <v>19.5</v>
      </c>
      <c r="L63" s="2"/>
      <c r="M63" s="2"/>
      <c r="N63" s="2"/>
    </row>
    <row r="64" spans="1:14" s="4" customFormat="1" ht="15" customHeight="1">
      <c r="A64" s="216"/>
      <c r="B64" s="210" t="s">
        <v>166</v>
      </c>
      <c r="C64" s="209"/>
      <c r="D64" s="209"/>
      <c r="E64" s="209"/>
      <c r="F64" s="209"/>
      <c r="G64" s="209"/>
      <c r="H64" s="209"/>
      <c r="I64" s="209"/>
      <c r="J64" s="213">
        <v>7.2</v>
      </c>
      <c r="L64" s="2"/>
      <c r="M64" s="2"/>
      <c r="N64" s="2"/>
    </row>
    <row r="65" spans="1:14" s="4" customFormat="1" ht="15" customHeight="1">
      <c r="A65" s="216"/>
      <c r="B65" s="210" t="s">
        <v>76</v>
      </c>
      <c r="C65" s="209"/>
      <c r="D65" s="209"/>
      <c r="E65" s="209"/>
      <c r="F65" s="209"/>
      <c r="G65" s="209"/>
      <c r="H65" s="209"/>
      <c r="I65" s="209"/>
      <c r="J65" s="214">
        <v>10.15</v>
      </c>
      <c r="L65" s="2"/>
      <c r="M65" s="2"/>
      <c r="N65" s="2"/>
    </row>
    <row r="66" spans="1:14" s="4" customFormat="1" ht="15" customHeight="1">
      <c r="A66" s="216"/>
      <c r="B66" s="210" t="s">
        <v>47</v>
      </c>
      <c r="C66" s="209"/>
      <c r="D66" s="209"/>
      <c r="E66" s="209"/>
      <c r="F66" s="209"/>
      <c r="G66" s="209"/>
      <c r="H66" s="209"/>
      <c r="I66" s="209"/>
      <c r="J66" s="213">
        <v>31.8</v>
      </c>
      <c r="L66" s="2"/>
      <c r="M66" s="2"/>
      <c r="N66" s="2"/>
    </row>
    <row r="67" spans="1:14" s="4" customFormat="1" ht="14.45" customHeight="1">
      <c r="A67" s="216"/>
      <c r="B67" s="210" t="s">
        <v>48</v>
      </c>
      <c r="C67" s="209"/>
      <c r="D67" s="209"/>
      <c r="E67" s="209"/>
      <c r="F67" s="209"/>
      <c r="G67" s="209"/>
      <c r="H67" s="209"/>
      <c r="I67" s="209"/>
      <c r="J67" s="213">
        <v>15.5</v>
      </c>
      <c r="L67" s="2"/>
      <c r="M67" s="2"/>
      <c r="N67" s="2"/>
    </row>
    <row r="68" spans="1:14" s="4" customFormat="1" ht="30.6" customHeight="1">
      <c r="A68" s="216"/>
      <c r="B68" s="210" t="s">
        <v>77</v>
      </c>
      <c r="C68" s="209"/>
      <c r="D68" s="209"/>
      <c r="E68" s="209"/>
      <c r="F68" s="209"/>
      <c r="G68" s="209"/>
      <c r="H68" s="209"/>
      <c r="I68" s="209"/>
      <c r="J68" s="214">
        <v>28.35</v>
      </c>
      <c r="L68" s="2"/>
      <c r="M68" s="2"/>
      <c r="N68" s="2"/>
    </row>
    <row r="69" spans="1:14" s="4" customFormat="1" ht="30.6" customHeight="1">
      <c r="A69" s="216"/>
      <c r="B69" s="210" t="s">
        <v>92</v>
      </c>
      <c r="C69" s="209"/>
      <c r="D69" s="209"/>
      <c r="E69" s="209"/>
      <c r="F69" s="209"/>
      <c r="G69" s="209"/>
      <c r="H69" s="209"/>
      <c r="I69" s="209"/>
      <c r="J69" s="214">
        <v>8.75</v>
      </c>
      <c r="L69" s="2"/>
      <c r="M69" s="2"/>
      <c r="N69" s="2"/>
    </row>
    <row r="70" spans="1:14" s="4" customFormat="1" ht="30.6" customHeight="1">
      <c r="A70" s="216"/>
      <c r="B70" s="210" t="s">
        <v>167</v>
      </c>
      <c r="C70" s="209"/>
      <c r="D70" s="209"/>
      <c r="E70" s="209"/>
      <c r="F70" s="209"/>
      <c r="G70" s="209"/>
      <c r="H70" s="209"/>
      <c r="I70" s="209"/>
      <c r="J70" s="214">
        <v>14.28</v>
      </c>
      <c r="L70" s="2"/>
      <c r="M70" s="2"/>
      <c r="N70" s="2"/>
    </row>
    <row r="71" spans="1:14" s="4" customFormat="1" ht="30.6" customHeight="1">
      <c r="A71" s="216"/>
      <c r="B71" s="210" t="s">
        <v>80</v>
      </c>
      <c r="C71" s="209"/>
      <c r="D71" s="209"/>
      <c r="E71" s="209"/>
      <c r="F71" s="209"/>
      <c r="G71" s="209"/>
      <c r="H71" s="209"/>
      <c r="I71" s="209"/>
      <c r="J71" s="213">
        <v>21.6</v>
      </c>
      <c r="L71" s="2"/>
      <c r="M71" s="2"/>
      <c r="N71" s="2"/>
    </row>
    <row r="72" spans="1:14" s="4" customFormat="1" ht="30.6" customHeight="1">
      <c r="A72" s="216"/>
      <c r="B72" s="210" t="s">
        <v>147</v>
      </c>
      <c r="C72" s="209"/>
      <c r="D72" s="209"/>
      <c r="E72" s="209"/>
      <c r="F72" s="209"/>
      <c r="G72" s="209"/>
      <c r="H72" s="209"/>
      <c r="I72" s="209"/>
      <c r="J72" s="213">
        <v>5.4</v>
      </c>
      <c r="L72" s="2"/>
      <c r="M72" s="2"/>
      <c r="N72" s="2"/>
    </row>
    <row r="73" spans="1:14" s="4" customFormat="1" ht="30.6" customHeight="1">
      <c r="A73" s="216"/>
      <c r="B73" s="210" t="s">
        <v>93</v>
      </c>
      <c r="C73" s="209"/>
      <c r="D73" s="209"/>
      <c r="E73" s="209"/>
      <c r="F73" s="209"/>
      <c r="G73" s="209"/>
      <c r="H73" s="209"/>
      <c r="I73" s="209"/>
      <c r="J73" s="214">
        <v>4.29</v>
      </c>
      <c r="L73" s="2"/>
      <c r="M73" s="2"/>
      <c r="N73" s="2"/>
    </row>
    <row r="74" spans="1:14" s="4" customFormat="1" ht="30.6" customHeight="1">
      <c r="A74" s="216"/>
      <c r="B74" s="210" t="s">
        <v>181</v>
      </c>
      <c r="C74" s="209"/>
      <c r="D74" s="209"/>
      <c r="E74" s="209"/>
      <c r="F74" s="209"/>
      <c r="G74" s="209"/>
      <c r="H74" s="209"/>
      <c r="I74" s="209"/>
      <c r="J74" s="213">
        <v>4.4000000000000004</v>
      </c>
      <c r="L74" s="2"/>
      <c r="M74" s="2"/>
      <c r="N74" s="2"/>
    </row>
    <row r="75" spans="1:14" s="4" customFormat="1" ht="30.6" customHeight="1">
      <c r="A75" s="216"/>
      <c r="B75" s="210" t="s">
        <v>185</v>
      </c>
      <c r="C75" s="209"/>
      <c r="D75" s="209"/>
      <c r="E75" s="209"/>
      <c r="F75" s="209"/>
      <c r="G75" s="209"/>
      <c r="H75" s="209"/>
      <c r="I75" s="209"/>
      <c r="J75" s="214">
        <v>10.08</v>
      </c>
      <c r="L75" s="2"/>
      <c r="M75" s="2"/>
      <c r="N75" s="2"/>
    </row>
    <row r="76" spans="1:14" s="4" customFormat="1" ht="30.6" customHeight="1">
      <c r="A76" s="216"/>
      <c r="B76" s="210" t="s">
        <v>137</v>
      </c>
      <c r="C76" s="209"/>
      <c r="D76" s="209"/>
      <c r="E76" s="209"/>
      <c r="F76" s="209"/>
      <c r="G76" s="209"/>
      <c r="H76" s="209"/>
      <c r="I76" s="209"/>
      <c r="J76" s="211">
        <v>5</v>
      </c>
      <c r="L76" s="2"/>
      <c r="M76" s="2"/>
      <c r="N76" s="2"/>
    </row>
    <row r="77" spans="1:14" s="4" customFormat="1" ht="30.6" customHeight="1">
      <c r="A77" s="216"/>
      <c r="B77" s="210" t="s">
        <v>193</v>
      </c>
      <c r="C77" s="209"/>
      <c r="D77" s="209"/>
      <c r="E77" s="209"/>
      <c r="F77" s="209"/>
      <c r="G77" s="209"/>
      <c r="H77" s="209"/>
      <c r="I77" s="209"/>
      <c r="J77" s="213">
        <v>12.8</v>
      </c>
      <c r="L77" s="2"/>
      <c r="M77" s="2"/>
      <c r="N77" s="2"/>
    </row>
    <row r="78" spans="1:14" s="4" customFormat="1" ht="30.6" customHeight="1">
      <c r="A78" s="216"/>
      <c r="B78" s="210" t="s">
        <v>142</v>
      </c>
      <c r="C78" s="209"/>
      <c r="D78" s="209"/>
      <c r="E78" s="209"/>
      <c r="F78" s="209"/>
      <c r="G78" s="209"/>
      <c r="H78" s="209"/>
      <c r="I78" s="209"/>
      <c r="J78" s="211">
        <v>21</v>
      </c>
      <c r="L78" s="2"/>
      <c r="M78" s="2"/>
      <c r="N78" s="2"/>
    </row>
    <row r="79" spans="1:14" s="4" customFormat="1" ht="30.6" customHeight="1">
      <c r="A79" s="216"/>
      <c r="B79" s="210" t="s">
        <v>44</v>
      </c>
      <c r="C79" s="209"/>
      <c r="D79" s="209"/>
      <c r="E79" s="209"/>
      <c r="F79" s="209"/>
      <c r="G79" s="209"/>
      <c r="H79" s="209"/>
      <c r="I79" s="209"/>
      <c r="J79" s="214">
        <v>17.89</v>
      </c>
      <c r="L79" s="2"/>
      <c r="M79" s="2"/>
      <c r="N79" s="2"/>
    </row>
    <row r="80" spans="1:14" s="4" customFormat="1" ht="30.6" customHeight="1">
      <c r="A80" s="216"/>
      <c r="B80" s="210" t="s">
        <v>163</v>
      </c>
      <c r="C80" s="209"/>
      <c r="D80" s="209"/>
      <c r="E80" s="209"/>
      <c r="F80" s="209"/>
      <c r="G80" s="209"/>
      <c r="H80" s="209"/>
      <c r="I80" s="209"/>
      <c r="J80" s="214">
        <v>7.75</v>
      </c>
      <c r="L80" s="2"/>
      <c r="M80" s="2"/>
      <c r="N80" s="2"/>
    </row>
    <row r="81" spans="1:14" s="4" customFormat="1" ht="30.6" customHeight="1">
      <c r="A81" s="216"/>
      <c r="B81" s="210" t="s">
        <v>85</v>
      </c>
      <c r="C81" s="209"/>
      <c r="D81" s="209"/>
      <c r="E81" s="209"/>
      <c r="F81" s="209"/>
      <c r="G81" s="209"/>
      <c r="H81" s="209"/>
      <c r="I81" s="209"/>
      <c r="J81" s="214">
        <v>7.75</v>
      </c>
      <c r="L81" s="2"/>
      <c r="M81" s="2"/>
      <c r="N81" s="2"/>
    </row>
    <row r="82" spans="1:14" s="4" customFormat="1" ht="30.6" customHeight="1">
      <c r="A82" s="216"/>
      <c r="B82" s="210" t="s">
        <v>63</v>
      </c>
      <c r="C82" s="209"/>
      <c r="D82" s="209"/>
      <c r="E82" s="209"/>
      <c r="F82" s="209"/>
      <c r="G82" s="209"/>
      <c r="H82" s="209"/>
      <c r="I82" s="209"/>
      <c r="J82" s="213">
        <v>4.2</v>
      </c>
      <c r="L82" s="2"/>
      <c r="M82" s="2"/>
      <c r="N82" s="2"/>
    </row>
    <row r="83" spans="1:14" s="4" customFormat="1" ht="30.6" customHeight="1">
      <c r="A83" s="216"/>
      <c r="B83" s="210" t="s">
        <v>65</v>
      </c>
      <c r="C83" s="209"/>
      <c r="D83" s="209"/>
      <c r="E83" s="209"/>
      <c r="F83" s="209"/>
      <c r="G83" s="209"/>
      <c r="H83" s="209"/>
      <c r="I83" s="209"/>
      <c r="J83" s="211">
        <v>8</v>
      </c>
      <c r="L83" s="2"/>
      <c r="M83" s="2"/>
      <c r="N83" s="2"/>
    </row>
    <row r="84" spans="1:14" s="4" customFormat="1" ht="30.6" customHeight="1">
      <c r="A84" s="216"/>
      <c r="B84" s="210" t="s">
        <v>66</v>
      </c>
      <c r="C84" s="209"/>
      <c r="D84" s="209"/>
      <c r="E84" s="209"/>
      <c r="F84" s="209"/>
      <c r="G84" s="209"/>
      <c r="H84" s="209"/>
      <c r="I84" s="209"/>
      <c r="J84" s="211">
        <v>12</v>
      </c>
      <c r="L84" s="2"/>
      <c r="M84" s="2"/>
      <c r="N84" s="2"/>
    </row>
    <row r="85" spans="1:14" s="4" customFormat="1" ht="30.6" customHeight="1">
      <c r="A85" s="216"/>
      <c r="B85" s="210" t="s">
        <v>68</v>
      </c>
      <c r="C85" s="209"/>
      <c r="D85" s="209"/>
      <c r="E85" s="209"/>
      <c r="F85" s="209"/>
      <c r="G85" s="209"/>
      <c r="H85" s="209"/>
      <c r="I85" s="209"/>
      <c r="J85" s="213">
        <v>17.2</v>
      </c>
      <c r="L85" s="2"/>
      <c r="M85" s="2"/>
      <c r="N85" s="2"/>
    </row>
    <row r="86" spans="1:14" s="4" customFormat="1" ht="30.6" customHeight="1">
      <c r="A86" s="216"/>
      <c r="B86" s="210" t="s">
        <v>87</v>
      </c>
      <c r="C86" s="209"/>
      <c r="D86" s="209"/>
      <c r="E86" s="209"/>
      <c r="F86" s="209"/>
      <c r="G86" s="209"/>
      <c r="H86" s="209"/>
      <c r="I86" s="209"/>
      <c r="J86" s="213">
        <v>8.8000000000000007</v>
      </c>
      <c r="L86" s="2"/>
      <c r="M86" s="2"/>
      <c r="N86" s="2"/>
    </row>
    <row r="87" spans="1:14" s="4" customFormat="1" ht="30.6" customHeight="1">
      <c r="A87" s="216"/>
      <c r="B87" s="210" t="s">
        <v>46</v>
      </c>
      <c r="C87" s="209"/>
      <c r="D87" s="209"/>
      <c r="E87" s="209"/>
      <c r="F87" s="209"/>
      <c r="G87" s="209"/>
      <c r="H87" s="209"/>
      <c r="I87" s="209"/>
      <c r="J87" s="211">
        <v>39</v>
      </c>
      <c r="L87" s="2"/>
      <c r="M87" s="2"/>
      <c r="N87" s="2"/>
    </row>
    <row r="88" spans="1:14" s="4" customFormat="1" ht="30.6" customHeight="1">
      <c r="A88" s="216"/>
      <c r="B88" s="210" t="s">
        <v>69</v>
      </c>
      <c r="C88" s="209"/>
      <c r="D88" s="209"/>
      <c r="E88" s="209"/>
      <c r="F88" s="209"/>
      <c r="G88" s="209"/>
      <c r="H88" s="209"/>
      <c r="I88" s="209"/>
      <c r="J88" s="211">
        <v>12</v>
      </c>
      <c r="L88" s="2"/>
      <c r="M88" s="2"/>
      <c r="N88" s="2"/>
    </row>
    <row r="89" spans="1:14" s="4" customFormat="1" ht="30.6" customHeight="1">
      <c r="A89" s="216"/>
      <c r="B89" s="210" t="s">
        <v>70</v>
      </c>
      <c r="C89" s="209"/>
      <c r="D89" s="209"/>
      <c r="E89" s="209"/>
      <c r="F89" s="209"/>
      <c r="G89" s="209"/>
      <c r="H89" s="209"/>
      <c r="I89" s="209"/>
      <c r="J89" s="214">
        <v>28.35</v>
      </c>
      <c r="L89" s="2"/>
      <c r="M89" s="2"/>
      <c r="N89" s="2"/>
    </row>
    <row r="90" spans="1:14" s="4" customFormat="1" ht="30.6" customHeight="1">
      <c r="A90" s="216"/>
      <c r="B90" s="210" t="s">
        <v>145</v>
      </c>
      <c r="C90" s="209"/>
      <c r="D90" s="209"/>
      <c r="E90" s="209"/>
      <c r="F90" s="209"/>
      <c r="G90" s="209"/>
      <c r="H90" s="209"/>
      <c r="I90" s="209"/>
      <c r="J90" s="214">
        <v>6.56</v>
      </c>
      <c r="L90" s="2"/>
      <c r="M90" s="2"/>
      <c r="N90" s="2"/>
    </row>
    <row r="91" spans="1:14" s="4" customFormat="1" ht="30.6" customHeight="1">
      <c r="A91" s="216"/>
      <c r="B91" s="210" t="s">
        <v>73</v>
      </c>
      <c r="C91" s="209"/>
      <c r="D91" s="209"/>
      <c r="E91" s="209"/>
      <c r="F91" s="209"/>
      <c r="G91" s="209"/>
      <c r="H91" s="209"/>
      <c r="I91" s="209"/>
      <c r="J91" s="213">
        <v>24.6</v>
      </c>
      <c r="L91" s="2"/>
      <c r="M91" s="2"/>
      <c r="N91" s="2"/>
    </row>
    <row r="92" spans="1:14" s="4" customFormat="1" ht="30.6" customHeight="1">
      <c r="A92" s="216"/>
      <c r="B92" s="210" t="s">
        <v>74</v>
      </c>
      <c r="C92" s="209"/>
      <c r="D92" s="209"/>
      <c r="E92" s="209"/>
      <c r="F92" s="209"/>
      <c r="G92" s="209"/>
      <c r="H92" s="209"/>
      <c r="I92" s="209"/>
      <c r="J92" s="213">
        <v>19.5</v>
      </c>
      <c r="L92" s="2"/>
      <c r="M92" s="2"/>
      <c r="N92" s="2"/>
    </row>
    <row r="93" spans="1:14" s="4" customFormat="1" ht="30.6" customHeight="1">
      <c r="A93" s="216"/>
      <c r="B93" s="210" t="s">
        <v>166</v>
      </c>
      <c r="C93" s="209"/>
      <c r="D93" s="209"/>
      <c r="E93" s="209"/>
      <c r="F93" s="209"/>
      <c r="G93" s="209"/>
      <c r="H93" s="209"/>
      <c r="I93" s="209"/>
      <c r="J93" s="213">
        <v>7.2</v>
      </c>
      <c r="L93" s="2"/>
      <c r="M93" s="2"/>
      <c r="N93" s="2"/>
    </row>
    <row r="94" spans="1:14" s="4" customFormat="1" ht="30.6" customHeight="1">
      <c r="A94" s="216"/>
      <c r="B94" s="210" t="s">
        <v>76</v>
      </c>
      <c r="C94" s="209"/>
      <c r="D94" s="209"/>
      <c r="E94" s="209"/>
      <c r="F94" s="209"/>
      <c r="G94" s="209"/>
      <c r="H94" s="209"/>
      <c r="I94" s="209"/>
      <c r="J94" s="214">
        <v>10.15</v>
      </c>
      <c r="L94" s="2"/>
      <c r="M94" s="2"/>
      <c r="N94" s="2"/>
    </row>
    <row r="95" spans="1:14" s="4" customFormat="1" ht="30.6" customHeight="1">
      <c r="A95" s="216"/>
      <c r="B95" s="210" t="s">
        <v>47</v>
      </c>
      <c r="C95" s="209"/>
      <c r="D95" s="209"/>
      <c r="E95" s="209"/>
      <c r="F95" s="209"/>
      <c r="G95" s="209"/>
      <c r="H95" s="209"/>
      <c r="I95" s="209"/>
      <c r="J95" s="213">
        <v>31.8</v>
      </c>
      <c r="L95" s="2"/>
      <c r="M95" s="2"/>
      <c r="N95" s="2"/>
    </row>
    <row r="96" spans="1:14" s="4" customFormat="1" ht="30.6" customHeight="1">
      <c r="A96" s="216"/>
      <c r="B96" s="210" t="s">
        <v>48</v>
      </c>
      <c r="C96" s="209"/>
      <c r="D96" s="209"/>
      <c r="E96" s="209"/>
      <c r="F96" s="209"/>
      <c r="G96" s="209"/>
      <c r="H96" s="209"/>
      <c r="I96" s="209"/>
      <c r="J96" s="213">
        <v>15.5</v>
      </c>
      <c r="L96" s="2"/>
      <c r="M96" s="2"/>
      <c r="N96" s="2"/>
    </row>
    <row r="97" spans="1:14" s="4" customFormat="1" ht="30.6" customHeight="1">
      <c r="A97" s="216"/>
      <c r="B97" s="210" t="s">
        <v>77</v>
      </c>
      <c r="C97" s="209"/>
      <c r="D97" s="209"/>
      <c r="E97" s="209"/>
      <c r="F97" s="209"/>
      <c r="G97" s="209"/>
      <c r="H97" s="209"/>
      <c r="I97" s="209"/>
      <c r="J97" s="214">
        <v>28.35</v>
      </c>
      <c r="L97" s="2"/>
      <c r="M97" s="2"/>
      <c r="N97" s="2"/>
    </row>
    <row r="98" spans="1:14" s="4" customFormat="1" ht="30.6" customHeight="1">
      <c r="A98" s="216"/>
      <c r="B98" s="210" t="s">
        <v>92</v>
      </c>
      <c r="C98" s="209"/>
      <c r="D98" s="209"/>
      <c r="E98" s="209"/>
      <c r="F98" s="209"/>
      <c r="G98" s="209"/>
      <c r="H98" s="209"/>
      <c r="I98" s="209"/>
      <c r="J98" s="214">
        <v>8.75</v>
      </c>
      <c r="L98" s="2"/>
      <c r="M98" s="2"/>
      <c r="N98" s="2"/>
    </row>
    <row r="99" spans="1:14" s="4" customFormat="1" ht="30.6" customHeight="1">
      <c r="A99" s="216"/>
      <c r="B99" s="210" t="s">
        <v>167</v>
      </c>
      <c r="C99" s="209"/>
      <c r="D99" s="209"/>
      <c r="E99" s="209"/>
      <c r="F99" s="209"/>
      <c r="G99" s="209"/>
      <c r="H99" s="209"/>
      <c r="I99" s="209"/>
      <c r="J99" s="214">
        <v>14.28</v>
      </c>
      <c r="L99" s="2"/>
      <c r="M99" s="2"/>
      <c r="N99" s="2"/>
    </row>
    <row r="100" spans="1:14" s="4" customFormat="1" ht="30.6" customHeight="1">
      <c r="A100" s="216"/>
      <c r="B100" s="210" t="s">
        <v>80</v>
      </c>
      <c r="C100" s="209"/>
      <c r="D100" s="209"/>
      <c r="E100" s="209"/>
      <c r="F100" s="209"/>
      <c r="G100" s="209"/>
      <c r="H100" s="209"/>
      <c r="I100" s="209"/>
      <c r="J100" s="213">
        <v>21.6</v>
      </c>
      <c r="L100" s="2"/>
      <c r="M100" s="2"/>
      <c r="N100" s="2"/>
    </row>
    <row r="101" spans="1:14" s="4" customFormat="1" ht="30.6" customHeight="1">
      <c r="A101" s="216"/>
      <c r="B101" s="210" t="s">
        <v>147</v>
      </c>
      <c r="C101" s="209"/>
      <c r="D101" s="209"/>
      <c r="E101" s="209"/>
      <c r="F101" s="209"/>
      <c r="G101" s="209"/>
      <c r="H101" s="209"/>
      <c r="I101" s="209"/>
      <c r="J101" s="213">
        <v>5.4</v>
      </c>
      <c r="L101" s="2"/>
      <c r="M101" s="2"/>
      <c r="N101" s="2"/>
    </row>
    <row r="102" spans="1:14" s="4" customFormat="1" ht="30.6" customHeight="1">
      <c r="A102" s="216"/>
      <c r="B102" s="210" t="s">
        <v>93</v>
      </c>
      <c r="C102" s="209"/>
      <c r="D102" s="209"/>
      <c r="E102" s="209"/>
      <c r="F102" s="209"/>
      <c r="G102" s="209"/>
      <c r="H102" s="209"/>
      <c r="I102" s="209"/>
      <c r="J102" s="214">
        <v>4.29</v>
      </c>
      <c r="L102" s="2"/>
      <c r="M102" s="2"/>
      <c r="N102" s="2"/>
    </row>
    <row r="103" spans="1:14" s="4" customFormat="1" ht="30.6" customHeight="1">
      <c r="A103" s="216"/>
      <c r="B103" s="210" t="s">
        <v>181</v>
      </c>
      <c r="C103" s="209"/>
      <c r="D103" s="209"/>
      <c r="E103" s="209"/>
      <c r="F103" s="209"/>
      <c r="G103" s="209"/>
      <c r="H103" s="209"/>
      <c r="I103" s="209"/>
      <c r="J103" s="213">
        <v>4.4000000000000004</v>
      </c>
      <c r="L103" s="2"/>
      <c r="M103" s="2"/>
      <c r="N103" s="2"/>
    </row>
    <row r="104" spans="1:14" ht="15" customHeight="1">
      <c r="A104" s="218"/>
      <c r="B104" s="373"/>
      <c r="C104" s="373"/>
      <c r="D104" s="373"/>
      <c r="E104" s="373"/>
      <c r="F104" s="373"/>
      <c r="G104" s="373"/>
      <c r="H104" s="373"/>
      <c r="I104" s="373"/>
      <c r="J104" s="219">
        <f>SUM(J49:J103)</f>
        <v>790.02699999999993</v>
      </c>
    </row>
    <row r="106" spans="1:14" ht="14.45" customHeight="1"/>
    <row r="110" spans="1:14" ht="14.45" customHeight="1"/>
  </sheetData>
  <mergeCells count="66">
    <mergeCell ref="B104:I104"/>
    <mergeCell ref="C44:D44"/>
    <mergeCell ref="E44:F44"/>
    <mergeCell ref="G44:H44"/>
    <mergeCell ref="I44:J44"/>
    <mergeCell ref="A47:J47"/>
    <mergeCell ref="B48:I48"/>
    <mergeCell ref="C42:D42"/>
    <mergeCell ref="E42:F42"/>
    <mergeCell ref="G42:H42"/>
    <mergeCell ref="I42:J42"/>
    <mergeCell ref="C43:D43"/>
    <mergeCell ref="E43:F43"/>
    <mergeCell ref="G43:H43"/>
    <mergeCell ref="I43:J43"/>
    <mergeCell ref="E40:F40"/>
    <mergeCell ref="G40:H40"/>
    <mergeCell ref="I40:J40"/>
    <mergeCell ref="C41:D41"/>
    <mergeCell ref="E41:F41"/>
    <mergeCell ref="G41:H41"/>
    <mergeCell ref="I41:J41"/>
    <mergeCell ref="A39:J39"/>
    <mergeCell ref="K28:K29"/>
    <mergeCell ref="L28:M29"/>
    <mergeCell ref="L30:M30"/>
    <mergeCell ref="L31:M31"/>
    <mergeCell ref="L32:M32"/>
    <mergeCell ref="L33:M33"/>
    <mergeCell ref="L34:M34"/>
    <mergeCell ref="L35:M35"/>
    <mergeCell ref="L36:M36"/>
    <mergeCell ref="A37:E37"/>
    <mergeCell ref="G37:L37"/>
    <mergeCell ref="L27:M27"/>
    <mergeCell ref="A28:A29"/>
    <mergeCell ref="B28:B29"/>
    <mergeCell ref="C28:C29"/>
    <mergeCell ref="D28:D29"/>
    <mergeCell ref="F28:F29"/>
    <mergeCell ref="G28:G29"/>
    <mergeCell ref="H28:H29"/>
    <mergeCell ref="I28:I29"/>
    <mergeCell ref="J28:J29"/>
    <mergeCell ref="A17:I17"/>
    <mergeCell ref="A24:C24"/>
    <mergeCell ref="A26:L26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14:F14"/>
    <mergeCell ref="A1:C1"/>
    <mergeCell ref="E1:H1"/>
    <mergeCell ref="J1:K1"/>
    <mergeCell ref="A2:C2"/>
    <mergeCell ref="F2:H2"/>
    <mergeCell ref="J2:K2"/>
  </mergeCells>
  <pageMargins left="0" right="0" top="0.59055118110236204" bottom="0" header="0" footer="0"/>
  <pageSetup paperSize="9" scale="5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7E87-325E-498C-AEE8-DDB467AA83BE}">
  <sheetPr filterMode="1"/>
  <dimension ref="A1:B56"/>
  <sheetViews>
    <sheetView topLeftCell="A24" workbookViewId="0">
      <selection activeCell="A3" sqref="A3:B56"/>
    </sheetView>
  </sheetViews>
  <sheetFormatPr defaultRowHeight="15"/>
  <cols>
    <col min="1" max="1" width="89.42578125" bestFit="1" customWidth="1"/>
  </cols>
  <sheetData>
    <row r="1" spans="1:2">
      <c r="A1" t="s">
        <v>34</v>
      </c>
      <c r="B1" t="s">
        <v>35</v>
      </c>
    </row>
    <row r="2" spans="1:2" hidden="1">
      <c r="A2" s="374" t="s">
        <v>97</v>
      </c>
      <c r="B2" s="374">
        <v>10.507</v>
      </c>
    </row>
    <row r="3" spans="1:2">
      <c r="A3" t="s">
        <v>44</v>
      </c>
      <c r="B3">
        <v>17.89</v>
      </c>
    </row>
    <row r="4" spans="1:2">
      <c r="A4" t="s">
        <v>163</v>
      </c>
      <c r="B4">
        <v>7.75</v>
      </c>
    </row>
    <row r="5" spans="1:2">
      <c r="A5" t="s">
        <v>85</v>
      </c>
      <c r="B5">
        <v>7.75</v>
      </c>
    </row>
    <row r="6" spans="1:2">
      <c r="A6" t="s">
        <v>63</v>
      </c>
      <c r="B6">
        <v>4.2</v>
      </c>
    </row>
    <row r="7" spans="1:2">
      <c r="A7" t="s">
        <v>65</v>
      </c>
      <c r="B7">
        <v>8</v>
      </c>
    </row>
    <row r="8" spans="1:2">
      <c r="A8" t="s">
        <v>66</v>
      </c>
      <c r="B8">
        <v>12</v>
      </c>
    </row>
    <row r="9" spans="1:2">
      <c r="A9" t="s">
        <v>68</v>
      </c>
      <c r="B9">
        <v>17.2</v>
      </c>
    </row>
    <row r="10" spans="1:2">
      <c r="A10" t="s">
        <v>87</v>
      </c>
      <c r="B10">
        <v>8.8000000000000007</v>
      </c>
    </row>
    <row r="11" spans="1:2">
      <c r="A11" t="s">
        <v>46</v>
      </c>
      <c r="B11">
        <v>39</v>
      </c>
    </row>
    <row r="12" spans="1:2">
      <c r="A12" t="s">
        <v>69</v>
      </c>
      <c r="B12">
        <v>12</v>
      </c>
    </row>
    <row r="13" spans="1:2">
      <c r="A13" t="s">
        <v>70</v>
      </c>
      <c r="B13">
        <v>28.35</v>
      </c>
    </row>
    <row r="14" spans="1:2">
      <c r="A14" t="s">
        <v>145</v>
      </c>
      <c r="B14">
        <v>6.56</v>
      </c>
    </row>
    <row r="15" spans="1:2">
      <c r="A15" t="s">
        <v>73</v>
      </c>
      <c r="B15">
        <v>24.6</v>
      </c>
    </row>
    <row r="16" spans="1:2">
      <c r="A16" t="s">
        <v>74</v>
      </c>
      <c r="B16">
        <v>19.5</v>
      </c>
    </row>
    <row r="17" spans="1:2">
      <c r="A17" t="s">
        <v>166</v>
      </c>
      <c r="B17">
        <v>7.2</v>
      </c>
    </row>
    <row r="18" spans="1:2">
      <c r="A18" t="s">
        <v>76</v>
      </c>
      <c r="B18">
        <v>10.15</v>
      </c>
    </row>
    <row r="19" spans="1:2">
      <c r="A19" t="s">
        <v>47</v>
      </c>
      <c r="B19">
        <v>31.8</v>
      </c>
    </row>
    <row r="20" spans="1:2">
      <c r="A20" t="s">
        <v>48</v>
      </c>
      <c r="B20">
        <v>15.5</v>
      </c>
    </row>
    <row r="21" spans="1:2">
      <c r="A21" t="s">
        <v>77</v>
      </c>
      <c r="B21">
        <v>28.35</v>
      </c>
    </row>
    <row r="22" spans="1:2">
      <c r="A22" t="s">
        <v>92</v>
      </c>
      <c r="B22">
        <v>8.75</v>
      </c>
    </row>
    <row r="23" spans="1:2">
      <c r="A23" t="s">
        <v>167</v>
      </c>
      <c r="B23">
        <v>14.28</v>
      </c>
    </row>
    <row r="24" spans="1:2">
      <c r="A24" t="s">
        <v>80</v>
      </c>
      <c r="B24">
        <v>21.6</v>
      </c>
    </row>
    <row r="25" spans="1:2">
      <c r="A25" t="s">
        <v>147</v>
      </c>
      <c r="B25">
        <v>5.4</v>
      </c>
    </row>
    <row r="26" spans="1:2">
      <c r="A26" t="s">
        <v>93</v>
      </c>
      <c r="B26">
        <v>4.29</v>
      </c>
    </row>
    <row r="27" spans="1:2">
      <c r="A27" t="s">
        <v>181</v>
      </c>
      <c r="B27">
        <v>4.4000000000000004</v>
      </c>
    </row>
    <row r="28" spans="1:2" hidden="1">
      <c r="A28" s="375" t="s">
        <v>185</v>
      </c>
      <c r="B28" s="375">
        <v>10.08</v>
      </c>
    </row>
    <row r="29" spans="1:2" hidden="1">
      <c r="A29" s="375" t="s">
        <v>137</v>
      </c>
      <c r="B29" s="375">
        <v>5</v>
      </c>
    </row>
    <row r="30" spans="1:2" hidden="1">
      <c r="A30" s="375" t="s">
        <v>193</v>
      </c>
      <c r="B30" s="375">
        <v>12.8</v>
      </c>
    </row>
    <row r="31" spans="1:2" hidden="1">
      <c r="A31" s="375" t="s">
        <v>142</v>
      </c>
      <c r="B31" s="375">
        <v>21</v>
      </c>
    </row>
    <row r="32" spans="1:2">
      <c r="A32" t="s">
        <v>44</v>
      </c>
      <c r="B32">
        <v>17.89</v>
      </c>
    </row>
    <row r="33" spans="1:2">
      <c r="A33" t="s">
        <v>163</v>
      </c>
      <c r="B33">
        <v>7.75</v>
      </c>
    </row>
    <row r="34" spans="1:2">
      <c r="A34" t="s">
        <v>85</v>
      </c>
      <c r="B34">
        <v>7.75</v>
      </c>
    </row>
    <row r="35" spans="1:2">
      <c r="A35" t="s">
        <v>63</v>
      </c>
      <c r="B35">
        <v>4.2</v>
      </c>
    </row>
    <row r="36" spans="1:2">
      <c r="A36" t="s">
        <v>65</v>
      </c>
      <c r="B36">
        <v>8</v>
      </c>
    </row>
    <row r="37" spans="1:2">
      <c r="A37" t="s">
        <v>66</v>
      </c>
      <c r="B37">
        <v>12</v>
      </c>
    </row>
    <row r="38" spans="1:2">
      <c r="A38" t="s">
        <v>68</v>
      </c>
      <c r="B38">
        <v>17.2</v>
      </c>
    </row>
    <row r="39" spans="1:2">
      <c r="A39" t="s">
        <v>87</v>
      </c>
      <c r="B39">
        <v>8.8000000000000007</v>
      </c>
    </row>
    <row r="40" spans="1:2">
      <c r="A40" t="s">
        <v>46</v>
      </c>
      <c r="B40">
        <v>39</v>
      </c>
    </row>
    <row r="41" spans="1:2">
      <c r="A41" t="s">
        <v>69</v>
      </c>
      <c r="B41">
        <v>12</v>
      </c>
    </row>
    <row r="42" spans="1:2">
      <c r="A42" t="s">
        <v>70</v>
      </c>
      <c r="B42">
        <v>28.35</v>
      </c>
    </row>
    <row r="43" spans="1:2">
      <c r="A43" t="s">
        <v>145</v>
      </c>
      <c r="B43">
        <v>6.56</v>
      </c>
    </row>
    <row r="44" spans="1:2">
      <c r="A44" t="s">
        <v>73</v>
      </c>
      <c r="B44">
        <v>24.6</v>
      </c>
    </row>
    <row r="45" spans="1:2">
      <c r="A45" t="s">
        <v>74</v>
      </c>
      <c r="B45">
        <v>19.5</v>
      </c>
    </row>
    <row r="46" spans="1:2">
      <c r="A46" t="s">
        <v>166</v>
      </c>
      <c r="B46">
        <v>7.2</v>
      </c>
    </row>
    <row r="47" spans="1:2">
      <c r="A47" t="s">
        <v>76</v>
      </c>
      <c r="B47">
        <v>10.15</v>
      </c>
    </row>
    <row r="48" spans="1:2">
      <c r="A48" t="s">
        <v>47</v>
      </c>
      <c r="B48">
        <v>31.8</v>
      </c>
    </row>
    <row r="49" spans="1:2">
      <c r="A49" t="s">
        <v>48</v>
      </c>
      <c r="B49">
        <v>15.5</v>
      </c>
    </row>
    <row r="50" spans="1:2">
      <c r="A50" t="s">
        <v>77</v>
      </c>
      <c r="B50">
        <v>28.35</v>
      </c>
    </row>
    <row r="51" spans="1:2">
      <c r="A51" t="s">
        <v>92</v>
      </c>
      <c r="B51">
        <v>8.75</v>
      </c>
    </row>
    <row r="52" spans="1:2">
      <c r="A52" t="s">
        <v>167</v>
      </c>
      <c r="B52">
        <v>14.28</v>
      </c>
    </row>
    <row r="53" spans="1:2">
      <c r="A53" t="s">
        <v>80</v>
      </c>
      <c r="B53">
        <v>21.6</v>
      </c>
    </row>
    <row r="54" spans="1:2">
      <c r="A54" t="s">
        <v>147</v>
      </c>
      <c r="B54">
        <v>5.4</v>
      </c>
    </row>
    <row r="55" spans="1:2">
      <c r="A55" t="s">
        <v>93</v>
      </c>
      <c r="B55">
        <v>4.29</v>
      </c>
    </row>
    <row r="56" spans="1:2">
      <c r="A56" t="s">
        <v>181</v>
      </c>
      <c r="B56">
        <v>4.4000000000000004</v>
      </c>
    </row>
  </sheetData>
  <autoFilter ref="A1:B56" xr:uid="{5F99A9BF-4B10-4574-8675-AE21A7F3CD77}">
    <filterColumn colId="0">
      <filters>
        <filter val="4063 МЯСНАЯ Папа может вар п/о_Л   ОСТАНКИНО"/>
        <filter val="4993 САЛЯМИ ИТАЛЬЯНСКАЯ с/к в/у 1/250*8_120c ОСТАНКИНО"/>
        <filter val="5483 ЭКСТРА Папа может с/к в/у 1/250 8шт.   ОСТАНКИНО"/>
        <filter val="5544 Сервелат Финский в/к в/у_45с НОВАЯ ОСТАНКИНО"/>
        <filter val="6220 ГОВЯЖЬЯ папа может вар п/о  Останкино"/>
        <filter val="6303 Мясные Папа может сос п/о мгс 1,5*3  Останкино"/>
        <filter val="6333 МЯСНАЯ Папа может вар п/о 0.4кг 8шт.  ОСТАНКИНО"/>
        <filter val="6392 ФИЛЕЙНАЯ Папа может вар п/о 0,4кг  ОСТАНКИНО"/>
        <filter val="6498 МОЛОЧНАЯ Папа может вар п/о  ОСТАНКИНО"/>
        <filter val="6550 МЯСНЫЕ Папа может сар б/о мгс 1*3 О 45с  Останкино"/>
        <filter val="6697 СЕРВЕЛАТ ФИНСКИЙ ПМ в/к в/у 0,35кг 8шт  ОСТАНКИНО"/>
        <filter val="6724 МОЛОЧНЫЕ ПМ сос п/о мгс 0,41кг 10шт  Останкино"/>
        <filter val="7066 СОЧНЫЕ ПМ сос п/о мгс 0,41кг 10шт 50с  Останкино"/>
        <filter val="7070 СОЧНЫЕ ПМ сос п/о 1,5*4_А_50с  Останкино"/>
        <filter val="7103 БЕКОН Останкино с/к с/н в/у 1/180_50с  Останкино"/>
        <filter val="7154 СЕРВЕЛАТ ЗЕРНИСТЫЙ ПМ в/к в/у 0,35кг_50с  Останкино"/>
        <filter val="7157 СЕРВЕЛАТ ЗЕРНИСТЫЙ ПМ в/к в/у_50с  Останкино"/>
        <filter val="7166 СЕРВЕЛАТ ОХОТНИЧИЙ ПМ в/к в/у_50с  Останкино"/>
        <filter val="7169 СЕРВЕЛАТ ОХОТНИЧИЙ ПМ в/к в/у 0,35кг_50с  Останкино"/>
        <filter val="7177 ЧЕСНОЧНАЯ ПМ п/к в/у 0,35кг 8шт_50с  Останкино"/>
        <filter val="7236 СЕРВЕЛАТ КАРЕЛЬСКИЙ в/к в/у 0,28кг_209к  Останкино"/>
        <filter val="7255 МЯСНЫЕ С ГОВЯД.ПМ сос п/о мгс 0.4кг 6шт.  ОСТАНКИНО"/>
        <filter val="7386 БАРСЕЛОНА ПМ с/к в/у 1/150  ОСТАНКИНО"/>
        <filter val="7461 ДЛЯ ДЕТЕЙ Папа Может сос п/о мгс 0,33кг ОСТАНКИНО"/>
        <filter val="7632 ЭКСТРА Папа может вар п/о 0.4кг 8шт_195к  ОСТАНКИНО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51BF-6636-4684-92BD-A4B658C46F59}">
  <dimension ref="A1:D2"/>
  <sheetViews>
    <sheetView workbookViewId="0">
      <selection activeCell="G10" sqref="G10"/>
    </sheetView>
  </sheetViews>
  <sheetFormatPr defaultRowHeight="15"/>
  <cols>
    <col min="1" max="1" width="58.42578125" customWidth="1"/>
    <col min="2" max="3" width="9.140625" style="376"/>
    <col min="4" max="4" width="11" style="376" customWidth="1"/>
  </cols>
  <sheetData>
    <row r="1" spans="1:4">
      <c r="A1" s="377" t="s">
        <v>34</v>
      </c>
      <c r="B1" s="378" t="s">
        <v>35</v>
      </c>
      <c r="C1" s="378"/>
      <c r="D1" s="379" t="s">
        <v>196</v>
      </c>
    </row>
    <row r="2" spans="1:4">
      <c r="A2" s="377" t="s">
        <v>97</v>
      </c>
      <c r="B2" s="378">
        <v>10.507</v>
      </c>
      <c r="C2" s="379" t="s">
        <v>204</v>
      </c>
      <c r="D2" s="378">
        <v>917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161A-E16D-4636-B703-1AA848791972}">
  <dimension ref="A1:E27"/>
  <sheetViews>
    <sheetView workbookViewId="0">
      <pane ySplit="1" topLeftCell="A2" activePane="bottomLeft" state="frozen"/>
      <selection pane="bottomLeft" activeCell="E29" sqref="E29"/>
    </sheetView>
  </sheetViews>
  <sheetFormatPr defaultRowHeight="15"/>
  <cols>
    <col min="1" max="1" width="59.28515625" bestFit="1" customWidth="1"/>
    <col min="3" max="3" width="14.28515625" customWidth="1"/>
    <col min="4" max="4" width="10.5703125" style="376" customWidth="1"/>
    <col min="5" max="5" width="61.7109375" customWidth="1"/>
  </cols>
  <sheetData>
    <row r="1" spans="1:5">
      <c r="A1" s="377" t="s">
        <v>34</v>
      </c>
      <c r="B1" s="377" t="s">
        <v>35</v>
      </c>
      <c r="C1" s="377"/>
      <c r="D1" s="378" t="s">
        <v>196</v>
      </c>
      <c r="E1" s="377"/>
    </row>
    <row r="2" spans="1:5">
      <c r="A2" s="377" t="s">
        <v>44</v>
      </c>
      <c r="B2" s="377">
        <v>17.89</v>
      </c>
      <c r="C2" s="377" t="str">
        <f>VLOOKUP(A2,[2]Sheet!$A:$I,9,0)</f>
        <v>матрица</v>
      </c>
      <c r="D2" s="378">
        <f>VLOOKUP(A2,[3]TDSheet!$A:$T,14,0)</f>
        <v>329.16800000000001</v>
      </c>
      <c r="E2" s="377"/>
    </row>
    <row r="3" spans="1:5">
      <c r="A3" s="377" t="s">
        <v>163</v>
      </c>
      <c r="B3" s="377">
        <v>7.75</v>
      </c>
      <c r="C3" s="377" t="str">
        <f>VLOOKUP(A3,[2]Sheet!$A:$I,9,0)</f>
        <v>матрица</v>
      </c>
      <c r="D3" s="378">
        <v>0</v>
      </c>
      <c r="E3" s="377" t="str">
        <f>VLOOKUP(A3,[1]Останкино!$A:$E,5,0)</f>
        <v>списано 23кг (пересчет 28,10,26)</v>
      </c>
    </row>
    <row r="4" spans="1:5">
      <c r="A4" s="377" t="s">
        <v>85</v>
      </c>
      <c r="B4" s="377">
        <v>7.75</v>
      </c>
      <c r="C4" s="377" t="str">
        <f>VLOOKUP(A4,[2]Sheet!$A:$I,9,0)</f>
        <v>матрица</v>
      </c>
      <c r="D4" s="378">
        <v>0</v>
      </c>
      <c r="E4" s="377" t="str">
        <f>VLOOKUP(A4,[1]Останкино!$A:$E,5,0)</f>
        <v>списано 48кг (пересчет 28,10,26)</v>
      </c>
    </row>
    <row r="5" spans="1:5">
      <c r="A5" s="377" t="s">
        <v>63</v>
      </c>
      <c r="B5" s="377">
        <v>4.2</v>
      </c>
      <c r="C5" s="377" t="str">
        <f>VLOOKUP(A5,[2]Sheet!$A:$I,9,0)</f>
        <v>матрица</v>
      </c>
      <c r="D5" s="378">
        <f>VLOOKUP(A5,[3]TDSheet!$A:$T,14,0)</f>
        <v>0</v>
      </c>
      <c r="E5" s="377" t="str">
        <f>VLOOKUP(A5,[1]Останкино!$A:$E,5,0)</f>
        <v>списано 42кг (пересчет 28,10,26)</v>
      </c>
    </row>
    <row r="6" spans="1:5">
      <c r="A6" s="377" t="s">
        <v>65</v>
      </c>
      <c r="B6" s="377">
        <v>8</v>
      </c>
      <c r="C6" s="377" t="str">
        <f>VLOOKUP(A6,[2]Sheet!$A:$I,9,0)</f>
        <v>матрица</v>
      </c>
      <c r="D6" s="378">
        <f>VLOOKUP(A6,[3]TDSheet!$A:$T,14,0)</f>
        <v>60.707999999999998</v>
      </c>
      <c r="E6" s="377"/>
    </row>
    <row r="7" spans="1:5">
      <c r="A7" s="377" t="s">
        <v>66</v>
      </c>
      <c r="B7" s="377">
        <v>12</v>
      </c>
      <c r="C7" s="377" t="str">
        <f>VLOOKUP(A7,[2]Sheet!$A:$I,9,0)</f>
        <v>матрица</v>
      </c>
      <c r="D7" s="378">
        <v>0</v>
      </c>
      <c r="E7" s="380" t="s">
        <v>197</v>
      </c>
    </row>
    <row r="8" spans="1:5">
      <c r="A8" s="377" t="s">
        <v>68</v>
      </c>
      <c r="B8" s="377">
        <v>17.2</v>
      </c>
      <c r="C8" s="377" t="str">
        <f>VLOOKUP(A8,[2]Sheet!$A:$I,9,0)</f>
        <v>матрица</v>
      </c>
      <c r="D8" s="378">
        <v>0</v>
      </c>
      <c r="E8" s="377" t="str">
        <f>VLOOKUP(A8,[1]Останкино!$A:$E,5,0)</f>
        <v>списано 84кг (пересчет 28,10,26)</v>
      </c>
    </row>
    <row r="9" spans="1:5">
      <c r="A9" s="377" t="s">
        <v>87</v>
      </c>
      <c r="B9" s="377">
        <v>8.8000000000000007</v>
      </c>
      <c r="C9" s="377" t="str">
        <f>VLOOKUP(A9,[2]Sheet!$A:$I,9,0)</f>
        <v>матрица</v>
      </c>
      <c r="D9" s="378">
        <f>VLOOKUP(A9,[3]TDSheet!$A:$T,14,0)</f>
        <v>6.4</v>
      </c>
      <c r="E9" s="377" t="str">
        <f>VLOOKUP(A9,[1]Останкино!$A:$E,5,0)</f>
        <v>списано 100кг (пересчет 28,10,26)</v>
      </c>
    </row>
    <row r="10" spans="1:5">
      <c r="A10" s="377" t="s">
        <v>46</v>
      </c>
      <c r="B10" s="377">
        <v>39</v>
      </c>
      <c r="C10" s="377" t="str">
        <f>VLOOKUP(A10,[2]Sheet!$A:$I,9,0)</f>
        <v>матрица</v>
      </c>
      <c r="D10" s="378">
        <f>VLOOKUP(A10,[3]TDSheet!$A:$T,14,0)</f>
        <v>235.131</v>
      </c>
      <c r="E10" s="377"/>
    </row>
    <row r="11" spans="1:5">
      <c r="A11" s="377" t="s">
        <v>69</v>
      </c>
      <c r="B11" s="377">
        <v>12</v>
      </c>
      <c r="C11" s="377" t="str">
        <f>VLOOKUP(A11,[2]Sheet!$A:$I,9,0)</f>
        <v>матрица</v>
      </c>
      <c r="D11" s="378">
        <v>0</v>
      </c>
      <c r="E11" s="377" t="str">
        <f>VLOOKUP(A11,[1]Останкино!$A:$E,5,0)</f>
        <v>списание по срокам 68кг (27,10,26)</v>
      </c>
    </row>
    <row r="12" spans="1:5">
      <c r="A12" s="377" t="s">
        <v>70</v>
      </c>
      <c r="B12" s="377">
        <v>28.35</v>
      </c>
      <c r="C12" s="377" t="str">
        <f>VLOOKUP(A12,[2]Sheet!$A:$I,9,0)</f>
        <v>матрица</v>
      </c>
      <c r="D12" s="378">
        <v>0</v>
      </c>
      <c r="E12" s="377" t="str">
        <f>VLOOKUP(A12,[1]Останкино!$A:$E,5,0)</f>
        <v>списано 90кг (пересчет 28,10,26)</v>
      </c>
    </row>
    <row r="13" spans="1:5">
      <c r="A13" s="377" t="s">
        <v>145</v>
      </c>
      <c r="B13" s="377">
        <v>6.56</v>
      </c>
      <c r="C13" s="377" t="str">
        <f>VLOOKUP(A13,[2]Sheet!$A:$I,9,0)</f>
        <v>матрица</v>
      </c>
      <c r="D13" s="378">
        <f>VLOOKUP(A13,[3]TDSheet!$A:$T,14,0)</f>
        <v>2.0499999999999998</v>
      </c>
      <c r="E13" s="377" t="str">
        <f>VLOOKUP(A13,[1]Останкино!$A:$E,5,0)</f>
        <v>списано 54кг (пересчет 28,10,26)</v>
      </c>
    </row>
    <row r="14" spans="1:5">
      <c r="A14" s="377" t="s">
        <v>73</v>
      </c>
      <c r="B14" s="377">
        <v>24.6</v>
      </c>
      <c r="C14" s="377" t="str">
        <f>VLOOKUP(A14,[2]Sheet!$A:$I,9,0)</f>
        <v>матрица</v>
      </c>
      <c r="D14" s="378">
        <f>VLOOKUP(A14,[3]TDSheet!$A:$T,14,0)</f>
        <v>5.74</v>
      </c>
      <c r="E14" s="380" t="s">
        <v>198</v>
      </c>
    </row>
    <row r="15" spans="1:5">
      <c r="A15" s="377" t="s">
        <v>74</v>
      </c>
      <c r="B15" s="377">
        <v>19.5</v>
      </c>
      <c r="C15" s="377" t="str">
        <f>VLOOKUP(A15,[2]Sheet!$A:$I,9,0)</f>
        <v>матрица</v>
      </c>
      <c r="D15" s="378">
        <f>VLOOKUP(A15,[3]TDSheet!$A:$T,14,0)</f>
        <v>10.847</v>
      </c>
      <c r="E15" s="380" t="s">
        <v>200</v>
      </c>
    </row>
    <row r="16" spans="1:5">
      <c r="A16" s="377" t="s">
        <v>166</v>
      </c>
      <c r="B16" s="377">
        <v>7.2</v>
      </c>
      <c r="C16" s="377" t="str">
        <f>VLOOKUP(A16,[2]Sheet!$A:$I,9,0)</f>
        <v>матрица</v>
      </c>
      <c r="D16" s="378">
        <v>0</v>
      </c>
      <c r="E16" s="380" t="s">
        <v>199</v>
      </c>
    </row>
    <row r="17" spans="1:5">
      <c r="A17" s="377" t="s">
        <v>76</v>
      </c>
      <c r="B17" s="377">
        <v>10.15</v>
      </c>
      <c r="C17" s="377" t="str">
        <f>VLOOKUP(A17,[2]Sheet!$A:$I,9,0)</f>
        <v>матрица</v>
      </c>
      <c r="D17" s="378">
        <f>VLOOKUP(A17,[3]TDSheet!$A:$T,14,0)</f>
        <v>3.85</v>
      </c>
      <c r="E17" s="377" t="str">
        <f>VLOOKUP(A17,[1]Останкино!$A:$E,5,0)</f>
        <v>списано 86кг (пересчет 28,10,26)</v>
      </c>
    </row>
    <row r="18" spans="1:5">
      <c r="A18" s="377" t="s">
        <v>47</v>
      </c>
      <c r="B18" s="377">
        <v>31.8</v>
      </c>
      <c r="C18" s="377" t="str">
        <f>VLOOKUP(A18,[2]Sheet!$A:$I,9,0)</f>
        <v>матрица</v>
      </c>
      <c r="D18" s="378">
        <v>0</v>
      </c>
      <c r="E18" s="377" t="str">
        <f>VLOOKUP(A18,[1]Останкино!$A:$E,5,0)</f>
        <v>списание по срокам 42кг (27,10,26)</v>
      </c>
    </row>
    <row r="19" spans="1:5">
      <c r="A19" s="377" t="s">
        <v>48</v>
      </c>
      <c r="B19" s="377">
        <v>15.5</v>
      </c>
      <c r="C19" s="377" t="str">
        <f>VLOOKUP(A19,[2]Sheet!$A:$I,9,0)</f>
        <v>матрица</v>
      </c>
      <c r="D19" s="378">
        <f>VLOOKUP(A19,[3]TDSheet!$A:$T,14,0)</f>
        <v>1.4</v>
      </c>
      <c r="E19" s="377" t="str">
        <f>VLOOKUP(A19,[1]Останкино!$A:$E,5,0)</f>
        <v>списание по срокам 53кг (27,10,26)</v>
      </c>
    </row>
    <row r="20" spans="1:5">
      <c r="A20" s="377" t="s">
        <v>77</v>
      </c>
      <c r="B20" s="377">
        <v>28.35</v>
      </c>
      <c r="C20" s="377" t="str">
        <f>VLOOKUP(A20,[2]Sheet!$A:$I,9,0)</f>
        <v>матрица</v>
      </c>
      <c r="D20" s="378">
        <v>0</v>
      </c>
      <c r="E20" s="377" t="str">
        <f>VLOOKUP(A20,[1]Останкино!$A:$E,5,0)</f>
        <v>списано 47кг (пересчет 28,10,26)</v>
      </c>
    </row>
    <row r="21" spans="1:5">
      <c r="A21" s="377" t="s">
        <v>92</v>
      </c>
      <c r="B21" s="377">
        <v>8.75</v>
      </c>
      <c r="C21" s="381" t="s">
        <v>195</v>
      </c>
      <c r="D21" s="378"/>
      <c r="E21" s="377"/>
    </row>
    <row r="22" spans="1:5">
      <c r="A22" s="377" t="s">
        <v>167</v>
      </c>
      <c r="B22" s="377">
        <v>14.28</v>
      </c>
      <c r="C22" s="377" t="str">
        <f>VLOOKUP(A22,[2]Sheet!$A:$I,9,0)</f>
        <v>матрица</v>
      </c>
      <c r="D22" s="378">
        <v>0</v>
      </c>
      <c r="E22" s="377" t="str">
        <f>VLOOKUP(A22,[1]Останкино!$A:$E,5,0)</f>
        <v>списано 46кг (пересчет 28,10,26)</v>
      </c>
    </row>
    <row r="23" spans="1:5">
      <c r="A23" s="377" t="s">
        <v>80</v>
      </c>
      <c r="B23" s="377">
        <v>21.6</v>
      </c>
      <c r="C23" s="377" t="str">
        <f>VLOOKUP(A23,[2]Sheet!$A:$I,9,0)</f>
        <v>матрица</v>
      </c>
      <c r="D23" s="378">
        <v>0</v>
      </c>
      <c r="E23" s="380" t="s">
        <v>201</v>
      </c>
    </row>
    <row r="24" spans="1:5">
      <c r="A24" s="377" t="s">
        <v>147</v>
      </c>
      <c r="B24" s="377">
        <v>5.4</v>
      </c>
      <c r="C24" s="377" t="str">
        <f>VLOOKUP(A24,[2]Sheet!$A:$I,9,0)</f>
        <v>матрица</v>
      </c>
      <c r="D24" s="378">
        <v>0</v>
      </c>
      <c r="E24" s="380" t="s">
        <v>202</v>
      </c>
    </row>
    <row r="25" spans="1:5">
      <c r="A25" s="377" t="s">
        <v>93</v>
      </c>
      <c r="B25" s="377">
        <v>4.29</v>
      </c>
      <c r="C25" s="377" t="str">
        <f>VLOOKUP(A25,[2]Sheet!$A:$I,9,0)</f>
        <v>матрица</v>
      </c>
      <c r="D25" s="378">
        <v>0</v>
      </c>
      <c r="E25" s="380" t="s">
        <v>203</v>
      </c>
    </row>
    <row r="26" spans="1:5">
      <c r="A26" s="377" t="s">
        <v>181</v>
      </c>
      <c r="B26" s="377">
        <v>4.4000000000000004</v>
      </c>
      <c r="C26" s="377" t="str">
        <f>VLOOKUP(A26,[2]Sheet!$A:$I,9,0)</f>
        <v>матрица</v>
      </c>
      <c r="D26" s="378">
        <f>VLOOKUP(A26,[3]TDSheet!$A:$T,14,0)</f>
        <v>108</v>
      </c>
      <c r="E26" s="377"/>
    </row>
    <row r="27" spans="1:5">
      <c r="B27">
        <f>SUM(B2:B26)</f>
        <v>365.32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8901-FEF6-47C9-8C6C-243CEA5C3B5B}">
  <dimension ref="A1:E6"/>
  <sheetViews>
    <sheetView tabSelected="1" workbookViewId="0">
      <selection activeCell="H15" sqref="H15"/>
    </sheetView>
  </sheetViews>
  <sheetFormatPr defaultRowHeight="15"/>
  <cols>
    <col min="1" max="1" width="89.42578125" bestFit="1" customWidth="1"/>
    <col min="2" max="2" width="9.140625" style="376"/>
    <col min="3" max="3" width="12" style="376" customWidth="1"/>
    <col min="4" max="4" width="9.140625" style="376"/>
    <col min="5" max="5" width="61.140625" customWidth="1"/>
  </cols>
  <sheetData>
    <row r="1" spans="1:5">
      <c r="A1" s="377" t="s">
        <v>34</v>
      </c>
      <c r="B1" s="378" t="s">
        <v>35</v>
      </c>
      <c r="C1" s="378"/>
      <c r="D1" s="379" t="s">
        <v>196</v>
      </c>
      <c r="E1" s="377"/>
    </row>
    <row r="2" spans="1:5">
      <c r="A2" s="380" t="s">
        <v>185</v>
      </c>
      <c r="B2" s="378">
        <v>10.08</v>
      </c>
      <c r="C2" s="379" t="s">
        <v>204</v>
      </c>
      <c r="D2" s="378">
        <f>VLOOKUP(A2,[3]TDSheet!$A:$T,14,0)</f>
        <v>4.08</v>
      </c>
      <c r="E2" s="377" t="str">
        <f>VLOOKUP(A2,[1]заморозка!$A:$E,5,0)</f>
        <v>рост продаж в 1,8 раза</v>
      </c>
    </row>
    <row r="3" spans="1:5">
      <c r="A3" s="380" t="s">
        <v>137</v>
      </c>
      <c r="B3" s="378">
        <v>5</v>
      </c>
      <c r="C3" s="378" t="str">
        <f>VLOOKUP(A3,[4]Sheet!$A:$I,9,0)</f>
        <v>P003697</v>
      </c>
      <c r="D3" s="378">
        <f>VLOOKUP(A3,[3]TDSheet!$A:$T,14,0)</f>
        <v>350</v>
      </c>
      <c r="E3" s="377"/>
    </row>
    <row r="4" spans="1:5">
      <c r="A4" s="377" t="s">
        <v>193</v>
      </c>
      <c r="B4" s="378">
        <v>12.8</v>
      </c>
      <c r="C4" s="378" t="str">
        <f>VLOOKUP(A4,[4]Sheet!$A:$I,9,0)</f>
        <v>P005439</v>
      </c>
      <c r="D4" s="378">
        <f>VLOOKUP(A4,[3]TDSheet!$A:$T,14,0)</f>
        <v>57.2</v>
      </c>
      <c r="E4" s="377"/>
    </row>
    <row r="5" spans="1:5">
      <c r="A5" s="380" t="s">
        <v>142</v>
      </c>
      <c r="B5" s="378">
        <v>21</v>
      </c>
      <c r="C5" s="378" t="str">
        <f>VLOOKUP(A5,[4]Sheet!$A:$I,9,0)</f>
        <v>P004486</v>
      </c>
      <c r="D5" s="378">
        <f>VLOOKUP(A5,[3]TDSheet!$A:$T,14,0)</f>
        <v>1</v>
      </c>
      <c r="E5" s="380" t="s">
        <v>205</v>
      </c>
    </row>
    <row r="6" spans="1:5">
      <c r="B6" s="376">
        <f>SUM(B2:B5)</f>
        <v>48.88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17.10 (3)</vt:lpstr>
      <vt:lpstr>20.10 (2)</vt:lpstr>
      <vt:lpstr>21.10 (2)</vt:lpstr>
      <vt:lpstr>22.10</vt:lpstr>
      <vt:lpstr>23.10</vt:lpstr>
      <vt:lpstr>24.10</vt:lpstr>
      <vt:lpstr>27.10</vt:lpstr>
      <vt:lpstr>28.10</vt:lpstr>
      <vt:lpstr>29.10</vt:lpstr>
      <vt:lpstr>30.10</vt:lpstr>
      <vt:lpstr>Лист1</vt:lpstr>
      <vt:lpstr>ПОКОМ</vt:lpstr>
      <vt:lpstr>Останкино</vt:lpstr>
      <vt:lpstr>Заморозка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DirKCK</dc:creator>
  <cp:lastModifiedBy>Uaer4</cp:lastModifiedBy>
  <cp:lastPrinted>2026-09-21T08:49:36Z</cp:lastPrinted>
  <dcterms:created xsi:type="dcterms:W3CDTF">2015-06-05T18:19:00Z</dcterms:created>
  <dcterms:modified xsi:type="dcterms:W3CDTF">2026-10-30T08:08:26Z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8A425840EC104B7E8198849E84926F67_12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