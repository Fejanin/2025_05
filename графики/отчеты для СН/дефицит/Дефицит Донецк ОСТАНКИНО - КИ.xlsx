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8_{3EFC17AF-C22A-4EE4-A43E-2BB9DB8AD9CC}" xr6:coauthVersionLast="45" xr6:coauthVersionMax="45" xr10:uidLastSave="{00000000-0000-0000-0000-000000000000}"/>
  <bookViews>
    <workbookView xWindow="-120" yWindow="-120" windowWidth="29040" windowHeight="15840"/>
  </bookViews>
  <sheets>
    <sheet name="TDSheet" sheetId="1" r:id="rId1"/>
  </sheet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59" i="1" l="1"/>
  <c r="J110" i="1"/>
  <c r="J117" i="1"/>
  <c r="J120" i="1"/>
  <c r="J122" i="1"/>
  <c r="J90" i="1"/>
  <c r="J68" i="1"/>
  <c r="J69" i="1"/>
  <c r="J72" i="1"/>
  <c r="J75" i="1"/>
  <c r="J79" i="1"/>
  <c r="J84" i="1"/>
  <c r="J145" i="1"/>
  <c r="J61" i="1"/>
  <c r="J47" i="1"/>
  <c r="J43" i="1"/>
  <c r="J38" i="1"/>
  <c r="J30" i="1"/>
  <c r="J21" i="1"/>
  <c r="J149" i="1"/>
</calcChain>
</file>

<file path=xl/sharedStrings.xml><?xml version="1.0" encoding="utf-8"?>
<sst xmlns="http://schemas.openxmlformats.org/spreadsheetml/2006/main" count="155" uniqueCount="155">
  <si>
    <t>Ведомость по товарам на складах</t>
  </si>
  <si>
    <t>Параметры:</t>
  </si>
  <si>
    <t>Период: 28.10.2026 - 28.10.2026</t>
  </si>
  <si>
    <t>Количество товаров: В единицах хранения</t>
  </si>
  <si>
    <t>Отбор:</t>
  </si>
  <si>
    <t>Склад Равно "АСП Донецк Останкино" И
Номенклатура В группе из списка "Авида; АО "КОНТИ-РУС"; Апрель ООО (Яшкино) ; Артеменко Т.С. ИП (Макаро...; Атяшево МК (11000); Байсад ЗАО; Белокаменка-Фиш ООО; Бизнес логистика ТК ООО; Бондюэль-кубань ООО; Варвикс МК;..."</t>
  </si>
  <si>
    <t>Склад</t>
  </si>
  <si>
    <t>Количество</t>
  </si>
  <si>
    <t>Номенклатура, Артикул</t>
  </si>
  <si>
    <t>АСП Донецк Останкино</t>
  </si>
  <si>
    <t xml:space="preserve">Останкино ООО, </t>
  </si>
  <si>
    <t xml:space="preserve">ООО Останкино-Краснодар, </t>
  </si>
  <si>
    <t>0614 ПРАЗДНИЧНАЯ с/к в/с дек.спец.мгс  Останкино, 1001060720614</t>
  </si>
  <si>
    <t>3287 САЛЯМИ ИТАЛЬЯНСКАЯ с/к в/у ОСТАНКИНО, 1001060763287</t>
  </si>
  <si>
    <t>4063 МЯСНАЯ Папа может вар п/о_Л   ОСТАНКИНО, 1001012484063</t>
  </si>
  <si>
    <t>4117 ЭКСТРА Папа может с/к в/у_Л   ОСТАНКИНО, 1001062504117</t>
  </si>
  <si>
    <t>4574 Мясная со шпиком Папа может вар п/о ОСТАНКИНО, 1001012634574</t>
  </si>
  <si>
    <t>4813 ФИЛЕЙНАЯ Папа может вар п/о_Л   ОСТАНКИНО, 1001012564813</t>
  </si>
  <si>
    <t>5452 ВЕТЧ.МЯСНАЯ Папа может п/о    ОСТАНКИНО, 1001092485452</t>
  </si>
  <si>
    <t>5544 Сервелат Финский в/к в/у_45с НОВАЯ ОСТАНКИНО, 1001051875544</t>
  </si>
  <si>
    <t>5851 ЭКСТРА Папа может вар п/о   ОСТАНКИНО, 1001012505851</t>
  </si>
  <si>
    <t>6008 САЛО СОЛЕНОЕ С ЧЕРНЫМ ПЕРЦЕМ мл/к в/у ОСТАНКИНО, 1001084856008</t>
  </si>
  <si>
    <t>6220 ГОВЯЖЬЯ папа может вар п/о  Останкино, 1001012426220</t>
  </si>
  <si>
    <t>6303 Мясные Папа может сос п/о мгс 1,5*3  Останкино, 1001022726303</t>
  </si>
  <si>
    <t>6498 МОЛОЧНАЯ Папа может вар п/о  ОСТАНКИНО, 1001012456498</t>
  </si>
  <si>
    <t>6527 ШПИКАЧКИ СОЧНЫЕ ПМ сар б/о мгс 1*3 45с ОСТАНКИНО, 1001031076527</t>
  </si>
  <si>
    <t>6550 МЯСНЫЕ Папа может сар б/о мгс 1*3 О 45с  Останкино, 1001032736550</t>
  </si>
  <si>
    <t>6608 С ГОВЯДИНОЙ ОРИГИН. сар б/о мгс 1*3_45с  ОСТАНКИНО, 1001033856608</t>
  </si>
  <si>
    <t>6620 РЕБРЫШКИ к/в в/у_30с  Останкино, 1001081596620</t>
  </si>
  <si>
    <t>6661 СОЧНЫЙ ГРИЛЬ ПМ сос п/о мгс 1,5*4_Маяк Останкино, 1001022246661</t>
  </si>
  <si>
    <t>6764 СЛИИВОЧНЫЕ сос ц/о мгс 1*4  Останкино, 1001020846764</t>
  </si>
  <si>
    <t>6767 РУБЛЕНЫЕ сос ц/о мгс 1*4  Останкино, 1001023696767</t>
  </si>
  <si>
    <t>6829  МОЛОЧНЫЕ КЛАССИЧЕСКИЕ сос п/о мгс 2*4 С  Останккино, 1001024976829</t>
  </si>
  <si>
    <t>6929 КАРБОНАД ДОМАШНИЙ ПМ к/в кр/к в/у  ОСТАНКИНО, 1001085476929</t>
  </si>
  <si>
    <t>7001 КЛАССИЧЕСКИЕ Папа может сар б/о мгс 1*3  Останкино, 1001035937001</t>
  </si>
  <si>
    <t>7070 СОЧНЫЕ ПМ сос п/о 1,5*4_А_50с  Останкино, 1001022377070</t>
  </si>
  <si>
    <t>7083 СЛИВОЧНЫЕ ПМ сос п/о мгс 1.5*4_А_50с  ОСТАНКИНО, 1001022467083</t>
  </si>
  <si>
    <t>7132 ВЕНСКАЯ САЛЯМИ п/к в/у 0.840кг  ОСТАНКИНО, 1001300517132</t>
  </si>
  <si>
    <t>7157 СЕРВЕЛАТ ЗЕРНИСТЫЙ ПМ в/к в/у_50с  Останкино, 1001300387157</t>
  </si>
  <si>
    <t>7166 СЕРВЕЛАТ ОХОТНИЧИЙ ПМ в/к в/у_50с  Останкино, 1001303987166</t>
  </si>
  <si>
    <t>7299 НАБОР ДЛЯ ПИЦЦЫ Папа Может с/к в/у  ОСТАНКИНО, 1001060677299</t>
  </si>
  <si>
    <t>7512 ЧАЙНАЯ Останкино вар н/о мгс 1*3  ОСТАНКИНО, 1001016997512</t>
  </si>
  <si>
    <t>7514 ЛЮБИТЕЛЬСКАЯ ОСТАНКИНСКАЯ вар п/о в/у  ОСТАНКИНО, 1001017557514</t>
  </si>
  <si>
    <t>7518 ТЕЛЯЧЬЯ ГОСТ Останкино вар п/о в/у  ОСТАНКИНО, 1001017567518</t>
  </si>
  <si>
    <t>7562 КРАКОВСКАЯ ГОСТ Останкино п/к н/о мгс  ОСТАНКИНО, 1001307587562</t>
  </si>
  <si>
    <t>7564 Балыковая в/к в/у Останкино Вес  ОСТАНКИНО, 1001303637564</t>
  </si>
  <si>
    <t>7700 ЛИТОВСКАЯ с/к в/у  ОСТАНКИНО, 1001067977700</t>
  </si>
  <si>
    <t>7754 ДОМАШНИЙ РЕЦЕПТ Коровино вар п/о_332к  ОСТАНКИНО, 1001015647754</t>
  </si>
  <si>
    <t>8014 ДОКТОРСКАЯ ПРЕМИУМ вар п/о(п)    ОСТАНКИНО, 1001010108014</t>
  </si>
  <si>
    <t xml:space="preserve">ООО Останкино-Краснодар (ШТ), </t>
  </si>
  <si>
    <t>3215 ВЕТЧ.МЯСНАЯ Папа может п/о 0.4кг 8шт.    ОСТАНКИНО, 1001094053215</t>
  </si>
  <si>
    <t>3986 Ароматная с/к в/у 1/250 ОСТАНКИНО, 1001061973986</t>
  </si>
  <si>
    <t>4993 САЛЯМИ ИТАЛЬЯНСКАЯ с/к в/у 1/250*8_120c ОСТАНКИНО, 1001060764993</t>
  </si>
  <si>
    <t>5483 ЭКСТРА Папа может с/к в/у 1/250 8шт.   ОСТАНКИНО, 1001062505483</t>
  </si>
  <si>
    <t>5495 ВЕТЧ.С ИНДЕЙКОЙ Папа может п/о 400*6  Останкино, 1001093345495</t>
  </si>
  <si>
    <t>5819 Сосиски Папа может 400г Мясные  ОСТАНКИНО, 1001022725819</t>
  </si>
  <si>
    <t>5931 ОХОТНИЧЬЯ Папа может с/к в/у 1/220 8шт.   ОСТАНКИНО, 1001060755931</t>
  </si>
  <si>
    <t>6221 НЕОПОЛИТАНСКИЙ ДУЭТ с/к с/н мгс 1/90  Останкино, 1001205376221</t>
  </si>
  <si>
    <t>6228 МЯСНОЕ АССОРТИ к/з с/н мгс 1/90 10шт  Останкино, 1001225416228</t>
  </si>
  <si>
    <t>6254 ФИЛЕЙНЫЕ Папа может сос ц/о мгс 1.5*2  ОСТАНКИНО, 1001022556254</t>
  </si>
  <si>
    <t>6279 КОРЕЙКА ПО-ОСТ.к/в в/с с/н в/у 1/150_45с  Останкино, 1001220286279</t>
  </si>
  <si>
    <t>6325 ДОКТОРСКАЯ ПРЕМИУМ вар п/о 0.4кг 8шт.  ОСТАНКИНО, 1001010106325</t>
  </si>
  <si>
    <t>6333 МЯСНАЯ Папа может вар п/о 0.4кг 8шт.  ОСТАНКИНО, 1001012486333</t>
  </si>
  <si>
    <t>6392 ФИЛЕЙНАЯ Папа может вар п/о 0,4кг  ОСТАНКИНО, 1001012566392</t>
  </si>
  <si>
    <t>6616 МОЛОЧНЫЕ КЛАССИЧЕСКИЕ сос п/о в/у 0,3 кг  Останкино, 1001024976616</t>
  </si>
  <si>
    <t>6697 СЕРВЕЛАТ ФИНСКИЙ ПМ в/к в/у 0,35кг 8шт  ОСТАНКИНО, 1001301876697</t>
  </si>
  <si>
    <t>6724 МОЛОЧНЫЕ ПМ сос п/о мгс 0,41кг 10шт  Останкино, 1001020836724</t>
  </si>
  <si>
    <t>6754 БАЛЫК И ШЕЙКА с/в с/н мгс 1/90 8 шт ОСТАНКИНО, 1001225406754</t>
  </si>
  <si>
    <t>6765 РУБЛЕНЫЕ сос ц/о мгс 0,36кг 6шт  Останкино, 1001023696765</t>
  </si>
  <si>
    <t>6787 СЕРВЕЛАТ КРЕМЛЕВСКИЙ в/к в/у 0,33кг 8шт  Останкино, 1001300456787</t>
  </si>
  <si>
    <t>6797 С ИНДЕЙКОЙ Папа может вар п/о 0,4кг 8шт. ОСТАНКИНО, 1001015026797</t>
  </si>
  <si>
    <t>6807 СЕРВЕЛАТ ЕВРОПЕЙСКИЙ в/к в/у 0,33кг 8шт  Останкино, 1001300366807</t>
  </si>
  <si>
    <t>6837 ФИЛЕЙНЫЕ Папа Может сос ц/о мгс 0,4кг  Останкино, 1001022556837</t>
  </si>
  <si>
    <t>6967 БУРГУНДИЯ Папа может с/к в/у 1/250 8шт  Останкино, 1001063656967</t>
  </si>
  <si>
    <t>7040 С ИНДЕЙКОЙ ПМ сос ц/о в/у 1/270 8шт.  ОСТАНКИНО, 1001025027040</t>
  </si>
  <si>
    <t>7059 ШПИКАЧКИ СОЧНЫЕ С БЕК. п/о мгс 0,3кг 60с ОСТАНКИНО, 1001035277059</t>
  </si>
  <si>
    <t>7066 СОЧНЫЕ ПМ сос п/о мгс 0,41кг 10шт 50с  Останкино, 1001022377066</t>
  </si>
  <si>
    <t>7073 МОЛОЧ.ПРЕМИУМ ПМ сос п/о в/у 1/350_50с  Останкино, 1001022657073</t>
  </si>
  <si>
    <t>7080 СЛИВОЧНЫЕ ПМ сос п/о мгс 0,41кг 10шт 50с  Останкино, 1001022467080</t>
  </si>
  <si>
    <t>7090 СВИНИНА ПО-ДОМ.к/в мл/к в/у 0,3кг_50с  Останкино, 1001084217090</t>
  </si>
  <si>
    <t>7103 БЕКОН Останкино с/к с/н в/у 1/180_50с  Останкино, 1001223297103</t>
  </si>
  <si>
    <t>7143 БРАУНШВЕЙГСКАЯ ГОСТ с/к в/у 1/220 8шт.  ОСТАНКИНО, 1001060717143</t>
  </si>
  <si>
    <t>7154 СЕРВЕЛАТ ЗЕРНИСТЫЙ ПМ в/к в/у 0,35кг_50с  Останкино, 1001300387154</t>
  </si>
  <si>
    <t>7156 СЕРВЕЛАТ КОПЧ.НА БУКЕ в/к в/у 0.35кг_50с  ОСТАНКИНО, 1001304237156</t>
  </si>
  <si>
    <t>7163 СЕРВЕЛАТ КЛАССИЧ.ПМ в/к в/у 0,62кг_50с  Останкино, 1001304087163</t>
  </si>
  <si>
    <t>7169 СЕРВЕЛАТ ОХОТНИЧИЙ ПМ в/к в/у 0,35кг_50с  Останкино, 1001303987169</t>
  </si>
  <si>
    <t>7187 ГРУДИНКА ПРЕМИУМ к/в мл/к в/у 0,3кг_50с  Останкино, 1001085637187</t>
  </si>
  <si>
    <t>7231 КЛАССИЧЕСКАЯ ПМ вар п/о 0,3кг 8 шт_209к  Останкино, 1001013957231</t>
  </si>
  <si>
    <t>7232 БОЯNСКАЯ ПМ п/к в/у 0,28кг 8шт_209к  Останкино, 1001302277232</t>
  </si>
  <si>
    <t>7236 СЕРВЕЛАТ КАРЕЛЬСКИЙ в/к в/у 0,28кг_209к  Останкино, 1001304507236</t>
  </si>
  <si>
    <t>7241 САЛЯМИ Папа может п/к в/у 0,28кг ОСТАНКИНО, 1001303107241</t>
  </si>
  <si>
    <t>7255 МЯСНЫЕ С ГОВЯД.ПМ сос п/о мгс 0.4кг 6шт.  ОСТАНКИНО, 1001025507255</t>
  </si>
  <si>
    <t>7271 МЯСНЫЕ С ГОВЯДИНОЙ ПМ сос п/о мгс 1.5*4  ОСТАНКИНО, 1001025507271</t>
  </si>
  <si>
    <t>7344 КОНСЕРВЫ МЯС.ГОВЯДИНА ТУШ. В/С 338г_ЧЗ  ОСТАНКИНО, 1001122287344</t>
  </si>
  <si>
    <t>7345 КОНСЕРВЫ МЯС.СВИНИНА ТУШ. В/С 325г_ЧЗ  ОСТАНКИНО, 1001123677345</t>
  </si>
  <si>
    <t>7364 ЧОРИЗО Останкино с/к в/у 1/220 8шт.  ОСТАНКИНО, 1001063217364</t>
  </si>
  <si>
    <t>7382  САЛЯМИ МЕЛКОЗЕРНЕНАЯ с/к в/у1/120 8шт.  ОСТАНКИНО, 1001203117382</t>
  </si>
  <si>
    <t>7386 БАРСЕЛОНА ПМ с/к в/у 1/150  ОСТАНКИНО, 1001067017386</t>
  </si>
  <si>
    <t>7456 САЛЯМИ ФИНСКАЯ Папа может с/к в/у 1/150  ОСТАНКИНО, 1001063097456</t>
  </si>
  <si>
    <t>7461 ДЛЯ ДЕТЕЙ Папа Может сос п/о мгс 0,33кг ОСТАНКИНО, 1001025767461</t>
  </si>
  <si>
    <t>7485 РИЕТ МЯСНОЙ С ГРИБАМИ ПМ п/о 1/150  ОСТАНКИНО, 1001107397485</t>
  </si>
  <si>
    <t>7490 СОЧНЫЙ ГРИЛЬ сос ц/о мгс 0.41кг_Даблпак  ОСТАНКИНО, 1001027417490</t>
  </si>
  <si>
    <t>7513 ВОСКРЕСЕНСКАЯ ВЯЛЕНАЯ в/к в/у срез 1/260  ОСТАНКИНО, 1001307077513</t>
  </si>
  <si>
    <t>7516 НОВОМОСКОВСКАЯ в/к в/у срез 0.31кг  ОСТАНКИНО, 1001307107516</t>
  </si>
  <si>
    <t>7523 ГОВЯЖЬЯ Папа Может вар п/о 0,4кг 6шт. ОСТАНКИНО, 1001012427523</t>
  </si>
  <si>
    <t>7539 ДОКТОРСКАЯ ГОСТ вар п/о 0,35кг ОСТАНКИНО, 1001010017539</t>
  </si>
  <si>
    <t>7603 БАЛЫКОВАЯ в/к в/у 0.33кг 8шт. ОСТАНКИНО, 1001303637603</t>
  </si>
  <si>
    <t>7613 АРОМАТНАЯ с/к с/н в/у 1/100 10шт_Л10  ОСТАНКИНО, 1001061977613</t>
  </si>
  <si>
    <t>7616 ЭКСТРА Папа может с/к с/н в/у 1/100_  ОСТАНКИНО, 1001062507616</t>
  </si>
  <si>
    <t>7626 БРАУНШВЕЙГСКАЯ с/к с/н мгс 1/100_Л10  ОСТАНКИНО, 1001066607626</t>
  </si>
  <si>
    <t>7632 ЭКСТРА Папа может вар п/о 0.4кг 8шт_195к  ОСТАНКИНО, 1001012507632</t>
  </si>
  <si>
    <t>7710 КРАКОВСКАЯ ГОСТ п/к н/о мгс 0.3кг  ОСТАНКИНО, 1001307587710</t>
  </si>
  <si>
    <t>7725 ВЕТ.МРАМОРНАЯ в/у срез 0.3кг 6шт_62  ОСТАНКИНО, 1001092437725</t>
  </si>
  <si>
    <t>7730 ХОЧУ ВЕТЧ.ИЗ СВ.ОТРУБА мгс 1/100_45с_Л11  ОСТАНКИНО, 1001097747730</t>
  </si>
  <si>
    <t>7731 ХОЧУ ВЕТЧ. МРАМОР. с/н мгс 1/100_45с_Л11  ОСТАНКИНО, 1001097767731</t>
  </si>
  <si>
    <t xml:space="preserve">Останкино Заморозка, </t>
  </si>
  <si>
    <t>5754 БЛИНЧ.КРУГЛЫЕ С МЯСОМ 4,5кг зам. ПМ ОСТАНКИНО, 1002131155754</t>
  </si>
  <si>
    <t>5755 БЛИНЧ.КРУГЛЫЕ С ТВОРОГОМ 4,5кг зам. ПМ ОСТАНКИНО, 1002131185755</t>
  </si>
  <si>
    <t>5897 БЛИНЧ.КРУГЛЫЕ С ГРУШЕЙ пл.1/420 зам.   ОСТАНКИНО, 1002134615897</t>
  </si>
  <si>
    <t>6149 БЛИНЧ.КРУГЛЫЕ С ПЕЧЕНЬЮ ПМ 1/300 зам. ОСТАНКИНО, 1002131166149</t>
  </si>
  <si>
    <t>6168 Блинчики с мясом пл. 1/350 зам. ОСТАНКИНО, 1002131156168</t>
  </si>
  <si>
    <t>6202 БЛИНЧ.КРУГЛЫЕ С ТВОРОГОМ ПМ 1/300 зам. ОСТАНКИНО, 1002131186202</t>
  </si>
  <si>
    <t>6209 Блинчики с куриным мясом пл. 1/350 зам. ОСТАНКИНО, 1002131146209</t>
  </si>
  <si>
    <t>6819 БЛИНЧ.КРУГЛЫЕ С САД.ЯБЛОК. пл. 1/300 зам. ОСТАНКИНО, 1002134276819</t>
  </si>
  <si>
    <t>6824 ОСТАНКИНСКИЕ пельм кор.0,5кг зам_NEW  ОСТАНКИНО, 1002112606824</t>
  </si>
  <si>
    <t>7049 С КАРТОФ.И ГРИБ.вареники пл.0,42кг зам  ОСТАНКИНО, 1002151787049</t>
  </si>
  <si>
    <t>7085 ОСТАНКИНСКИЕ пельм пл.0,7кг 10шт.зам  ОСТАНКИНО, 1002112607085</t>
  </si>
  <si>
    <t>7212 СОЧНЫЕ Папа Может пельм пл.0,42кг зам  ОСТАНКИНО, 1002112857212</t>
  </si>
  <si>
    <t>7214 СОЧНЫЕ Папа Может пельм пл.0,7кг зам  ОСТАНКИНО, 1002112857214</t>
  </si>
  <si>
    <t>7216 СОЧНЫЕ СО СЛ.МАСЛ.ПМ пельм пл.0.7кг зам. ОСТАНКИНО, 1002116437216</t>
  </si>
  <si>
    <t>7224 МЯСНЫЕ ПРЕМИУМ пельм кор.0,4кг зам  ОСТАНКИНО, 1002116517224</t>
  </si>
  <si>
    <t>7375 СОЧНЫЕ Папа Может пельм 4кг зам  ОСТАНКИНО, 1002112857375</t>
  </si>
  <si>
    <t xml:space="preserve">Останкино КОРОВИНО (ВЕС), </t>
  </si>
  <si>
    <t>6861 ДОМАШНИЙ РЕЦЕПТ Коровино вар п/о  Останкино, 1001015646861</t>
  </si>
  <si>
    <t>6866 ВЕТЧ.НЕЖНАЯ Коровино п/о_Маяк  Останкино, 1001095716866</t>
  </si>
  <si>
    <t xml:space="preserve">Останкино КОРОВИНО (ШТ), </t>
  </si>
  <si>
    <t>7149 БАЛЫКОВАЯ Коровино п/к в/у 0,84кг_50с  Останкино, 1001303637149</t>
  </si>
  <si>
    <t>Итого</t>
  </si>
  <si>
    <t>Конечный остаток на 29.10.26</t>
  </si>
  <si>
    <t>Дефицит</t>
  </si>
  <si>
    <t>Нач.остаток на кг/шт 28.10.26</t>
  </si>
  <si>
    <t>Заказано кг на 29.10.26</t>
  </si>
  <si>
    <t>Расход кг на 29.10.26</t>
  </si>
  <si>
    <t>5708 ПОСОЛЬСКАЯ Папа может с/к в/у ОСТАНКИНО</t>
  </si>
  <si>
    <t>7075 МОЛОЧ.ПРЕМИУМ ПМ сос п/о мгс 1,5*4_О_50с  Останкино</t>
  </si>
  <si>
    <t>7536 ДОКТОРСКАЯ ГОСТ Останкино вар п/о  ОСТАНКИНО</t>
  </si>
  <si>
    <t>6475 Сосиски Папа может 400г С сыром  ОСТАНКИНО</t>
  </si>
  <si>
    <t>6602 БАВАРСКИЕ ПМ сос ц/о мгс 0,35кг 8шт  Останкино</t>
  </si>
  <si>
    <t>6713 СОЧНЫЙ ГРИЛЬ ПМ сос п/о мгс 0,41кг 8 шт.  ОСТАНКИНО</t>
  </si>
  <si>
    <t>6834 ПОСОЛЬСКАЯ с/к с/н в/у 1/100 10шт  Останкино</t>
  </si>
  <si>
    <t>7147 САЛЬЧИЧОН Останкино с/к в/у 1/220 8 шт  Останкино</t>
  </si>
  <si>
    <t>7489 СЫРРРВЕЛАТ Папа Может в/к в/у 0,28кг 8шт. ОСТАНКИНО</t>
  </si>
  <si>
    <t>7612 БАЛЫК с/к с/н в/у 1/100 10шт_  ОСТАНКИНО</t>
  </si>
  <si>
    <t>6148 БЛИНЧ.КРУГЛЫЕ С ВЕТЧ.И СЫР. ПМ 1/300 зам. ОСТАНКИНО</t>
  </si>
  <si>
    <t>Сроки ниже 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</si>
</sst>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;[Red]\-#,##0.000"/>
    <numFmt numFmtId="165" formatCode="0.000;[Red]\-0.000"/>
    <numFmt numFmtId="167" formatCode="0.000"/>
  </numFmts>
  <fonts count="6" x14ac:knownFonts="1">
    <font>
      <sz val="8"/>
      <name val="Arial"/>
      <family val="2"/>
    </font>
    <font>
      <b/>
      <sz val="18"/>
      <name val="Arial"/>
    </font>
    <font>
      <sz val="10"/>
      <name val="Arial"/>
    </font>
    <font>
      <sz val="8"/>
      <name val="Arial"/>
    </font>
    <font>
      <b/>
      <sz val="10"/>
      <name val="Arial"/>
      <family val="2"/>
      <charset val="204"/>
    </font>
    <font>
      <b/>
      <sz val="8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28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24"/>
      </left>
      <right/>
      <top style="thin">
        <color indexed="24"/>
      </top>
      <bottom/>
      <diagonal/>
    </border>
    <border>
      <left style="thin">
        <color indexed="24"/>
      </left>
      <right/>
      <top/>
      <bottom style="thin">
        <color indexed="24"/>
      </bottom>
      <diagonal/>
    </border>
    <border>
      <left style="thin">
        <color indexed="24"/>
      </left>
      <right/>
      <top style="thin">
        <color indexed="24"/>
      </top>
      <bottom style="thin">
        <color indexed="24"/>
      </bottom>
      <diagonal/>
    </border>
    <border>
      <left style="thin">
        <color indexed="2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/>
      <right/>
      <top style="thin">
        <color indexed="24"/>
      </top>
      <bottom style="thin">
        <color indexed="24"/>
      </bottom>
      <diagonal/>
    </border>
    <border>
      <left/>
      <right style="thin">
        <color indexed="24"/>
      </right>
      <top style="thin">
        <color indexed="24"/>
      </top>
      <bottom style="thin">
        <color indexed="24"/>
      </bottom>
      <diagonal/>
    </border>
    <border>
      <left/>
      <right style="thin">
        <color indexed="60"/>
      </right>
      <top style="thin">
        <color indexed="24"/>
      </top>
      <bottom style="thin">
        <color indexed="2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NumberFormat="1" applyFont="1" applyAlignment="1">
      <alignment vertical="top"/>
    </xf>
    <xf numFmtId="0" fontId="2" fillId="0" borderId="0" xfId="0" applyNumberFormat="1" applyFont="1" applyAlignment="1">
      <alignment vertical="top"/>
    </xf>
    <xf numFmtId="164" fontId="3" fillId="2" borderId="1" xfId="0" applyNumberFormat="1" applyFont="1" applyFill="1" applyBorder="1" applyAlignment="1">
      <alignment horizontal="right" vertical="top"/>
    </xf>
    <xf numFmtId="165" fontId="3" fillId="2" borderId="1" xfId="0" applyNumberFormat="1" applyFont="1" applyFill="1" applyBorder="1" applyAlignment="1">
      <alignment horizontal="right" vertical="top"/>
    </xf>
    <xf numFmtId="164" fontId="3" fillId="3" borderId="1" xfId="0" applyNumberFormat="1" applyFont="1" applyFill="1" applyBorder="1" applyAlignment="1">
      <alignment horizontal="right" vertical="top"/>
    </xf>
    <xf numFmtId="165" fontId="3" fillId="3" borderId="1" xfId="0" applyNumberFormat="1" applyFont="1" applyFill="1" applyBorder="1" applyAlignment="1">
      <alignment horizontal="right" vertical="top"/>
    </xf>
    <xf numFmtId="0" fontId="4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horizontal="left" vertical="top" wrapText="1"/>
    </xf>
    <xf numFmtId="164" fontId="3" fillId="2" borderId="4" xfId="0" applyNumberFormat="1" applyFont="1" applyFill="1" applyBorder="1" applyAlignment="1">
      <alignment horizontal="right" vertical="top"/>
    </xf>
    <xf numFmtId="164" fontId="3" fillId="3" borderId="4" xfId="0" applyNumberFormat="1" applyFont="1" applyFill="1" applyBorder="1" applyAlignment="1">
      <alignment horizontal="right" vertical="top"/>
    </xf>
    <xf numFmtId="0" fontId="0" fillId="0" borderId="6" xfId="0" applyBorder="1"/>
    <xf numFmtId="167" fontId="5" fillId="5" borderId="6" xfId="0" applyNumberFormat="1" applyFont="1" applyFill="1" applyBorder="1"/>
    <xf numFmtId="167" fontId="5" fillId="6" borderId="6" xfId="0" applyNumberFormat="1" applyFont="1" applyFill="1" applyBorder="1"/>
    <xf numFmtId="0" fontId="5" fillId="0" borderId="1" xfId="0" applyNumberFormat="1" applyFont="1" applyBorder="1" applyAlignment="1">
      <alignment vertical="top" wrapText="1" indent="6"/>
    </xf>
    <xf numFmtId="165" fontId="5" fillId="0" borderId="1" xfId="0" applyNumberFormat="1" applyFont="1" applyBorder="1" applyAlignment="1">
      <alignment horizontal="right" vertical="top"/>
    </xf>
    <xf numFmtId="167" fontId="5" fillId="0" borderId="7" xfId="0" applyNumberFormat="1" applyFont="1" applyBorder="1" applyAlignment="1">
      <alignment horizontal="right" vertical="top"/>
    </xf>
    <xf numFmtId="165" fontId="5" fillId="0" borderId="4" xfId="0" applyNumberFormat="1" applyFont="1" applyBorder="1" applyAlignment="1">
      <alignment horizontal="right" vertical="top"/>
    </xf>
    <xf numFmtId="0" fontId="5" fillId="0" borderId="1" xfId="0" applyNumberFormat="1" applyFont="1" applyBorder="1" applyAlignment="1">
      <alignment horizontal="right" vertical="top"/>
    </xf>
    <xf numFmtId="164" fontId="5" fillId="0" borderId="4" xfId="0" applyNumberFormat="1" applyFont="1" applyBorder="1" applyAlignment="1">
      <alignment horizontal="right" vertical="top"/>
    </xf>
    <xf numFmtId="167" fontId="5" fillId="6" borderId="7" xfId="0" applyNumberFormat="1" applyFont="1" applyFill="1" applyBorder="1" applyAlignment="1">
      <alignment horizontal="right" vertical="top"/>
    </xf>
    <xf numFmtId="165" fontId="5" fillId="6" borderId="1" xfId="0" applyNumberFormat="1" applyFont="1" applyFill="1" applyBorder="1" applyAlignment="1">
      <alignment horizontal="right" vertical="top"/>
    </xf>
    <xf numFmtId="0" fontId="5" fillId="6" borderId="1" xfId="0" applyNumberFormat="1" applyFont="1" applyFill="1" applyBorder="1" applyAlignment="1">
      <alignment horizontal="right" vertical="top"/>
    </xf>
    <xf numFmtId="0" fontId="5" fillId="0" borderId="4" xfId="0" applyNumberFormat="1" applyFont="1" applyBorder="1" applyAlignment="1">
      <alignment horizontal="right" vertical="top"/>
    </xf>
    <xf numFmtId="164" fontId="5" fillId="3" borderId="1" xfId="0" applyNumberFormat="1" applyFont="1" applyFill="1" applyBorder="1" applyAlignment="1">
      <alignment horizontal="right" vertical="top"/>
    </xf>
    <xf numFmtId="165" fontId="5" fillId="3" borderId="1" xfId="0" applyNumberFormat="1" applyFont="1" applyFill="1" applyBorder="1" applyAlignment="1">
      <alignment horizontal="right" vertical="top"/>
    </xf>
    <xf numFmtId="164" fontId="5" fillId="3" borderId="4" xfId="0" applyNumberFormat="1" applyFont="1" applyFill="1" applyBorder="1" applyAlignment="1">
      <alignment horizontal="right" vertical="top"/>
    </xf>
    <xf numFmtId="0" fontId="5" fillId="0" borderId="6" xfId="0" applyFont="1" applyBorder="1"/>
    <xf numFmtId="165" fontId="5" fillId="3" borderId="4" xfId="0" applyNumberFormat="1" applyFont="1" applyFill="1" applyBorder="1" applyAlignment="1">
      <alignment horizontal="right" vertical="top"/>
    </xf>
    <xf numFmtId="0" fontId="5" fillId="3" borderId="4" xfId="0" applyNumberFormat="1" applyFont="1" applyFill="1" applyBorder="1" applyAlignment="1">
      <alignment horizontal="right" vertical="top"/>
    </xf>
    <xf numFmtId="164" fontId="4" fillId="4" borderId="1" xfId="0" applyNumberFormat="1" applyFont="1" applyFill="1" applyBorder="1" applyAlignment="1">
      <alignment horizontal="right" vertical="top"/>
    </xf>
    <xf numFmtId="164" fontId="4" fillId="4" borderId="4" xfId="0" applyNumberFormat="1" applyFont="1" applyFill="1" applyBorder="1" applyAlignment="1">
      <alignment horizontal="right" vertical="top"/>
    </xf>
    <xf numFmtId="0" fontId="5" fillId="6" borderId="6" xfId="0" applyFont="1" applyFill="1" applyBorder="1"/>
    <xf numFmtId="0" fontId="5" fillId="0" borderId="0" xfId="0" applyFont="1"/>
    <xf numFmtId="167" fontId="5" fillId="5" borderId="7" xfId="0" applyNumberFormat="1" applyFont="1" applyFill="1" applyBorder="1" applyAlignment="1">
      <alignment horizontal="right" vertical="top"/>
    </xf>
    <xf numFmtId="167" fontId="5" fillId="3" borderId="1" xfId="0" applyNumberFormat="1" applyFont="1" applyFill="1" applyBorder="1" applyAlignment="1">
      <alignment horizontal="right" vertical="top"/>
    </xf>
    <xf numFmtId="167" fontId="5" fillId="0" borderId="1" xfId="0" applyNumberFormat="1" applyFont="1" applyBorder="1" applyAlignment="1">
      <alignment horizontal="right" vertical="top"/>
    </xf>
    <xf numFmtId="167" fontId="4" fillId="4" borderId="1" xfId="0" applyNumberFormat="1" applyFont="1" applyFill="1" applyBorder="1" applyAlignment="1">
      <alignment horizontal="right" vertical="top"/>
    </xf>
    <xf numFmtId="0" fontId="5" fillId="0" borderId="4" xfId="0" applyNumberFormat="1" applyFont="1" applyBorder="1" applyAlignment="1">
      <alignment horizontal="center" vertical="top" wrapText="1"/>
    </xf>
    <xf numFmtId="0" fontId="5" fillId="0" borderId="8" xfId="0" applyNumberFormat="1" applyFont="1" applyBorder="1" applyAlignment="1">
      <alignment horizontal="center" vertical="top" wrapText="1"/>
    </xf>
    <xf numFmtId="0" fontId="5" fillId="0" borderId="9" xfId="0" applyNumberFormat="1" applyFont="1" applyBorder="1" applyAlignment="1">
      <alignment horizontal="center" vertical="top" wrapText="1"/>
    </xf>
    <xf numFmtId="165" fontId="5" fillId="0" borderId="4" xfId="0" applyNumberFormat="1" applyFont="1" applyBorder="1" applyAlignment="1">
      <alignment horizontal="center" vertical="top"/>
    </xf>
    <xf numFmtId="165" fontId="5" fillId="0" borderId="9" xfId="0" applyNumberFormat="1" applyFont="1" applyBorder="1" applyAlignment="1">
      <alignment horizontal="center" vertical="top"/>
    </xf>
    <xf numFmtId="165" fontId="5" fillId="0" borderId="10" xfId="0" applyNumberFormat="1" applyFont="1" applyBorder="1" applyAlignment="1">
      <alignment horizontal="center" vertical="top"/>
    </xf>
    <xf numFmtId="0" fontId="4" fillId="4" borderId="1" xfId="0" applyNumberFormat="1" applyFont="1" applyFill="1" applyBorder="1" applyAlignment="1">
      <alignment vertical="top"/>
    </xf>
    <xf numFmtId="164" fontId="4" fillId="4" borderId="1" xfId="0" applyNumberFormat="1" applyFont="1" applyFill="1" applyBorder="1" applyAlignment="1">
      <alignment horizontal="right" vertical="top"/>
    </xf>
    <xf numFmtId="0" fontId="4" fillId="4" borderId="2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164" fontId="5" fillId="0" borderId="4" xfId="0" applyNumberFormat="1" applyFont="1" applyBorder="1" applyAlignment="1">
      <alignment horizontal="center" vertical="top"/>
    </xf>
    <xf numFmtId="164" fontId="5" fillId="0" borderId="9" xfId="0" applyNumberFormat="1" applyFont="1" applyBorder="1" applyAlignment="1">
      <alignment horizontal="center" vertical="top"/>
    </xf>
    <xf numFmtId="0" fontId="5" fillId="0" borderId="1" xfId="0" applyNumberFormat="1" applyFont="1" applyBorder="1" applyAlignment="1">
      <alignment vertical="top" wrapText="1" indent="6"/>
    </xf>
    <xf numFmtId="165" fontId="5" fillId="0" borderId="1" xfId="0" applyNumberFormat="1" applyFont="1" applyBorder="1" applyAlignment="1">
      <alignment horizontal="right" vertical="top"/>
    </xf>
    <xf numFmtId="0" fontId="5" fillId="3" borderId="1" xfId="0" applyNumberFormat="1" applyFont="1" applyFill="1" applyBorder="1" applyAlignment="1">
      <alignment vertical="top" wrapText="1" indent="4"/>
    </xf>
    <xf numFmtId="165" fontId="5" fillId="3" borderId="1" xfId="0" applyNumberFormat="1" applyFont="1" applyFill="1" applyBorder="1" applyAlignment="1">
      <alignment horizontal="right" vertical="top"/>
    </xf>
    <xf numFmtId="164" fontId="5" fillId="0" borderId="1" xfId="0" applyNumberFormat="1" applyFont="1" applyBorder="1" applyAlignment="1">
      <alignment horizontal="right" vertical="top"/>
    </xf>
    <xf numFmtId="0" fontId="5" fillId="0" borderId="4" xfId="0" applyNumberFormat="1" applyFont="1" applyBorder="1" applyAlignment="1">
      <alignment vertical="top" wrapText="1" indent="6"/>
    </xf>
    <xf numFmtId="0" fontId="5" fillId="0" borderId="8" xfId="0" applyNumberFormat="1" applyFont="1" applyBorder="1" applyAlignment="1">
      <alignment vertical="top" wrapText="1" indent="6"/>
    </xf>
    <xf numFmtId="0" fontId="5" fillId="0" borderId="9" xfId="0" applyNumberFormat="1" applyFont="1" applyBorder="1" applyAlignment="1">
      <alignment vertical="top" wrapText="1" indent="6"/>
    </xf>
    <xf numFmtId="164" fontId="5" fillId="3" borderId="1" xfId="0" applyNumberFormat="1" applyFont="1" applyFill="1" applyBorder="1" applyAlignment="1">
      <alignment horizontal="right" vertical="top"/>
    </xf>
    <xf numFmtId="0" fontId="3" fillId="3" borderId="1" xfId="0" applyNumberFormat="1" applyFont="1" applyFill="1" applyBorder="1" applyAlignment="1">
      <alignment vertical="top" wrapText="1" indent="4"/>
    </xf>
    <xf numFmtId="164" fontId="3" fillId="3" borderId="1" xfId="0" applyNumberFormat="1" applyFont="1" applyFill="1" applyBorder="1" applyAlignment="1">
      <alignment horizontal="right" vertical="top"/>
    </xf>
    <xf numFmtId="0" fontId="3" fillId="2" borderId="1" xfId="0" applyNumberFormat="1" applyFont="1" applyFill="1" applyBorder="1" applyAlignment="1">
      <alignment vertical="top" wrapText="1"/>
    </xf>
    <xf numFmtId="164" fontId="3" fillId="2" borderId="1" xfId="0" applyNumberFormat="1" applyFont="1" applyFill="1" applyBorder="1" applyAlignment="1">
      <alignment horizontal="right" vertical="top"/>
    </xf>
    <xf numFmtId="0" fontId="3" fillId="3" borderId="1" xfId="0" applyNumberFormat="1" applyFont="1" applyFill="1" applyBorder="1" applyAlignment="1">
      <alignment vertical="top" wrapText="1" indent="2"/>
    </xf>
    <xf numFmtId="0" fontId="2" fillId="0" borderId="0" xfId="0" applyNumberFormat="1" applyFont="1" applyAlignment="1">
      <alignment vertical="top" wrapText="1"/>
    </xf>
    <xf numFmtId="0" fontId="2" fillId="4" borderId="1" xfId="0" applyNumberFormat="1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  <xf numFmtId="0" fontId="4" fillId="4" borderId="3" xfId="0" applyFont="1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CCC085"/>
      <rgbColor rgb="00993366"/>
      <rgbColor rgb="00F4ECC5"/>
      <rgbColor rgb="00CCFFFF"/>
      <rgbColor rgb="00F8F2D8"/>
      <rgbColor rgb="00FBF9EC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K149"/>
  <sheetViews>
    <sheetView tabSelected="1" workbookViewId="0">
      <selection activeCell="L2" sqref="L2"/>
    </sheetView>
  </sheetViews>
  <sheetFormatPr defaultColWidth="10.6640625" defaultRowHeight="11.25" outlineLevelRow="3" x14ac:dyDescent="0.2"/>
  <cols>
    <col min="1" max="1" width="10.5" customWidth="1"/>
    <col min="2" max="2" width="4.1640625" customWidth="1"/>
    <col min="3" max="3" width="41.6640625" customWidth="1"/>
    <col min="4" max="4" width="11.33203125" customWidth="1"/>
    <col min="5" max="5" width="3" customWidth="1"/>
    <col min="6" max="6" width="12.6640625" customWidth="1"/>
    <col min="7" max="7" width="17.83203125" customWidth="1"/>
    <col min="8" max="8" width="20" customWidth="1"/>
    <col min="9" max="9" width="23.1640625" customWidth="1"/>
    <col min="10" max="10" width="21.6640625" customWidth="1"/>
    <col min="11" max="11" width="19" customWidth="1"/>
  </cols>
  <sheetData>
    <row r="1" spans="1:10" ht="9.9499999999999993" customHeight="1" x14ac:dyDescent="0.2"/>
    <row r="2" spans="1:10" ht="24" customHeight="1" x14ac:dyDescent="0.2">
      <c r="A2" s="1" t="s">
        <v>0</v>
      </c>
      <c r="B2" s="1"/>
      <c r="C2" s="1"/>
    </row>
    <row r="3" spans="1:10" ht="9.9499999999999993" customHeight="1" x14ac:dyDescent="0.2"/>
    <row r="4" spans="1:10" ht="12.75" customHeight="1" outlineLevel="1" x14ac:dyDescent="0.2">
      <c r="A4" s="2" t="s">
        <v>1</v>
      </c>
      <c r="B4" s="2"/>
      <c r="C4" s="2" t="s">
        <v>2</v>
      </c>
      <c r="D4" s="2"/>
      <c r="E4" s="2"/>
    </row>
    <row r="5" spans="1:10" ht="12.75" customHeight="1" outlineLevel="1" x14ac:dyDescent="0.2">
      <c r="C5" s="2" t="s">
        <v>3</v>
      </c>
      <c r="D5" s="2"/>
      <c r="E5" s="2"/>
    </row>
    <row r="6" spans="1:10" ht="24.75" customHeight="1" outlineLevel="1" x14ac:dyDescent="0.2">
      <c r="A6" s="2" t="s">
        <v>4</v>
      </c>
      <c r="B6" s="2"/>
      <c r="C6" s="64" t="s">
        <v>5</v>
      </c>
      <c r="D6" s="64"/>
      <c r="E6" s="64"/>
      <c r="F6" s="64"/>
      <c r="G6" s="64"/>
      <c r="H6" s="64"/>
      <c r="I6" s="64"/>
      <c r="J6" s="64"/>
    </row>
    <row r="7" spans="1:10" ht="9.9499999999999993" customHeight="1" x14ac:dyDescent="0.2"/>
    <row r="8" spans="1:10" ht="12.75" customHeight="1" x14ac:dyDescent="0.2">
      <c r="A8" s="65" t="s">
        <v>6</v>
      </c>
      <c r="B8" s="65"/>
      <c r="C8" s="65"/>
      <c r="D8" s="65"/>
      <c r="E8" s="66" t="s">
        <v>7</v>
      </c>
      <c r="F8" s="66"/>
      <c r="G8" s="66"/>
      <c r="H8" s="66"/>
      <c r="I8" s="67" t="s">
        <v>138</v>
      </c>
      <c r="J8" s="46" t="s">
        <v>139</v>
      </c>
    </row>
    <row r="9" spans="1:10" ht="24.75" customHeight="1" x14ac:dyDescent="0.2">
      <c r="A9" s="65" t="s">
        <v>8</v>
      </c>
      <c r="B9" s="65"/>
      <c r="C9" s="65"/>
      <c r="D9" s="65"/>
      <c r="E9" s="66" t="s">
        <v>140</v>
      </c>
      <c r="F9" s="66"/>
      <c r="G9" s="8" t="s">
        <v>141</v>
      </c>
      <c r="H9" s="7" t="s">
        <v>142</v>
      </c>
      <c r="I9" s="68"/>
      <c r="J9" s="47"/>
    </row>
    <row r="10" spans="1:10" ht="11.25" customHeight="1" x14ac:dyDescent="0.2">
      <c r="A10" s="61" t="s">
        <v>9</v>
      </c>
      <c r="B10" s="61"/>
      <c r="C10" s="61"/>
      <c r="D10" s="61"/>
      <c r="E10" s="62">
        <v>30214.675999999999</v>
      </c>
      <c r="F10" s="62"/>
      <c r="G10" s="4"/>
      <c r="H10" s="3">
        <v>3944.951</v>
      </c>
      <c r="I10" s="9">
        <v>29217.75</v>
      </c>
      <c r="J10" s="11"/>
    </row>
    <row r="11" spans="1:10" ht="11.25" customHeight="1" outlineLevel="1" x14ac:dyDescent="0.2">
      <c r="A11" s="63" t="s">
        <v>10</v>
      </c>
      <c r="B11" s="63"/>
      <c r="C11" s="63"/>
      <c r="D11" s="63"/>
      <c r="E11" s="60">
        <v>29208.675999999999</v>
      </c>
      <c r="F11" s="60"/>
      <c r="G11" s="6"/>
      <c r="H11" s="5">
        <v>3944.951</v>
      </c>
      <c r="I11" s="10">
        <v>12115.75</v>
      </c>
      <c r="J11" s="11"/>
    </row>
    <row r="12" spans="1:10" ht="11.25" customHeight="1" outlineLevel="2" x14ac:dyDescent="0.2">
      <c r="A12" s="59" t="s">
        <v>11</v>
      </c>
      <c r="B12" s="59"/>
      <c r="C12" s="59"/>
      <c r="D12" s="59"/>
      <c r="E12" s="60">
        <v>9605.1820000000007</v>
      </c>
      <c r="F12" s="60"/>
      <c r="G12" s="6"/>
      <c r="H12" s="5">
        <v>1294.7059999999999</v>
      </c>
      <c r="I12" s="10">
        <v>8383.5249999999996</v>
      </c>
      <c r="J12" s="11"/>
    </row>
    <row r="13" spans="1:10" ht="11.25" customHeight="1" outlineLevel="3" x14ac:dyDescent="0.2">
      <c r="A13" s="50" t="s">
        <v>12</v>
      </c>
      <c r="B13" s="50"/>
      <c r="C13" s="50"/>
      <c r="D13" s="50"/>
      <c r="E13" s="51">
        <v>13.727</v>
      </c>
      <c r="F13" s="51"/>
      <c r="G13" s="16">
        <v>0.5</v>
      </c>
      <c r="H13" s="15">
        <v>0.54</v>
      </c>
      <c r="I13" s="17">
        <v>13.186999999999999</v>
      </c>
      <c r="J13" s="12"/>
    </row>
    <row r="14" spans="1:10" ht="11.25" customHeight="1" outlineLevel="3" x14ac:dyDescent="0.2">
      <c r="A14" s="50" t="s">
        <v>13</v>
      </c>
      <c r="B14" s="50"/>
      <c r="C14" s="50"/>
      <c r="D14" s="50"/>
      <c r="E14" s="51">
        <v>25.065999999999999</v>
      </c>
      <c r="F14" s="51"/>
      <c r="G14" s="16">
        <v>0</v>
      </c>
      <c r="H14" s="18"/>
      <c r="I14" s="17">
        <v>25.065999999999999</v>
      </c>
      <c r="J14" s="12"/>
    </row>
    <row r="15" spans="1:10" ht="11.25" customHeight="1" outlineLevel="3" x14ac:dyDescent="0.2">
      <c r="A15" s="50" t="s">
        <v>14</v>
      </c>
      <c r="B15" s="50"/>
      <c r="C15" s="50"/>
      <c r="D15" s="50"/>
      <c r="E15" s="54">
        <v>2463.3719999999998</v>
      </c>
      <c r="F15" s="54"/>
      <c r="G15" s="16">
        <v>299.18099999999998</v>
      </c>
      <c r="H15" s="15">
        <v>302.93799999999999</v>
      </c>
      <c r="I15" s="19">
        <v>2171.1869999999999</v>
      </c>
      <c r="J15" s="12"/>
    </row>
    <row r="16" spans="1:10" ht="11.25" customHeight="1" outlineLevel="3" x14ac:dyDescent="0.2">
      <c r="A16" s="50" t="s">
        <v>15</v>
      </c>
      <c r="B16" s="50"/>
      <c r="C16" s="50"/>
      <c r="D16" s="50"/>
      <c r="E16" s="51">
        <v>22.385000000000002</v>
      </c>
      <c r="F16" s="51"/>
      <c r="G16" s="16">
        <v>0</v>
      </c>
      <c r="H16" s="18"/>
      <c r="I16" s="17">
        <v>22.385000000000002</v>
      </c>
      <c r="J16" s="12"/>
    </row>
    <row r="17" spans="1:10" ht="11.25" customHeight="1" outlineLevel="3" x14ac:dyDescent="0.2">
      <c r="A17" s="50" t="s">
        <v>16</v>
      </c>
      <c r="B17" s="50"/>
      <c r="C17" s="50"/>
      <c r="D17" s="50"/>
      <c r="E17" s="51">
        <v>178.614</v>
      </c>
      <c r="F17" s="51"/>
      <c r="G17" s="16">
        <v>11.9</v>
      </c>
      <c r="H17" s="15">
        <v>12.243</v>
      </c>
      <c r="I17" s="17">
        <v>188.07599999999999</v>
      </c>
      <c r="J17" s="12"/>
    </row>
    <row r="18" spans="1:10" ht="11.25" customHeight="1" outlineLevel="3" x14ac:dyDescent="0.2">
      <c r="A18" s="50" t="s">
        <v>17</v>
      </c>
      <c r="B18" s="50"/>
      <c r="C18" s="50"/>
      <c r="D18" s="50"/>
      <c r="E18" s="51">
        <v>776.42600000000004</v>
      </c>
      <c r="F18" s="51"/>
      <c r="G18" s="16">
        <v>74.3</v>
      </c>
      <c r="H18" s="15">
        <v>76.795000000000002</v>
      </c>
      <c r="I18" s="17">
        <v>706.34500000000003</v>
      </c>
      <c r="J18" s="12"/>
    </row>
    <row r="19" spans="1:10" ht="11.25" customHeight="1" outlineLevel="3" x14ac:dyDescent="0.2">
      <c r="A19" s="50" t="s">
        <v>18</v>
      </c>
      <c r="B19" s="50"/>
      <c r="C19" s="50"/>
      <c r="D19" s="50"/>
      <c r="E19" s="51">
        <v>114.367</v>
      </c>
      <c r="F19" s="51"/>
      <c r="G19" s="16">
        <v>2.6</v>
      </c>
      <c r="H19" s="15">
        <v>2.6850000000000001</v>
      </c>
      <c r="I19" s="17">
        <v>111.682</v>
      </c>
      <c r="J19" s="12"/>
    </row>
    <row r="20" spans="1:10" ht="11.25" customHeight="1" outlineLevel="3" x14ac:dyDescent="0.2">
      <c r="A20" s="50" t="s">
        <v>19</v>
      </c>
      <c r="B20" s="50"/>
      <c r="C20" s="50"/>
      <c r="D20" s="50"/>
      <c r="E20" s="51">
        <v>832.18600000000004</v>
      </c>
      <c r="F20" s="51"/>
      <c r="G20" s="16">
        <v>24.812000000000001</v>
      </c>
      <c r="H20" s="15">
        <v>26.433</v>
      </c>
      <c r="I20" s="17">
        <v>808.30799999999999</v>
      </c>
      <c r="J20" s="12"/>
    </row>
    <row r="21" spans="1:10" ht="11.25" customHeight="1" outlineLevel="3" x14ac:dyDescent="0.2">
      <c r="A21" s="38" t="s">
        <v>143</v>
      </c>
      <c r="B21" s="39"/>
      <c r="C21" s="40"/>
      <c r="D21" s="14"/>
      <c r="E21" s="41"/>
      <c r="F21" s="42"/>
      <c r="G21" s="20">
        <v>0.5</v>
      </c>
      <c r="H21" s="21"/>
      <c r="I21" s="17"/>
      <c r="J21" s="13">
        <f t="shared" ref="J21:J47" si="0">G21-H21</f>
        <v>0.5</v>
      </c>
    </row>
    <row r="22" spans="1:10" ht="11.25" customHeight="1" outlineLevel="3" x14ac:dyDescent="0.2">
      <c r="A22" s="50" t="s">
        <v>20</v>
      </c>
      <c r="B22" s="50"/>
      <c r="C22" s="50"/>
      <c r="D22" s="50"/>
      <c r="E22" s="51">
        <v>448.29899999999998</v>
      </c>
      <c r="F22" s="51"/>
      <c r="G22" s="16">
        <v>79.013999999999996</v>
      </c>
      <c r="H22" s="15">
        <v>80.691000000000003</v>
      </c>
      <c r="I22" s="17">
        <v>368.97</v>
      </c>
      <c r="J22" s="12"/>
    </row>
    <row r="23" spans="1:10" ht="11.25" customHeight="1" outlineLevel="3" x14ac:dyDescent="0.2">
      <c r="A23" s="50" t="s">
        <v>21</v>
      </c>
      <c r="B23" s="50"/>
      <c r="C23" s="50"/>
      <c r="D23" s="50"/>
      <c r="E23" s="51">
        <v>11.266</v>
      </c>
      <c r="F23" s="51"/>
      <c r="G23" s="16">
        <v>1.5</v>
      </c>
      <c r="H23" s="15">
        <v>1.734</v>
      </c>
      <c r="I23" s="17">
        <v>9.532</v>
      </c>
      <c r="J23" s="12"/>
    </row>
    <row r="24" spans="1:10" ht="11.25" customHeight="1" outlineLevel="3" x14ac:dyDescent="0.2">
      <c r="A24" s="50" t="s">
        <v>22</v>
      </c>
      <c r="B24" s="50"/>
      <c r="C24" s="50"/>
      <c r="D24" s="50"/>
      <c r="E24" s="51">
        <v>442.73200000000003</v>
      </c>
      <c r="F24" s="51"/>
      <c r="G24" s="16">
        <v>29.9</v>
      </c>
      <c r="H24" s="15">
        <v>31.34</v>
      </c>
      <c r="I24" s="17">
        <v>411.392</v>
      </c>
      <c r="J24" s="12"/>
    </row>
    <row r="25" spans="1:10" ht="11.25" customHeight="1" outlineLevel="3" x14ac:dyDescent="0.2">
      <c r="A25" s="50" t="s">
        <v>23</v>
      </c>
      <c r="B25" s="50"/>
      <c r="C25" s="50"/>
      <c r="D25" s="50"/>
      <c r="E25" s="51">
        <v>188.14</v>
      </c>
      <c r="F25" s="51"/>
      <c r="G25" s="16">
        <v>176.75</v>
      </c>
      <c r="H25" s="15">
        <v>172.578</v>
      </c>
      <c r="I25" s="17">
        <v>17.116</v>
      </c>
      <c r="J25" s="12"/>
    </row>
    <row r="26" spans="1:10" ht="11.25" customHeight="1" outlineLevel="3" x14ac:dyDescent="0.2">
      <c r="A26" s="50" t="s">
        <v>24</v>
      </c>
      <c r="B26" s="50"/>
      <c r="C26" s="50"/>
      <c r="D26" s="50"/>
      <c r="E26" s="51">
        <v>227.762</v>
      </c>
      <c r="F26" s="51"/>
      <c r="G26" s="16">
        <v>6.1</v>
      </c>
      <c r="H26" s="15">
        <v>6.0289999999999999</v>
      </c>
      <c r="I26" s="17">
        <v>223.726</v>
      </c>
      <c r="J26" s="12"/>
    </row>
    <row r="27" spans="1:10" ht="11.25" customHeight="1" outlineLevel="3" x14ac:dyDescent="0.2">
      <c r="A27" s="50" t="s">
        <v>25</v>
      </c>
      <c r="B27" s="50"/>
      <c r="C27" s="50"/>
      <c r="D27" s="50"/>
      <c r="E27" s="51">
        <v>38.216999999999999</v>
      </c>
      <c r="F27" s="51"/>
      <c r="G27" s="16">
        <v>17.138000000000002</v>
      </c>
      <c r="H27" s="15">
        <v>17.576000000000001</v>
      </c>
      <c r="I27" s="17">
        <v>22.713999999999999</v>
      </c>
      <c r="J27" s="12"/>
    </row>
    <row r="28" spans="1:10" ht="11.25" customHeight="1" outlineLevel="3" x14ac:dyDescent="0.2">
      <c r="A28" s="50" t="s">
        <v>26</v>
      </c>
      <c r="B28" s="50"/>
      <c r="C28" s="50"/>
      <c r="D28" s="50"/>
      <c r="E28" s="51">
        <v>93.685000000000002</v>
      </c>
      <c r="F28" s="51"/>
      <c r="G28" s="16">
        <v>22.349</v>
      </c>
      <c r="H28" s="15">
        <v>22.806000000000001</v>
      </c>
      <c r="I28" s="17">
        <v>75.063999999999993</v>
      </c>
      <c r="J28" s="12"/>
    </row>
    <row r="29" spans="1:10" ht="11.25" customHeight="1" outlineLevel="3" x14ac:dyDescent="0.2">
      <c r="A29" s="50" t="s">
        <v>27</v>
      </c>
      <c r="B29" s="50"/>
      <c r="C29" s="50"/>
      <c r="D29" s="50"/>
      <c r="E29" s="51">
        <v>138.535</v>
      </c>
      <c r="F29" s="51"/>
      <c r="G29" s="16">
        <v>33.5</v>
      </c>
      <c r="H29" s="15">
        <v>33.225000000000001</v>
      </c>
      <c r="I29" s="17">
        <v>107.41500000000001</v>
      </c>
      <c r="J29" s="12"/>
    </row>
    <row r="30" spans="1:10" ht="11.25" customHeight="1" outlineLevel="3" x14ac:dyDescent="0.2">
      <c r="A30" s="50" t="s">
        <v>28</v>
      </c>
      <c r="B30" s="50"/>
      <c r="C30" s="50"/>
      <c r="D30" s="50"/>
      <c r="E30" s="51">
        <v>3.6920000000000002</v>
      </c>
      <c r="F30" s="51"/>
      <c r="G30" s="20">
        <v>7.6</v>
      </c>
      <c r="H30" s="22"/>
      <c r="I30" s="17">
        <v>3.6920000000000002</v>
      </c>
      <c r="J30" s="13">
        <f t="shared" si="0"/>
        <v>7.6</v>
      </c>
    </row>
    <row r="31" spans="1:10" ht="11.25" customHeight="1" outlineLevel="3" x14ac:dyDescent="0.2">
      <c r="A31" s="50" t="s">
        <v>29</v>
      </c>
      <c r="B31" s="50"/>
      <c r="C31" s="50"/>
      <c r="D31" s="50"/>
      <c r="E31" s="51">
        <v>26.181999999999999</v>
      </c>
      <c r="F31" s="51"/>
      <c r="G31" s="16">
        <v>21.478000000000002</v>
      </c>
      <c r="H31" s="15">
        <v>21.51</v>
      </c>
      <c r="I31" s="17">
        <v>6.2270000000000003</v>
      </c>
      <c r="J31" s="12"/>
    </row>
    <row r="32" spans="1:10" ht="11.25" customHeight="1" outlineLevel="3" x14ac:dyDescent="0.2">
      <c r="A32" s="50" t="s">
        <v>30</v>
      </c>
      <c r="B32" s="50"/>
      <c r="C32" s="50"/>
      <c r="D32" s="50"/>
      <c r="E32" s="51">
        <v>68.418999999999997</v>
      </c>
      <c r="F32" s="51"/>
      <c r="G32" s="16">
        <v>30.704000000000001</v>
      </c>
      <c r="H32" s="15">
        <v>30.803999999999998</v>
      </c>
      <c r="I32" s="17">
        <v>37.615000000000002</v>
      </c>
      <c r="J32" s="12"/>
    </row>
    <row r="33" spans="1:10" ht="11.25" customHeight="1" outlineLevel="3" x14ac:dyDescent="0.2">
      <c r="A33" s="50" t="s">
        <v>31</v>
      </c>
      <c r="B33" s="50"/>
      <c r="C33" s="50"/>
      <c r="D33" s="50"/>
      <c r="E33" s="51">
        <v>17.158000000000001</v>
      </c>
      <c r="F33" s="51"/>
      <c r="G33" s="16">
        <v>17.158000000000001</v>
      </c>
      <c r="H33" s="15">
        <v>17.158000000000001</v>
      </c>
      <c r="I33" s="23"/>
      <c r="J33" s="12"/>
    </row>
    <row r="34" spans="1:10" ht="11.25" customHeight="1" outlineLevel="3" x14ac:dyDescent="0.2">
      <c r="A34" s="50" t="s">
        <v>32</v>
      </c>
      <c r="B34" s="50"/>
      <c r="C34" s="50"/>
      <c r="D34" s="50"/>
      <c r="E34" s="51">
        <v>784.24</v>
      </c>
      <c r="F34" s="51"/>
      <c r="G34" s="16">
        <v>117.262</v>
      </c>
      <c r="H34" s="15">
        <v>119.521</v>
      </c>
      <c r="I34" s="17">
        <v>666.77099999999996</v>
      </c>
      <c r="J34" s="12"/>
    </row>
    <row r="35" spans="1:10" ht="11.25" customHeight="1" outlineLevel="3" x14ac:dyDescent="0.2">
      <c r="A35" s="50" t="s">
        <v>33</v>
      </c>
      <c r="B35" s="50"/>
      <c r="C35" s="50"/>
      <c r="D35" s="50"/>
      <c r="E35" s="51">
        <v>20.244</v>
      </c>
      <c r="F35" s="51"/>
      <c r="G35" s="16">
        <v>2.6</v>
      </c>
      <c r="H35" s="15">
        <v>2.5760000000000001</v>
      </c>
      <c r="I35" s="17">
        <v>17.667999999999999</v>
      </c>
      <c r="J35" s="12"/>
    </row>
    <row r="36" spans="1:10" ht="11.25" customHeight="1" outlineLevel="3" x14ac:dyDescent="0.2">
      <c r="A36" s="50" t="s">
        <v>34</v>
      </c>
      <c r="B36" s="50"/>
      <c r="C36" s="50"/>
      <c r="D36" s="50"/>
      <c r="E36" s="51">
        <v>34.701000000000001</v>
      </c>
      <c r="F36" s="51"/>
      <c r="G36" s="16">
        <v>6.3</v>
      </c>
      <c r="H36" s="15">
        <v>6.34</v>
      </c>
      <c r="I36" s="17">
        <v>28.361000000000001</v>
      </c>
      <c r="J36" s="12"/>
    </row>
    <row r="37" spans="1:10" ht="11.25" customHeight="1" outlineLevel="3" x14ac:dyDescent="0.2">
      <c r="A37" s="50" t="s">
        <v>35</v>
      </c>
      <c r="B37" s="50"/>
      <c r="C37" s="50"/>
      <c r="D37" s="50"/>
      <c r="E37" s="54">
        <v>1070.145</v>
      </c>
      <c r="F37" s="54"/>
      <c r="G37" s="16">
        <v>99.186000000000007</v>
      </c>
      <c r="H37" s="15">
        <v>100.717</v>
      </c>
      <c r="I37" s="17">
        <v>972.54600000000005</v>
      </c>
      <c r="J37" s="12"/>
    </row>
    <row r="38" spans="1:10" ht="11.25" customHeight="1" outlineLevel="3" x14ac:dyDescent="0.2">
      <c r="A38" s="38" t="s">
        <v>144</v>
      </c>
      <c r="B38" s="39"/>
      <c r="C38" s="40"/>
      <c r="D38" s="14"/>
      <c r="E38" s="48"/>
      <c r="F38" s="49"/>
      <c r="G38" s="20">
        <v>2.5</v>
      </c>
      <c r="H38" s="21"/>
      <c r="I38" s="17"/>
      <c r="J38" s="13">
        <f t="shared" si="0"/>
        <v>2.5</v>
      </c>
    </row>
    <row r="39" spans="1:10" ht="11.25" customHeight="1" outlineLevel="3" x14ac:dyDescent="0.2">
      <c r="A39" s="50" t="s">
        <v>36</v>
      </c>
      <c r="B39" s="50"/>
      <c r="C39" s="50"/>
      <c r="D39" s="50"/>
      <c r="E39" s="51">
        <v>81.369</v>
      </c>
      <c r="F39" s="51"/>
      <c r="G39" s="16">
        <v>9</v>
      </c>
      <c r="H39" s="15">
        <v>9.4120000000000008</v>
      </c>
      <c r="I39" s="17">
        <v>73.516000000000005</v>
      </c>
      <c r="J39" s="12"/>
    </row>
    <row r="40" spans="1:10" ht="11.25" customHeight="1" outlineLevel="3" x14ac:dyDescent="0.2">
      <c r="A40" s="50" t="s">
        <v>37</v>
      </c>
      <c r="B40" s="50"/>
      <c r="C40" s="50"/>
      <c r="D40" s="50"/>
      <c r="E40" s="51">
        <v>35.268999999999998</v>
      </c>
      <c r="F40" s="51"/>
      <c r="G40" s="16">
        <v>35.268999999999998</v>
      </c>
      <c r="H40" s="15">
        <v>35.268999999999998</v>
      </c>
      <c r="I40" s="23"/>
      <c r="J40" s="12"/>
    </row>
    <row r="41" spans="1:10" ht="11.25" customHeight="1" outlineLevel="3" x14ac:dyDescent="0.2">
      <c r="A41" s="50" t="s">
        <v>38</v>
      </c>
      <c r="B41" s="50"/>
      <c r="C41" s="50"/>
      <c r="D41" s="50"/>
      <c r="E41" s="51">
        <v>399.87799999999999</v>
      </c>
      <c r="F41" s="51"/>
      <c r="G41" s="16">
        <v>78.177999999999997</v>
      </c>
      <c r="H41" s="15">
        <v>80.295000000000002</v>
      </c>
      <c r="I41" s="17">
        <v>320.94600000000003</v>
      </c>
      <c r="J41" s="12"/>
    </row>
    <row r="42" spans="1:10" ht="11.25" customHeight="1" outlineLevel="3" x14ac:dyDescent="0.2">
      <c r="A42" s="50" t="s">
        <v>39</v>
      </c>
      <c r="B42" s="50"/>
      <c r="C42" s="50"/>
      <c r="D42" s="50"/>
      <c r="E42" s="51">
        <v>705.52</v>
      </c>
      <c r="F42" s="51"/>
      <c r="G42" s="16">
        <v>53.485999999999997</v>
      </c>
      <c r="H42" s="15">
        <v>55.42</v>
      </c>
      <c r="I42" s="17">
        <v>652.87800000000004</v>
      </c>
      <c r="J42" s="12"/>
    </row>
    <row r="43" spans="1:10" ht="11.25" customHeight="1" outlineLevel="3" x14ac:dyDescent="0.2">
      <c r="A43" s="50" t="s">
        <v>40</v>
      </c>
      <c r="B43" s="50"/>
      <c r="C43" s="50"/>
      <c r="D43" s="50"/>
      <c r="E43" s="51">
        <v>1.302</v>
      </c>
      <c r="F43" s="51"/>
      <c r="G43" s="20">
        <v>6.45</v>
      </c>
      <c r="H43" s="22"/>
      <c r="I43" s="17">
        <v>1.302</v>
      </c>
      <c r="J43" s="13">
        <f t="shared" si="0"/>
        <v>6.45</v>
      </c>
    </row>
    <row r="44" spans="1:10" ht="11.25" customHeight="1" outlineLevel="3" x14ac:dyDescent="0.2">
      <c r="A44" s="50" t="s">
        <v>41</v>
      </c>
      <c r="B44" s="50"/>
      <c r="C44" s="50"/>
      <c r="D44" s="50"/>
      <c r="E44" s="51">
        <v>53.902999999999999</v>
      </c>
      <c r="F44" s="51"/>
      <c r="G44" s="16">
        <v>2</v>
      </c>
      <c r="H44" s="15">
        <v>2.0760000000000001</v>
      </c>
      <c r="I44" s="17">
        <v>51.826999999999998</v>
      </c>
      <c r="J44" s="12"/>
    </row>
    <row r="45" spans="1:10" ht="11.25" customHeight="1" outlineLevel="3" x14ac:dyDescent="0.2">
      <c r="A45" s="50" t="s">
        <v>42</v>
      </c>
      <c r="B45" s="50"/>
      <c r="C45" s="50"/>
      <c r="D45" s="50"/>
      <c r="E45" s="51">
        <v>97.370999999999995</v>
      </c>
      <c r="F45" s="51"/>
      <c r="G45" s="16">
        <v>13</v>
      </c>
      <c r="H45" s="15">
        <v>14.78</v>
      </c>
      <c r="I45" s="17">
        <v>85.866</v>
      </c>
      <c r="J45" s="12"/>
    </row>
    <row r="46" spans="1:10" ht="11.25" customHeight="1" outlineLevel="3" x14ac:dyDescent="0.2">
      <c r="A46" s="50" t="s">
        <v>43</v>
      </c>
      <c r="B46" s="50"/>
      <c r="C46" s="50"/>
      <c r="D46" s="50"/>
      <c r="E46" s="51">
        <v>29.420999999999999</v>
      </c>
      <c r="F46" s="51"/>
      <c r="G46" s="16">
        <v>3.8</v>
      </c>
      <c r="H46" s="15">
        <v>3.7570000000000001</v>
      </c>
      <c r="I46" s="17">
        <v>25.664000000000001</v>
      </c>
      <c r="J46" s="12"/>
    </row>
    <row r="47" spans="1:10" ht="11.25" customHeight="1" outlineLevel="3" x14ac:dyDescent="0.2">
      <c r="A47" s="38" t="s">
        <v>145</v>
      </c>
      <c r="B47" s="39"/>
      <c r="C47" s="40"/>
      <c r="D47" s="14"/>
      <c r="E47" s="41"/>
      <c r="F47" s="42"/>
      <c r="G47" s="20">
        <v>2.8</v>
      </c>
      <c r="H47" s="21"/>
      <c r="I47" s="17"/>
      <c r="J47" s="13">
        <f t="shared" si="0"/>
        <v>2.8</v>
      </c>
    </row>
    <row r="48" spans="1:10" ht="11.25" customHeight="1" outlineLevel="3" x14ac:dyDescent="0.2">
      <c r="A48" s="50" t="s">
        <v>44</v>
      </c>
      <c r="B48" s="50"/>
      <c r="C48" s="50"/>
      <c r="D48" s="50"/>
      <c r="E48" s="51">
        <v>28.928000000000001</v>
      </c>
      <c r="F48" s="51"/>
      <c r="G48" s="16">
        <v>4.383</v>
      </c>
      <c r="H48" s="15">
        <v>4.4169999999999998</v>
      </c>
      <c r="I48" s="17">
        <v>25.143999999999998</v>
      </c>
      <c r="J48" s="12"/>
    </row>
    <row r="49" spans="1:11" ht="11.25" customHeight="1" outlineLevel="3" x14ac:dyDescent="0.2">
      <c r="A49" s="50" t="s">
        <v>45</v>
      </c>
      <c r="B49" s="50"/>
      <c r="C49" s="50"/>
      <c r="D49" s="50"/>
      <c r="E49" s="51">
        <v>16.768999999999998</v>
      </c>
      <c r="F49" s="51"/>
      <c r="G49" s="16">
        <v>1.7170000000000001</v>
      </c>
      <c r="H49" s="15">
        <v>1.7170000000000001</v>
      </c>
      <c r="I49" s="17">
        <v>16.768999999999998</v>
      </c>
      <c r="J49" s="12"/>
    </row>
    <row r="50" spans="1:11" ht="11.25" customHeight="1" outlineLevel="2" x14ac:dyDescent="0.2">
      <c r="A50" s="50" t="s">
        <v>46</v>
      </c>
      <c r="B50" s="50"/>
      <c r="C50" s="50"/>
      <c r="D50" s="50"/>
      <c r="E50" s="51">
        <v>62.68</v>
      </c>
      <c r="F50" s="51"/>
      <c r="G50" s="16">
        <v>0</v>
      </c>
      <c r="H50" s="18"/>
      <c r="I50" s="17">
        <v>62.68</v>
      </c>
      <c r="J50" s="12"/>
    </row>
    <row r="51" spans="1:11" ht="11.25" customHeight="1" outlineLevel="3" x14ac:dyDescent="0.2">
      <c r="A51" s="50" t="s">
        <v>47</v>
      </c>
      <c r="B51" s="50"/>
      <c r="C51" s="50"/>
      <c r="D51" s="50"/>
      <c r="E51" s="51">
        <v>27.675999999999998</v>
      </c>
      <c r="F51" s="51"/>
      <c r="G51" s="16">
        <v>0</v>
      </c>
      <c r="H51" s="18"/>
      <c r="I51" s="17">
        <v>27.675999999999998</v>
      </c>
      <c r="J51" s="12"/>
    </row>
    <row r="52" spans="1:11" ht="11.25" customHeight="1" outlineLevel="3" x14ac:dyDescent="0.2">
      <c r="A52" s="50" t="s">
        <v>48</v>
      </c>
      <c r="B52" s="50"/>
      <c r="C52" s="50"/>
      <c r="D52" s="50"/>
      <c r="E52" s="51">
        <v>25.536000000000001</v>
      </c>
      <c r="F52" s="51"/>
      <c r="G52" s="16">
        <v>1.3</v>
      </c>
      <c r="H52" s="15">
        <v>1.3240000000000001</v>
      </c>
      <c r="I52" s="17">
        <v>24.212</v>
      </c>
      <c r="J52" s="12"/>
    </row>
    <row r="53" spans="1:11" ht="11.25" customHeight="1" outlineLevel="3" x14ac:dyDescent="0.2">
      <c r="A53" s="52" t="s">
        <v>49</v>
      </c>
      <c r="B53" s="52"/>
      <c r="C53" s="52"/>
      <c r="D53" s="52"/>
      <c r="E53" s="58">
        <v>19172.205999999998</v>
      </c>
      <c r="F53" s="58"/>
      <c r="G53" s="35"/>
      <c r="H53" s="24">
        <v>2598.482</v>
      </c>
      <c r="I53" s="26">
        <v>3526.21</v>
      </c>
      <c r="J53" s="27"/>
    </row>
    <row r="54" spans="1:11" ht="11.25" customHeight="1" outlineLevel="3" x14ac:dyDescent="0.2">
      <c r="A54" s="50" t="s">
        <v>50</v>
      </c>
      <c r="B54" s="50"/>
      <c r="C54" s="50"/>
      <c r="D54" s="50"/>
      <c r="E54" s="51">
        <v>124</v>
      </c>
      <c r="F54" s="51"/>
      <c r="G54" s="16">
        <v>34.799999999999997</v>
      </c>
      <c r="H54" s="15">
        <v>34.799999999999997</v>
      </c>
      <c r="I54" s="17">
        <v>16</v>
      </c>
      <c r="J54" s="12"/>
    </row>
    <row r="55" spans="1:11" ht="11.25" customHeight="1" outlineLevel="3" x14ac:dyDescent="0.2">
      <c r="A55" s="50" t="s">
        <v>51</v>
      </c>
      <c r="B55" s="50"/>
      <c r="C55" s="50"/>
      <c r="D55" s="50"/>
      <c r="E55" s="51">
        <v>317</v>
      </c>
      <c r="F55" s="51"/>
      <c r="G55" s="16">
        <v>5</v>
      </c>
      <c r="H55" s="15">
        <v>5</v>
      </c>
      <c r="I55" s="17">
        <v>74.25</v>
      </c>
      <c r="J55" s="12"/>
    </row>
    <row r="56" spans="1:11" ht="11.25" customHeight="1" outlineLevel="3" x14ac:dyDescent="0.2">
      <c r="A56" s="50" t="s">
        <v>52</v>
      </c>
      <c r="B56" s="50"/>
      <c r="C56" s="50"/>
      <c r="D56" s="50"/>
      <c r="E56" s="51">
        <v>138</v>
      </c>
      <c r="F56" s="51"/>
      <c r="G56" s="16">
        <v>21.5</v>
      </c>
      <c r="H56" s="15">
        <v>21.5</v>
      </c>
      <c r="I56" s="17">
        <v>13.25</v>
      </c>
      <c r="J56" s="12"/>
    </row>
    <row r="57" spans="1:11" ht="11.25" customHeight="1" outlineLevel="3" x14ac:dyDescent="0.2">
      <c r="A57" s="50" t="s">
        <v>53</v>
      </c>
      <c r="B57" s="50"/>
      <c r="C57" s="50"/>
      <c r="D57" s="50"/>
      <c r="E57" s="51">
        <v>138</v>
      </c>
      <c r="F57" s="51"/>
      <c r="G57" s="16">
        <v>5.75</v>
      </c>
      <c r="H57" s="15">
        <v>5.75</v>
      </c>
      <c r="I57" s="17">
        <v>29</v>
      </c>
      <c r="J57" s="12"/>
    </row>
    <row r="58" spans="1:11" ht="11.25" customHeight="1" outlineLevel="3" x14ac:dyDescent="0.2">
      <c r="A58" s="50" t="s">
        <v>54</v>
      </c>
      <c r="B58" s="50"/>
      <c r="C58" s="50"/>
      <c r="D58" s="50"/>
      <c r="E58" s="51">
        <v>238</v>
      </c>
      <c r="F58" s="51"/>
      <c r="G58" s="16">
        <v>34.4</v>
      </c>
      <c r="H58" s="15">
        <v>34.4</v>
      </c>
      <c r="I58" s="17">
        <v>63.2</v>
      </c>
      <c r="J58" s="12"/>
    </row>
    <row r="59" spans="1:11" ht="11.25" customHeight="1" outlineLevel="3" x14ac:dyDescent="0.2">
      <c r="A59" s="50" t="s">
        <v>55</v>
      </c>
      <c r="B59" s="50"/>
      <c r="C59" s="50"/>
      <c r="D59" s="50"/>
      <c r="E59" s="51">
        <v>338</v>
      </c>
      <c r="F59" s="51"/>
      <c r="G59" s="20">
        <v>36.4</v>
      </c>
      <c r="H59" s="21">
        <v>22</v>
      </c>
      <c r="I59" s="17">
        <v>113.2</v>
      </c>
      <c r="J59" s="13">
        <f t="shared" ref="J59:J84" si="1">G59-H59</f>
        <v>14.399999999999999</v>
      </c>
      <c r="K59" s="33" t="s">
        <v>154</v>
      </c>
    </row>
    <row r="60" spans="1:11" ht="11.25" customHeight="1" outlineLevel="3" x14ac:dyDescent="0.2">
      <c r="A60" s="50" t="s">
        <v>56</v>
      </c>
      <c r="B60" s="50"/>
      <c r="C60" s="50"/>
      <c r="D60" s="50"/>
      <c r="E60" s="51">
        <v>250</v>
      </c>
      <c r="F60" s="51"/>
      <c r="G60" s="16">
        <v>23.76</v>
      </c>
      <c r="H60" s="15">
        <v>23.76</v>
      </c>
      <c r="I60" s="17">
        <v>32.119999999999997</v>
      </c>
      <c r="J60" s="12"/>
    </row>
    <row r="61" spans="1:11" ht="11.25" customHeight="1" outlineLevel="3" x14ac:dyDescent="0.2">
      <c r="A61" s="50" t="s">
        <v>57</v>
      </c>
      <c r="B61" s="50"/>
      <c r="C61" s="50"/>
      <c r="D61" s="50"/>
      <c r="E61" s="54">
        <v>1122</v>
      </c>
      <c r="F61" s="54"/>
      <c r="G61" s="20">
        <v>110.97</v>
      </c>
      <c r="H61" s="21">
        <v>99.27</v>
      </c>
      <c r="I61" s="17">
        <v>1.71</v>
      </c>
      <c r="J61" s="13">
        <f t="shared" si="1"/>
        <v>11.700000000000003</v>
      </c>
    </row>
    <row r="62" spans="1:11" ht="11.25" customHeight="1" outlineLevel="3" x14ac:dyDescent="0.2">
      <c r="A62" s="50" t="s">
        <v>58</v>
      </c>
      <c r="B62" s="50"/>
      <c r="C62" s="50"/>
      <c r="D62" s="50"/>
      <c r="E62" s="51">
        <v>180</v>
      </c>
      <c r="F62" s="51"/>
      <c r="G62" s="16">
        <v>12.33</v>
      </c>
      <c r="H62" s="15">
        <v>12.33</v>
      </c>
      <c r="I62" s="17">
        <v>3.87</v>
      </c>
      <c r="J62" s="12"/>
    </row>
    <row r="63" spans="1:11" ht="11.25" customHeight="1" outlineLevel="3" x14ac:dyDescent="0.2">
      <c r="A63" s="50" t="s">
        <v>59</v>
      </c>
      <c r="B63" s="50"/>
      <c r="C63" s="50"/>
      <c r="D63" s="50"/>
      <c r="E63" s="51">
        <v>18.504000000000001</v>
      </c>
      <c r="F63" s="51"/>
      <c r="G63" s="16">
        <v>18.504000000000001</v>
      </c>
      <c r="H63" s="15">
        <v>18.504000000000001</v>
      </c>
      <c r="I63" s="23"/>
      <c r="J63" s="12"/>
    </row>
    <row r="64" spans="1:11" ht="11.25" customHeight="1" outlineLevel="3" x14ac:dyDescent="0.2">
      <c r="A64" s="50" t="s">
        <v>60</v>
      </c>
      <c r="B64" s="50"/>
      <c r="C64" s="50"/>
      <c r="D64" s="50"/>
      <c r="E64" s="51">
        <v>106</v>
      </c>
      <c r="F64" s="51"/>
      <c r="G64" s="16">
        <v>12.3</v>
      </c>
      <c r="H64" s="15">
        <v>12.3</v>
      </c>
      <c r="I64" s="17">
        <v>3.75</v>
      </c>
      <c r="J64" s="12"/>
    </row>
    <row r="65" spans="1:10" ht="11.25" customHeight="1" outlineLevel="3" x14ac:dyDescent="0.2">
      <c r="A65" s="50" t="s">
        <v>61</v>
      </c>
      <c r="B65" s="50"/>
      <c r="C65" s="50"/>
      <c r="D65" s="50"/>
      <c r="E65" s="51">
        <v>105</v>
      </c>
      <c r="F65" s="51"/>
      <c r="G65" s="16">
        <v>0.8</v>
      </c>
      <c r="H65" s="15">
        <v>0.8</v>
      </c>
      <c r="I65" s="17">
        <v>41.6</v>
      </c>
      <c r="J65" s="12"/>
    </row>
    <row r="66" spans="1:10" ht="11.25" customHeight="1" outlineLevel="3" x14ac:dyDescent="0.2">
      <c r="A66" s="50" t="s">
        <v>62</v>
      </c>
      <c r="B66" s="50"/>
      <c r="C66" s="50"/>
      <c r="D66" s="50"/>
      <c r="E66" s="51">
        <v>290</v>
      </c>
      <c r="F66" s="51"/>
      <c r="G66" s="16">
        <v>66.400000000000006</v>
      </c>
      <c r="H66" s="15">
        <v>66.400000000000006</v>
      </c>
      <c r="I66" s="17">
        <v>52</v>
      </c>
      <c r="J66" s="12"/>
    </row>
    <row r="67" spans="1:10" ht="11.25" customHeight="1" outlineLevel="3" x14ac:dyDescent="0.2">
      <c r="A67" s="50" t="s">
        <v>63</v>
      </c>
      <c r="B67" s="50"/>
      <c r="C67" s="50"/>
      <c r="D67" s="50"/>
      <c r="E67" s="51">
        <v>947</v>
      </c>
      <c r="F67" s="51"/>
      <c r="G67" s="16">
        <v>86.8</v>
      </c>
      <c r="H67" s="15">
        <v>86.8</v>
      </c>
      <c r="I67" s="17">
        <v>293.60000000000002</v>
      </c>
      <c r="J67" s="12"/>
    </row>
    <row r="68" spans="1:10" ht="11.25" customHeight="1" outlineLevel="3" x14ac:dyDescent="0.2">
      <c r="A68" s="38" t="s">
        <v>146</v>
      </c>
      <c r="B68" s="39"/>
      <c r="C68" s="39"/>
      <c r="D68" s="40"/>
      <c r="E68" s="41"/>
      <c r="F68" s="42"/>
      <c r="G68" s="20">
        <v>0.4</v>
      </c>
      <c r="H68" s="21"/>
      <c r="I68" s="17"/>
      <c r="J68" s="13">
        <f t="shared" si="1"/>
        <v>0.4</v>
      </c>
    </row>
    <row r="69" spans="1:10" ht="11.25" customHeight="1" outlineLevel="3" x14ac:dyDescent="0.2">
      <c r="A69" s="38" t="s">
        <v>147</v>
      </c>
      <c r="B69" s="39"/>
      <c r="C69" s="39"/>
      <c r="D69" s="40"/>
      <c r="E69" s="41"/>
      <c r="F69" s="42"/>
      <c r="G69" s="20">
        <v>1.4</v>
      </c>
      <c r="H69" s="21"/>
      <c r="I69" s="17"/>
      <c r="J69" s="13">
        <f t="shared" si="1"/>
        <v>1.4</v>
      </c>
    </row>
    <row r="70" spans="1:10" ht="11.25" customHeight="1" outlineLevel="3" x14ac:dyDescent="0.2">
      <c r="A70" s="55" t="s">
        <v>64</v>
      </c>
      <c r="B70" s="56"/>
      <c r="C70" s="56"/>
      <c r="D70" s="57"/>
      <c r="E70" s="51">
        <v>512</v>
      </c>
      <c r="F70" s="51"/>
      <c r="G70" s="16">
        <v>37.799999999999997</v>
      </c>
      <c r="H70" s="15">
        <v>37.799999999999997</v>
      </c>
      <c r="I70" s="17">
        <v>117</v>
      </c>
      <c r="J70" s="12"/>
    </row>
    <row r="71" spans="1:10" ht="11.25" customHeight="1" outlineLevel="3" x14ac:dyDescent="0.2">
      <c r="A71" s="50" t="s">
        <v>65</v>
      </c>
      <c r="B71" s="50"/>
      <c r="C71" s="50"/>
      <c r="D71" s="50"/>
      <c r="E71" s="54">
        <v>1149</v>
      </c>
      <c r="F71" s="54"/>
      <c r="G71" s="16">
        <v>137.9</v>
      </c>
      <c r="H71" s="15">
        <v>137.9</v>
      </c>
      <c r="I71" s="17">
        <v>268.10000000000002</v>
      </c>
      <c r="J71" s="12"/>
    </row>
    <row r="72" spans="1:10" ht="11.25" customHeight="1" outlineLevel="3" x14ac:dyDescent="0.2">
      <c r="A72" s="38" t="s">
        <v>148</v>
      </c>
      <c r="B72" s="39"/>
      <c r="C72" s="39"/>
      <c r="D72" s="40"/>
      <c r="E72" s="48"/>
      <c r="F72" s="49"/>
      <c r="G72" s="20">
        <v>2.87</v>
      </c>
      <c r="H72" s="21"/>
      <c r="I72" s="17"/>
      <c r="J72" s="13">
        <f t="shared" si="1"/>
        <v>2.87</v>
      </c>
    </row>
    <row r="73" spans="1:10" ht="11.25" customHeight="1" outlineLevel="3" x14ac:dyDescent="0.2">
      <c r="A73" s="50" t="s">
        <v>66</v>
      </c>
      <c r="B73" s="50"/>
      <c r="C73" s="50"/>
      <c r="D73" s="50"/>
      <c r="E73" s="51">
        <v>59</v>
      </c>
      <c r="F73" s="51"/>
      <c r="G73" s="16">
        <v>5.74</v>
      </c>
      <c r="H73" s="15">
        <v>5.74</v>
      </c>
      <c r="I73" s="17">
        <v>18.86</v>
      </c>
      <c r="J73" s="12"/>
    </row>
    <row r="74" spans="1:10" ht="11.25" customHeight="1" outlineLevel="3" x14ac:dyDescent="0.2">
      <c r="A74" s="50" t="s">
        <v>67</v>
      </c>
      <c r="B74" s="50"/>
      <c r="C74" s="50"/>
      <c r="D74" s="50"/>
      <c r="E74" s="51">
        <v>24</v>
      </c>
      <c r="F74" s="51"/>
      <c r="G74" s="16">
        <v>2.16</v>
      </c>
      <c r="H74" s="15">
        <v>2.16</v>
      </c>
      <c r="I74" s="23"/>
      <c r="J74" s="12"/>
    </row>
    <row r="75" spans="1:10" ht="11.25" customHeight="1" outlineLevel="3" x14ac:dyDescent="0.2">
      <c r="A75" s="50" t="s">
        <v>68</v>
      </c>
      <c r="B75" s="50"/>
      <c r="C75" s="50"/>
      <c r="D75" s="50"/>
      <c r="E75" s="51">
        <v>61</v>
      </c>
      <c r="F75" s="51"/>
      <c r="G75" s="20">
        <v>64.8</v>
      </c>
      <c r="H75" s="21">
        <v>21.6</v>
      </c>
      <c r="I75" s="17">
        <v>2.16</v>
      </c>
      <c r="J75" s="13">
        <f t="shared" si="1"/>
        <v>43.199999999999996</v>
      </c>
    </row>
    <row r="76" spans="1:10" ht="11.25" customHeight="1" outlineLevel="3" x14ac:dyDescent="0.2">
      <c r="A76" s="50" t="s">
        <v>69</v>
      </c>
      <c r="B76" s="50"/>
      <c r="C76" s="50"/>
      <c r="D76" s="50"/>
      <c r="E76" s="51">
        <v>312</v>
      </c>
      <c r="F76" s="51"/>
      <c r="G76" s="16">
        <v>35.97</v>
      </c>
      <c r="H76" s="15">
        <v>35.97</v>
      </c>
      <c r="I76" s="17">
        <v>66.989999999999995</v>
      </c>
      <c r="J76" s="12"/>
    </row>
    <row r="77" spans="1:10" ht="11.25" customHeight="1" outlineLevel="3" x14ac:dyDescent="0.2">
      <c r="A77" s="50" t="s">
        <v>70</v>
      </c>
      <c r="B77" s="50"/>
      <c r="C77" s="50"/>
      <c r="D77" s="50"/>
      <c r="E77" s="51">
        <v>347</v>
      </c>
      <c r="F77" s="51"/>
      <c r="G77" s="16">
        <v>54.8</v>
      </c>
      <c r="H77" s="15">
        <v>54.8</v>
      </c>
      <c r="I77" s="17">
        <v>84.4</v>
      </c>
      <c r="J77" s="12"/>
    </row>
    <row r="78" spans="1:10" ht="11.25" customHeight="1" outlineLevel="3" x14ac:dyDescent="0.2">
      <c r="A78" s="50" t="s">
        <v>71</v>
      </c>
      <c r="B78" s="50"/>
      <c r="C78" s="50"/>
      <c r="D78" s="50"/>
      <c r="E78" s="51">
        <v>9</v>
      </c>
      <c r="F78" s="51"/>
      <c r="G78" s="16">
        <v>1.32</v>
      </c>
      <c r="H78" s="15">
        <v>1.32</v>
      </c>
      <c r="I78" s="17">
        <v>1.65</v>
      </c>
      <c r="J78" s="12"/>
    </row>
    <row r="79" spans="1:10" ht="11.25" customHeight="1" outlineLevel="3" x14ac:dyDescent="0.2">
      <c r="A79" s="38" t="s">
        <v>149</v>
      </c>
      <c r="B79" s="39"/>
      <c r="C79" s="39"/>
      <c r="D79" s="40"/>
      <c r="E79" s="41"/>
      <c r="F79" s="42"/>
      <c r="G79" s="20">
        <v>0.1</v>
      </c>
      <c r="H79" s="21"/>
      <c r="I79" s="17"/>
      <c r="J79" s="13">
        <f t="shared" si="1"/>
        <v>0.1</v>
      </c>
    </row>
    <row r="80" spans="1:10" ht="11.25" customHeight="1" outlineLevel="3" x14ac:dyDescent="0.2">
      <c r="A80" s="50" t="s">
        <v>72</v>
      </c>
      <c r="B80" s="50"/>
      <c r="C80" s="50"/>
      <c r="D80" s="50"/>
      <c r="E80" s="51">
        <v>80</v>
      </c>
      <c r="F80" s="51"/>
      <c r="G80" s="16">
        <v>4</v>
      </c>
      <c r="H80" s="15">
        <v>4</v>
      </c>
      <c r="I80" s="17">
        <v>28.4</v>
      </c>
      <c r="J80" s="12"/>
    </row>
    <row r="81" spans="1:10" ht="11.25" customHeight="1" outlineLevel="3" x14ac:dyDescent="0.2">
      <c r="A81" s="50" t="s">
        <v>73</v>
      </c>
      <c r="B81" s="50"/>
      <c r="C81" s="50"/>
      <c r="D81" s="50"/>
      <c r="E81" s="51">
        <v>152</v>
      </c>
      <c r="F81" s="51"/>
      <c r="G81" s="16">
        <v>11</v>
      </c>
      <c r="H81" s="15">
        <v>11</v>
      </c>
      <c r="I81" s="17">
        <v>27</v>
      </c>
      <c r="J81" s="12"/>
    </row>
    <row r="82" spans="1:10" ht="11.25" customHeight="1" outlineLevel="3" x14ac:dyDescent="0.2">
      <c r="A82" s="50" t="s">
        <v>74</v>
      </c>
      <c r="B82" s="50"/>
      <c r="C82" s="50"/>
      <c r="D82" s="50"/>
      <c r="E82" s="51">
        <v>20</v>
      </c>
      <c r="F82" s="51"/>
      <c r="G82" s="16">
        <v>0.27</v>
      </c>
      <c r="H82" s="15">
        <v>0.27</v>
      </c>
      <c r="I82" s="17">
        <v>5.13</v>
      </c>
      <c r="J82" s="12"/>
    </row>
    <row r="83" spans="1:10" ht="11.25" customHeight="1" outlineLevel="3" x14ac:dyDescent="0.2">
      <c r="A83" s="50" t="s">
        <v>75</v>
      </c>
      <c r="B83" s="50"/>
      <c r="C83" s="50"/>
      <c r="D83" s="50"/>
      <c r="E83" s="51">
        <v>104</v>
      </c>
      <c r="F83" s="51"/>
      <c r="G83" s="16">
        <v>2.4</v>
      </c>
      <c r="H83" s="15">
        <v>2.4</v>
      </c>
      <c r="I83" s="17">
        <v>29.4</v>
      </c>
      <c r="J83" s="12"/>
    </row>
    <row r="84" spans="1:10" ht="11.25" customHeight="1" outlineLevel="3" x14ac:dyDescent="0.2">
      <c r="A84" s="50" t="s">
        <v>76</v>
      </c>
      <c r="B84" s="50"/>
      <c r="C84" s="50"/>
      <c r="D84" s="50"/>
      <c r="E84" s="54">
        <v>2250</v>
      </c>
      <c r="F84" s="54"/>
      <c r="G84" s="20">
        <v>957.35</v>
      </c>
      <c r="H84" s="21">
        <v>895.85</v>
      </c>
      <c r="I84" s="17">
        <v>30.34</v>
      </c>
      <c r="J84" s="13">
        <f t="shared" si="1"/>
        <v>61.5</v>
      </c>
    </row>
    <row r="85" spans="1:10" ht="11.25" customHeight="1" outlineLevel="3" x14ac:dyDescent="0.2">
      <c r="A85" s="50" t="s">
        <v>77</v>
      </c>
      <c r="B85" s="50"/>
      <c r="C85" s="50"/>
      <c r="D85" s="50"/>
      <c r="E85" s="51">
        <v>107</v>
      </c>
      <c r="F85" s="51"/>
      <c r="G85" s="16">
        <v>0.35</v>
      </c>
      <c r="H85" s="15">
        <v>0.35</v>
      </c>
      <c r="I85" s="17">
        <v>37.1</v>
      </c>
      <c r="J85" s="12"/>
    </row>
    <row r="86" spans="1:10" ht="11.25" customHeight="1" outlineLevel="3" x14ac:dyDescent="0.2">
      <c r="A86" s="50" t="s">
        <v>78</v>
      </c>
      <c r="B86" s="50"/>
      <c r="C86" s="50"/>
      <c r="D86" s="50"/>
      <c r="E86" s="51">
        <v>769</v>
      </c>
      <c r="F86" s="51"/>
      <c r="G86" s="16">
        <v>88.56</v>
      </c>
      <c r="H86" s="15">
        <v>88.56</v>
      </c>
      <c r="I86" s="17">
        <v>231.65</v>
      </c>
      <c r="J86" s="12"/>
    </row>
    <row r="87" spans="1:10" ht="11.25" customHeight="1" outlineLevel="3" x14ac:dyDescent="0.2">
      <c r="A87" s="50" t="s">
        <v>79</v>
      </c>
      <c r="B87" s="50"/>
      <c r="C87" s="50"/>
      <c r="D87" s="50"/>
      <c r="E87" s="51">
        <v>157</v>
      </c>
      <c r="F87" s="51"/>
      <c r="G87" s="16">
        <v>33.6</v>
      </c>
      <c r="H87" s="15">
        <v>33.6</v>
      </c>
      <c r="I87" s="17">
        <v>13.8</v>
      </c>
      <c r="J87" s="12"/>
    </row>
    <row r="88" spans="1:10" ht="11.25" customHeight="1" outlineLevel="3" x14ac:dyDescent="0.2">
      <c r="A88" s="50" t="s">
        <v>80</v>
      </c>
      <c r="B88" s="50"/>
      <c r="C88" s="50"/>
      <c r="D88" s="50"/>
      <c r="E88" s="51">
        <v>175</v>
      </c>
      <c r="F88" s="51"/>
      <c r="G88" s="16">
        <v>15.66</v>
      </c>
      <c r="H88" s="15">
        <v>15.66</v>
      </c>
      <c r="I88" s="17">
        <v>15.84</v>
      </c>
      <c r="J88" s="12"/>
    </row>
    <row r="89" spans="1:10" ht="11.25" customHeight="1" outlineLevel="3" x14ac:dyDescent="0.2">
      <c r="A89" s="50" t="s">
        <v>81</v>
      </c>
      <c r="B89" s="50"/>
      <c r="C89" s="50"/>
      <c r="D89" s="50"/>
      <c r="E89" s="51">
        <v>32</v>
      </c>
      <c r="F89" s="51"/>
      <c r="G89" s="16">
        <v>0.22</v>
      </c>
      <c r="H89" s="15">
        <v>0.22</v>
      </c>
      <c r="I89" s="17">
        <v>6.82</v>
      </c>
      <c r="J89" s="12"/>
    </row>
    <row r="90" spans="1:10" ht="11.25" customHeight="1" outlineLevel="3" x14ac:dyDescent="0.2">
      <c r="A90" s="38" t="s">
        <v>150</v>
      </c>
      <c r="B90" s="39"/>
      <c r="C90" s="39"/>
      <c r="D90" s="40"/>
      <c r="E90" s="41"/>
      <c r="F90" s="43"/>
      <c r="G90" s="20">
        <v>0.22</v>
      </c>
      <c r="H90" s="21"/>
      <c r="I90" s="17"/>
      <c r="J90" s="13">
        <f>G90-H90</f>
        <v>0.22</v>
      </c>
    </row>
    <row r="91" spans="1:10" ht="11.25" customHeight="1" outlineLevel="3" x14ac:dyDescent="0.2">
      <c r="A91" s="50" t="s">
        <v>82</v>
      </c>
      <c r="B91" s="50"/>
      <c r="C91" s="50"/>
      <c r="D91" s="50"/>
      <c r="E91" s="51">
        <v>994</v>
      </c>
      <c r="F91" s="51"/>
      <c r="G91" s="16">
        <v>86.8</v>
      </c>
      <c r="H91" s="15">
        <v>86.8</v>
      </c>
      <c r="I91" s="17">
        <v>263.89999999999998</v>
      </c>
      <c r="J91" s="12"/>
    </row>
    <row r="92" spans="1:10" ht="11.25" customHeight="1" outlineLevel="3" x14ac:dyDescent="0.2">
      <c r="A92" s="50" t="s">
        <v>83</v>
      </c>
      <c r="B92" s="50"/>
      <c r="C92" s="50"/>
      <c r="D92" s="50"/>
      <c r="E92" s="51">
        <v>8</v>
      </c>
      <c r="F92" s="51"/>
      <c r="G92" s="16">
        <v>1.4</v>
      </c>
      <c r="H92" s="15">
        <v>1.4</v>
      </c>
      <c r="I92" s="17">
        <v>1.4</v>
      </c>
      <c r="J92" s="12"/>
    </row>
    <row r="93" spans="1:10" ht="11.25" customHeight="1" outlineLevel="3" x14ac:dyDescent="0.2">
      <c r="A93" s="50" t="s">
        <v>84</v>
      </c>
      <c r="B93" s="50"/>
      <c r="C93" s="50"/>
      <c r="D93" s="50"/>
      <c r="E93" s="51">
        <v>14</v>
      </c>
      <c r="F93" s="51"/>
      <c r="G93" s="16"/>
      <c r="H93" s="18"/>
      <c r="I93" s="17">
        <v>8.68</v>
      </c>
      <c r="J93" s="12"/>
    </row>
    <row r="94" spans="1:10" ht="11.25" customHeight="1" outlineLevel="3" x14ac:dyDescent="0.2">
      <c r="A94" s="50" t="s">
        <v>85</v>
      </c>
      <c r="B94" s="50"/>
      <c r="C94" s="50"/>
      <c r="D94" s="50"/>
      <c r="E94" s="54">
        <v>1007</v>
      </c>
      <c r="F94" s="54"/>
      <c r="G94" s="16">
        <v>155.05000000000001</v>
      </c>
      <c r="H94" s="15">
        <v>155.05000000000001</v>
      </c>
      <c r="I94" s="17">
        <v>201.6</v>
      </c>
      <c r="J94" s="12"/>
    </row>
    <row r="95" spans="1:10" ht="11.25" customHeight="1" outlineLevel="3" x14ac:dyDescent="0.2">
      <c r="A95" s="50" t="s">
        <v>86</v>
      </c>
      <c r="B95" s="50"/>
      <c r="C95" s="50"/>
      <c r="D95" s="50"/>
      <c r="E95" s="51">
        <v>162</v>
      </c>
      <c r="F95" s="51"/>
      <c r="G95" s="16">
        <v>5.7</v>
      </c>
      <c r="H95" s="15">
        <v>5.7</v>
      </c>
      <c r="I95" s="17">
        <v>43.8</v>
      </c>
      <c r="J95" s="12"/>
    </row>
    <row r="96" spans="1:10" ht="11.25" customHeight="1" outlineLevel="3" x14ac:dyDescent="0.2">
      <c r="A96" s="50" t="s">
        <v>87</v>
      </c>
      <c r="B96" s="50"/>
      <c r="C96" s="50"/>
      <c r="D96" s="50"/>
      <c r="E96" s="51">
        <v>71</v>
      </c>
      <c r="F96" s="51"/>
      <c r="G96" s="16">
        <v>10.199999999999999</v>
      </c>
      <c r="H96" s="15">
        <v>10.199999999999999</v>
      </c>
      <c r="I96" s="17">
        <v>11.4</v>
      </c>
      <c r="J96" s="12"/>
    </row>
    <row r="97" spans="1:10" ht="11.25" customHeight="1" outlineLevel="3" x14ac:dyDescent="0.2">
      <c r="A97" s="50" t="s">
        <v>88</v>
      </c>
      <c r="B97" s="50"/>
      <c r="C97" s="50"/>
      <c r="D97" s="50"/>
      <c r="E97" s="51">
        <v>130</v>
      </c>
      <c r="F97" s="51"/>
      <c r="G97" s="16">
        <v>13.44</v>
      </c>
      <c r="H97" s="15">
        <v>13.44</v>
      </c>
      <c r="I97" s="17">
        <v>22.96</v>
      </c>
      <c r="J97" s="12"/>
    </row>
    <row r="98" spans="1:10" ht="11.25" customHeight="1" outlineLevel="3" x14ac:dyDescent="0.2">
      <c r="A98" s="50" t="s">
        <v>89</v>
      </c>
      <c r="B98" s="50"/>
      <c r="C98" s="50"/>
      <c r="D98" s="50"/>
      <c r="E98" s="51">
        <v>476</v>
      </c>
      <c r="F98" s="51"/>
      <c r="G98" s="16">
        <v>39.479999999999997</v>
      </c>
      <c r="H98" s="15">
        <v>39.479999999999997</v>
      </c>
      <c r="I98" s="17">
        <v>95.48</v>
      </c>
      <c r="J98" s="12"/>
    </row>
    <row r="99" spans="1:10" ht="11.25" customHeight="1" outlineLevel="3" x14ac:dyDescent="0.2">
      <c r="A99" s="50" t="s">
        <v>90</v>
      </c>
      <c r="B99" s="50"/>
      <c r="C99" s="50"/>
      <c r="D99" s="50"/>
      <c r="E99" s="51">
        <v>505</v>
      </c>
      <c r="F99" s="51"/>
      <c r="G99" s="16">
        <v>82.6</v>
      </c>
      <c r="H99" s="15">
        <v>82.6</v>
      </c>
      <c r="I99" s="17">
        <v>59.92</v>
      </c>
      <c r="J99" s="12"/>
    </row>
    <row r="100" spans="1:10" ht="11.25" customHeight="1" outlineLevel="3" x14ac:dyDescent="0.2">
      <c r="A100" s="50" t="s">
        <v>91</v>
      </c>
      <c r="B100" s="50"/>
      <c r="C100" s="50"/>
      <c r="D100" s="50"/>
      <c r="E100" s="51">
        <v>666</v>
      </c>
      <c r="F100" s="51"/>
      <c r="G100" s="16">
        <v>74.8</v>
      </c>
      <c r="H100" s="15">
        <v>74.8</v>
      </c>
      <c r="I100" s="17">
        <v>193.6</v>
      </c>
      <c r="J100" s="12"/>
    </row>
    <row r="101" spans="1:10" ht="11.25" customHeight="1" outlineLevel="3" x14ac:dyDescent="0.2">
      <c r="A101" s="50" t="s">
        <v>92</v>
      </c>
      <c r="B101" s="50"/>
      <c r="C101" s="50"/>
      <c r="D101" s="50"/>
      <c r="E101" s="51">
        <v>30.702000000000002</v>
      </c>
      <c r="F101" s="51"/>
      <c r="G101" s="16">
        <v>30.702000000000002</v>
      </c>
      <c r="H101" s="15">
        <v>30.702000000000002</v>
      </c>
      <c r="I101" s="23"/>
      <c r="J101" s="12"/>
    </row>
    <row r="102" spans="1:10" ht="11.25" customHeight="1" outlineLevel="3" x14ac:dyDescent="0.2">
      <c r="A102" s="50" t="s">
        <v>93</v>
      </c>
      <c r="B102" s="50"/>
      <c r="C102" s="50"/>
      <c r="D102" s="50"/>
      <c r="E102" s="51">
        <v>92</v>
      </c>
      <c r="F102" s="51"/>
      <c r="G102" s="16">
        <v>0.28000000000000003</v>
      </c>
      <c r="H102" s="15">
        <v>0</v>
      </c>
      <c r="I102" s="17">
        <v>30.42</v>
      </c>
      <c r="J102" s="12"/>
    </row>
    <row r="103" spans="1:10" ht="11.25" customHeight="1" outlineLevel="3" x14ac:dyDescent="0.2">
      <c r="A103" s="50" t="s">
        <v>94</v>
      </c>
      <c r="B103" s="50"/>
      <c r="C103" s="50"/>
      <c r="D103" s="50"/>
      <c r="E103" s="51">
        <v>10</v>
      </c>
      <c r="F103" s="51"/>
      <c r="G103" s="34">
        <v>0.67600000000000005</v>
      </c>
      <c r="H103" s="15">
        <v>0.67600000000000005</v>
      </c>
      <c r="I103" s="17">
        <v>3.25</v>
      </c>
      <c r="J103" s="12"/>
    </row>
    <row r="104" spans="1:10" ht="11.25" customHeight="1" outlineLevel="3" x14ac:dyDescent="0.2">
      <c r="A104" s="50" t="s">
        <v>95</v>
      </c>
      <c r="B104" s="50"/>
      <c r="C104" s="50"/>
      <c r="D104" s="50"/>
      <c r="E104" s="51">
        <v>32</v>
      </c>
      <c r="F104" s="51"/>
      <c r="G104" s="16">
        <v>7.04</v>
      </c>
      <c r="H104" s="15">
        <v>7.04</v>
      </c>
      <c r="I104" s="23"/>
      <c r="J104" s="12"/>
    </row>
    <row r="105" spans="1:10" ht="11.25" customHeight="1" outlineLevel="3" x14ac:dyDescent="0.2">
      <c r="A105" s="50" t="s">
        <v>96</v>
      </c>
      <c r="B105" s="50"/>
      <c r="C105" s="50"/>
      <c r="D105" s="50"/>
      <c r="E105" s="51">
        <v>258</v>
      </c>
      <c r="F105" s="51"/>
      <c r="G105" s="16">
        <v>13.56</v>
      </c>
      <c r="H105" s="15">
        <v>13.56</v>
      </c>
      <c r="I105" s="17">
        <v>17.760000000000002</v>
      </c>
      <c r="J105" s="12"/>
    </row>
    <row r="106" spans="1:10" ht="11.25" customHeight="1" outlineLevel="3" x14ac:dyDescent="0.2">
      <c r="A106" s="50" t="s">
        <v>97</v>
      </c>
      <c r="B106" s="50"/>
      <c r="C106" s="50"/>
      <c r="D106" s="50"/>
      <c r="E106" s="51">
        <v>87</v>
      </c>
      <c r="F106" s="51"/>
      <c r="G106" s="16">
        <v>3</v>
      </c>
      <c r="H106" s="15">
        <v>3</v>
      </c>
      <c r="I106" s="17">
        <v>10.050000000000001</v>
      </c>
      <c r="J106" s="12"/>
    </row>
    <row r="107" spans="1:10" ht="11.25" customHeight="1" outlineLevel="3" x14ac:dyDescent="0.2">
      <c r="A107" s="50" t="s">
        <v>98</v>
      </c>
      <c r="B107" s="50"/>
      <c r="C107" s="50"/>
      <c r="D107" s="50"/>
      <c r="E107" s="51">
        <v>75</v>
      </c>
      <c r="F107" s="51"/>
      <c r="G107" s="16">
        <v>3.3</v>
      </c>
      <c r="H107" s="15">
        <v>3.3</v>
      </c>
      <c r="I107" s="17">
        <v>7.95</v>
      </c>
      <c r="J107" s="12"/>
    </row>
    <row r="108" spans="1:10" ht="11.25" customHeight="1" outlineLevel="3" x14ac:dyDescent="0.2">
      <c r="A108" s="50" t="s">
        <v>99</v>
      </c>
      <c r="B108" s="50"/>
      <c r="C108" s="50"/>
      <c r="D108" s="50"/>
      <c r="E108" s="51">
        <v>407</v>
      </c>
      <c r="F108" s="51"/>
      <c r="G108" s="16">
        <v>50.49</v>
      </c>
      <c r="H108" s="15">
        <v>50.49</v>
      </c>
      <c r="I108" s="17">
        <v>86.13</v>
      </c>
      <c r="J108" s="12"/>
    </row>
    <row r="109" spans="1:10" ht="11.25" customHeight="1" outlineLevel="3" x14ac:dyDescent="0.2">
      <c r="A109" s="50" t="s">
        <v>100</v>
      </c>
      <c r="B109" s="50"/>
      <c r="C109" s="50"/>
      <c r="D109" s="50"/>
      <c r="E109" s="51">
        <v>624</v>
      </c>
      <c r="F109" s="51"/>
      <c r="G109" s="16">
        <v>10.8</v>
      </c>
      <c r="H109" s="15">
        <v>10.8</v>
      </c>
      <c r="I109" s="17">
        <v>84</v>
      </c>
      <c r="J109" s="12"/>
    </row>
    <row r="110" spans="1:10" ht="11.25" customHeight="1" outlineLevel="3" x14ac:dyDescent="0.2">
      <c r="A110" s="38" t="s">
        <v>151</v>
      </c>
      <c r="B110" s="39"/>
      <c r="C110" s="39"/>
      <c r="D110" s="40"/>
      <c r="E110" s="41"/>
      <c r="F110" s="42"/>
      <c r="G110" s="20">
        <v>0.28000000000000003</v>
      </c>
      <c r="H110" s="21"/>
      <c r="I110" s="17"/>
      <c r="J110" s="13">
        <f t="shared" ref="J110:J122" si="2">G110-H110</f>
        <v>0.28000000000000003</v>
      </c>
    </row>
    <row r="111" spans="1:10" ht="11.25" customHeight="1" outlineLevel="3" x14ac:dyDescent="0.2">
      <c r="A111" s="50" t="s">
        <v>101</v>
      </c>
      <c r="B111" s="50"/>
      <c r="C111" s="50"/>
      <c r="D111" s="50"/>
      <c r="E111" s="51">
        <v>581</v>
      </c>
      <c r="F111" s="51"/>
      <c r="G111" s="16">
        <v>10.66</v>
      </c>
      <c r="H111" s="15">
        <v>10.66</v>
      </c>
      <c r="I111" s="17">
        <v>227.55</v>
      </c>
      <c r="J111" s="12"/>
    </row>
    <row r="112" spans="1:10" ht="11.25" customHeight="1" outlineLevel="3" x14ac:dyDescent="0.2">
      <c r="A112" s="50" t="s">
        <v>102</v>
      </c>
      <c r="B112" s="50"/>
      <c r="C112" s="50"/>
      <c r="D112" s="50"/>
      <c r="E112" s="51">
        <v>159</v>
      </c>
      <c r="F112" s="51"/>
      <c r="G112" s="16">
        <v>6.5</v>
      </c>
      <c r="H112" s="15">
        <v>6.5</v>
      </c>
      <c r="I112" s="17">
        <v>35.880000000000003</v>
      </c>
      <c r="J112" s="12"/>
    </row>
    <row r="113" spans="1:10" ht="11.25" customHeight="1" outlineLevel="3" x14ac:dyDescent="0.2">
      <c r="A113" s="50" t="s">
        <v>103</v>
      </c>
      <c r="B113" s="50"/>
      <c r="C113" s="50"/>
      <c r="D113" s="50"/>
      <c r="E113" s="51">
        <v>149</v>
      </c>
      <c r="F113" s="51"/>
      <c r="G113" s="16">
        <v>5.89</v>
      </c>
      <c r="H113" s="15">
        <v>5.89</v>
      </c>
      <c r="I113" s="17">
        <v>41.23</v>
      </c>
      <c r="J113" s="12"/>
    </row>
    <row r="114" spans="1:10" ht="11.25" customHeight="1" outlineLevel="3" x14ac:dyDescent="0.2">
      <c r="A114" s="50" t="s">
        <v>104</v>
      </c>
      <c r="B114" s="50"/>
      <c r="C114" s="50"/>
      <c r="D114" s="50"/>
      <c r="E114" s="51">
        <v>275</v>
      </c>
      <c r="F114" s="51"/>
      <c r="G114" s="16">
        <v>8.8000000000000007</v>
      </c>
      <c r="H114" s="15">
        <v>8.8000000000000007</v>
      </c>
      <c r="I114" s="17">
        <v>102.8</v>
      </c>
      <c r="J114" s="12"/>
    </row>
    <row r="115" spans="1:10" ht="11.25" customHeight="1" outlineLevel="3" x14ac:dyDescent="0.2">
      <c r="A115" s="50" t="s">
        <v>105</v>
      </c>
      <c r="B115" s="50"/>
      <c r="C115" s="50"/>
      <c r="D115" s="50"/>
      <c r="E115" s="51">
        <v>211</v>
      </c>
      <c r="F115" s="51"/>
      <c r="G115" s="16">
        <v>32.200000000000003</v>
      </c>
      <c r="H115" s="15">
        <v>32.200000000000003</v>
      </c>
      <c r="I115" s="17">
        <v>42.7</v>
      </c>
      <c r="J115" s="12"/>
    </row>
    <row r="116" spans="1:10" ht="11.25" customHeight="1" outlineLevel="2" x14ac:dyDescent="0.2">
      <c r="A116" s="50" t="s">
        <v>106</v>
      </c>
      <c r="B116" s="50"/>
      <c r="C116" s="50"/>
      <c r="D116" s="50"/>
      <c r="E116" s="51">
        <v>168</v>
      </c>
      <c r="F116" s="51"/>
      <c r="G116" s="16">
        <v>15.18</v>
      </c>
      <c r="H116" s="15">
        <v>15.18</v>
      </c>
      <c r="I116" s="17">
        <v>40.26</v>
      </c>
      <c r="J116" s="12"/>
    </row>
    <row r="117" spans="1:10" ht="11.25" customHeight="1" outlineLevel="3" x14ac:dyDescent="0.2">
      <c r="A117" s="38" t="s">
        <v>152</v>
      </c>
      <c r="B117" s="39"/>
      <c r="C117" s="39"/>
      <c r="D117" s="40"/>
      <c r="E117" s="41"/>
      <c r="F117" s="42"/>
      <c r="G117" s="20">
        <v>0.3</v>
      </c>
      <c r="H117" s="21"/>
      <c r="I117" s="17"/>
      <c r="J117" s="13">
        <f t="shared" si="2"/>
        <v>0.3</v>
      </c>
    </row>
    <row r="118" spans="1:10" ht="11.25" customHeight="1" outlineLevel="3" x14ac:dyDescent="0.2">
      <c r="A118" s="50" t="s">
        <v>107</v>
      </c>
      <c r="B118" s="50"/>
      <c r="C118" s="50"/>
      <c r="D118" s="50"/>
      <c r="E118" s="51">
        <v>229</v>
      </c>
      <c r="F118" s="51"/>
      <c r="G118" s="16">
        <v>15.2</v>
      </c>
      <c r="H118" s="15">
        <v>15.2</v>
      </c>
      <c r="I118" s="17">
        <v>7.9</v>
      </c>
      <c r="J118" s="12"/>
    </row>
    <row r="119" spans="1:10" ht="11.25" customHeight="1" outlineLevel="3" x14ac:dyDescent="0.2">
      <c r="A119" s="50" t="s">
        <v>108</v>
      </c>
      <c r="B119" s="50"/>
      <c r="C119" s="50"/>
      <c r="D119" s="50"/>
      <c r="E119" s="51">
        <v>282</v>
      </c>
      <c r="F119" s="51"/>
      <c r="G119" s="16">
        <v>19.600000000000001</v>
      </c>
      <c r="H119" s="15">
        <v>20.2</v>
      </c>
      <c r="I119" s="17">
        <v>8.5</v>
      </c>
      <c r="J119" s="12"/>
    </row>
    <row r="120" spans="1:10" ht="11.25" customHeight="1" outlineLevel="3" x14ac:dyDescent="0.2">
      <c r="A120" s="50" t="s">
        <v>109</v>
      </c>
      <c r="B120" s="50"/>
      <c r="C120" s="50"/>
      <c r="D120" s="50"/>
      <c r="E120" s="51">
        <v>10</v>
      </c>
      <c r="F120" s="51"/>
      <c r="G120" s="20">
        <v>1.3</v>
      </c>
      <c r="H120" s="21">
        <v>1</v>
      </c>
      <c r="I120" s="23"/>
      <c r="J120" s="13">
        <f t="shared" si="2"/>
        <v>0.30000000000000004</v>
      </c>
    </row>
    <row r="121" spans="1:10" ht="11.25" customHeight="1" outlineLevel="3" x14ac:dyDescent="0.2">
      <c r="A121" s="50" t="s">
        <v>110</v>
      </c>
      <c r="B121" s="50"/>
      <c r="C121" s="50"/>
      <c r="D121" s="50"/>
      <c r="E121" s="51">
        <v>482</v>
      </c>
      <c r="F121" s="51"/>
      <c r="G121" s="16">
        <v>65.599999999999994</v>
      </c>
      <c r="H121" s="15">
        <v>65.599999999999994</v>
      </c>
      <c r="I121" s="17">
        <v>128.4</v>
      </c>
      <c r="J121" s="12"/>
    </row>
    <row r="122" spans="1:10" ht="11.25" customHeight="1" outlineLevel="3" x14ac:dyDescent="0.2">
      <c r="A122" s="50" t="s">
        <v>111</v>
      </c>
      <c r="B122" s="50"/>
      <c r="C122" s="50"/>
      <c r="D122" s="50"/>
      <c r="E122" s="51">
        <v>13</v>
      </c>
      <c r="F122" s="51"/>
      <c r="G122" s="20">
        <v>5.0999999999999996</v>
      </c>
      <c r="H122" s="21">
        <v>3.6</v>
      </c>
      <c r="I122" s="17">
        <v>0.3</v>
      </c>
      <c r="J122" s="13">
        <f t="shared" si="2"/>
        <v>1.4999999999999996</v>
      </c>
    </row>
    <row r="123" spans="1:10" ht="11.25" customHeight="1" outlineLevel="3" x14ac:dyDescent="0.2">
      <c r="A123" s="50" t="s">
        <v>112</v>
      </c>
      <c r="B123" s="50"/>
      <c r="C123" s="50"/>
      <c r="D123" s="50"/>
      <c r="E123" s="51">
        <v>123</v>
      </c>
      <c r="F123" s="51"/>
      <c r="G123" s="16">
        <v>28.8</v>
      </c>
      <c r="H123" s="15">
        <v>28.8</v>
      </c>
      <c r="I123" s="17">
        <v>8.1</v>
      </c>
      <c r="J123" s="12"/>
    </row>
    <row r="124" spans="1:10" ht="11.25" customHeight="1" outlineLevel="3" x14ac:dyDescent="0.2">
      <c r="A124" s="50" t="s">
        <v>113</v>
      </c>
      <c r="B124" s="50"/>
      <c r="C124" s="50"/>
      <c r="D124" s="50"/>
      <c r="E124" s="51">
        <v>103</v>
      </c>
      <c r="F124" s="51"/>
      <c r="G124" s="16">
        <v>1.6</v>
      </c>
      <c r="H124" s="15">
        <v>1.6</v>
      </c>
      <c r="I124" s="17">
        <v>8.6999999999999993</v>
      </c>
      <c r="J124" s="12"/>
    </row>
    <row r="125" spans="1:10" ht="11.25" customHeight="1" outlineLevel="3" x14ac:dyDescent="0.2">
      <c r="A125" s="50" t="s">
        <v>114</v>
      </c>
      <c r="B125" s="50"/>
      <c r="C125" s="50"/>
      <c r="D125" s="50"/>
      <c r="E125" s="51">
        <v>108</v>
      </c>
      <c r="F125" s="51"/>
      <c r="G125" s="16">
        <v>1.4</v>
      </c>
      <c r="H125" s="15">
        <v>1.4</v>
      </c>
      <c r="I125" s="17">
        <v>9.4</v>
      </c>
      <c r="J125" s="12"/>
    </row>
    <row r="126" spans="1:10" ht="11.25" customHeight="1" outlineLevel="3" x14ac:dyDescent="0.2">
      <c r="A126" s="52" t="s">
        <v>115</v>
      </c>
      <c r="B126" s="52"/>
      <c r="C126" s="52"/>
      <c r="D126" s="52"/>
      <c r="E126" s="53">
        <v>399.596</v>
      </c>
      <c r="F126" s="53"/>
      <c r="G126" s="35"/>
      <c r="H126" s="25">
        <v>22.047999999999998</v>
      </c>
      <c r="I126" s="28">
        <v>208.83799999999999</v>
      </c>
      <c r="J126" s="27"/>
    </row>
    <row r="127" spans="1:10" ht="11.25" customHeight="1" outlineLevel="3" x14ac:dyDescent="0.2">
      <c r="A127" s="50" t="s">
        <v>116</v>
      </c>
      <c r="B127" s="50"/>
      <c r="C127" s="50"/>
      <c r="D127" s="50"/>
      <c r="E127" s="51">
        <v>27.398</v>
      </c>
      <c r="F127" s="51"/>
      <c r="G127" s="36"/>
      <c r="H127" s="15">
        <v>9.1080000000000005</v>
      </c>
      <c r="I127" s="17">
        <v>18.29</v>
      </c>
      <c r="J127" s="12"/>
    </row>
    <row r="128" spans="1:10" ht="11.25" customHeight="1" outlineLevel="3" x14ac:dyDescent="0.2">
      <c r="A128" s="50" t="s">
        <v>117</v>
      </c>
      <c r="B128" s="50"/>
      <c r="C128" s="50"/>
      <c r="D128" s="50"/>
      <c r="E128" s="51">
        <v>4.5739999999999998</v>
      </c>
      <c r="F128" s="51"/>
      <c r="G128" s="36"/>
      <c r="H128" s="18"/>
      <c r="I128" s="17">
        <v>4.5739999999999998</v>
      </c>
      <c r="J128" s="12"/>
    </row>
    <row r="129" spans="1:10" ht="11.25" customHeight="1" outlineLevel="3" x14ac:dyDescent="0.2">
      <c r="A129" s="50" t="s">
        <v>118</v>
      </c>
      <c r="B129" s="50"/>
      <c r="C129" s="50"/>
      <c r="D129" s="50"/>
      <c r="E129" s="51">
        <v>5</v>
      </c>
      <c r="F129" s="51"/>
      <c r="G129" s="36"/>
      <c r="H129" s="18"/>
      <c r="I129" s="17">
        <v>2.1</v>
      </c>
      <c r="J129" s="12"/>
    </row>
    <row r="130" spans="1:10" ht="11.25" customHeight="1" outlineLevel="3" x14ac:dyDescent="0.2">
      <c r="A130" s="38" t="s">
        <v>153</v>
      </c>
      <c r="B130" s="39"/>
      <c r="C130" s="39"/>
      <c r="D130" s="40"/>
      <c r="E130" s="41"/>
      <c r="F130" s="42"/>
      <c r="G130" s="36"/>
      <c r="H130" s="18"/>
      <c r="I130" s="17"/>
      <c r="J130" s="12"/>
    </row>
    <row r="131" spans="1:10" ht="11.25" customHeight="1" outlineLevel="3" x14ac:dyDescent="0.2">
      <c r="A131" s="50" t="s">
        <v>119</v>
      </c>
      <c r="B131" s="50"/>
      <c r="C131" s="50"/>
      <c r="D131" s="50"/>
      <c r="E131" s="51">
        <v>16</v>
      </c>
      <c r="F131" s="51"/>
      <c r="G131" s="36"/>
      <c r="H131" s="18"/>
      <c r="I131" s="17">
        <v>4.8</v>
      </c>
      <c r="J131" s="12"/>
    </row>
    <row r="132" spans="1:10" ht="11.25" customHeight="1" outlineLevel="3" x14ac:dyDescent="0.2">
      <c r="A132" s="50" t="s">
        <v>120</v>
      </c>
      <c r="B132" s="50"/>
      <c r="C132" s="50"/>
      <c r="D132" s="50"/>
      <c r="E132" s="51">
        <v>8</v>
      </c>
      <c r="F132" s="51"/>
      <c r="G132" s="36"/>
      <c r="H132" s="18"/>
      <c r="I132" s="17">
        <v>2.8</v>
      </c>
      <c r="J132" s="12"/>
    </row>
    <row r="133" spans="1:10" ht="11.25" customHeight="1" outlineLevel="2" x14ac:dyDescent="0.2">
      <c r="A133" s="50" t="s">
        <v>121</v>
      </c>
      <c r="B133" s="50"/>
      <c r="C133" s="50"/>
      <c r="D133" s="50"/>
      <c r="E133" s="51">
        <v>13</v>
      </c>
      <c r="F133" s="51"/>
      <c r="G133" s="36"/>
      <c r="H133" s="18"/>
      <c r="I133" s="17">
        <v>3.9</v>
      </c>
      <c r="J133" s="12"/>
    </row>
    <row r="134" spans="1:10" ht="11.25" customHeight="1" outlineLevel="3" x14ac:dyDescent="0.2">
      <c r="A134" s="50" t="s">
        <v>122</v>
      </c>
      <c r="B134" s="50"/>
      <c r="C134" s="50"/>
      <c r="D134" s="50"/>
      <c r="E134" s="51">
        <v>3</v>
      </c>
      <c r="F134" s="51"/>
      <c r="G134" s="36"/>
      <c r="H134" s="18"/>
      <c r="I134" s="17">
        <v>1.05</v>
      </c>
      <c r="J134" s="12"/>
    </row>
    <row r="135" spans="1:10" ht="11.25" customHeight="1" outlineLevel="3" x14ac:dyDescent="0.2">
      <c r="A135" s="50" t="s">
        <v>123</v>
      </c>
      <c r="B135" s="50"/>
      <c r="C135" s="50"/>
      <c r="D135" s="50"/>
      <c r="E135" s="51">
        <v>2</v>
      </c>
      <c r="F135" s="51"/>
      <c r="G135" s="36"/>
      <c r="H135" s="18"/>
      <c r="I135" s="17">
        <v>0.6</v>
      </c>
      <c r="J135" s="12"/>
    </row>
    <row r="136" spans="1:10" ht="11.25" customHeight="1" outlineLevel="2" x14ac:dyDescent="0.2">
      <c r="A136" s="50" t="s">
        <v>124</v>
      </c>
      <c r="B136" s="50"/>
      <c r="C136" s="50"/>
      <c r="D136" s="50"/>
      <c r="E136" s="51">
        <v>53</v>
      </c>
      <c r="F136" s="51"/>
      <c r="G136" s="36"/>
      <c r="H136" s="15">
        <v>1.5</v>
      </c>
      <c r="I136" s="17">
        <v>25</v>
      </c>
      <c r="J136" s="12"/>
    </row>
    <row r="137" spans="1:10" ht="11.25" customHeight="1" outlineLevel="3" x14ac:dyDescent="0.2">
      <c r="A137" s="50" t="s">
        <v>125</v>
      </c>
      <c r="B137" s="50"/>
      <c r="C137" s="50"/>
      <c r="D137" s="50"/>
      <c r="E137" s="51">
        <v>46</v>
      </c>
      <c r="F137" s="51"/>
      <c r="G137" s="36"/>
      <c r="H137" s="15">
        <v>2.1</v>
      </c>
      <c r="I137" s="17">
        <v>17.22</v>
      </c>
      <c r="J137" s="12"/>
    </row>
    <row r="138" spans="1:10" ht="11.25" customHeight="1" outlineLevel="1" x14ac:dyDescent="0.2">
      <c r="A138" s="50" t="s">
        <v>126</v>
      </c>
      <c r="B138" s="50"/>
      <c r="C138" s="50"/>
      <c r="D138" s="50"/>
      <c r="E138" s="51">
        <v>3</v>
      </c>
      <c r="F138" s="51"/>
      <c r="G138" s="36"/>
      <c r="H138" s="18"/>
      <c r="I138" s="17">
        <v>2.1</v>
      </c>
      <c r="J138" s="12"/>
    </row>
    <row r="139" spans="1:10" ht="12.75" customHeight="1" x14ac:dyDescent="0.2">
      <c r="A139" s="50" t="s">
        <v>127</v>
      </c>
      <c r="B139" s="50"/>
      <c r="C139" s="50"/>
      <c r="D139" s="50"/>
      <c r="E139" s="51">
        <v>56</v>
      </c>
      <c r="F139" s="51"/>
      <c r="G139" s="36"/>
      <c r="H139" s="15">
        <v>0.84</v>
      </c>
      <c r="I139" s="17">
        <v>22.68</v>
      </c>
      <c r="J139" s="12"/>
    </row>
    <row r="140" spans="1:10" x14ac:dyDescent="0.2">
      <c r="A140" s="50" t="s">
        <v>128</v>
      </c>
      <c r="B140" s="50"/>
      <c r="C140" s="50"/>
      <c r="D140" s="50"/>
      <c r="E140" s="51">
        <v>50</v>
      </c>
      <c r="F140" s="51"/>
      <c r="G140" s="36"/>
      <c r="H140" s="18"/>
      <c r="I140" s="17">
        <v>35</v>
      </c>
      <c r="J140" s="12"/>
    </row>
    <row r="141" spans="1:10" x14ac:dyDescent="0.2">
      <c r="A141" s="50" t="s">
        <v>129</v>
      </c>
      <c r="B141" s="50"/>
      <c r="C141" s="50"/>
      <c r="D141" s="50"/>
      <c r="E141" s="51">
        <v>26</v>
      </c>
      <c r="F141" s="51"/>
      <c r="G141" s="36"/>
      <c r="H141" s="15">
        <v>7.7</v>
      </c>
      <c r="I141" s="17">
        <v>10.5</v>
      </c>
      <c r="J141" s="12"/>
    </row>
    <row r="142" spans="1:10" x14ac:dyDescent="0.2">
      <c r="A142" s="50" t="s">
        <v>130</v>
      </c>
      <c r="B142" s="50"/>
      <c r="C142" s="50"/>
      <c r="D142" s="50"/>
      <c r="E142" s="51">
        <v>46</v>
      </c>
      <c r="F142" s="51"/>
      <c r="G142" s="36"/>
      <c r="H142" s="15">
        <v>0.8</v>
      </c>
      <c r="I142" s="17">
        <v>17.600000000000001</v>
      </c>
      <c r="J142" s="12"/>
    </row>
    <row r="143" spans="1:10" x14ac:dyDescent="0.2">
      <c r="A143" s="50" t="s">
        <v>131</v>
      </c>
      <c r="B143" s="50"/>
      <c r="C143" s="50"/>
      <c r="D143" s="50"/>
      <c r="E143" s="51">
        <v>40.624000000000002</v>
      </c>
      <c r="F143" s="51"/>
      <c r="G143" s="36"/>
      <c r="H143" s="18"/>
      <c r="I143" s="17">
        <v>40.624000000000002</v>
      </c>
      <c r="J143" s="12"/>
    </row>
    <row r="144" spans="1:10" x14ac:dyDescent="0.2">
      <c r="A144" s="52" t="s">
        <v>132</v>
      </c>
      <c r="B144" s="52"/>
      <c r="C144" s="52"/>
      <c r="D144" s="52"/>
      <c r="E144" s="53">
        <v>1.6919999999999999</v>
      </c>
      <c r="F144" s="53"/>
      <c r="G144" s="35"/>
      <c r="H144" s="25">
        <v>4.5149999999999997</v>
      </c>
      <c r="I144" s="28">
        <v>-2.823</v>
      </c>
      <c r="J144" s="27"/>
    </row>
    <row r="145" spans="1:10" x14ac:dyDescent="0.2">
      <c r="A145" s="50" t="s">
        <v>133</v>
      </c>
      <c r="B145" s="50"/>
      <c r="C145" s="50"/>
      <c r="D145" s="50"/>
      <c r="E145" s="51">
        <v>-3.9630000000000001</v>
      </c>
      <c r="F145" s="51"/>
      <c r="G145" s="20">
        <v>1.5</v>
      </c>
      <c r="H145" s="22"/>
      <c r="I145" s="17">
        <v>-3.9630000000000001</v>
      </c>
      <c r="J145" s="13">
        <f>G145-H145</f>
        <v>1.5</v>
      </c>
    </row>
    <row r="146" spans="1:10" x14ac:dyDescent="0.2">
      <c r="A146" s="50" t="s">
        <v>134</v>
      </c>
      <c r="B146" s="50"/>
      <c r="C146" s="50"/>
      <c r="D146" s="50"/>
      <c r="E146" s="51">
        <v>5.6550000000000002</v>
      </c>
      <c r="F146" s="51"/>
      <c r="G146" s="16">
        <v>4.3</v>
      </c>
      <c r="H146" s="15">
        <v>4.5149999999999997</v>
      </c>
      <c r="I146" s="17">
        <v>1.1399999999999999</v>
      </c>
      <c r="J146" s="12"/>
    </row>
    <row r="147" spans="1:10" x14ac:dyDescent="0.2">
      <c r="A147" s="52" t="s">
        <v>135</v>
      </c>
      <c r="B147" s="52"/>
      <c r="C147" s="52"/>
      <c r="D147" s="52"/>
      <c r="E147" s="53">
        <v>30</v>
      </c>
      <c r="F147" s="53"/>
      <c r="G147" s="35"/>
      <c r="H147" s="25">
        <v>25.2</v>
      </c>
      <c r="I147" s="29"/>
      <c r="J147" s="27"/>
    </row>
    <row r="148" spans="1:10" x14ac:dyDescent="0.2">
      <c r="A148" s="50" t="s">
        <v>136</v>
      </c>
      <c r="B148" s="50"/>
      <c r="C148" s="50"/>
      <c r="D148" s="50"/>
      <c r="E148" s="51">
        <v>30</v>
      </c>
      <c r="F148" s="51"/>
      <c r="G148" s="16">
        <v>25.2</v>
      </c>
      <c r="H148" s="15">
        <v>25.2</v>
      </c>
      <c r="I148" s="23"/>
      <c r="J148" s="12"/>
    </row>
    <row r="149" spans="1:10" ht="12.75" x14ac:dyDescent="0.2">
      <c r="A149" s="44" t="s">
        <v>137</v>
      </c>
      <c r="B149" s="44"/>
      <c r="C149" s="44"/>
      <c r="D149" s="44"/>
      <c r="E149" s="45">
        <v>30214.675999999999</v>
      </c>
      <c r="F149" s="45"/>
      <c r="G149" s="37"/>
      <c r="H149" s="30">
        <v>3944.951</v>
      </c>
      <c r="I149" s="31">
        <v>29217.75</v>
      </c>
      <c r="J149" s="32">
        <f>SUM(J10:J148)</f>
        <v>159.52000000000001</v>
      </c>
    </row>
  </sheetData>
  <mergeCells count="287">
    <mergeCell ref="C6:J6"/>
    <mergeCell ref="A8:D8"/>
    <mergeCell ref="E8:H8"/>
    <mergeCell ref="I8:I9"/>
    <mergeCell ref="A9:D9"/>
    <mergeCell ref="E9:F9"/>
    <mergeCell ref="A10:D10"/>
    <mergeCell ref="E10:F10"/>
    <mergeCell ref="A11:D11"/>
    <mergeCell ref="E11:F11"/>
    <mergeCell ref="E47:F47"/>
    <mergeCell ref="A110:D110"/>
    <mergeCell ref="E110:F110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70:D70"/>
    <mergeCell ref="E70:F70"/>
    <mergeCell ref="A68:D68"/>
    <mergeCell ref="A69:D69"/>
    <mergeCell ref="E68:F68"/>
    <mergeCell ref="E69:F69"/>
    <mergeCell ref="A71:D71"/>
    <mergeCell ref="E71:F71"/>
    <mergeCell ref="A73:D73"/>
    <mergeCell ref="E73:F73"/>
    <mergeCell ref="A74:D74"/>
    <mergeCell ref="E74:F74"/>
    <mergeCell ref="A72:D72"/>
    <mergeCell ref="E72:F72"/>
    <mergeCell ref="A75:D75"/>
    <mergeCell ref="E75:F75"/>
    <mergeCell ref="A76:D76"/>
    <mergeCell ref="E76:F76"/>
    <mergeCell ref="A77:D77"/>
    <mergeCell ref="E77:F77"/>
    <mergeCell ref="A78:D78"/>
    <mergeCell ref="E78:F78"/>
    <mergeCell ref="A80:D80"/>
    <mergeCell ref="E80:F80"/>
    <mergeCell ref="A81:D81"/>
    <mergeCell ref="E81:F81"/>
    <mergeCell ref="A79:D79"/>
    <mergeCell ref="E79:F79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9:D129"/>
    <mergeCell ref="E129:F129"/>
    <mergeCell ref="A124:D124"/>
    <mergeCell ref="E124:F124"/>
    <mergeCell ref="A125:D125"/>
    <mergeCell ref="E125:F125"/>
    <mergeCell ref="A126:D126"/>
    <mergeCell ref="E126:F126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7:D147"/>
    <mergeCell ref="E147:F147"/>
    <mergeCell ref="A148:D148"/>
    <mergeCell ref="E148:F148"/>
    <mergeCell ref="A143:D143"/>
    <mergeCell ref="E143:F143"/>
    <mergeCell ref="A144:D144"/>
    <mergeCell ref="E144:F144"/>
    <mergeCell ref="A145:D145"/>
    <mergeCell ref="E145:F145"/>
    <mergeCell ref="A149:D149"/>
    <mergeCell ref="E149:F149"/>
    <mergeCell ref="J8:J9"/>
    <mergeCell ref="A21:C21"/>
    <mergeCell ref="A38:C38"/>
    <mergeCell ref="E38:F38"/>
    <mergeCell ref="E21:F21"/>
    <mergeCell ref="A47:C47"/>
    <mergeCell ref="A146:D146"/>
    <mergeCell ref="E146:F146"/>
    <mergeCell ref="A117:D117"/>
    <mergeCell ref="E117:F117"/>
    <mergeCell ref="A130:D130"/>
    <mergeCell ref="E130:F130"/>
    <mergeCell ref="A90:D90"/>
    <mergeCell ref="E90:F90"/>
    <mergeCell ref="A127:D127"/>
    <mergeCell ref="E127:F127"/>
    <mergeCell ref="A128:D128"/>
    <mergeCell ref="E128:F128"/>
  </mergeCells>
  <phoneticPr fontId="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Uaer4</dc:creator>
  <cp:keywords/>
  <dc:description/>
  <cp:lastModifiedBy>Uaer4</cp:lastModifiedBy>
  <cp:revision>1</cp:revision>
  <cp:lastPrinted>2026-10-29T08:46:42Z</cp:lastPrinted>
  <dcterms:created xsi:type="dcterms:W3CDTF">2026-10-29T08:46:42Z</dcterms:created>
  <dcterms:modified xsi:type="dcterms:W3CDTF">2026-10-29T10:52:48Z</dcterms:modified>
</cp:coreProperties>
</file>