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графики\отчеты для СН\дефицит\"/>
    </mc:Choice>
  </mc:AlternateContent>
  <xr:revisionPtr revIDLastSave="0" documentId="13_ncr:1_{D1206FD8-F88E-4E22-9AA5-EE791BEB3ED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станкино" sheetId="1" r:id="rId1"/>
    <sheet name="заморозка" sheetId="2" r:id="rId2"/>
    <sheet name="ПОКОМ" sheetId="3" r:id="rId3"/>
  </sheets>
  <externalReferences>
    <externalReference r:id="rId4"/>
    <externalReference r:id="rId5"/>
  </externalReferences>
  <definedNames>
    <definedName name="_xlnm._FilterDatabase" localSheetId="1" hidden="1">заморозка!$A$1:$B$18</definedName>
    <definedName name="_xlnm._FilterDatabase" localSheetId="0" hidden="1">Останкино!$A$1:$B$65</definedName>
    <definedName name="_xlnm._FilterDatabase" localSheetId="2" hidden="1">ПОКОМ!$A$1:$B$39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9" i="1" l="1"/>
  <c r="E49" i="1"/>
  <c r="E43" i="1"/>
  <c r="E42" i="1"/>
  <c r="E40" i="1"/>
  <c r="E39" i="1"/>
  <c r="E38" i="1"/>
  <c r="E37" i="1"/>
  <c r="E30" i="1"/>
  <c r="E27" i="1"/>
  <c r="E26" i="1"/>
  <c r="D55" i="1"/>
  <c r="D49" i="1"/>
  <c r="D44" i="1"/>
  <c r="D43" i="1"/>
  <c r="D42" i="1"/>
  <c r="D40" i="1"/>
  <c r="D39" i="1"/>
  <c r="D38" i="1"/>
  <c r="D37" i="1"/>
  <c r="D32" i="1"/>
  <c r="D30" i="1"/>
  <c r="D28" i="1"/>
  <c r="D27" i="1"/>
  <c r="D25" i="1"/>
  <c r="D23" i="1"/>
  <c r="D22" i="1"/>
  <c r="D19" i="1"/>
  <c r="D17" i="1"/>
  <c r="D16" i="1"/>
  <c r="D15" i="1"/>
  <c r="D12" i="1"/>
  <c r="D10" i="1"/>
  <c r="D8" i="1"/>
  <c r="D6" i="1"/>
  <c r="D5" i="1"/>
  <c r="D3" i="1"/>
  <c r="C59" i="1"/>
  <c r="C55" i="1"/>
  <c r="C49" i="1"/>
  <c r="C44" i="1"/>
  <c r="C43" i="1"/>
  <c r="C42" i="1"/>
  <c r="C40" i="1"/>
  <c r="C39" i="1"/>
  <c r="C38" i="1"/>
  <c r="C37" i="1"/>
  <c r="C32" i="1"/>
  <c r="C30" i="1"/>
  <c r="C28" i="1"/>
  <c r="C27" i="1"/>
  <c r="C26" i="1"/>
  <c r="C25" i="1"/>
  <c r="C23" i="1"/>
  <c r="C22" i="1"/>
  <c r="C19" i="1"/>
  <c r="C18" i="1"/>
  <c r="C17" i="1"/>
  <c r="C16" i="1"/>
  <c r="C15" i="1"/>
  <c r="C12" i="1"/>
  <c r="C10" i="1"/>
  <c r="C8" i="1"/>
  <c r="C6" i="1"/>
  <c r="C5" i="1"/>
  <c r="C3" i="1"/>
  <c r="B39" i="3" l="1"/>
  <c r="B65" i="1"/>
  <c r="B18" i="2"/>
</calcChain>
</file>

<file path=xl/sharedStrings.xml><?xml version="1.0" encoding="utf-8"?>
<sst xmlns="http://schemas.openxmlformats.org/spreadsheetml/2006/main" count="131" uniqueCount="127">
  <si>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</si>
  <si>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</si>
  <si>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</si>
  <si>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</si>
  <si>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</si>
  <si>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</si>
  <si>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</si>
  <si>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</si>
  <si>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</si>
  <si>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</si>
  <si>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</si>
  <si>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</si>
  <si>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276  Колбаса Сливушка ТМ Вязанка в оболочке полиамид 0,45 кг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</si>
  <si>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</si>
  <si>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</si>
  <si>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</si>
  <si>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</si>
  <si>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</si>
  <si>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</si>
  <si>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</si>
  <si>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</si>
  <si>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</si>
  <si>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</si>
  <si>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</si>
  <si>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</si>
  <si>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</si>
  <si>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</si>
  <si>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</si>
  <si>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</si>
  <si>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</si>
  <si>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</si>
  <si>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</si>
  <si>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</si>
  <si>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</si>
  <si>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</si>
  <si>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571  Колбаса Сервелат Ореховый ТМ Вязанка в оболочке фиброуз в вак. упаковке 0,28 кг срез  ПОКОМ</t>
  </si>
  <si>
    <t xml:space="preserve"> 597  Колбаса Классическая ТМ Особый рецепт в оболочке полиамид ВЕС. ПОКОМ</t>
  </si>
  <si>
    <t>0614 ПРАЗДНИЧНАЯ с/к в/с дек.спец.мгс  Останкино</t>
  </si>
  <si>
    <t>3215 ВЕТЧ.МЯСНАЯ Папа может п/о 0.4кг 8шт.    ОСТАНКИНО</t>
  </si>
  <si>
    <t>3323 Сыр Российский цилиндр 1/4 пленка ЮКМП м.д.ж. 50%  ОСТАНКИНО</t>
  </si>
  <si>
    <t>4063 МЯСНАЯ Папа может вар п/о_Л   ОСТАНКИНО</t>
  </si>
  <si>
    <t>4813 ФИЛЕЙНАЯ Папа может вар п/о_Л   ОСТАНКИНО</t>
  </si>
  <si>
    <t>4931  Сыр полутвердый "Купеческий" с ароматом топленого молока, с м.д.ж. 50%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</si>
  <si>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</si>
  <si>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</si>
  <si>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</si>
  <si>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</si>
  <si>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</si>
  <si>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</si>
  <si>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</si>
  <si>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5931 ОХОТНИЧЬЯ Папа может с/к в/у 1/220 8шт.   ОСТАНКИНО</t>
  </si>
  <si>
    <t>6209 Блинчики с куриным мясом пл. 1/350 зам. ОСТАНКИНО</t>
  </si>
  <si>
    <t>6220 ГОВЯЖЬЯ папа может вар п/о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</si>
  <si>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</si>
  <si>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</si>
  <si>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</si>
  <si>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6470 ВЕТЧ.МРАМОРНАЯ в/у_45с  ОСТАНКИНО</t>
  </si>
  <si>
    <t>6475 Сосиски Папа может 400г С сыром  ОСТАНКИНО</t>
  </si>
  <si>
    <t>6498 МОЛОЧНАЯ Папа может вар п/о  ОСТАНКИНО</t>
  </si>
  <si>
    <t>6550 МЯСНЫЕ Папа может сар б/о мгс 1*3 О 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</si>
  <si>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</si>
  <si>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</si>
  <si>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</si>
  <si>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6724 МОЛОЧНЫЕ ПМ сос п/о мгс 0,41кг 10шт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</si>
  <si>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</si>
  <si>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</si>
  <si>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</si>
  <si>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</si>
  <si>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</si>
  <si>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</si>
  <si>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</si>
  <si>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</si>
  <si>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</si>
  <si>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</si>
  <si>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</si>
  <si>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</si>
  <si>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</si>
  <si>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</si>
  <si>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</si>
  <si>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</si>
  <si>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</si>
  <si>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</si>
  <si>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</si>
  <si>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</si>
  <si>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</si>
  <si>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</si>
  <si>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</si>
  <si>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7490 СОЧНЫЙ ГРИЛЬ сос ц/о мгс 0.41кг_Даблпак  ОСТАНКИНО</t>
  </si>
  <si>
    <t>7512 ЧАЙНАЯ Останкино вар н/о мгс 1*3  ОСТАНКИНО</t>
  </si>
  <si>
    <t>7513 ВОСКРЕСЕНСКАЯ ВЯЛЕНАЯ в/к в/у срез 1/260 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</si>
  <si>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</si>
  <si>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</si>
  <si>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</si>
  <si>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</si>
  <si>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</si>
  <si>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7632 ЭКСТРА Папа может вар п/о 0.4кг 8шт_195к  ОСТАНКИНО</t>
  </si>
  <si>
    <t>7710 КРАКОВСКАЯ ГОСТ п/к н/о мгс 0.3кг  ОСТАНКИНО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</si>
  <si>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</si>
  <si>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</si>
  <si>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</si>
  <si>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</si>
  <si>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</si>
  <si>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</si>
  <si>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</si>
  <si>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</si>
  <si>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</si>
  <si>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Масло сливочное 72,5 % 180 гр.(10 шт) СЛАВЯНА  Останкино</t>
  </si>
  <si>
    <t>Наггетсы Нагетосы Сочная курочка со сметаной и зеленью ТМ Горячая штучка флоу-пак 0,25 кг  Поком</t>
  </si>
  <si>
    <t>Пельмени Бигбули #МЕГАВКУСИЩЕ с сочной грудинкой  ТМ Горячая штучка  флоу-пак сфера 0,7 кг.  Поком</t>
  </si>
  <si>
    <t>Сыр Косичка сырная 45% 100г/8шт Папа Может Останкино</t>
  </si>
  <si>
    <t>Сыр рассольный жирный Чечил 45% 100 гр  ОСТАНКИНО</t>
  </si>
  <si>
    <t>Сыч/Прод Коровино Тильзитер 50% 200г СЗМЖ  ОСТАНКИНО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</si>
  <si>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</si>
  <si>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</si>
  <si>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Хотстеры Васаби-чили ТМ Горячая штучка ТС Хотстеры 0,23кг жареные ПОКОМ</t>
  </si>
  <si>
    <t>Чебупицца Пепперони ТМ Горячая штучка ТС Чебупицца 0.25кг зам  ПОКОМ</t>
  </si>
  <si>
    <t>Номенклатура</t>
  </si>
  <si>
    <t>недогруз, кг</t>
  </si>
  <si>
    <t>не в матрице</t>
  </si>
  <si>
    <t>остаток, кг</t>
  </si>
  <si>
    <t>списано 23кг (пересчет 28,10,26)</t>
  </si>
  <si>
    <t>списано 48кг (пересчет 28,10,26)</t>
  </si>
  <si>
    <t>списано 42кг (пересчет 28,10,26)</t>
  </si>
  <si>
    <t>списано 19,8кг (пересчет 28,10,26)</t>
  </si>
  <si>
    <t>списано 84кг (пересчет 28,10,26)</t>
  </si>
  <si>
    <t>списано 100кг (пересчет 28,10,26)</t>
  </si>
  <si>
    <t>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</si>
</sst>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8"/>
      <name val="Arial"/>
    </font>
    <font>
      <b/>
      <sz val="11"/>
      <name val="Calibri"/>
      <family val="2"/>
      <charset val="204"/>
      <scheme val="minor"/>
    </font>
    <font>
      <sz val="12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 wrapText="1" indent="2"/>
    </xf>
    <xf numFmtId="164" fontId="1" fillId="2" borderId="1" xfId="0" applyNumberFormat="1" applyFont="1" applyFill="1" applyBorder="1" applyAlignment="1">
      <alignment horizontal="left" vertical="top"/>
    </xf>
    <xf numFmtId="2" fontId="1" fillId="2" borderId="1" xfId="0" applyNumberFormat="1" applyFont="1" applyFill="1" applyBorder="1" applyAlignment="1">
      <alignment horizontal="left" vertical="top"/>
    </xf>
    <xf numFmtId="1" fontId="1" fillId="2" borderId="1" xfId="0" applyNumberFormat="1" applyFont="1" applyFill="1" applyBorder="1" applyAlignment="1">
      <alignment horizontal="left" vertical="top"/>
    </xf>
    <xf numFmtId="165" fontId="1" fillId="2" borderId="1" xfId="0" applyNumberFormat="1" applyFont="1" applyFill="1" applyBorder="1" applyAlignment="1">
      <alignment horizontal="left" vertical="top"/>
    </xf>
    <xf numFmtId="1" fontId="2" fillId="0" borderId="0" xfId="0" applyNumberFormat="1" applyFont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4;&#1089;&#1090;&#1072;&#1085;&#1082;&#1080;&#1085;&#1086;/&#1092;&#1080;&#1083;&#1080;&#1072;&#1083;&#1099;%20&#1053;&#1042;/10,26/26,10,26%20&#1054;&#1089;&#1090;&#1072;&#1085;&#1082;&#1080;&#1085;&#1086;%20&#1050;&#1048;%20&#1080;%20&#1047;&#1055;&#1060;/&#1076;&#1074;%2026,10,26%20&#1084;&#1088;&#1088;&#1089;&#1095;%20&#1086;&#1089;&#1090;%20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2;&#1085;&#1085;&#1099;&#1077;%20&#1087;&#1086;%20&#1086;&#1089;&#1090;&#1072;&#1090;&#1082;&#1072;&#1084;/&#1086;&#1089;&#1090;%20&#1084;&#1088;%20&#1087;&#1086;&#1082;_&#1086;&#1089;&#1090;%2028,10,26-29,10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4893.9210000000012</v>
          </cell>
          <cell r="F5">
            <v>12464.47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40.781999999999996</v>
          </cell>
          <cell r="D6">
            <v>0.52900000000000003</v>
          </cell>
          <cell r="E6">
            <v>3.7519999999999998</v>
          </cell>
          <cell r="F6">
            <v>36.485999999999997</v>
          </cell>
          <cell r="G6">
            <v>1</v>
          </cell>
          <cell r="H6">
            <v>120</v>
          </cell>
          <cell r="I6" t="str">
            <v>матрица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263</v>
          </cell>
          <cell r="D7">
            <v>104</v>
          </cell>
          <cell r="E7">
            <v>106</v>
          </cell>
          <cell r="F7">
            <v>255</v>
          </cell>
          <cell r="G7">
            <v>0.4</v>
          </cell>
          <cell r="H7">
            <v>60</v>
          </cell>
          <cell r="I7" t="str">
            <v>матрица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55.414999999999999</v>
          </cell>
          <cell r="D8">
            <v>48.154000000000003</v>
          </cell>
          <cell r="E8">
            <v>6.45</v>
          </cell>
          <cell r="F8">
            <v>94.631</v>
          </cell>
          <cell r="G8">
            <v>1</v>
          </cell>
          <cell r="H8">
            <v>120</v>
          </cell>
          <cell r="I8" t="str">
            <v>матрица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45</v>
          </cell>
          <cell r="D9">
            <v>165</v>
          </cell>
          <cell r="E9">
            <v>62</v>
          </cell>
          <cell r="F9">
            <v>138</v>
          </cell>
          <cell r="G9">
            <v>0.25</v>
          </cell>
          <cell r="H9">
            <v>120</v>
          </cell>
          <cell r="I9" t="str">
            <v>матрица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186.697</v>
          </cell>
          <cell r="D10">
            <v>76.923000000000002</v>
          </cell>
          <cell r="E10">
            <v>88.691000000000003</v>
          </cell>
          <cell r="F10">
            <v>151.4</v>
          </cell>
          <cell r="G10">
            <v>1</v>
          </cell>
          <cell r="H10">
            <v>60</v>
          </cell>
          <cell r="I10" t="str">
            <v>матрица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100.49299999999999</v>
          </cell>
          <cell r="D11">
            <v>20.315999999999999</v>
          </cell>
          <cell r="E11">
            <v>5.0789999999999997</v>
          </cell>
          <cell r="F11">
            <v>112.488</v>
          </cell>
          <cell r="G11">
            <v>1</v>
          </cell>
          <cell r="H11">
            <v>120</v>
          </cell>
          <cell r="I11" t="str">
            <v>матрица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55.207999999999998</v>
          </cell>
          <cell r="D12">
            <v>48.48</v>
          </cell>
          <cell r="E12">
            <v>13.484</v>
          </cell>
          <cell r="F12">
            <v>80.697999999999993</v>
          </cell>
          <cell r="G12">
            <v>1</v>
          </cell>
          <cell r="H12">
            <v>60</v>
          </cell>
          <cell r="I12" t="str">
            <v>матрица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78.135000000000005</v>
          </cell>
          <cell r="D13">
            <v>301.12700000000001</v>
          </cell>
          <cell r="E13">
            <v>111.48699999999999</v>
          </cell>
          <cell r="F13">
            <v>244.72800000000001</v>
          </cell>
          <cell r="G13">
            <v>1</v>
          </cell>
          <cell r="H13">
            <v>60</v>
          </cell>
          <cell r="I13" t="str">
            <v>матрица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120</v>
          </cell>
          <cell r="D14">
            <v>53</v>
          </cell>
          <cell r="E14">
            <v>73</v>
          </cell>
          <cell r="F14">
            <v>94</v>
          </cell>
          <cell r="G14">
            <v>0.25</v>
          </cell>
          <cell r="H14">
            <v>120</v>
          </cell>
          <cell r="I14" t="str">
            <v>матрица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73.355000000000004</v>
          </cell>
          <cell r="D15">
            <v>74.656000000000006</v>
          </cell>
          <cell r="E15">
            <v>39.536000000000001</v>
          </cell>
          <cell r="F15">
            <v>94.679000000000002</v>
          </cell>
          <cell r="G15">
            <v>1</v>
          </cell>
          <cell r="H15">
            <v>60</v>
          </cell>
          <cell r="I15" t="str">
            <v>матрица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166</v>
          </cell>
          <cell r="D16">
            <v>96</v>
          </cell>
          <cell r="E16">
            <v>65</v>
          </cell>
          <cell r="F16">
            <v>195</v>
          </cell>
          <cell r="G16">
            <v>0.25</v>
          </cell>
          <cell r="H16">
            <v>120</v>
          </cell>
          <cell r="I16" t="str">
            <v>матрица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71</v>
          </cell>
          <cell r="D17">
            <v>100</v>
          </cell>
          <cell r="E17">
            <v>41</v>
          </cell>
          <cell r="F17">
            <v>129</v>
          </cell>
          <cell r="G17">
            <v>0.4</v>
          </cell>
          <cell r="H17">
            <v>60</v>
          </cell>
          <cell r="I17" t="str">
            <v>матрица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144.64699999999999</v>
          </cell>
          <cell r="D18">
            <v>30.42</v>
          </cell>
          <cell r="E18">
            <v>72.620999999999995</v>
          </cell>
          <cell r="F18">
            <v>77.239000000000004</v>
          </cell>
          <cell r="G18">
            <v>1</v>
          </cell>
          <cell r="H18">
            <v>45</v>
          </cell>
          <cell r="I18" t="str">
            <v>матрица</v>
          </cell>
        </row>
        <row r="19">
          <cell r="A19" t="str">
            <v>5819 Сосиски Папа может 400г Мясные  ОСТАНКИНО</v>
          </cell>
          <cell r="B19" t="str">
            <v>шт</v>
          </cell>
          <cell r="C19">
            <v>422</v>
          </cell>
          <cell r="D19">
            <v>2</v>
          </cell>
          <cell r="E19">
            <v>42</v>
          </cell>
          <cell r="F19">
            <v>225</v>
          </cell>
          <cell r="G19">
            <v>0.4</v>
          </cell>
          <cell r="H19">
            <v>45</v>
          </cell>
          <cell r="I19" t="str">
            <v>матрица</v>
          </cell>
        </row>
        <row r="20">
          <cell r="A20" t="str">
            <v>5851 ЭКСТРА Папа может вар п/о   ОСТАНКИНО</v>
          </cell>
          <cell r="B20" t="str">
            <v>кг</v>
          </cell>
          <cell r="C20">
            <v>18.971</v>
          </cell>
          <cell r="D20">
            <v>179.18700000000001</v>
          </cell>
          <cell r="E20">
            <v>47.540999999999997</v>
          </cell>
          <cell r="F20">
            <v>132.976</v>
          </cell>
          <cell r="G20">
            <v>1</v>
          </cell>
          <cell r="H20">
            <v>60</v>
          </cell>
          <cell r="I20" t="str">
            <v>матрица</v>
          </cell>
        </row>
        <row r="21">
          <cell r="A21" t="str">
            <v>5931 ОХОТНИЧЬЯ Папа может с/к в/у 1/220 8шт.   ОСТАНКИНО</v>
          </cell>
          <cell r="B21" t="str">
            <v>шт</v>
          </cell>
          <cell r="C21">
            <v>-8</v>
          </cell>
          <cell r="D21">
            <v>193</v>
          </cell>
          <cell r="E21">
            <v>71</v>
          </cell>
          <cell r="F21">
            <v>105</v>
          </cell>
          <cell r="G21">
            <v>0.22</v>
          </cell>
          <cell r="H21">
            <v>120</v>
          </cell>
          <cell r="I21" t="str">
            <v>матрица</v>
          </cell>
        </row>
        <row r="22">
          <cell r="A22" t="str">
            <v>6008 САЛО СОЛЕНОЕ С ЧЕРНЫМ ПЕРЦЕМ мл/к в/у ОСТАНКИНО</v>
          </cell>
          <cell r="B22" t="str">
            <v>кг</v>
          </cell>
          <cell r="C22">
            <v>30.6</v>
          </cell>
          <cell r="D22">
            <v>0.59799999999999998</v>
          </cell>
          <cell r="E22">
            <v>8.2379999999999995</v>
          </cell>
          <cell r="F22">
            <v>17.611999999999998</v>
          </cell>
          <cell r="G22">
            <v>1</v>
          </cell>
          <cell r="H22">
            <v>40</v>
          </cell>
          <cell r="I22" t="str">
            <v>матрица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20.440000000000001</v>
          </cell>
          <cell r="D23">
            <v>40.286000000000001</v>
          </cell>
          <cell r="E23">
            <v>28.282</v>
          </cell>
          <cell r="F23">
            <v>22.902999999999999</v>
          </cell>
          <cell r="G23">
            <v>1</v>
          </cell>
          <cell r="H23">
            <v>60</v>
          </cell>
          <cell r="I23" t="str">
            <v>матрица</v>
          </cell>
        </row>
        <row r="24">
          <cell r="A24" t="str">
            <v>6221 НЕОПОЛИТАНСКИЙ ДУЭТ с/к с/н мгс 1/90  Останкино</v>
          </cell>
          <cell r="B24" t="str">
            <v>шт</v>
          </cell>
          <cell r="C24">
            <v>86</v>
          </cell>
          <cell r="D24">
            <v>320</v>
          </cell>
          <cell r="E24">
            <v>50</v>
          </cell>
          <cell r="F24">
            <v>348</v>
          </cell>
          <cell r="G24">
            <v>0.09</v>
          </cell>
          <cell r="H24">
            <v>60</v>
          </cell>
          <cell r="I24" t="str">
            <v>матрица</v>
          </cell>
        </row>
        <row r="25">
          <cell r="A25" t="str">
            <v>6228 МЯСНОЕ АССОРТИ к/з с/н мгс 1/90 10шт  Останкино</v>
          </cell>
          <cell r="B25" t="str">
            <v>шт</v>
          </cell>
          <cell r="C25">
            <v>136</v>
          </cell>
          <cell r="D25">
            <v>80</v>
          </cell>
          <cell r="E25">
            <v>31</v>
          </cell>
          <cell r="F25">
            <v>178</v>
          </cell>
          <cell r="G25">
            <v>0.09</v>
          </cell>
          <cell r="H25">
            <v>45</v>
          </cell>
          <cell r="I25" t="str">
            <v>матрица</v>
          </cell>
        </row>
        <row r="26">
          <cell r="A26" t="str">
            <v>6279 КОРЕЙКА ПО-ОСТ.к/в в/с с/н в/у 1/150_45с  Останкино</v>
          </cell>
          <cell r="B26" t="str">
            <v>шт</v>
          </cell>
          <cell r="C26">
            <v>53</v>
          </cell>
          <cell r="D26">
            <v>48</v>
          </cell>
          <cell r="E26">
            <v>7</v>
          </cell>
          <cell r="F26">
            <v>90</v>
          </cell>
          <cell r="G26">
            <v>0.15</v>
          </cell>
          <cell r="H26">
            <v>45</v>
          </cell>
          <cell r="I26" t="str">
            <v>матрица</v>
          </cell>
        </row>
        <row r="27">
          <cell r="A27" t="str">
            <v>6303 Мясные Папа может сос п/о мгс 1,5*3  Останкино</v>
          </cell>
          <cell r="B27" t="str">
            <v>кг</v>
          </cell>
          <cell r="C27">
            <v>497.26400000000001</v>
          </cell>
          <cell r="D27">
            <v>4.7629999999999999</v>
          </cell>
          <cell r="E27">
            <v>28.756</v>
          </cell>
          <cell r="F27">
            <v>468.50799999999998</v>
          </cell>
          <cell r="G27">
            <v>1</v>
          </cell>
          <cell r="H27">
            <v>45</v>
          </cell>
          <cell r="I27" t="str">
            <v>матрица</v>
          </cell>
        </row>
        <row r="28">
          <cell r="A28" t="str">
            <v>6325 ДОКТОРСКАЯ ПРЕМИУМ вар п/о 0.4кг 8шт.  ОСТАНКИНО</v>
          </cell>
          <cell r="B28" t="str">
            <v>шт</v>
          </cell>
          <cell r="C28">
            <v>7</v>
          </cell>
          <cell r="D28">
            <v>130</v>
          </cell>
          <cell r="E28">
            <v>34</v>
          </cell>
          <cell r="F28">
            <v>95</v>
          </cell>
          <cell r="G28">
            <v>0.4</v>
          </cell>
          <cell r="H28">
            <v>60</v>
          </cell>
          <cell r="I28" t="str">
            <v>матрица</v>
          </cell>
        </row>
        <row r="29">
          <cell r="A29" t="str">
            <v>6333 МЯСНАЯ Папа может вар п/о 0.4кг 8шт.  ОСТАНКИНО</v>
          </cell>
          <cell r="B29" t="str">
            <v>шт</v>
          </cell>
          <cell r="C29">
            <v>234</v>
          </cell>
          <cell r="D29">
            <v>148</v>
          </cell>
          <cell r="E29">
            <v>151</v>
          </cell>
          <cell r="F29">
            <v>218</v>
          </cell>
          <cell r="G29">
            <v>0.4</v>
          </cell>
          <cell r="H29">
            <v>60</v>
          </cell>
          <cell r="I29" t="str">
            <v>матрица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201</v>
          </cell>
          <cell r="D30">
            <v>195</v>
          </cell>
          <cell r="E30">
            <v>119</v>
          </cell>
          <cell r="F30">
            <v>264</v>
          </cell>
          <cell r="G30">
            <v>0.4</v>
          </cell>
          <cell r="H30">
            <v>60</v>
          </cell>
          <cell r="I30" t="str">
            <v>матрица</v>
          </cell>
        </row>
        <row r="31">
          <cell r="A31" t="str">
            <v>6495 ВЕТЧ.МРАМОРНАЯ в/у срез 0,3кг 6шт_45с  Останкино</v>
          </cell>
          <cell r="B31" t="str">
            <v>шт</v>
          </cell>
          <cell r="C31">
            <v>-19</v>
          </cell>
          <cell r="D31">
            <v>24</v>
          </cell>
          <cell r="E31">
            <v>3</v>
          </cell>
          <cell r="F31">
            <v>-1</v>
          </cell>
          <cell r="G31">
            <v>0</v>
          </cell>
          <cell r="H31">
            <v>45</v>
          </cell>
          <cell r="I31" t="str">
            <v>вывод</v>
          </cell>
        </row>
        <row r="32">
          <cell r="A32" t="str">
            <v>6498 МОЛОЧНАЯ Папа может вар п/о  ОСТАНКИНО</v>
          </cell>
          <cell r="B32" t="str">
            <v>кг</v>
          </cell>
          <cell r="C32">
            <v>143.86199999999999</v>
          </cell>
          <cell r="E32">
            <v>28.388999999999999</v>
          </cell>
          <cell r="F32">
            <v>101.399</v>
          </cell>
          <cell r="G32">
            <v>1</v>
          </cell>
          <cell r="H32">
            <v>60</v>
          </cell>
          <cell r="I32" t="str">
            <v>матрица</v>
          </cell>
        </row>
        <row r="33">
          <cell r="A33" t="str">
            <v>6527 ШПИКАЧКИ СОЧНЫЕ ПМ сар б/о мгс 1*3 45с ОСТАНКИНО</v>
          </cell>
          <cell r="B33" t="str">
            <v>кг</v>
          </cell>
          <cell r="C33">
            <v>59.886000000000003</v>
          </cell>
          <cell r="E33">
            <v>6.335</v>
          </cell>
          <cell r="F33">
            <v>53.551000000000002</v>
          </cell>
          <cell r="G33">
            <v>1</v>
          </cell>
          <cell r="H33">
            <v>45</v>
          </cell>
          <cell r="I33" t="str">
            <v>матрица</v>
          </cell>
        </row>
        <row r="34">
          <cell r="A34" t="str">
            <v>6550 МЯСНЫЕ Папа может сар б/о мгс 1*3 О 45с  Останкино</v>
          </cell>
          <cell r="B34" t="str">
            <v>кг</v>
          </cell>
          <cell r="C34">
            <v>76.161000000000001</v>
          </cell>
          <cell r="D34">
            <v>6.3559999999999999</v>
          </cell>
          <cell r="E34">
            <v>8.3810000000000002</v>
          </cell>
          <cell r="F34">
            <v>67.872</v>
          </cell>
          <cell r="G34">
            <v>1</v>
          </cell>
          <cell r="H34">
            <v>45</v>
          </cell>
          <cell r="I34" t="str">
            <v>матрица</v>
          </cell>
        </row>
        <row r="35">
          <cell r="A35" t="str">
            <v>6608 С ГОВЯДИНОЙ ОРИГИН. сар б/о мгс 1*3_45с  ОСТАНКИНО</v>
          </cell>
          <cell r="B35" t="str">
            <v>кг</v>
          </cell>
          <cell r="C35">
            <v>59.622</v>
          </cell>
          <cell r="E35">
            <v>4.218</v>
          </cell>
          <cell r="F35">
            <v>53.277000000000001</v>
          </cell>
          <cell r="G35">
            <v>1</v>
          </cell>
          <cell r="H35">
            <v>45</v>
          </cell>
          <cell r="I35" t="str">
            <v>матрица</v>
          </cell>
        </row>
        <row r="36">
          <cell r="A36" t="str">
            <v>6616 МОЛОЧНЫЕ КЛАССИЧЕСКИЕ сос п/о в/у 0,3 кг  Останкино</v>
          </cell>
          <cell r="B36" t="str">
            <v>шт</v>
          </cell>
          <cell r="C36">
            <v>77</v>
          </cell>
          <cell r="D36">
            <v>250</v>
          </cell>
          <cell r="E36">
            <v>31</v>
          </cell>
          <cell r="F36">
            <v>280</v>
          </cell>
          <cell r="G36">
            <v>0.3</v>
          </cell>
          <cell r="H36">
            <v>45</v>
          </cell>
          <cell r="I36" t="str">
            <v>матрица</v>
          </cell>
        </row>
        <row r="37">
          <cell r="A37" t="str">
            <v>6620 РЕБРЫШКИ к/в в/у_30с  Останкино</v>
          </cell>
          <cell r="B37" t="str">
            <v>кг</v>
          </cell>
          <cell r="C37">
            <v>59.79</v>
          </cell>
          <cell r="D37">
            <v>1.1220000000000001</v>
          </cell>
          <cell r="E37">
            <v>7.8040000000000003</v>
          </cell>
          <cell r="F37">
            <v>51.985999999999997</v>
          </cell>
          <cell r="G37">
            <v>1</v>
          </cell>
          <cell r="I37" t="str">
            <v>матрица</v>
          </cell>
        </row>
        <row r="38">
          <cell r="A38" t="str">
            <v>6661 СОЧНЫЙ ГРИЛЬ ПМ сос п/о мгс 1,5*4_Маяк Останкино</v>
          </cell>
          <cell r="B38" t="str">
            <v>кг</v>
          </cell>
          <cell r="C38">
            <v>224.85300000000001</v>
          </cell>
          <cell r="D38">
            <v>4.5810000000000004</v>
          </cell>
          <cell r="E38">
            <v>7.6609999999999996</v>
          </cell>
          <cell r="F38">
            <v>106.752</v>
          </cell>
          <cell r="G38">
            <v>1</v>
          </cell>
          <cell r="H38">
            <v>45</v>
          </cell>
          <cell r="I38" t="str">
            <v>матрица</v>
          </cell>
        </row>
        <row r="39">
          <cell r="A39" t="str">
            <v>6697 СЕРВЕЛАТ ФИНСКИЙ ПМ в/к в/у 0,35кг 8шт  ОСТАНКИНО</v>
          </cell>
          <cell r="B39" t="str">
            <v>шт</v>
          </cell>
          <cell r="C39">
            <v>33</v>
          </cell>
          <cell r="D39">
            <v>559</v>
          </cell>
          <cell r="E39">
            <v>321</v>
          </cell>
          <cell r="F39">
            <v>261</v>
          </cell>
          <cell r="G39">
            <v>0.35</v>
          </cell>
          <cell r="H39">
            <v>45</v>
          </cell>
          <cell r="I39" t="str">
            <v>матрица</v>
          </cell>
        </row>
        <row r="40">
          <cell r="A40" t="str">
            <v>6713 СОЧНЫЙ ГРИЛЬ ПМ сос п/о мгс 0,41кг 8 шт.  ОСТАНКИНО</v>
          </cell>
          <cell r="B40" t="str">
            <v>шт</v>
          </cell>
          <cell r="C40">
            <v>-47</v>
          </cell>
          <cell r="D40">
            <v>91</v>
          </cell>
          <cell r="E40">
            <v>39</v>
          </cell>
          <cell r="G40">
            <v>0</v>
          </cell>
          <cell r="H40">
            <v>45</v>
          </cell>
          <cell r="I40" t="str">
            <v>вывод</v>
          </cell>
        </row>
        <row r="41">
          <cell r="A41" t="str">
            <v>6724 МОЛОЧНЫЕ ПМ сос п/о мгс 0,41кг 10шт  Останкино</v>
          </cell>
          <cell r="B41" t="str">
            <v>шт</v>
          </cell>
          <cell r="C41">
            <v>150</v>
          </cell>
          <cell r="D41">
            <v>62</v>
          </cell>
          <cell r="E41">
            <v>55</v>
          </cell>
          <cell r="F41">
            <v>144</v>
          </cell>
          <cell r="G41">
            <v>0.41</v>
          </cell>
          <cell r="H41">
            <v>45</v>
          </cell>
          <cell r="I41" t="str">
            <v>матрица</v>
          </cell>
        </row>
        <row r="42">
          <cell r="A42" t="str">
            <v>6765 РУБЛЕНЫЕ сос ц/о мгс 0,36кг 6шт  Останкино</v>
          </cell>
          <cell r="B42" t="str">
            <v>шт</v>
          </cell>
          <cell r="C42">
            <v>-2</v>
          </cell>
          <cell r="D42">
            <v>66</v>
          </cell>
          <cell r="F42">
            <v>64</v>
          </cell>
          <cell r="G42">
            <v>0.36</v>
          </cell>
          <cell r="H42">
            <v>45</v>
          </cell>
          <cell r="I42" t="str">
            <v>ротация на код 7520</v>
          </cell>
        </row>
        <row r="43">
          <cell r="A43" t="str">
            <v>6787 СЕРВЕЛАТ КРЕМЛЕВСКИЙ в/к в/у 0,33кг 8шт  Останкино</v>
          </cell>
          <cell r="B43" t="str">
            <v>шт</v>
          </cell>
          <cell r="C43">
            <v>16</v>
          </cell>
          <cell r="D43">
            <v>16</v>
          </cell>
          <cell r="F43">
            <v>32</v>
          </cell>
          <cell r="G43">
            <v>0.33</v>
          </cell>
          <cell r="H43">
            <v>45</v>
          </cell>
          <cell r="I43" t="str">
            <v>матрица</v>
          </cell>
        </row>
        <row r="44">
          <cell r="A44" t="str">
            <v>6797 С ИНДЕЙКОЙ Папа может вар п/о 0,4кг 8шт. ОСТАНКИНО</v>
          </cell>
          <cell r="B44" t="str">
            <v>шт</v>
          </cell>
          <cell r="C44">
            <v>19</v>
          </cell>
          <cell r="D44">
            <v>76</v>
          </cell>
          <cell r="E44">
            <v>30</v>
          </cell>
          <cell r="F44">
            <v>62</v>
          </cell>
          <cell r="G44">
            <v>0.4</v>
          </cell>
          <cell r="H44">
            <v>60</v>
          </cell>
          <cell r="I44" t="str">
            <v>матрица</v>
          </cell>
        </row>
        <row r="45">
          <cell r="A45" t="str">
            <v>6807 СЕРВЕЛАТ ЕВРОПЕЙСКИЙ в/к в/у 0,33кг 8шт  Останкино</v>
          </cell>
          <cell r="B45" t="str">
            <v>шт</v>
          </cell>
          <cell r="C45">
            <v>16</v>
          </cell>
          <cell r="F45">
            <v>16</v>
          </cell>
          <cell r="G45">
            <v>0.33</v>
          </cell>
          <cell r="H45">
            <v>45</v>
          </cell>
          <cell r="I45" t="str">
            <v>матрица</v>
          </cell>
        </row>
        <row r="46">
          <cell r="A46" t="str">
            <v>6829  МОЛОЧНЫЕ КЛАССИЧЕСКИЕ сос п/о мгс 2*4 С  Останккино</v>
          </cell>
          <cell r="B46" t="str">
            <v>кг</v>
          </cell>
          <cell r="C46">
            <v>-8</v>
          </cell>
          <cell r="D46">
            <v>130.84899999999999</v>
          </cell>
          <cell r="E46">
            <v>18.317</v>
          </cell>
          <cell r="F46">
            <v>100.456</v>
          </cell>
          <cell r="G46">
            <v>1</v>
          </cell>
          <cell r="H46">
            <v>45</v>
          </cell>
          <cell r="I46" t="str">
            <v>матрица</v>
          </cell>
        </row>
        <row r="47">
          <cell r="A47" t="str">
            <v>6837 ФИЛЕЙНЫЕ Папа Может сос ц/о мгс 0,4кг  Останкино</v>
          </cell>
          <cell r="B47" t="str">
            <v>шт</v>
          </cell>
          <cell r="C47">
            <v>219</v>
          </cell>
          <cell r="D47">
            <v>30</v>
          </cell>
          <cell r="E47">
            <v>22</v>
          </cell>
          <cell r="F47">
            <v>207</v>
          </cell>
          <cell r="G47">
            <v>0.4</v>
          </cell>
          <cell r="H47">
            <v>45</v>
          </cell>
          <cell r="I47" t="str">
            <v>матрица</v>
          </cell>
        </row>
        <row r="48">
          <cell r="A48" t="str">
            <v>6866 ВЕТЧ.НЕЖНАЯ Коровино п/о_Маяк  Останкино</v>
          </cell>
          <cell r="B48" t="str">
            <v>кг</v>
          </cell>
          <cell r="C48">
            <v>39.07</v>
          </cell>
          <cell r="E48">
            <v>1.5</v>
          </cell>
          <cell r="F48">
            <v>37.57</v>
          </cell>
          <cell r="G48">
            <v>1</v>
          </cell>
          <cell r="H48">
            <v>60</v>
          </cell>
          <cell r="I48" t="str">
            <v>матрица</v>
          </cell>
        </row>
        <row r="49">
          <cell r="A49" t="str">
            <v>6929 КАРБОНАД ДОМАШНИЙ ПМ к/в кр/к в/у  ОСТАНКИНО</v>
          </cell>
          <cell r="B49" t="str">
            <v>кг</v>
          </cell>
          <cell r="C49">
            <v>111.6</v>
          </cell>
          <cell r="D49">
            <v>1.028</v>
          </cell>
          <cell r="E49">
            <v>9.09</v>
          </cell>
          <cell r="F49">
            <v>101.492</v>
          </cell>
          <cell r="G49">
            <v>1</v>
          </cell>
          <cell r="H49">
            <v>45</v>
          </cell>
          <cell r="I49" t="str">
            <v>матрица</v>
          </cell>
        </row>
        <row r="50">
          <cell r="A50" t="str">
            <v>6937 САЛЯМИ Папа может с/к в/у 1/250 8шт  Останкино</v>
          </cell>
          <cell r="B50" t="str">
            <v>шт</v>
          </cell>
          <cell r="C50">
            <v>111</v>
          </cell>
          <cell r="F50">
            <v>111</v>
          </cell>
          <cell r="G50">
            <v>0</v>
          </cell>
          <cell r="I50" t="str">
            <v>не в матрице</v>
          </cell>
        </row>
        <row r="51">
          <cell r="A51" t="str">
            <v>6967 БУРГУНДИЯ Папа может с/к в/у 1/250 8шт  Останкино</v>
          </cell>
          <cell r="B51" t="str">
            <v>шт</v>
          </cell>
          <cell r="C51">
            <v>130</v>
          </cell>
          <cell r="D51">
            <v>1</v>
          </cell>
          <cell r="E51">
            <v>39</v>
          </cell>
          <cell r="F51">
            <v>91</v>
          </cell>
          <cell r="G51">
            <v>0.25</v>
          </cell>
          <cell r="H51">
            <v>120</v>
          </cell>
          <cell r="I51" t="str">
            <v>матрица</v>
          </cell>
        </row>
        <row r="52">
          <cell r="A52" t="str">
            <v>7001 КЛАССИЧЕСКИЕ Папа может сар б/о мгс 1*3  Останкино</v>
          </cell>
          <cell r="B52" t="str">
            <v>кг</v>
          </cell>
          <cell r="C52">
            <v>44.823</v>
          </cell>
          <cell r="E52">
            <v>6.2119999999999997</v>
          </cell>
          <cell r="F52">
            <v>36.520000000000003</v>
          </cell>
          <cell r="G52">
            <v>1</v>
          </cell>
          <cell r="H52">
            <v>45</v>
          </cell>
          <cell r="I52" t="str">
            <v>матрица</v>
          </cell>
        </row>
        <row r="53">
          <cell r="A53" t="str">
            <v>7040 С ИНДЕЙКОЙ ПМ сос ц/о в/у 1/270 8шт.  ОСТАНКИНО</v>
          </cell>
          <cell r="B53" t="str">
            <v>шт</v>
          </cell>
          <cell r="C53">
            <v>96</v>
          </cell>
          <cell r="F53">
            <v>96</v>
          </cell>
          <cell r="G53">
            <v>0.27</v>
          </cell>
          <cell r="I53" t="str">
            <v>матрица</v>
          </cell>
        </row>
        <row r="54">
          <cell r="A54" t="str">
            <v>7059 ШПИКАЧКИ СОЧНЫЕ С БЕК. п/о мгс 0,3кг 60с ОСТАНКИНО</v>
          </cell>
          <cell r="B54" t="str">
            <v>шт</v>
          </cell>
          <cell r="C54">
            <v>55</v>
          </cell>
          <cell r="D54">
            <v>18</v>
          </cell>
          <cell r="E54">
            <v>20</v>
          </cell>
          <cell r="F54">
            <v>47</v>
          </cell>
          <cell r="G54">
            <v>0.3</v>
          </cell>
          <cell r="H54">
            <v>60</v>
          </cell>
          <cell r="I54" t="str">
            <v>матрица</v>
          </cell>
        </row>
        <row r="55">
          <cell r="A55" t="str">
            <v>7066 СОЧНЫЕ ПМ сос п/о мгс 0,41кг 10шт 50с  Останкино</v>
          </cell>
          <cell r="B55" t="str">
            <v>шт</v>
          </cell>
          <cell r="C55">
            <v>383</v>
          </cell>
          <cell r="D55">
            <v>509</v>
          </cell>
          <cell r="E55">
            <v>354</v>
          </cell>
          <cell r="F55">
            <v>473</v>
          </cell>
          <cell r="G55">
            <v>0.41</v>
          </cell>
          <cell r="H55">
            <v>50</v>
          </cell>
          <cell r="I55" t="str">
            <v>матрица</v>
          </cell>
        </row>
        <row r="56">
          <cell r="A56" t="str">
            <v>7070 СОЧНЫЕ ПМ сос п/о 1,5*4_А_50с  Останкино</v>
          </cell>
          <cell r="B56" t="str">
            <v>кг</v>
          </cell>
          <cell r="C56">
            <v>65</v>
          </cell>
          <cell r="D56">
            <v>49.204999999999998</v>
          </cell>
          <cell r="E56">
            <v>38.476999999999997</v>
          </cell>
          <cell r="F56">
            <v>69.477999999999994</v>
          </cell>
          <cell r="G56">
            <v>1</v>
          </cell>
          <cell r="H56">
            <v>50</v>
          </cell>
          <cell r="I56" t="str">
            <v>матрица</v>
          </cell>
        </row>
        <row r="57">
          <cell r="A57" t="str">
            <v>7073 МОЛОЧ.ПРЕМИУМ ПМ сос п/о в/у 1/350_50с  Останкино</v>
          </cell>
          <cell r="B57" t="str">
            <v>шт</v>
          </cell>
          <cell r="C57">
            <v>-2</v>
          </cell>
          <cell r="D57">
            <v>333</v>
          </cell>
          <cell r="E57">
            <v>104</v>
          </cell>
          <cell r="F57">
            <v>209</v>
          </cell>
          <cell r="G57">
            <v>0.35</v>
          </cell>
          <cell r="H57">
            <v>50</v>
          </cell>
          <cell r="I57" t="str">
            <v>матрица</v>
          </cell>
        </row>
        <row r="58">
          <cell r="A58" t="str">
            <v>7075 МОЛОЧ.ПРЕМИУМ ПМ сос п/о мгс 1,5*4_О_50с  Останкино</v>
          </cell>
          <cell r="B58" t="str">
            <v>кг</v>
          </cell>
          <cell r="C58">
            <v>6.2690000000000001</v>
          </cell>
          <cell r="F58">
            <v>6.2690000000000001</v>
          </cell>
          <cell r="G58">
            <v>1</v>
          </cell>
          <cell r="H58">
            <v>50</v>
          </cell>
          <cell r="I58" t="str">
            <v>матрица</v>
          </cell>
        </row>
        <row r="59">
          <cell r="A59" t="str">
            <v>7080 СЛИВОЧНЫЕ ПМ сос п/о мгс 0,41кг 10шт 50с  Останкино</v>
          </cell>
          <cell r="B59" t="str">
            <v>шт</v>
          </cell>
          <cell r="C59">
            <v>195</v>
          </cell>
          <cell r="D59">
            <v>654</v>
          </cell>
          <cell r="E59">
            <v>247</v>
          </cell>
          <cell r="F59">
            <v>582</v>
          </cell>
          <cell r="G59">
            <v>0.41</v>
          </cell>
          <cell r="H59">
            <v>50</v>
          </cell>
          <cell r="I59" t="str">
            <v>матрица</v>
          </cell>
        </row>
        <row r="60">
          <cell r="A60" t="str">
            <v>7083 СЛИВОЧНЫЕ ПМ сос п/о мгс 1.5*4_А_50с  ОСТАНКИНО</v>
          </cell>
          <cell r="B60" t="str">
            <v>кг</v>
          </cell>
          <cell r="D60">
            <v>12.544</v>
          </cell>
          <cell r="E60">
            <v>1.571</v>
          </cell>
          <cell r="F60">
            <v>10.973000000000001</v>
          </cell>
          <cell r="G60">
            <v>1</v>
          </cell>
          <cell r="H60">
            <v>50</v>
          </cell>
          <cell r="I60" t="str">
            <v>матрица</v>
          </cell>
        </row>
        <row r="61">
          <cell r="A61" t="str">
            <v>7090 СВИНИНА ПО-ДОМ.к/в мл/к в/у 0,3кг_50с  Останкино</v>
          </cell>
          <cell r="B61" t="str">
            <v>шт</v>
          </cell>
          <cell r="C61">
            <v>223</v>
          </cell>
          <cell r="D61">
            <v>3</v>
          </cell>
          <cell r="E61">
            <v>19</v>
          </cell>
          <cell r="F61">
            <v>203</v>
          </cell>
          <cell r="G61">
            <v>0.3</v>
          </cell>
          <cell r="H61">
            <v>50</v>
          </cell>
          <cell r="I61" t="str">
            <v>матрица</v>
          </cell>
        </row>
        <row r="62">
          <cell r="A62" t="str">
            <v>7092 БЕКОН Папа может с/к с/н в/у 1/140_50с  Останкино</v>
          </cell>
          <cell r="B62" t="str">
            <v>шт</v>
          </cell>
          <cell r="C62">
            <v>-2</v>
          </cell>
          <cell r="F62">
            <v>-2</v>
          </cell>
          <cell r="G62">
            <v>0</v>
          </cell>
          <cell r="I62" t="str">
            <v>не в матрице</v>
          </cell>
        </row>
        <row r="63">
          <cell r="A63" t="str">
            <v>7103 БЕКОН Останкино с/к с/н в/у 1/180_50с  Останкино</v>
          </cell>
          <cell r="B63" t="str">
            <v>шт</v>
          </cell>
          <cell r="C63">
            <v>33</v>
          </cell>
          <cell r="D63">
            <v>90</v>
          </cell>
          <cell r="E63">
            <v>46</v>
          </cell>
          <cell r="F63">
            <v>67</v>
          </cell>
          <cell r="G63">
            <v>0.18</v>
          </cell>
          <cell r="H63">
            <v>50</v>
          </cell>
          <cell r="I63" t="str">
            <v>матрица</v>
          </cell>
        </row>
        <row r="64">
          <cell r="A64" t="str">
            <v>7143 БРАУНШВЕЙГСКАЯ ГОСТ с/к в/у 1/220 8шт.  ОСТАНКИНО</v>
          </cell>
          <cell r="B64" t="str">
            <v>шт</v>
          </cell>
          <cell r="C64">
            <v>8</v>
          </cell>
          <cell r="E64">
            <v>3</v>
          </cell>
          <cell r="F64">
            <v>5</v>
          </cell>
          <cell r="G64">
            <v>0.22</v>
          </cell>
          <cell r="H64">
            <v>120</v>
          </cell>
          <cell r="I64" t="str">
            <v>матрица</v>
          </cell>
        </row>
        <row r="65">
          <cell r="A65" t="str">
            <v>7149 БАЛЫКОВАЯ Коровино п/к в/у 0,84кг_50с  Останкино</v>
          </cell>
          <cell r="B65" t="str">
            <v>кг</v>
          </cell>
          <cell r="G65">
            <v>0</v>
          </cell>
          <cell r="I65" t="str">
            <v>матрица</v>
          </cell>
        </row>
        <row r="66">
          <cell r="A66" t="str">
            <v>7154 СЕРВЕЛАТ ЗЕРНИСТЫЙ ПМ в/к в/у 0,35кг_50с  Останкино</v>
          </cell>
          <cell r="B66" t="str">
            <v>шт</v>
          </cell>
          <cell r="C66">
            <v>192</v>
          </cell>
          <cell r="D66">
            <v>411</v>
          </cell>
          <cell r="E66">
            <v>175</v>
          </cell>
          <cell r="F66">
            <v>386</v>
          </cell>
          <cell r="G66">
            <v>0.35</v>
          </cell>
          <cell r="H66">
            <v>50</v>
          </cell>
          <cell r="I66" t="str">
            <v>матрица</v>
          </cell>
        </row>
        <row r="67">
          <cell r="A67" t="str">
            <v>7156 СЕРВЕЛАТ КОПЧ.НА БУКЕ в/к в/у 0.35кг_50с  ОСТАНКИНО</v>
          </cell>
          <cell r="B67" t="str">
            <v>шт</v>
          </cell>
          <cell r="G67">
            <v>0</v>
          </cell>
          <cell r="I67" t="str">
            <v>матрица</v>
          </cell>
        </row>
        <row r="68">
          <cell r="A68" t="str">
            <v>7157 СЕРВЕЛАТ ЗЕРНИСТЫЙ ПМ в/к в/у_50с  Останкино</v>
          </cell>
          <cell r="B68" t="str">
            <v>кг</v>
          </cell>
          <cell r="C68">
            <v>19.251000000000001</v>
          </cell>
          <cell r="D68">
            <v>54.305999999999997</v>
          </cell>
          <cell r="E68">
            <v>29.812000000000001</v>
          </cell>
          <cell r="F68">
            <v>42.344999999999999</v>
          </cell>
          <cell r="G68">
            <v>1</v>
          </cell>
          <cell r="H68">
            <v>50</v>
          </cell>
          <cell r="I68" t="str">
            <v>матрица</v>
          </cell>
        </row>
        <row r="69">
          <cell r="A69" t="str">
            <v>7166 СЕРВЕЛАТ ОХОТНИЧИЙ ПМ в/к в/у_50с  Останкино</v>
          </cell>
          <cell r="B69" t="str">
            <v>кг</v>
          </cell>
          <cell r="C69">
            <v>55.332000000000001</v>
          </cell>
          <cell r="D69">
            <v>100.82299999999999</v>
          </cell>
          <cell r="E69">
            <v>59.234999999999999</v>
          </cell>
          <cell r="F69">
            <v>73.144000000000005</v>
          </cell>
          <cell r="G69">
            <v>1</v>
          </cell>
          <cell r="H69">
            <v>50</v>
          </cell>
          <cell r="I69" t="str">
            <v>матрица</v>
          </cell>
        </row>
        <row r="70">
          <cell r="A70" t="str">
            <v>7169 СЕРВЕЛАТ ОХОТНИЧИЙ ПМ в/к в/у 0,35кг_50с  Останкино</v>
          </cell>
          <cell r="B70" t="str">
            <v>шт</v>
          </cell>
          <cell r="C70">
            <v>92</v>
          </cell>
          <cell r="D70">
            <v>146</v>
          </cell>
          <cell r="E70">
            <v>101</v>
          </cell>
          <cell r="F70">
            <v>134</v>
          </cell>
          <cell r="G70">
            <v>0.35</v>
          </cell>
          <cell r="H70">
            <v>50</v>
          </cell>
          <cell r="I70" t="str">
            <v>матрица</v>
          </cell>
        </row>
        <row r="71">
          <cell r="A71" t="str">
            <v>7187 ГРУДИНКА ПРЕМИУМ к/в мл/к в/у 0,3кг_50с  Останкино</v>
          </cell>
          <cell r="B71" t="str">
            <v>шт</v>
          </cell>
          <cell r="C71">
            <v>1</v>
          </cell>
          <cell r="D71">
            <v>259</v>
          </cell>
          <cell r="E71">
            <v>60</v>
          </cell>
          <cell r="F71">
            <v>186</v>
          </cell>
          <cell r="G71">
            <v>0.3</v>
          </cell>
          <cell r="H71">
            <v>50</v>
          </cell>
          <cell r="I71" t="str">
            <v>матрица</v>
          </cell>
        </row>
        <row r="72">
          <cell r="A72" t="str">
            <v>7231 КЛАССИЧЕСКАЯ ПМ вар п/о 0,3кг 8 шт_209к  Останкино</v>
          </cell>
          <cell r="B72" t="str">
            <v>шт</v>
          </cell>
          <cell r="C72">
            <v>78</v>
          </cell>
          <cell r="E72">
            <v>10</v>
          </cell>
          <cell r="F72">
            <v>68</v>
          </cell>
          <cell r="G72">
            <v>0.3</v>
          </cell>
          <cell r="H72">
            <v>60</v>
          </cell>
          <cell r="I72" t="str">
            <v>матрица</v>
          </cell>
        </row>
        <row r="73">
          <cell r="A73" t="str">
            <v>7232 БОЯNСКАЯ ПМ п/к в/у 0,28кг 8шт_209к  Останкино</v>
          </cell>
          <cell r="B73" t="str">
            <v>шт</v>
          </cell>
          <cell r="C73">
            <v>4</v>
          </cell>
          <cell r="D73">
            <v>333</v>
          </cell>
          <cell r="E73">
            <v>108</v>
          </cell>
          <cell r="F73">
            <v>204</v>
          </cell>
          <cell r="G73">
            <v>0.28000000000000003</v>
          </cell>
          <cell r="H73">
            <v>50</v>
          </cell>
          <cell r="I73" t="str">
            <v>матрица</v>
          </cell>
        </row>
        <row r="74">
          <cell r="A74" t="str">
            <v>7236 СЕРВЕЛАТ КАРЕЛЬСКИЙ в/к в/у 0,28кг_209к  Останкино</v>
          </cell>
          <cell r="B74" t="str">
            <v>шт</v>
          </cell>
          <cell r="C74">
            <v>239</v>
          </cell>
          <cell r="D74">
            <v>97</v>
          </cell>
          <cell r="E74">
            <v>167</v>
          </cell>
          <cell r="F74">
            <v>166</v>
          </cell>
          <cell r="G74">
            <v>0.28000000000000003</v>
          </cell>
          <cell r="H74">
            <v>45</v>
          </cell>
          <cell r="I74" t="str">
            <v>матрица</v>
          </cell>
        </row>
        <row r="75">
          <cell r="A75" t="str">
            <v>7241 САЛЯМИ Папа может п/к в/у 0,28кг ОСТАНКИНО</v>
          </cell>
          <cell r="B75" t="str">
            <v>шт</v>
          </cell>
          <cell r="C75">
            <v>3</v>
          </cell>
          <cell r="D75">
            <v>460</v>
          </cell>
          <cell r="E75">
            <v>146</v>
          </cell>
          <cell r="F75">
            <v>302</v>
          </cell>
          <cell r="G75">
            <v>0.28000000000000003</v>
          </cell>
          <cell r="H75">
            <v>45</v>
          </cell>
          <cell r="I75" t="str">
            <v>матрица</v>
          </cell>
        </row>
        <row r="76">
          <cell r="A76" t="str">
            <v>7255 МЯСНЫЕ С ГОВЯД.ПМ сос п/о мгс 0.4кг 6шт.  ОСТАНКИНО</v>
          </cell>
          <cell r="B76" t="str">
            <v>шт</v>
          </cell>
          <cell r="C76">
            <v>9</v>
          </cell>
          <cell r="D76">
            <v>712</v>
          </cell>
          <cell r="E76">
            <v>362</v>
          </cell>
          <cell r="F76">
            <v>321</v>
          </cell>
          <cell r="G76">
            <v>0.4</v>
          </cell>
          <cell r="H76">
            <v>50</v>
          </cell>
          <cell r="I76" t="str">
            <v>матрица</v>
          </cell>
        </row>
        <row r="77">
          <cell r="A77" t="str">
            <v>7299 НАБОР ДЛЯ ПИЦЦЫ Папа Может с/к в/у  ОСТАНКИНО</v>
          </cell>
          <cell r="B77" t="str">
            <v>кг</v>
          </cell>
          <cell r="C77">
            <v>87.177999999999997</v>
          </cell>
          <cell r="D77">
            <v>0.73499999999999999</v>
          </cell>
          <cell r="E77">
            <v>3.86</v>
          </cell>
          <cell r="F77">
            <v>83.317999999999998</v>
          </cell>
          <cell r="G77">
            <v>1</v>
          </cell>
          <cell r="H77">
            <v>30</v>
          </cell>
          <cell r="I77" t="str">
            <v>матрица</v>
          </cell>
        </row>
        <row r="78">
          <cell r="A78" t="str">
            <v>7332 БОЯРСКАЯ ПМ п/к в/у 0,28кг ОСТАНКИНО</v>
          </cell>
          <cell r="B78" t="str">
            <v>шт</v>
          </cell>
          <cell r="C78">
            <v>-1</v>
          </cell>
          <cell r="D78">
            <v>1</v>
          </cell>
          <cell r="E78">
            <v>1</v>
          </cell>
          <cell r="F78">
            <v>-1</v>
          </cell>
          <cell r="G78">
            <v>0</v>
          </cell>
          <cell r="I78" t="str">
            <v>не в матрице</v>
          </cell>
        </row>
        <row r="79">
          <cell r="A79" t="str">
            <v>7344 КОНСЕРВЫ МЯС.ГОВЯДИНА ТУШ. В/С 338г_ЧЗ  ОСТАНКИНО</v>
          </cell>
          <cell r="B79" t="str">
            <v>шт</v>
          </cell>
          <cell r="C79">
            <v>197</v>
          </cell>
          <cell r="E79">
            <v>5</v>
          </cell>
          <cell r="F79">
            <v>192</v>
          </cell>
          <cell r="G79">
            <v>0.33800000000000002</v>
          </cell>
          <cell r="H79" t="str">
            <v>3 года</v>
          </cell>
          <cell r="I79" t="str">
            <v>матрица</v>
          </cell>
        </row>
        <row r="80">
          <cell r="A80" t="str">
            <v>7345 КОНСЕРВЫ МЯС.СВИНИНА ТУШ. В/С 325г_ЧЗ  ОСТАНКИНО</v>
          </cell>
          <cell r="B80" t="str">
            <v>шт</v>
          </cell>
          <cell r="C80">
            <v>153</v>
          </cell>
          <cell r="D80">
            <v>1</v>
          </cell>
          <cell r="E80">
            <v>3</v>
          </cell>
          <cell r="F80">
            <v>149</v>
          </cell>
          <cell r="G80">
            <v>0.32500000000000001</v>
          </cell>
          <cell r="H80" t="str">
            <v>3 года</v>
          </cell>
          <cell r="I80" t="str">
            <v>матрица</v>
          </cell>
        </row>
        <row r="81">
          <cell r="A81" t="str">
            <v>7382  САЛЯМИ МЕЛКОЗЕРНЕНАЯ с/к в/у1/120 8шт.  ОСТАНКИНО</v>
          </cell>
          <cell r="B81" t="str">
            <v>шт</v>
          </cell>
          <cell r="C81">
            <v>82</v>
          </cell>
          <cell r="D81">
            <v>122</v>
          </cell>
          <cell r="E81">
            <v>74</v>
          </cell>
          <cell r="F81">
            <v>110</v>
          </cell>
          <cell r="G81">
            <v>0.12</v>
          </cell>
          <cell r="H81">
            <v>60</v>
          </cell>
          <cell r="I81" t="str">
            <v>матрица</v>
          </cell>
        </row>
        <row r="82">
          <cell r="A82" t="str">
            <v>7386 БАРСЕЛОНА ПМ с/к в/у 1/150  ОСТАНКИНО</v>
          </cell>
          <cell r="B82" t="str">
            <v>шт</v>
          </cell>
          <cell r="C82">
            <v>40</v>
          </cell>
          <cell r="E82">
            <v>23</v>
          </cell>
          <cell r="F82">
            <v>17</v>
          </cell>
          <cell r="G82">
            <v>0.15</v>
          </cell>
          <cell r="H82">
            <v>90</v>
          </cell>
          <cell r="I82" t="str">
            <v>матрица</v>
          </cell>
        </row>
        <row r="83">
          <cell r="A83" t="str">
            <v>7456 САЛЯМИ ФИНСКАЯ Папа может с/к в/у 1/150  ОСТАНКИНО</v>
          </cell>
          <cell r="B83" t="str">
            <v>шт</v>
          </cell>
          <cell r="C83">
            <v>30</v>
          </cell>
          <cell r="D83">
            <v>72</v>
          </cell>
          <cell r="E83">
            <v>59</v>
          </cell>
          <cell r="F83">
            <v>34</v>
          </cell>
          <cell r="G83">
            <v>0.15</v>
          </cell>
          <cell r="H83">
            <v>90</v>
          </cell>
          <cell r="I83" t="str">
            <v>матрица</v>
          </cell>
        </row>
        <row r="84">
          <cell r="A84" t="str">
            <v>7461 ДЛЯ ДЕТЕЙ Папа Может сос п/о мгс 0,33кг ОСТАНКИНО</v>
          </cell>
          <cell r="B84" t="str">
            <v>шт</v>
          </cell>
          <cell r="C84">
            <v>7</v>
          </cell>
          <cell r="D84">
            <v>60</v>
          </cell>
          <cell r="E84">
            <v>17</v>
          </cell>
          <cell r="F84">
            <v>43</v>
          </cell>
          <cell r="G84">
            <v>0.33</v>
          </cell>
          <cell r="H84">
            <v>30</v>
          </cell>
          <cell r="I84" t="str">
            <v>матрица</v>
          </cell>
        </row>
        <row r="85">
          <cell r="A85" t="str">
            <v>7485 РИЕТ МЯСНОЙ С ГРИБАМИ ПМ п/о 1/150  ОСТАНКИНО</v>
          </cell>
          <cell r="B85" t="str">
            <v>шт</v>
          </cell>
          <cell r="C85">
            <v>16</v>
          </cell>
          <cell r="D85">
            <v>2</v>
          </cell>
          <cell r="E85">
            <v>16</v>
          </cell>
          <cell r="G85">
            <v>0.15</v>
          </cell>
          <cell r="H85">
            <v>60</v>
          </cell>
          <cell r="I85" t="str">
            <v>матрица</v>
          </cell>
        </row>
        <row r="86">
          <cell r="A86" t="str">
            <v>7490 СОЧНЫЙ ГРИЛЬ сос ц/о мгс 0.41кг_Даблпак  ОСТАНКИНО</v>
          </cell>
          <cell r="B86" t="str">
            <v>шт</v>
          </cell>
          <cell r="C86">
            <v>267</v>
          </cell>
          <cell r="D86">
            <v>33</v>
          </cell>
          <cell r="E86">
            <v>116</v>
          </cell>
          <cell r="F86">
            <v>133</v>
          </cell>
          <cell r="G86">
            <v>0.41</v>
          </cell>
          <cell r="H86">
            <v>45</v>
          </cell>
          <cell r="I86" t="str">
            <v>матрица</v>
          </cell>
        </row>
        <row r="87">
          <cell r="A87" t="str">
            <v>7512 ЧАЙНАЯ Останкино вар н/о 1*3</v>
          </cell>
          <cell r="B87" t="str">
            <v>кг</v>
          </cell>
          <cell r="D87">
            <v>51.762999999999998</v>
          </cell>
          <cell r="F87">
            <v>51.762999999999998</v>
          </cell>
          <cell r="G87">
            <v>0</v>
          </cell>
          <cell r="I87" t="str">
            <v>РАЗОВО</v>
          </cell>
        </row>
        <row r="88">
          <cell r="A88" t="str">
            <v>7513 ВОСКРЕСЕНСКАЯ ВЯЛЕНАЯ в/к в/у срез 1/260  ОСТАНКИНО</v>
          </cell>
          <cell r="B88" t="str">
            <v>шт</v>
          </cell>
          <cell r="D88">
            <v>274</v>
          </cell>
          <cell r="E88">
            <v>26</v>
          </cell>
          <cell r="F88">
            <v>234</v>
          </cell>
          <cell r="G88">
            <v>0.26</v>
          </cell>
          <cell r="H88">
            <v>45</v>
          </cell>
          <cell r="I88" t="str">
            <v>матрица</v>
          </cell>
        </row>
        <row r="89">
          <cell r="A89" t="str">
            <v>7514 ЛЮБИТЕЛЬСКАЯ ОСТАНКИНСКАЯ вар п/о в/у  ОСТАНКИНО</v>
          </cell>
          <cell r="B89" t="str">
            <v>кг</v>
          </cell>
          <cell r="C89">
            <v>30.744</v>
          </cell>
          <cell r="E89">
            <v>30.78</v>
          </cell>
          <cell r="F89">
            <v>-3.5999999999999997E-2</v>
          </cell>
          <cell r="G89">
            <v>1</v>
          </cell>
          <cell r="H89">
            <v>30</v>
          </cell>
          <cell r="I89" t="str">
            <v>матрица</v>
          </cell>
        </row>
        <row r="90">
          <cell r="A90" t="str">
            <v>7516 НОВОМОСКОВСКАЯ в/к в/у срез 0.31кг  ОСТАНКИНО</v>
          </cell>
          <cell r="B90" t="str">
            <v>шт</v>
          </cell>
          <cell r="C90">
            <v>176</v>
          </cell>
          <cell r="D90">
            <v>12</v>
          </cell>
          <cell r="E90">
            <v>26</v>
          </cell>
          <cell r="F90">
            <v>153</v>
          </cell>
          <cell r="G90">
            <v>0.31</v>
          </cell>
          <cell r="H90">
            <v>45</v>
          </cell>
          <cell r="I90" t="str">
            <v>матрица</v>
          </cell>
        </row>
        <row r="91">
          <cell r="A91" t="str">
            <v>7518 ТЕЛЯЧЬЯ ГОСТ Останкино вар п/о в/у  ОСТАНКИНО</v>
          </cell>
          <cell r="B91" t="str">
            <v>кг</v>
          </cell>
          <cell r="C91">
            <v>32.723999999999997</v>
          </cell>
          <cell r="D91">
            <v>1.544</v>
          </cell>
          <cell r="E91">
            <v>22.462</v>
          </cell>
          <cell r="F91">
            <v>4.3490000000000002</v>
          </cell>
          <cell r="G91">
            <v>1</v>
          </cell>
          <cell r="H91">
            <v>30</v>
          </cell>
          <cell r="I91" t="str">
            <v>матрица</v>
          </cell>
        </row>
        <row r="92">
          <cell r="A92" t="str">
            <v>7523 ГОВЯЖЬЯ Папа Может вар п/о 0,4кг 6шт. ОСТАНКИНО</v>
          </cell>
          <cell r="B92" t="str">
            <v>шт</v>
          </cell>
          <cell r="C92">
            <v>28</v>
          </cell>
          <cell r="D92">
            <v>202</v>
          </cell>
          <cell r="E92">
            <v>84</v>
          </cell>
          <cell r="F92">
            <v>141</v>
          </cell>
          <cell r="G92">
            <v>0.4</v>
          </cell>
          <cell r="H92">
            <v>60</v>
          </cell>
          <cell r="I92" t="str">
            <v>матрица</v>
          </cell>
        </row>
        <row r="93">
          <cell r="A93" t="str">
            <v>7539 ДОКТОРСКАЯ ГОСТ вар п/о 0,35кг ОСТАНКИНО</v>
          </cell>
          <cell r="B93" t="str">
            <v>шт</v>
          </cell>
          <cell r="C93">
            <v>34</v>
          </cell>
          <cell r="E93">
            <v>33</v>
          </cell>
          <cell r="F93">
            <v>1</v>
          </cell>
          <cell r="G93">
            <v>0.35</v>
          </cell>
          <cell r="H93">
            <v>60</v>
          </cell>
          <cell r="I93" t="str">
            <v>матрица</v>
          </cell>
        </row>
        <row r="94">
          <cell r="A94" t="str">
            <v>7562 КРАКОВСКАЯ ГОСТ Останкино п/к н/о мгс  ОСТАНКИНО</v>
          </cell>
          <cell r="B94" t="str">
            <v>кг</v>
          </cell>
          <cell r="C94">
            <v>85.774000000000001</v>
          </cell>
          <cell r="E94">
            <v>0.51400000000000001</v>
          </cell>
          <cell r="F94">
            <v>83.98</v>
          </cell>
          <cell r="G94">
            <v>1</v>
          </cell>
          <cell r="H94">
            <v>45</v>
          </cell>
          <cell r="I94" t="str">
            <v>матрица</v>
          </cell>
        </row>
        <row r="95">
          <cell r="A95" t="str">
            <v>7564 Балыковая в/к в/у Останкино Вес  ОСТАНКИНО</v>
          </cell>
          <cell r="B95" t="str">
            <v>кг</v>
          </cell>
          <cell r="C95">
            <v>19.452999999999999</v>
          </cell>
          <cell r="E95">
            <v>19.385999999999999</v>
          </cell>
          <cell r="F95">
            <v>6.7000000000000004E-2</v>
          </cell>
          <cell r="G95">
            <v>1</v>
          </cell>
          <cell r="H95">
            <v>45</v>
          </cell>
          <cell r="I95" t="str">
            <v>матрица</v>
          </cell>
        </row>
        <row r="96">
          <cell r="A96" t="str">
            <v>7603 БАЛЫКОВАЯ в/к в/у 0.33кг 8шт. ОСТАНКИНО</v>
          </cell>
          <cell r="B96" t="str">
            <v>шт</v>
          </cell>
          <cell r="C96">
            <v>61</v>
          </cell>
          <cell r="D96">
            <v>104</v>
          </cell>
          <cell r="E96">
            <v>18</v>
          </cell>
          <cell r="F96">
            <v>143</v>
          </cell>
          <cell r="G96">
            <v>0.33</v>
          </cell>
          <cell r="H96">
            <v>45</v>
          </cell>
          <cell r="I96" t="str">
            <v>матрица</v>
          </cell>
        </row>
        <row r="97">
          <cell r="A97" t="str">
            <v>7612 БАЛЫК с/к с/н в/у 1/100 10шт_  ОСТАНКИНО</v>
          </cell>
          <cell r="B97" t="str">
            <v>шт</v>
          </cell>
          <cell r="D97">
            <v>90</v>
          </cell>
          <cell r="F97">
            <v>90</v>
          </cell>
          <cell r="G97">
            <v>0</v>
          </cell>
          <cell r="I97" t="str">
            <v>не в матрице</v>
          </cell>
        </row>
        <row r="98">
          <cell r="A98" t="str">
            <v>7613 АРОМАТНАЯ с/к с/н в/у 1/100 10шт_Л10  ОСТАНКИНО</v>
          </cell>
          <cell r="B98" t="str">
            <v>шт</v>
          </cell>
          <cell r="C98">
            <v>9</v>
          </cell>
          <cell r="D98">
            <v>330</v>
          </cell>
          <cell r="E98">
            <v>26</v>
          </cell>
          <cell r="F98">
            <v>293</v>
          </cell>
          <cell r="G98">
            <v>0.1</v>
          </cell>
          <cell r="H98">
            <v>60</v>
          </cell>
          <cell r="I98" t="str">
            <v>матрица</v>
          </cell>
        </row>
        <row r="99">
          <cell r="A99" t="str">
            <v>7616 ЭКСТРА Папа может с/к с/н в/у 1/100_  ОСТАНКИНО</v>
          </cell>
          <cell r="B99" t="str">
            <v>шт</v>
          </cell>
          <cell r="D99">
            <v>530</v>
          </cell>
          <cell r="E99">
            <v>32</v>
          </cell>
          <cell r="F99">
            <v>487</v>
          </cell>
          <cell r="G99">
            <v>0.1</v>
          </cell>
          <cell r="H99">
            <v>60</v>
          </cell>
          <cell r="I99" t="str">
            <v>матрица</v>
          </cell>
        </row>
        <row r="100">
          <cell r="A100" t="str">
            <v>7632 ЭКСТРА Папа может вар п/о 0.4кг 8шт_195к  ОСТАНКИНО</v>
          </cell>
          <cell r="B100" t="str">
            <v>шт</v>
          </cell>
          <cell r="D100">
            <v>579</v>
          </cell>
          <cell r="E100">
            <v>195</v>
          </cell>
          <cell r="F100">
            <v>370</v>
          </cell>
          <cell r="G100">
            <v>0.4</v>
          </cell>
          <cell r="H100">
            <v>60</v>
          </cell>
          <cell r="I100" t="str">
            <v>матрица</v>
          </cell>
        </row>
        <row r="101">
          <cell r="A101" t="str">
            <v>7700 ЛИТОВСКАЯ с/к в/у</v>
          </cell>
          <cell r="B101" t="str">
            <v>кг</v>
          </cell>
          <cell r="D101">
            <v>13.597</v>
          </cell>
          <cell r="F101">
            <v>13.597</v>
          </cell>
          <cell r="G101">
            <v>1</v>
          </cell>
          <cell r="H101">
            <v>120</v>
          </cell>
          <cell r="I101" t="str">
            <v>матрица</v>
          </cell>
        </row>
        <row r="102">
          <cell r="A102" t="str">
            <v>7710 КРАКОВСКАЯ ГОСТ п/к н/о мгс 0.3кг  ОСТАНКИНО</v>
          </cell>
          <cell r="B102" t="str">
            <v>шт</v>
          </cell>
          <cell r="C102">
            <v>71</v>
          </cell>
          <cell r="D102">
            <v>41</v>
          </cell>
          <cell r="E102">
            <v>30</v>
          </cell>
          <cell r="F102">
            <v>67</v>
          </cell>
          <cell r="G102">
            <v>0.3</v>
          </cell>
          <cell r="H102">
            <v>45</v>
          </cell>
          <cell r="I102" t="str">
            <v>матрица</v>
          </cell>
        </row>
        <row r="103">
          <cell r="A103" t="str">
            <v>7725 ВЕТ.МРАМОРНАЯ в/у срез 0.3кг 6шт_62  ОСТАНКИНО</v>
          </cell>
          <cell r="B103" t="str">
            <v>шт</v>
          </cell>
          <cell r="C103">
            <v>19</v>
          </cell>
          <cell r="D103">
            <v>99</v>
          </cell>
          <cell r="E103">
            <v>31</v>
          </cell>
          <cell r="F103">
            <v>62</v>
          </cell>
          <cell r="G103">
            <v>0.3</v>
          </cell>
          <cell r="H103">
            <v>62</v>
          </cell>
          <cell r="I103" t="str">
            <v>матрица</v>
          </cell>
        </row>
        <row r="104">
          <cell r="A104" t="str">
            <v>7730 ХОЧУ ВЕТЧ.ИЗ СВ.ОТРУБА мгс 1/100_45с_Л11  ОСТАНКИНО</v>
          </cell>
          <cell r="B104" t="str">
            <v>шт</v>
          </cell>
          <cell r="D104">
            <v>24</v>
          </cell>
          <cell r="E104">
            <v>3</v>
          </cell>
          <cell r="F104">
            <v>19</v>
          </cell>
          <cell r="G104">
            <v>0.1</v>
          </cell>
          <cell r="H104">
            <v>45</v>
          </cell>
          <cell r="I104" t="str">
            <v>матрица</v>
          </cell>
        </row>
        <row r="105">
          <cell r="A105" t="str">
            <v>7731 ХОЧУ ВЕТЧ. МРАМОР. с/н мгс 1/100_45с_Л11  ОСТАНКИНО</v>
          </cell>
          <cell r="B105" t="str">
            <v>шт</v>
          </cell>
          <cell r="E105">
            <v>4</v>
          </cell>
          <cell r="F105">
            <v>-5</v>
          </cell>
          <cell r="G105">
            <v>0.1</v>
          </cell>
          <cell r="H105">
            <v>45</v>
          </cell>
          <cell r="I105" t="str">
            <v>матрица</v>
          </cell>
        </row>
        <row r="106">
          <cell r="A106" t="str">
            <v>7754 ДОМАШНИЙ РЕЦЕПТ Коровино вар п/о_332к</v>
          </cell>
          <cell r="B106" t="str">
            <v>кг</v>
          </cell>
          <cell r="G106">
            <v>0</v>
          </cell>
          <cell r="H106">
            <v>60</v>
          </cell>
          <cell r="I106" t="str">
            <v>матрица</v>
          </cell>
        </row>
        <row r="107">
          <cell r="A107" t="str">
            <v>8014 ДОКТОРСКАЯ ПРЕМИУМ вар п/о(п)    ОСТАНКИНО</v>
          </cell>
          <cell r="B107" t="str">
            <v>кг</v>
          </cell>
          <cell r="G107">
            <v>0</v>
          </cell>
          <cell r="I107" t="str">
            <v>матрица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28.10.2026 - 29.10.2026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группе из списка "АСП Мариуполь ПОКОМ; АСП Мариуполь Останкино; АСП Мариуполь Заморозка; АСП Мариуполь Молоко Оста..." И
Номенклатура В группе из списка "ПОКОМ Логистический Партн...; ООО Останкино-Краснодар; ООО Останкино-Краснодар (...; Останкино КОРОВИНО (ВЕС); Останкино КОРОВИНО (ШТ); Останкино КУМАЧ (ШТ); Останкино Заморозка; Останкино СЫР; Останкино (соусы, майонез..."</v>
          </cell>
        </row>
        <row r="8">
          <cell r="A8" t="str">
            <v>(Вместе)</v>
          </cell>
          <cell r="E8" t="str">
            <v>Ед. изм.</v>
          </cell>
          <cell r="F8" t="str">
            <v>Количество</v>
          </cell>
          <cell r="K8" t="str">
            <v>Вес (нетто), кг</v>
          </cell>
        </row>
        <row r="9">
          <cell r="A9" t="str">
            <v>Номенклатура</v>
          </cell>
          <cell r="F9" t="str">
            <v>Начальный остаток</v>
          </cell>
          <cell r="H9" t="str">
            <v>Приход</v>
          </cell>
          <cell r="I9" t="str">
            <v>Расход</v>
          </cell>
          <cell r="J9" t="str">
            <v>Конечный остаток</v>
          </cell>
          <cell r="K9" t="str">
            <v>Начальный остаток</v>
          </cell>
          <cell r="L9" t="str">
            <v>Приход</v>
          </cell>
          <cell r="M9" t="str">
            <v>Расход</v>
          </cell>
          <cell r="N9" t="str">
            <v>Конечный остаток</v>
          </cell>
        </row>
        <row r="10">
          <cell r="A10" t="str">
            <v xml:space="preserve"> 005  Колбаса Докторская ГОСТ, Вязанка вектор,ВЕС. ПОКОМ</v>
          </cell>
          <cell r="E10" t="str">
            <v>кг</v>
          </cell>
          <cell r="F10">
            <v>147.83199999999999</v>
          </cell>
          <cell r="H10">
            <v>10.888</v>
          </cell>
          <cell r="I10">
            <v>37.484999999999999</v>
          </cell>
          <cell r="J10">
            <v>121.235</v>
          </cell>
          <cell r="K10">
            <v>147.83199999999999</v>
          </cell>
          <cell r="L10">
            <v>10.888</v>
          </cell>
          <cell r="M10">
            <v>37.484999999999999</v>
          </cell>
          <cell r="N10">
            <v>121.235</v>
          </cell>
        </row>
        <row r="11">
          <cell r="A11" t="str">
            <v xml:space="preserve"> 016  Сосиски Вязанка Молочные, Вязанка вискофан  ВЕС.ПОКОМ</v>
          </cell>
          <cell r="E11" t="str">
            <v>кг</v>
          </cell>
          <cell r="F11">
            <v>39.404000000000003</v>
          </cell>
          <cell r="H11">
            <v>1.488</v>
          </cell>
          <cell r="I11">
            <v>38.165999999999997</v>
          </cell>
          <cell r="J11">
            <v>2.726</v>
          </cell>
          <cell r="K11">
            <v>39.404000000000003</v>
          </cell>
          <cell r="L11">
            <v>1.488</v>
          </cell>
          <cell r="M11">
            <v>38.165999999999997</v>
          </cell>
          <cell r="N11">
            <v>2.726</v>
          </cell>
        </row>
        <row r="12">
          <cell r="A12" t="str">
            <v xml:space="preserve"> 017  Сосиски Вязанка Сливочные, Вязанка амицел ВЕС.ПОКОМ</v>
          </cell>
          <cell r="E12" t="str">
            <v>кг</v>
          </cell>
          <cell r="F12">
            <v>3.105</v>
          </cell>
          <cell r="H12">
            <v>16.167000000000002</v>
          </cell>
          <cell r="I12">
            <v>16.161999999999999</v>
          </cell>
          <cell r="J12">
            <v>3.11</v>
          </cell>
          <cell r="K12">
            <v>3.105</v>
          </cell>
          <cell r="L12">
            <v>16.167000000000002</v>
          </cell>
          <cell r="M12">
            <v>16.161999999999999</v>
          </cell>
          <cell r="N12">
            <v>3.11</v>
          </cell>
        </row>
        <row r="13">
          <cell r="A13" t="str">
            <v xml:space="preserve"> 030  Сосиски Вязанка Молочные, Вязанка вискофан МГС, 0.45кг, ПОКОМ</v>
          </cell>
          <cell r="E13" t="str">
            <v>шт</v>
          </cell>
          <cell r="F13">
            <v>356</v>
          </cell>
          <cell r="I13">
            <v>100</v>
          </cell>
          <cell r="J13">
            <v>256</v>
          </cell>
          <cell r="K13">
            <v>160.19999999999999</v>
          </cell>
          <cell r="M13">
            <v>45</v>
          </cell>
          <cell r="N13">
            <v>115.2</v>
          </cell>
        </row>
        <row r="14">
          <cell r="A14" t="str">
            <v xml:space="preserve"> 032  Сосиски Вязанка Сливочные, Вязанка амицел МГС, 0.45кг, ПОКОМ</v>
          </cell>
          <cell r="E14" t="str">
            <v>шт</v>
          </cell>
          <cell r="F14">
            <v>331</v>
          </cell>
          <cell r="I14">
            <v>139</v>
          </cell>
          <cell r="J14">
            <v>192</v>
          </cell>
          <cell r="K14">
            <v>148.94999999999999</v>
          </cell>
          <cell r="M14">
            <v>62.55</v>
          </cell>
          <cell r="N14">
            <v>86.4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E15" t="str">
            <v>шт</v>
          </cell>
          <cell r="F15">
            <v>253</v>
          </cell>
          <cell r="I15">
            <v>18</v>
          </cell>
          <cell r="J15">
            <v>235</v>
          </cell>
          <cell r="K15">
            <v>43.01</v>
          </cell>
          <cell r="M15">
            <v>3.06</v>
          </cell>
          <cell r="N15">
            <v>39.950000000000003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E16" t="str">
            <v>шт</v>
          </cell>
          <cell r="F16">
            <v>10</v>
          </cell>
          <cell r="H16">
            <v>24</v>
          </cell>
          <cell r="I16">
            <v>7</v>
          </cell>
          <cell r="J16">
            <v>27</v>
          </cell>
          <cell r="K16">
            <v>3</v>
          </cell>
          <cell r="L16">
            <v>7.2</v>
          </cell>
          <cell r="M16">
            <v>2.1</v>
          </cell>
          <cell r="N16">
            <v>8.1</v>
          </cell>
        </row>
        <row r="17">
          <cell r="A17" t="str">
            <v xml:space="preserve"> 083  Колбаса Швейцарская 0,17 кг., ШТ., сырокопченая   ПОКОМ</v>
          </cell>
          <cell r="E17" t="str">
            <v>шт</v>
          </cell>
          <cell r="F17">
            <v>241</v>
          </cell>
          <cell r="I17">
            <v>24</v>
          </cell>
          <cell r="J17">
            <v>217</v>
          </cell>
          <cell r="K17">
            <v>40.97</v>
          </cell>
          <cell r="M17">
            <v>4.08</v>
          </cell>
          <cell r="N17">
            <v>36.89</v>
          </cell>
        </row>
        <row r="18">
          <cell r="A18" t="str">
            <v xml:space="preserve"> 200  Ветчина Дугушка ТМ Стародворье, вектор в/у    ПОКОМ</v>
          </cell>
          <cell r="E18" t="str">
            <v>кг</v>
          </cell>
          <cell r="F18">
            <v>544.60900000000004</v>
          </cell>
          <cell r="H18">
            <v>203.46199999999999</v>
          </cell>
          <cell r="I18">
            <v>54.491999999999997</v>
          </cell>
          <cell r="J18">
            <v>693.57899999999995</v>
          </cell>
          <cell r="K18">
            <v>544.60900000000004</v>
          </cell>
          <cell r="L18">
            <v>203.46199999999999</v>
          </cell>
          <cell r="M18">
            <v>54.491999999999997</v>
          </cell>
          <cell r="N18">
            <v>693.57899999999995</v>
          </cell>
        </row>
        <row r="19">
          <cell r="A19" t="str">
            <v xml:space="preserve"> 201  Ветчина Нежная ТМ Особый рецепт, (2,5кг), ПОКОМ</v>
          </cell>
          <cell r="E19" t="str">
            <v>кг</v>
          </cell>
          <cell r="F19">
            <v>350.35300000000001</v>
          </cell>
          <cell r="H19">
            <v>788.11699999999996</v>
          </cell>
          <cell r="I19">
            <v>211.50200000000001</v>
          </cell>
          <cell r="J19">
            <v>926.96799999999996</v>
          </cell>
          <cell r="K19">
            <v>350.35300000000001</v>
          </cell>
          <cell r="L19">
            <v>788.11699999999996</v>
          </cell>
          <cell r="M19">
            <v>211.50200000000001</v>
          </cell>
          <cell r="N19">
            <v>926.96799999999996</v>
          </cell>
        </row>
        <row r="20">
          <cell r="A20" t="str">
            <v xml:space="preserve"> 215  Колбаса Докторская ГОСТ Дугушка, ВЕС, ТМ Стародворье ПОКОМ</v>
          </cell>
          <cell r="E20" t="str">
            <v>кг</v>
          </cell>
          <cell r="F20">
            <v>81.599999999999994</v>
          </cell>
          <cell r="H20">
            <v>10.472</v>
          </cell>
          <cell r="I20">
            <v>7.0979999999999999</v>
          </cell>
          <cell r="J20">
            <v>84.974000000000004</v>
          </cell>
          <cell r="K20">
            <v>81.599999999999994</v>
          </cell>
          <cell r="L20">
            <v>10.472</v>
          </cell>
          <cell r="M20">
            <v>7.0979999999999999</v>
          </cell>
          <cell r="N20">
            <v>84.974000000000004</v>
          </cell>
        </row>
        <row r="21">
          <cell r="A21" t="str">
            <v xml:space="preserve"> 225  Колбаса Дугушка со шпиком, ВЕС, ТМ Стародворье   ПОКОМ</v>
          </cell>
          <cell r="E21" t="str">
            <v>кг</v>
          </cell>
          <cell r="F21">
            <v>80.31</v>
          </cell>
          <cell r="H21">
            <v>11.433999999999999</v>
          </cell>
          <cell r="I21">
            <v>20.369</v>
          </cell>
          <cell r="J21">
            <v>71.375</v>
          </cell>
          <cell r="K21">
            <v>80.31</v>
          </cell>
          <cell r="L21">
            <v>11.433999999999999</v>
          </cell>
          <cell r="M21">
            <v>20.369</v>
          </cell>
          <cell r="N21">
            <v>71.375</v>
          </cell>
        </row>
        <row r="22">
          <cell r="A22" t="str">
            <v xml:space="preserve"> 226  Колбаса Княжеская, с/к белков.обол в термоусад. пакете, ВЕС, ТМ Стародворье ПОКОМ</v>
          </cell>
          <cell r="E22" t="str">
            <v>кг</v>
          </cell>
          <cell r="F22">
            <v>66.397000000000006</v>
          </cell>
          <cell r="I22">
            <v>0.74199999999999999</v>
          </cell>
          <cell r="J22">
            <v>65.655000000000001</v>
          </cell>
          <cell r="K22">
            <v>66.397000000000006</v>
          </cell>
          <cell r="M22">
            <v>0.74199999999999999</v>
          </cell>
          <cell r="N22">
            <v>65.655000000000001</v>
          </cell>
        </row>
        <row r="23">
          <cell r="A23" t="str">
            <v xml:space="preserve"> 229  Колбаса Молочная Дугушка, в/у, ВЕС, ТМ Стародворье   ПОКОМ</v>
          </cell>
          <cell r="E23" t="str">
            <v>кг</v>
          </cell>
          <cell r="F23">
            <v>313.93</v>
          </cell>
          <cell r="H23">
            <v>209.75399999999999</v>
          </cell>
          <cell r="I23">
            <v>58.26</v>
          </cell>
          <cell r="J23">
            <v>465.42399999999998</v>
          </cell>
          <cell r="K23">
            <v>313.93</v>
          </cell>
          <cell r="L23">
            <v>209.75399999999999</v>
          </cell>
          <cell r="M23">
            <v>58.26</v>
          </cell>
          <cell r="N23">
            <v>465.42399999999998</v>
          </cell>
        </row>
        <row r="24">
          <cell r="A24" t="str">
            <v xml:space="preserve"> 230  Колбаса Молочная Особая ТМ Особый рецепт, п/а, ВЕС. ПОКОМ</v>
          </cell>
          <cell r="E24" t="str">
            <v>кг</v>
          </cell>
          <cell r="F24">
            <v>-2.4980000000000002</v>
          </cell>
          <cell r="J24">
            <v>-2.4980000000000002</v>
          </cell>
          <cell r="K24">
            <v>-2.4980000000000002</v>
          </cell>
          <cell r="N24">
            <v>-2.4980000000000002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E25" t="str">
            <v>кг</v>
          </cell>
          <cell r="F25">
            <v>118.10299999999999</v>
          </cell>
          <cell r="H25">
            <v>3.5049999999999999</v>
          </cell>
          <cell r="I25">
            <v>29.72</v>
          </cell>
          <cell r="J25">
            <v>91.888000000000005</v>
          </cell>
          <cell r="K25">
            <v>118.10299999999999</v>
          </cell>
          <cell r="L25">
            <v>3.5049999999999999</v>
          </cell>
          <cell r="M25">
            <v>29.72</v>
          </cell>
          <cell r="N25">
            <v>91.888000000000005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E26" t="str">
            <v>кг</v>
          </cell>
          <cell r="F26">
            <v>312.41300000000001</v>
          </cell>
          <cell r="H26">
            <v>305.24</v>
          </cell>
          <cell r="I26">
            <v>31.553999999999998</v>
          </cell>
          <cell r="J26">
            <v>586.09900000000005</v>
          </cell>
          <cell r="K26">
            <v>312.41300000000001</v>
          </cell>
          <cell r="L26">
            <v>305.24</v>
          </cell>
          <cell r="M26">
            <v>31.553999999999998</v>
          </cell>
          <cell r="N26">
            <v>586.09900000000005</v>
          </cell>
        </row>
        <row r="27">
          <cell r="A27" t="str">
            <v xml:space="preserve"> 240  Колбаса Салями охотничья, ВЕС. ПОКОМ</v>
          </cell>
          <cell r="E27" t="str">
            <v>кг</v>
          </cell>
          <cell r="F27">
            <v>42.491999999999997</v>
          </cell>
          <cell r="I27">
            <v>0.70399999999999996</v>
          </cell>
          <cell r="J27">
            <v>41.787999999999997</v>
          </cell>
          <cell r="K27">
            <v>42.491999999999997</v>
          </cell>
          <cell r="M27">
            <v>0.70399999999999996</v>
          </cell>
          <cell r="N27">
            <v>41.787999999999997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E28" t="str">
            <v>кг</v>
          </cell>
          <cell r="F28">
            <v>326.43</v>
          </cell>
          <cell r="H28">
            <v>263.37700000000001</v>
          </cell>
          <cell r="I28">
            <v>34.863</v>
          </cell>
          <cell r="J28">
            <v>554.94399999999996</v>
          </cell>
          <cell r="K28">
            <v>326.43</v>
          </cell>
          <cell r="L28">
            <v>263.37700000000001</v>
          </cell>
          <cell r="M28">
            <v>34.863</v>
          </cell>
          <cell r="N28">
            <v>554.94399999999996</v>
          </cell>
        </row>
        <row r="29">
          <cell r="A29" t="str">
            <v xml:space="preserve"> 247  Сардельки Нежные, ВЕС.  ПОКОМ</v>
          </cell>
          <cell r="E29" t="str">
            <v>кг</v>
          </cell>
          <cell r="F29">
            <v>53.936999999999998</v>
          </cell>
          <cell r="I29">
            <v>1.4510000000000001</v>
          </cell>
          <cell r="J29">
            <v>52.485999999999997</v>
          </cell>
          <cell r="K29">
            <v>53.936999999999998</v>
          </cell>
          <cell r="M29">
            <v>1.4510000000000001</v>
          </cell>
          <cell r="N29">
            <v>52.485999999999997</v>
          </cell>
        </row>
        <row r="30">
          <cell r="A30" t="str">
            <v xml:space="preserve"> 248  Сардельки Сочные ТМ Особый рецепт,   ПОКОМ</v>
          </cell>
          <cell r="E30" t="str">
            <v>кг</v>
          </cell>
          <cell r="F30">
            <v>35.011000000000003</v>
          </cell>
          <cell r="I30">
            <v>1.419</v>
          </cell>
          <cell r="J30">
            <v>33.591999999999999</v>
          </cell>
          <cell r="K30">
            <v>35.011000000000003</v>
          </cell>
          <cell r="M30">
            <v>1.419</v>
          </cell>
          <cell r="N30">
            <v>33.591999999999999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E31" t="str">
            <v>кг</v>
          </cell>
          <cell r="F31">
            <v>292.96499999999997</v>
          </cell>
          <cell r="H31">
            <v>2.7269999999999999</v>
          </cell>
          <cell r="I31">
            <v>41.56</v>
          </cell>
          <cell r="J31">
            <v>254.13200000000001</v>
          </cell>
          <cell r="K31">
            <v>292.96499999999997</v>
          </cell>
          <cell r="L31">
            <v>2.7269999999999999</v>
          </cell>
          <cell r="M31">
            <v>41.56</v>
          </cell>
          <cell r="N31">
            <v>254.13200000000001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E32" t="str">
            <v>кг</v>
          </cell>
          <cell r="F32">
            <v>408.55599999999998</v>
          </cell>
          <cell r="H32">
            <v>0.222</v>
          </cell>
          <cell r="I32">
            <v>90.760999999999996</v>
          </cell>
          <cell r="J32">
            <v>318.017</v>
          </cell>
          <cell r="K32">
            <v>408.55599999999998</v>
          </cell>
          <cell r="L32">
            <v>0.222</v>
          </cell>
          <cell r="M32">
            <v>90.760999999999996</v>
          </cell>
          <cell r="N32">
            <v>318.017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E33" t="str">
            <v>кг</v>
          </cell>
          <cell r="F33">
            <v>34.817999999999998</v>
          </cell>
          <cell r="H33">
            <v>1.458</v>
          </cell>
          <cell r="J33">
            <v>36.276000000000003</v>
          </cell>
          <cell r="K33">
            <v>34.817999999999998</v>
          </cell>
          <cell r="L33">
            <v>1.458</v>
          </cell>
          <cell r="N33">
            <v>36.276000000000003</v>
          </cell>
        </row>
        <row r="34">
          <cell r="A34" t="str">
            <v xml:space="preserve"> 265  Колбаса Балыкбургская, ВЕС, ТМ Баварушка  ПОКОМ</v>
          </cell>
          <cell r="E34" t="str">
            <v>кг</v>
          </cell>
          <cell r="F34">
            <v>167.40600000000001</v>
          </cell>
          <cell r="I34">
            <v>0.90700000000000003</v>
          </cell>
          <cell r="J34">
            <v>166.499</v>
          </cell>
          <cell r="K34">
            <v>167.40600000000001</v>
          </cell>
          <cell r="M34">
            <v>0.90700000000000003</v>
          </cell>
          <cell r="N34">
            <v>166.499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E35" t="str">
            <v>кг</v>
          </cell>
          <cell r="F35">
            <v>66.771000000000001</v>
          </cell>
          <cell r="J35">
            <v>66.771000000000001</v>
          </cell>
          <cell r="K35">
            <v>66.771000000000001</v>
          </cell>
          <cell r="N35">
            <v>66.771000000000001</v>
          </cell>
        </row>
        <row r="36">
          <cell r="A36" t="str">
            <v xml:space="preserve"> 273  Сосиски Сочинки с сочной грудинкой, МГС 0.4кг,   ПОКОМ</v>
          </cell>
          <cell r="E36" t="str">
            <v>шт</v>
          </cell>
          <cell r="F36">
            <v>-49</v>
          </cell>
          <cell r="H36">
            <v>864</v>
          </cell>
          <cell r="I36">
            <v>111</v>
          </cell>
          <cell r="J36">
            <v>704</v>
          </cell>
          <cell r="K36">
            <v>-19.600000000000001</v>
          </cell>
          <cell r="L36">
            <v>345.6</v>
          </cell>
          <cell r="M36">
            <v>44.4</v>
          </cell>
          <cell r="N36">
            <v>281.60000000000002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E37" t="str">
            <v>шт</v>
          </cell>
          <cell r="F37">
            <v>140</v>
          </cell>
          <cell r="H37">
            <v>30</v>
          </cell>
          <cell r="I37">
            <v>10</v>
          </cell>
          <cell r="J37">
            <v>160</v>
          </cell>
          <cell r="K37">
            <v>63</v>
          </cell>
          <cell r="L37">
            <v>13.5</v>
          </cell>
          <cell r="M37">
            <v>4.5</v>
          </cell>
          <cell r="N37">
            <v>72</v>
          </cell>
        </row>
        <row r="38">
          <cell r="A38" t="str">
            <v xml:space="preserve"> 278  Сосиски Сочинки с сочным окороком, МГС 0.4кг,   ПОКОМ</v>
          </cell>
          <cell r="E38" t="str">
            <v>шт</v>
          </cell>
          <cell r="F38">
            <v>276</v>
          </cell>
          <cell r="H38">
            <v>360</v>
          </cell>
          <cell r="I38">
            <v>202</v>
          </cell>
          <cell r="J38">
            <v>434</v>
          </cell>
          <cell r="K38">
            <v>110.4</v>
          </cell>
          <cell r="L38">
            <v>144</v>
          </cell>
          <cell r="M38">
            <v>80.8</v>
          </cell>
          <cell r="N38">
            <v>173.6</v>
          </cell>
        </row>
        <row r="39">
          <cell r="A39" t="str">
            <v xml:space="preserve"> 281  Сосиски Молочные для завтрака ТМ Особый рецепт, 0,4кг  ПОКОМ</v>
          </cell>
          <cell r="E39" t="str">
            <v>шт</v>
          </cell>
          <cell r="F39">
            <v>135</v>
          </cell>
          <cell r="I39">
            <v>6</v>
          </cell>
          <cell r="J39">
            <v>129</v>
          </cell>
          <cell r="K39">
            <v>54</v>
          </cell>
          <cell r="M39">
            <v>2.4</v>
          </cell>
          <cell r="N39">
            <v>51.6</v>
          </cell>
        </row>
        <row r="40">
          <cell r="A40" t="str">
            <v xml:space="preserve"> 283  Сосиски Сочинки, ВЕС, ТМ Стародворье ПОКОМ</v>
          </cell>
          <cell r="E40" t="str">
            <v>кг</v>
          </cell>
          <cell r="F40">
            <v>29.684000000000001</v>
          </cell>
          <cell r="I40">
            <v>1.504</v>
          </cell>
          <cell r="J40">
            <v>28.18</v>
          </cell>
          <cell r="K40">
            <v>29.684000000000001</v>
          </cell>
          <cell r="M40">
            <v>1.504</v>
          </cell>
          <cell r="N40">
            <v>28.18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E41" t="str">
            <v>шт</v>
          </cell>
          <cell r="F41">
            <v>176</v>
          </cell>
          <cell r="I41">
            <v>5</v>
          </cell>
          <cell r="J41">
            <v>171</v>
          </cell>
          <cell r="K41">
            <v>17.600000000000001</v>
          </cell>
          <cell r="M41">
            <v>0.5</v>
          </cell>
          <cell r="N41">
            <v>17.100000000000001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E42" t="str">
            <v>шт</v>
          </cell>
          <cell r="F42">
            <v>174</v>
          </cell>
          <cell r="I42">
            <v>5</v>
          </cell>
          <cell r="J42">
            <v>169</v>
          </cell>
          <cell r="K42">
            <v>60.9</v>
          </cell>
          <cell r="M42">
            <v>1.75</v>
          </cell>
          <cell r="N42">
            <v>59.15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E43" t="str">
            <v>кг</v>
          </cell>
          <cell r="F43">
            <v>137.91800000000001</v>
          </cell>
          <cell r="H43">
            <v>21.45</v>
          </cell>
          <cell r="I43">
            <v>15.202</v>
          </cell>
          <cell r="J43">
            <v>144.166</v>
          </cell>
          <cell r="K43">
            <v>137.91800000000001</v>
          </cell>
          <cell r="L43">
            <v>21.45</v>
          </cell>
          <cell r="M43">
            <v>15.202</v>
          </cell>
          <cell r="N43">
            <v>144.166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E44" t="str">
            <v>шт</v>
          </cell>
          <cell r="F44">
            <v>203</v>
          </cell>
          <cell r="H44">
            <v>24</v>
          </cell>
          <cell r="I44">
            <v>46</v>
          </cell>
          <cell r="J44">
            <v>181</v>
          </cell>
          <cell r="K44">
            <v>81.2</v>
          </cell>
          <cell r="L44">
            <v>9.6</v>
          </cell>
          <cell r="M44">
            <v>18.399999999999999</v>
          </cell>
          <cell r="N44">
            <v>72.400000000000006</v>
          </cell>
        </row>
        <row r="45">
          <cell r="A45" t="str">
            <v xml:space="preserve"> 302  Сосиски Сочинки по-баварски,  0.4кг, ТМ Стародворье  ПОКОМ</v>
          </cell>
          <cell r="E45" t="str">
            <v>шт</v>
          </cell>
          <cell r="F45">
            <v>339</v>
          </cell>
          <cell r="I45">
            <v>56</v>
          </cell>
          <cell r="J45">
            <v>283</v>
          </cell>
          <cell r="K45">
            <v>135.6</v>
          </cell>
          <cell r="M45">
            <v>22.4</v>
          </cell>
          <cell r="N45">
            <v>113.2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E46" t="str">
            <v>кг</v>
          </cell>
          <cell r="F46">
            <v>163.214</v>
          </cell>
          <cell r="H46">
            <v>74.63</v>
          </cell>
          <cell r="I46">
            <v>14.698</v>
          </cell>
          <cell r="J46">
            <v>223.14599999999999</v>
          </cell>
          <cell r="K46">
            <v>163.214</v>
          </cell>
          <cell r="L46">
            <v>74.63</v>
          </cell>
          <cell r="M46">
            <v>14.698</v>
          </cell>
          <cell r="N46">
            <v>223.14599999999999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E47" t="str">
            <v>шт</v>
          </cell>
          <cell r="F47">
            <v>157</v>
          </cell>
          <cell r="H47">
            <v>2</v>
          </cell>
          <cell r="I47">
            <v>19</v>
          </cell>
          <cell r="J47">
            <v>140</v>
          </cell>
          <cell r="K47">
            <v>54.95</v>
          </cell>
          <cell r="L47">
            <v>0.7</v>
          </cell>
          <cell r="M47">
            <v>6.65</v>
          </cell>
          <cell r="N47">
            <v>49</v>
          </cell>
        </row>
        <row r="48">
          <cell r="A48" t="str">
            <v xml:space="preserve"> 309  Сосиски Сочинки с сыром 0,4 кг ТМ Стародворье  ПОКОМ</v>
          </cell>
          <cell r="E48" t="str">
            <v>шт</v>
          </cell>
          <cell r="F48">
            <v>113</v>
          </cell>
          <cell r="H48">
            <v>152</v>
          </cell>
          <cell r="I48">
            <v>37</v>
          </cell>
          <cell r="J48">
            <v>228</v>
          </cell>
          <cell r="K48">
            <v>45.2</v>
          </cell>
          <cell r="L48">
            <v>60.8</v>
          </cell>
          <cell r="M48">
            <v>14.8</v>
          </cell>
          <cell r="N48">
            <v>91.2</v>
          </cell>
        </row>
        <row r="49">
          <cell r="A49" t="str">
            <v xml:space="preserve"> 312  Ветчина Филейская ВЕС ТМ  Вязанка ТС Столичная  ПОКОМ</v>
          </cell>
          <cell r="E49" t="str">
            <v>кг</v>
          </cell>
          <cell r="F49">
            <v>131.83099999999999</v>
          </cell>
          <cell r="H49">
            <v>32.573</v>
          </cell>
          <cell r="I49">
            <v>19.030999999999999</v>
          </cell>
          <cell r="J49">
            <v>145.37299999999999</v>
          </cell>
          <cell r="K49">
            <v>131.83099999999999</v>
          </cell>
          <cell r="L49">
            <v>32.573</v>
          </cell>
          <cell r="M49">
            <v>19.030999999999999</v>
          </cell>
          <cell r="N49">
            <v>145.37299999999999</v>
          </cell>
        </row>
        <row r="50">
          <cell r="A50" t="str">
            <v xml:space="preserve"> 315  Колбаса вареная Молокуша ТМ Вязанка ВЕС, ПОКОМ</v>
          </cell>
          <cell r="E50" t="str">
            <v>кг</v>
          </cell>
          <cell r="F50">
            <v>243.55099999999999</v>
          </cell>
          <cell r="H50">
            <v>1.381</v>
          </cell>
          <cell r="I50">
            <v>27.417999999999999</v>
          </cell>
          <cell r="J50">
            <v>217.51400000000001</v>
          </cell>
          <cell r="K50">
            <v>243.55099999999999</v>
          </cell>
          <cell r="L50">
            <v>1.381</v>
          </cell>
          <cell r="M50">
            <v>27.417999999999999</v>
          </cell>
          <cell r="N50">
            <v>217.51400000000001</v>
          </cell>
        </row>
        <row r="51">
          <cell r="A51" t="str">
            <v xml:space="preserve"> 318  Сосиски Датские ТМ Зареченские, ВЕС  ПОКОМ</v>
          </cell>
          <cell r="E51" t="str">
            <v>кг</v>
          </cell>
          <cell r="F51">
            <v>87.296999999999997</v>
          </cell>
          <cell r="I51">
            <v>3.0960000000000001</v>
          </cell>
          <cell r="J51">
            <v>84.200999999999993</v>
          </cell>
          <cell r="K51">
            <v>87.296999999999997</v>
          </cell>
          <cell r="M51">
            <v>3.0960000000000001</v>
          </cell>
          <cell r="N51">
            <v>84.200999999999993</v>
          </cell>
        </row>
        <row r="52">
          <cell r="A52" t="str">
            <v xml:space="preserve"> 319  Колбаса вареная Филейская ТМ Вязанка ТС Классическая, 0,45 кг. ПОКОМ</v>
          </cell>
          <cell r="E52" t="str">
            <v>шт</v>
          </cell>
          <cell r="F52">
            <v>145</v>
          </cell>
          <cell r="I52">
            <v>16</v>
          </cell>
          <cell r="J52">
            <v>129</v>
          </cell>
          <cell r="K52">
            <v>65.25</v>
          </cell>
          <cell r="M52">
            <v>7.2</v>
          </cell>
          <cell r="N52">
            <v>58.05</v>
          </cell>
        </row>
        <row r="53">
          <cell r="A53" t="str">
            <v xml:space="preserve"> 322  Колбаса вареная Молокуша 0,45кг ТМ Вязанка  ПОКОМ</v>
          </cell>
          <cell r="E53" t="str">
            <v>шт</v>
          </cell>
          <cell r="F53">
            <v>142</v>
          </cell>
          <cell r="I53">
            <v>46</v>
          </cell>
          <cell r="J53">
            <v>96</v>
          </cell>
          <cell r="K53">
            <v>63.9</v>
          </cell>
          <cell r="M53">
            <v>20.7</v>
          </cell>
          <cell r="N53">
            <v>43.2</v>
          </cell>
        </row>
        <row r="54">
          <cell r="A54" t="str">
            <v xml:space="preserve"> 328  Сардельки Сочинки Стародворье ТМ  0,4 кг ПОКОМ</v>
          </cell>
          <cell r="E54" t="str">
            <v>шт</v>
          </cell>
          <cell r="F54">
            <v>40</v>
          </cell>
          <cell r="I54">
            <v>2</v>
          </cell>
          <cell r="J54">
            <v>38</v>
          </cell>
          <cell r="K54">
            <v>16</v>
          </cell>
          <cell r="M54">
            <v>0.8</v>
          </cell>
          <cell r="N54">
            <v>15.2</v>
          </cell>
        </row>
        <row r="55">
          <cell r="A55" t="str">
            <v xml:space="preserve"> 329  Сардельки Сочинки с сыром Стародворье ТМ, 0,4 кг. ПОКОМ</v>
          </cell>
          <cell r="E55" t="str">
            <v>шт</v>
          </cell>
          <cell r="F55">
            <v>36</v>
          </cell>
          <cell r="H55">
            <v>4</v>
          </cell>
          <cell r="I55">
            <v>6</v>
          </cell>
          <cell r="J55">
            <v>34</v>
          </cell>
          <cell r="K55">
            <v>14.4</v>
          </cell>
          <cell r="L55">
            <v>1.6</v>
          </cell>
          <cell r="M55">
            <v>2.4</v>
          </cell>
          <cell r="N55">
            <v>13.6</v>
          </cell>
        </row>
        <row r="56">
          <cell r="A56" t="str">
            <v xml:space="preserve"> 330  Колбаса вареная Филейская ТМ Вязанка ТС Классическая ВЕС  ПОКОМ</v>
          </cell>
          <cell r="E56" t="str">
            <v>кг</v>
          </cell>
          <cell r="F56">
            <v>172.76499999999999</v>
          </cell>
          <cell r="H56">
            <v>1.321</v>
          </cell>
          <cell r="I56">
            <v>20.123999999999999</v>
          </cell>
          <cell r="J56">
            <v>153.96199999999999</v>
          </cell>
          <cell r="K56">
            <v>172.76499999999999</v>
          </cell>
          <cell r="L56">
            <v>1.321</v>
          </cell>
          <cell r="M56">
            <v>20.123999999999999</v>
          </cell>
          <cell r="N56">
            <v>153.96199999999999</v>
          </cell>
        </row>
        <row r="57">
          <cell r="A57" t="str">
            <v xml:space="preserve"> 334  Паштет Любительский ТМ Стародворье ламистер 0,1 кг  ПОКОМ</v>
          </cell>
          <cell r="E57" t="str">
            <v>шт</v>
          </cell>
          <cell r="F57">
            <v>387</v>
          </cell>
          <cell r="I57">
            <v>14</v>
          </cell>
          <cell r="J57">
            <v>373</v>
          </cell>
          <cell r="K57">
            <v>38.700000000000003</v>
          </cell>
          <cell r="M57">
            <v>1.4</v>
          </cell>
          <cell r="N57">
            <v>37.299999999999997</v>
          </cell>
        </row>
        <row r="58">
          <cell r="A58" t="str">
            <v xml:space="preserve"> 335  Колбаса Сливушка ТМ Вязанка. ВЕС.  ПОКОМ </v>
          </cell>
          <cell r="E58" t="str">
            <v>кг</v>
          </cell>
          <cell r="F58">
            <v>168.9</v>
          </cell>
          <cell r="H58">
            <v>1.3460000000000001</v>
          </cell>
          <cell r="I58">
            <v>20.228999999999999</v>
          </cell>
          <cell r="J58">
            <v>150.017</v>
          </cell>
          <cell r="K58">
            <v>168.9</v>
          </cell>
          <cell r="L58">
            <v>1.3460000000000001</v>
          </cell>
          <cell r="M58">
            <v>20.228999999999999</v>
          </cell>
          <cell r="N58">
            <v>150.017</v>
          </cell>
        </row>
        <row r="59">
          <cell r="A59" t="str">
            <v xml:space="preserve"> 336  Ветчина Сливушка с индейкой ТМ Вязанка. ВЕС  ПОКОМ</v>
          </cell>
          <cell r="E59" t="str">
            <v>кг</v>
          </cell>
          <cell r="F59">
            <v>17.913</v>
          </cell>
          <cell r="H59">
            <v>22.015000000000001</v>
          </cell>
          <cell r="I59">
            <v>4.1040000000000001</v>
          </cell>
          <cell r="J59">
            <v>35.823999999999998</v>
          </cell>
          <cell r="K59">
            <v>17.913</v>
          </cell>
          <cell r="L59">
            <v>22.015000000000001</v>
          </cell>
          <cell r="M59">
            <v>4.1040000000000001</v>
          </cell>
          <cell r="N59">
            <v>35.823999999999998</v>
          </cell>
        </row>
        <row r="60">
          <cell r="A60" t="str">
            <v xml:space="preserve"> 338  Паштет печеночный с морковью ТМ Стародворье ламистер 0,1 кг.  ПОКОМ</v>
          </cell>
          <cell r="E60" t="str">
            <v>шт</v>
          </cell>
          <cell r="F60">
            <v>309</v>
          </cell>
          <cell r="I60">
            <v>9</v>
          </cell>
          <cell r="J60">
            <v>300</v>
          </cell>
          <cell r="K60">
            <v>30.9</v>
          </cell>
          <cell r="M60">
            <v>0.9</v>
          </cell>
          <cell r="N60">
            <v>30</v>
          </cell>
        </row>
        <row r="61">
          <cell r="A61" t="str">
            <v xml:space="preserve"> 339  Колбаса вареная Филейская ТМ Вязанка ТС Классическая, 0,40 кг.  ПОКОМ</v>
          </cell>
          <cell r="E61" t="str">
            <v>шт</v>
          </cell>
          <cell r="F61">
            <v>62</v>
          </cell>
          <cell r="J61">
            <v>62</v>
          </cell>
          <cell r="K61">
            <v>24.8</v>
          </cell>
          <cell r="N61">
            <v>24.8</v>
          </cell>
        </row>
        <row r="62">
          <cell r="A62" t="str">
            <v xml:space="preserve"> 340  Сосиски Сочинки Молочные ТМ Стародворье, ВЕС ПОКОМ</v>
          </cell>
          <cell r="E62" t="str">
            <v>кг</v>
          </cell>
          <cell r="F62">
            <v>80.001000000000005</v>
          </cell>
          <cell r="I62">
            <v>24.271000000000001</v>
          </cell>
          <cell r="J62">
            <v>55.73</v>
          </cell>
          <cell r="K62">
            <v>80.001000000000005</v>
          </cell>
          <cell r="M62">
            <v>24.271000000000001</v>
          </cell>
          <cell r="N62">
            <v>55.73</v>
          </cell>
        </row>
        <row r="63">
          <cell r="A63" t="str">
            <v xml:space="preserve"> 341 Сосиски Сочинки Сливочные ТМ Стародворье ВЕС ПОКОМ</v>
          </cell>
          <cell r="E63" t="str">
            <v>кг</v>
          </cell>
          <cell r="F63">
            <v>60.21</v>
          </cell>
          <cell r="I63">
            <v>1.355</v>
          </cell>
          <cell r="J63">
            <v>58.854999999999997</v>
          </cell>
          <cell r="K63">
            <v>60.21</v>
          </cell>
          <cell r="M63">
            <v>1.355</v>
          </cell>
          <cell r="N63">
            <v>58.854999999999997</v>
          </cell>
        </row>
        <row r="64">
          <cell r="A64" t="str">
            <v xml:space="preserve"> 342 Сосиски Сочинки Молочные ТМ Стародворье 0,4 кг ПОКОМ</v>
          </cell>
          <cell r="E64" t="str">
            <v>шт</v>
          </cell>
          <cell r="F64">
            <v>296</v>
          </cell>
          <cell r="H64">
            <v>204</v>
          </cell>
          <cell r="I64">
            <v>67</v>
          </cell>
          <cell r="J64">
            <v>433</v>
          </cell>
          <cell r="K64">
            <v>118.4</v>
          </cell>
          <cell r="L64">
            <v>81.599999999999994</v>
          </cell>
          <cell r="M64">
            <v>26.8</v>
          </cell>
          <cell r="N64">
            <v>173.2</v>
          </cell>
        </row>
        <row r="65">
          <cell r="A65" t="str">
            <v xml:space="preserve"> 343 Сосиски Сочинки Сливочные ТМ Стародворье  0,4 кг ПОКОМ</v>
          </cell>
          <cell r="E65" t="str">
            <v>шт</v>
          </cell>
          <cell r="F65">
            <v>58</v>
          </cell>
          <cell r="H65">
            <v>150</v>
          </cell>
          <cell r="I65">
            <v>42</v>
          </cell>
          <cell r="J65">
            <v>166</v>
          </cell>
          <cell r="K65">
            <v>23.2</v>
          </cell>
          <cell r="L65">
            <v>60</v>
          </cell>
          <cell r="M65">
            <v>16.8</v>
          </cell>
          <cell r="N65">
            <v>66.400000000000006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E66" t="str">
            <v>кг</v>
          </cell>
          <cell r="F66">
            <v>61.453000000000003</v>
          </cell>
          <cell r="H66">
            <v>152.13800000000001</v>
          </cell>
          <cell r="I66">
            <v>15.564</v>
          </cell>
          <cell r="J66">
            <v>198.02699999999999</v>
          </cell>
          <cell r="K66">
            <v>61.453000000000003</v>
          </cell>
          <cell r="L66">
            <v>152.13800000000001</v>
          </cell>
          <cell r="M66">
            <v>15.564</v>
          </cell>
          <cell r="N66">
            <v>198.02699999999999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E67" t="str">
            <v>кг</v>
          </cell>
          <cell r="F67">
            <v>141.78100000000001</v>
          </cell>
          <cell r="I67">
            <v>14.590999999999999</v>
          </cell>
          <cell r="J67">
            <v>127.19</v>
          </cell>
          <cell r="K67">
            <v>141.78100000000001</v>
          </cell>
          <cell r="M67">
            <v>14.590999999999999</v>
          </cell>
          <cell r="N67">
            <v>127.19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E68" t="str">
            <v>кг</v>
          </cell>
          <cell r="F68">
            <v>119.846</v>
          </cell>
          <cell r="H68">
            <v>154.499</v>
          </cell>
          <cell r="I68">
            <v>32.741999999999997</v>
          </cell>
          <cell r="J68">
            <v>241.60300000000001</v>
          </cell>
          <cell r="K68">
            <v>119.846</v>
          </cell>
          <cell r="L68">
            <v>154.499</v>
          </cell>
          <cell r="M68">
            <v>32.741999999999997</v>
          </cell>
          <cell r="N68">
            <v>241.60300000000001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E69" t="str">
            <v>кг</v>
          </cell>
          <cell r="F69">
            <v>94.963999999999999</v>
          </cell>
          <cell r="H69">
            <v>32.915999999999997</v>
          </cell>
          <cell r="I69">
            <v>12.678000000000001</v>
          </cell>
          <cell r="J69">
            <v>115.202</v>
          </cell>
          <cell r="K69">
            <v>94.963999999999999</v>
          </cell>
          <cell r="L69">
            <v>32.915999999999997</v>
          </cell>
          <cell r="M69">
            <v>12.678000000000001</v>
          </cell>
          <cell r="N69">
            <v>115.202</v>
          </cell>
        </row>
        <row r="70">
          <cell r="A70" t="str">
            <v xml:space="preserve"> 364  Сардельки Филейские Вязанка ВЕС NDX ТМ Вязанка  ПОКОМ</v>
          </cell>
          <cell r="E70" t="str">
            <v>кг</v>
          </cell>
          <cell r="F70">
            <v>105.937</v>
          </cell>
          <cell r="I70">
            <v>3.8959999999999999</v>
          </cell>
          <cell r="J70">
            <v>102.041</v>
          </cell>
          <cell r="K70">
            <v>105.937</v>
          </cell>
          <cell r="M70">
            <v>3.8959999999999999</v>
          </cell>
          <cell r="N70">
            <v>102.041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E71" t="str">
            <v>шт</v>
          </cell>
          <cell r="F71">
            <v>146</v>
          </cell>
          <cell r="H71">
            <v>3</v>
          </cell>
          <cell r="I71">
            <v>51</v>
          </cell>
          <cell r="J71">
            <v>98</v>
          </cell>
          <cell r="K71">
            <v>87.6</v>
          </cell>
          <cell r="L71">
            <v>1.8</v>
          </cell>
          <cell r="M71">
            <v>30.6</v>
          </cell>
          <cell r="N71">
            <v>58.8</v>
          </cell>
        </row>
        <row r="72">
          <cell r="A72" t="str">
            <v xml:space="preserve"> 377  Колбаса Молочная Дугушка 0,6кг ТМ Стародворье  ПОКОМ</v>
          </cell>
          <cell r="E72" t="str">
            <v>шт</v>
          </cell>
          <cell r="F72">
            <v>274</v>
          </cell>
          <cell r="H72">
            <v>3</v>
          </cell>
          <cell r="I72">
            <v>66</v>
          </cell>
          <cell r="J72">
            <v>211</v>
          </cell>
          <cell r="K72">
            <v>164.4</v>
          </cell>
          <cell r="L72">
            <v>1.8</v>
          </cell>
          <cell r="M72">
            <v>39.6</v>
          </cell>
          <cell r="N72">
            <v>126.6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E73" t="str">
            <v>шт</v>
          </cell>
          <cell r="F73">
            <v>115</v>
          </cell>
          <cell r="I73">
            <v>8</v>
          </cell>
          <cell r="J73">
            <v>107</v>
          </cell>
          <cell r="K73">
            <v>46</v>
          </cell>
          <cell r="M73">
            <v>3.2</v>
          </cell>
          <cell r="N73">
            <v>42.8</v>
          </cell>
        </row>
        <row r="74">
          <cell r="A74" t="str">
            <v xml:space="preserve"> 388  Сосиски Восточные Халяль ТМ Вязанка 0,33 кг АК. ПОКОМ</v>
          </cell>
          <cell r="E74" t="str">
            <v>шт</v>
          </cell>
          <cell r="F74">
            <v>71</v>
          </cell>
          <cell r="H74">
            <v>16</v>
          </cell>
          <cell r="I74">
            <v>11</v>
          </cell>
          <cell r="J74">
            <v>76</v>
          </cell>
          <cell r="K74">
            <v>23.43</v>
          </cell>
          <cell r="L74">
            <v>5.28</v>
          </cell>
          <cell r="M74">
            <v>3.63</v>
          </cell>
          <cell r="N74">
            <v>25.08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E75" t="str">
            <v>шт</v>
          </cell>
          <cell r="F75">
            <v>75</v>
          </cell>
          <cell r="I75">
            <v>31</v>
          </cell>
          <cell r="J75">
            <v>44</v>
          </cell>
          <cell r="K75">
            <v>26.25</v>
          </cell>
          <cell r="M75">
            <v>10.85</v>
          </cell>
          <cell r="N75">
            <v>15.4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E76" t="str">
            <v>шт</v>
          </cell>
          <cell r="F76">
            <v>28</v>
          </cell>
          <cell r="J76">
            <v>28</v>
          </cell>
          <cell r="K76">
            <v>10.36</v>
          </cell>
          <cell r="N76">
            <v>10.36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E77" t="str">
            <v>шт</v>
          </cell>
          <cell r="F77">
            <v>143</v>
          </cell>
          <cell r="H77">
            <v>3</v>
          </cell>
          <cell r="I77">
            <v>26</v>
          </cell>
          <cell r="J77">
            <v>120</v>
          </cell>
          <cell r="K77">
            <v>85.8</v>
          </cell>
          <cell r="L77">
            <v>1.8</v>
          </cell>
          <cell r="M77">
            <v>15.6</v>
          </cell>
          <cell r="N77">
            <v>72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E78" t="str">
            <v>шт</v>
          </cell>
          <cell r="F78">
            <v>146</v>
          </cell>
          <cell r="I78">
            <v>15</v>
          </cell>
          <cell r="J78">
            <v>131</v>
          </cell>
          <cell r="K78">
            <v>48.18</v>
          </cell>
          <cell r="M78">
            <v>4.95</v>
          </cell>
          <cell r="N78">
            <v>43.23</v>
          </cell>
        </row>
        <row r="79">
          <cell r="A79" t="str">
            <v xml:space="preserve"> 408  Ветчина Сливушка с индейкой ТМ Вязанка, 0,4кг  ПОКОМ</v>
          </cell>
          <cell r="E79" t="str">
            <v>шт</v>
          </cell>
          <cell r="F79">
            <v>27</v>
          </cell>
          <cell r="I79">
            <v>1</v>
          </cell>
          <cell r="J79">
            <v>26</v>
          </cell>
          <cell r="K79">
            <v>10.8</v>
          </cell>
          <cell r="M79">
            <v>0.4</v>
          </cell>
          <cell r="N79">
            <v>10.4</v>
          </cell>
        </row>
        <row r="80">
          <cell r="A80" t="str">
            <v xml:space="preserve"> 410  Сосиски Баварские с сыром ТМ Стародворье 0,35 кг. ПОКОМ</v>
          </cell>
          <cell r="E80" t="str">
            <v>шт</v>
          </cell>
          <cell r="F80">
            <v>64</v>
          </cell>
          <cell r="H80">
            <v>36</v>
          </cell>
          <cell r="I80">
            <v>3</v>
          </cell>
          <cell r="J80">
            <v>97</v>
          </cell>
          <cell r="K80">
            <v>22.4</v>
          </cell>
          <cell r="L80">
            <v>12.6</v>
          </cell>
          <cell r="M80">
            <v>1.05</v>
          </cell>
          <cell r="N80">
            <v>33.950000000000003</v>
          </cell>
        </row>
        <row r="81">
          <cell r="A81" t="str">
            <v xml:space="preserve"> 412  Сосиски Баварские ТМ Стародворье 0,35 кг ПОКОМ</v>
          </cell>
          <cell r="E81" t="str">
            <v>шт</v>
          </cell>
          <cell r="F81">
            <v>45</v>
          </cell>
          <cell r="H81">
            <v>24</v>
          </cell>
          <cell r="I81">
            <v>9</v>
          </cell>
          <cell r="J81">
            <v>60</v>
          </cell>
          <cell r="K81">
            <v>15.75</v>
          </cell>
          <cell r="L81">
            <v>8.4</v>
          </cell>
          <cell r="M81">
            <v>3.15</v>
          </cell>
          <cell r="N81">
            <v>21</v>
          </cell>
        </row>
        <row r="82">
          <cell r="A82" t="str">
            <v xml:space="preserve"> 441  Сосиски Сочинки ТМ Стародворье с сочной грудинкой 0,3 кг ПОКОМ</v>
          </cell>
          <cell r="E82" t="str">
            <v>шт</v>
          </cell>
          <cell r="F82">
            <v>-1</v>
          </cell>
          <cell r="J82">
            <v>-1</v>
          </cell>
          <cell r="K82">
            <v>-0.3</v>
          </cell>
          <cell r="N82">
            <v>-0.3</v>
          </cell>
        </row>
        <row r="83">
          <cell r="A83" t="str">
            <v xml:space="preserve"> 449  Колбаса Дугушка Стародворская ВЕС ТС Дугушка ПОКОМ</v>
          </cell>
          <cell r="E83" t="str">
            <v>кг</v>
          </cell>
          <cell r="F83">
            <v>146.53800000000001</v>
          </cell>
          <cell r="H83">
            <v>107.56100000000001</v>
          </cell>
          <cell r="I83">
            <v>34.9</v>
          </cell>
          <cell r="J83">
            <v>219.19900000000001</v>
          </cell>
          <cell r="K83">
            <v>146.53800000000001</v>
          </cell>
          <cell r="L83">
            <v>107.56100000000001</v>
          </cell>
          <cell r="M83">
            <v>34.9</v>
          </cell>
          <cell r="N83">
            <v>219.19900000000001</v>
          </cell>
        </row>
        <row r="84">
          <cell r="A84" t="str">
            <v xml:space="preserve"> 452  Колбаса Со шпиком ВЕС большой батон ТМ Особый рецепт  ПОКОМ</v>
          </cell>
          <cell r="E84" t="str">
            <v>кг</v>
          </cell>
          <cell r="F84">
            <v>203.779</v>
          </cell>
          <cell r="H84">
            <v>633.07799999999997</v>
          </cell>
          <cell r="I84">
            <v>122.20699999999999</v>
          </cell>
          <cell r="J84">
            <v>714.65</v>
          </cell>
          <cell r="K84">
            <v>203.779</v>
          </cell>
          <cell r="L84">
            <v>633.07799999999997</v>
          </cell>
          <cell r="M84">
            <v>122.20699999999999</v>
          </cell>
          <cell r="N84">
            <v>714.65</v>
          </cell>
        </row>
        <row r="85">
          <cell r="A85" t="str">
            <v xml:space="preserve"> 456  Колбаса Филейная ТМ Особый рецепт ВЕС большой батон  ПОКОМ</v>
          </cell>
          <cell r="E85" t="str">
            <v>кг</v>
          </cell>
          <cell r="F85">
            <v>230.20400000000001</v>
          </cell>
          <cell r="H85">
            <v>467.76100000000002</v>
          </cell>
          <cell r="I85">
            <v>81.631</v>
          </cell>
          <cell r="J85">
            <v>616.33399999999995</v>
          </cell>
          <cell r="K85">
            <v>230.20400000000001</v>
          </cell>
          <cell r="L85">
            <v>467.76100000000002</v>
          </cell>
          <cell r="M85">
            <v>81.631</v>
          </cell>
          <cell r="N85">
            <v>616.33399999999995</v>
          </cell>
        </row>
        <row r="86">
          <cell r="A86" t="str">
            <v xml:space="preserve"> 457  Колбаса Молочная ТМ Особый рецепт ВЕС большой батон  ПОКОМ</v>
          </cell>
          <cell r="E86" t="str">
            <v>кг</v>
          </cell>
          <cell r="F86">
            <v>361.64499999999998</v>
          </cell>
          <cell r="H86">
            <v>302.36099999999999</v>
          </cell>
          <cell r="I86">
            <v>172.4</v>
          </cell>
          <cell r="J86">
            <v>491.60599999999999</v>
          </cell>
          <cell r="K86">
            <v>361.64499999999998</v>
          </cell>
          <cell r="L86">
            <v>302.36099999999999</v>
          </cell>
          <cell r="M86">
            <v>172.4</v>
          </cell>
          <cell r="N86">
            <v>491.60599999999999</v>
          </cell>
        </row>
        <row r="87">
          <cell r="A87" t="str">
            <v xml:space="preserve"> 498  Колбаса Сочинка рубленая с сочным окороком 0,3кг ТМ Стародворье  ПОКОМ</v>
          </cell>
          <cell r="E87" t="str">
            <v>шт</v>
          </cell>
          <cell r="F87">
            <v>131</v>
          </cell>
          <cell r="I87">
            <v>14</v>
          </cell>
          <cell r="J87">
            <v>117</v>
          </cell>
          <cell r="K87">
            <v>39.299999999999997</v>
          </cell>
          <cell r="M87">
            <v>4.2</v>
          </cell>
          <cell r="N87">
            <v>35.1</v>
          </cell>
        </row>
        <row r="88">
          <cell r="A88" t="str">
            <v xml:space="preserve"> 523  Колбаса Сальчичон нарезка 0,07кг ТМ Стародворье  ПОКОМ </v>
          </cell>
          <cell r="E88" t="str">
            <v>шт</v>
          </cell>
          <cell r="F88">
            <v>205</v>
          </cell>
          <cell r="I88">
            <v>6</v>
          </cell>
          <cell r="J88">
            <v>199</v>
          </cell>
          <cell r="K88">
            <v>14.35</v>
          </cell>
          <cell r="M88">
            <v>0.42</v>
          </cell>
          <cell r="N88">
            <v>13.93</v>
          </cell>
        </row>
        <row r="89">
          <cell r="A89" t="str">
            <v xml:space="preserve"> 524  Колбаса Сервелат Ореховый нарезка 0,07кг ТМ Стародворье  ПОКОМ</v>
          </cell>
          <cell r="E89" t="str">
            <v>шт</v>
          </cell>
          <cell r="F89">
            <v>133</v>
          </cell>
          <cell r="I89">
            <v>9</v>
          </cell>
          <cell r="J89">
            <v>124</v>
          </cell>
          <cell r="K89">
            <v>9.31</v>
          </cell>
          <cell r="M89">
            <v>0.63</v>
          </cell>
          <cell r="N89">
            <v>8.68</v>
          </cell>
        </row>
        <row r="90">
          <cell r="A90" t="str">
            <v xml:space="preserve"> 525  Колбаса Фуэт нарезка 0,07кг ТМ Стародворье  ПОКОМ</v>
          </cell>
          <cell r="E90" t="str">
            <v>шт</v>
          </cell>
          <cell r="F90">
            <v>165</v>
          </cell>
          <cell r="I90">
            <v>5</v>
          </cell>
          <cell r="J90">
            <v>160</v>
          </cell>
          <cell r="K90">
            <v>11.55</v>
          </cell>
          <cell r="M90">
            <v>0.35</v>
          </cell>
          <cell r="N90">
            <v>11.2</v>
          </cell>
        </row>
        <row r="91">
          <cell r="A91" t="str">
            <v xml:space="preserve"> 544  Сосиски Мясные для гриля ТС Ядрена копоть 0,3 кг  ПОКОМ</v>
          </cell>
          <cell r="E91" t="str">
            <v>шт</v>
          </cell>
          <cell r="F91">
            <v>34</v>
          </cell>
          <cell r="I91">
            <v>8</v>
          </cell>
          <cell r="J91">
            <v>26</v>
          </cell>
          <cell r="K91">
            <v>10.199999999999999</v>
          </cell>
          <cell r="M91">
            <v>2.4</v>
          </cell>
          <cell r="N91">
            <v>7.8</v>
          </cell>
        </row>
        <row r="92">
          <cell r="A92" t="str">
            <v xml:space="preserve"> 553  Ассорти колбас Мясорубская коллекция: Сервелат Делюкс, С балыком 0,08 кг нарезка  ПОКОМ</v>
          </cell>
          <cell r="E92" t="str">
            <v>шт</v>
          </cell>
          <cell r="F92">
            <v>143</v>
          </cell>
          <cell r="I92">
            <v>12</v>
          </cell>
          <cell r="J92">
            <v>131</v>
          </cell>
          <cell r="K92">
            <v>11.44</v>
          </cell>
          <cell r="M92">
            <v>0.96</v>
          </cell>
          <cell r="N92">
            <v>10.48</v>
          </cell>
        </row>
        <row r="93">
          <cell r="A93" t="str">
            <v xml:space="preserve"> 554  Колбаса Сервелат Мясорубский ТМ Стародворье в упаковке скин 0,08 кг нарезка  ПОКОМ</v>
          </cell>
          <cell r="E93" t="str">
            <v>шт</v>
          </cell>
          <cell r="F93">
            <v>139</v>
          </cell>
          <cell r="I93">
            <v>22</v>
          </cell>
          <cell r="J93">
            <v>117</v>
          </cell>
          <cell r="K93">
            <v>11.12</v>
          </cell>
          <cell r="M93">
            <v>1.76</v>
          </cell>
          <cell r="N93">
            <v>9.36</v>
          </cell>
        </row>
        <row r="94">
          <cell r="A94" t="str">
            <v xml:space="preserve"> 555  Колбаса Молокуша ТМ Вязанка в модифицированной газовой среде 0,17 кг нарезка  ПОКОМ</v>
          </cell>
          <cell r="E94" t="str">
            <v>шт</v>
          </cell>
          <cell r="F94">
            <v>22</v>
          </cell>
          <cell r="J94">
            <v>22</v>
          </cell>
          <cell r="K94">
            <v>3.74</v>
          </cell>
          <cell r="N94">
            <v>3.74</v>
          </cell>
        </row>
        <row r="95">
          <cell r="A95" t="str">
            <v xml:space="preserve"> 556  Колбаса Сервелат Ореховый ТМ Вязанка в оболочке фиброуз в вакуумной упаковке, ВЕС  ПОКОМ</v>
          </cell>
          <cell r="E95" t="str">
            <v>кг</v>
          </cell>
          <cell r="F95">
            <v>163.05000000000001</v>
          </cell>
          <cell r="H95">
            <v>7.2610000000000001</v>
          </cell>
          <cell r="I95">
            <v>24.844999999999999</v>
          </cell>
          <cell r="J95">
            <v>145.46600000000001</v>
          </cell>
          <cell r="K95">
            <v>163.05000000000001</v>
          </cell>
          <cell r="L95">
            <v>7.2610000000000001</v>
          </cell>
          <cell r="M95">
            <v>24.844999999999999</v>
          </cell>
          <cell r="N95">
            <v>145.46600000000001</v>
          </cell>
        </row>
        <row r="96">
          <cell r="A96" t="str">
            <v xml:space="preserve"> 557  Колбаса Сервелат Финский ТМ Вязанка в оболочке фиброуз в вакуумной упаковке, ВЕС  ПОКОМ</v>
          </cell>
          <cell r="E96" t="str">
            <v>кг</v>
          </cell>
          <cell r="F96">
            <v>117.718</v>
          </cell>
          <cell r="H96">
            <v>57.567</v>
          </cell>
          <cell r="I96">
            <v>23.103999999999999</v>
          </cell>
          <cell r="J96">
            <v>152.18100000000001</v>
          </cell>
          <cell r="K96">
            <v>117.718</v>
          </cell>
          <cell r="L96">
            <v>57.567</v>
          </cell>
          <cell r="M96">
            <v>23.103999999999999</v>
          </cell>
          <cell r="N96">
            <v>152.18100000000001</v>
          </cell>
        </row>
        <row r="97">
          <cell r="A97" t="str">
            <v xml:space="preserve"> 558  Колбаса Балыковая НОВАЯ ВЕС Вязанка фиброуз в/у ПОКОМ</v>
          </cell>
          <cell r="E97" t="str">
            <v>кг</v>
          </cell>
          <cell r="F97">
            <v>114.31100000000001</v>
          </cell>
          <cell r="H97">
            <v>0.72899999999999998</v>
          </cell>
          <cell r="I97">
            <v>20.111999999999998</v>
          </cell>
          <cell r="J97">
            <v>94.927999999999997</v>
          </cell>
          <cell r="K97">
            <v>114.31100000000001</v>
          </cell>
          <cell r="L97">
            <v>0.72899999999999998</v>
          </cell>
          <cell r="M97">
            <v>20.111999999999998</v>
          </cell>
          <cell r="N97">
            <v>94.927999999999997</v>
          </cell>
        </row>
        <row r="98">
          <cell r="A98" t="str">
            <v xml:space="preserve"> 569  Колбаса Балыковая ТМ Вязанка в оболочке фиброуз в вакуумной упаковке 0,28 кг срез.  ПОКОМ</v>
          </cell>
          <cell r="E98" t="str">
            <v>шт</v>
          </cell>
          <cell r="F98">
            <v>-1</v>
          </cell>
          <cell r="J98">
            <v>-1</v>
          </cell>
          <cell r="K98">
            <v>-0.28000000000000003</v>
          </cell>
          <cell r="N98">
            <v>-0.28000000000000003</v>
          </cell>
        </row>
        <row r="99">
          <cell r="A99" t="str">
            <v xml:space="preserve"> 570  Колбаса Сервелат Финский ТМ Вязанка в оболочке фиброуз в вак. упаковке 0,28 кг срез  ПОКОМ</v>
          </cell>
          <cell r="E99" t="str">
            <v>шт</v>
          </cell>
          <cell r="F99">
            <v>152</v>
          </cell>
          <cell r="I99">
            <v>36</v>
          </cell>
          <cell r="J99">
            <v>116</v>
          </cell>
          <cell r="K99">
            <v>42.56</v>
          </cell>
          <cell r="M99">
            <v>10.08</v>
          </cell>
          <cell r="N99">
            <v>32.479999999999997</v>
          </cell>
        </row>
        <row r="100">
          <cell r="A100" t="str">
            <v xml:space="preserve"> 571  Колбаса Сервелат Ореховый ТМ Вязанка в оболочке фиброуз в вак. упаковке 0,28 кг срез  ПОКОМ</v>
          </cell>
          <cell r="E100" t="str">
            <v>шт</v>
          </cell>
          <cell r="F100">
            <v>137</v>
          </cell>
          <cell r="H100">
            <v>1</v>
          </cell>
          <cell r="I100">
            <v>19</v>
          </cell>
          <cell r="J100">
            <v>119</v>
          </cell>
          <cell r="K100">
            <v>38.36</v>
          </cell>
          <cell r="L100">
            <v>0.28000000000000003</v>
          </cell>
          <cell r="M100">
            <v>5.32</v>
          </cell>
          <cell r="N100">
            <v>33.32</v>
          </cell>
        </row>
        <row r="101">
          <cell r="A101" t="str">
            <v xml:space="preserve"> 574  Колбаса Сервелат Финский ТМ Вязанка в упаковке скин 0,09 кг нарезка  ПОКОМ</v>
          </cell>
          <cell r="E101" t="str">
            <v>шт</v>
          </cell>
          <cell r="F101">
            <v>8</v>
          </cell>
          <cell r="I101">
            <v>8</v>
          </cell>
          <cell r="K101">
            <v>0.72</v>
          </cell>
          <cell r="M101">
            <v>0.72</v>
          </cell>
        </row>
        <row r="102">
          <cell r="A102" t="str">
            <v xml:space="preserve"> 579  Колбаса Ветчинно-рубленая ТМ Особый рецепт в оболочке полиамид.ВЕС  ПОКОМ</v>
          </cell>
          <cell r="E102" t="str">
            <v>кг</v>
          </cell>
          <cell r="F102">
            <v>-5.0330000000000004</v>
          </cell>
          <cell r="J102">
            <v>-5.0330000000000004</v>
          </cell>
          <cell r="K102">
            <v>-5.0330000000000004</v>
          </cell>
          <cell r="N102">
            <v>-5.0330000000000004</v>
          </cell>
        </row>
        <row r="103">
          <cell r="A103" t="str">
            <v xml:space="preserve"> 580  Ветчина Нежная с индейкой ТМ Особый рецепт в оболочке полиамид.ВЕС  ПОКОМ</v>
          </cell>
          <cell r="E103" t="str">
            <v>кг</v>
          </cell>
          <cell r="F103">
            <v>14.874000000000001</v>
          </cell>
          <cell r="H103">
            <v>30.193999999999999</v>
          </cell>
          <cell r="I103">
            <v>5.0270000000000001</v>
          </cell>
          <cell r="J103">
            <v>40.040999999999997</v>
          </cell>
          <cell r="K103">
            <v>14.874000000000001</v>
          </cell>
          <cell r="L103">
            <v>30.193999999999999</v>
          </cell>
          <cell r="M103">
            <v>5.0270000000000001</v>
          </cell>
          <cell r="N103">
            <v>40.040999999999997</v>
          </cell>
        </row>
        <row r="104">
          <cell r="A104" t="str">
            <v xml:space="preserve"> 583  Колбаса Балыковая ТМ Вязанка в упаковке скин 0,09 кг нарезка  ПОКОМ</v>
          </cell>
          <cell r="E104" t="str">
            <v>шт</v>
          </cell>
          <cell r="F104">
            <v>53</v>
          </cell>
          <cell r="H104">
            <v>1</v>
          </cell>
          <cell r="I104">
            <v>24</v>
          </cell>
          <cell r="J104">
            <v>30</v>
          </cell>
          <cell r="K104">
            <v>4.7699999999999996</v>
          </cell>
          <cell r="L104">
            <v>0.09</v>
          </cell>
          <cell r="M104">
            <v>2.16</v>
          </cell>
          <cell r="N104">
            <v>2.7</v>
          </cell>
        </row>
        <row r="105">
          <cell r="A105" t="str">
            <v xml:space="preserve"> 585  Колбаса Молочная ТМ Стародворье в оболочке вектор НД ВЕС.  ПОКОМ</v>
          </cell>
          <cell r="E105" t="str">
            <v>кг</v>
          </cell>
          <cell r="F105">
            <v>84.12</v>
          </cell>
          <cell r="H105">
            <v>16.600999999999999</v>
          </cell>
          <cell r="I105">
            <v>2.746</v>
          </cell>
          <cell r="J105">
            <v>97.974999999999994</v>
          </cell>
          <cell r="K105">
            <v>84.12</v>
          </cell>
          <cell r="L105">
            <v>16.600999999999999</v>
          </cell>
          <cell r="M105">
            <v>2.746</v>
          </cell>
          <cell r="N105">
            <v>97.974999999999994</v>
          </cell>
        </row>
        <row r="106">
          <cell r="A106" t="str">
            <v xml:space="preserve"> 586  Колбаса Мясная ТМ Стародворье в оболочке вектор НД ВЕС.  ПОКОМ</v>
          </cell>
          <cell r="E106" t="str">
            <v>кг</v>
          </cell>
          <cell r="F106">
            <v>151.10400000000001</v>
          </cell>
          <cell r="H106">
            <v>66.442999999999998</v>
          </cell>
          <cell r="I106">
            <v>15.089</v>
          </cell>
          <cell r="J106">
            <v>202.458</v>
          </cell>
          <cell r="K106">
            <v>151.10400000000001</v>
          </cell>
          <cell r="L106">
            <v>66.442999999999998</v>
          </cell>
          <cell r="M106">
            <v>15.089</v>
          </cell>
          <cell r="N106">
            <v>202.458</v>
          </cell>
        </row>
        <row r="107">
          <cell r="A107" t="str">
            <v xml:space="preserve"> 588 Колбаса Со шпиком ТМ Стародворье в оболочке вектор ВЕС  ПОКОМ</v>
          </cell>
          <cell r="E107" t="str">
            <v>кг</v>
          </cell>
          <cell r="F107">
            <v>58.26</v>
          </cell>
          <cell r="I107">
            <v>7.7759999999999998</v>
          </cell>
          <cell r="J107">
            <v>50.484000000000002</v>
          </cell>
          <cell r="K107">
            <v>58.26</v>
          </cell>
          <cell r="M107">
            <v>7.7759999999999998</v>
          </cell>
          <cell r="N107">
            <v>50.484000000000002</v>
          </cell>
        </row>
        <row r="108">
          <cell r="A108" t="str">
            <v xml:space="preserve"> 597  Колбаса Классическая ТМ Особый рецепт в оболочке полиамид ВЕС. ПОКОМ</v>
          </cell>
          <cell r="E108" t="str">
            <v>кг</v>
          </cell>
          <cell r="F108">
            <v>417.60399999999998</v>
          </cell>
          <cell r="H108">
            <v>339.73500000000001</v>
          </cell>
          <cell r="I108">
            <v>111.687</v>
          </cell>
          <cell r="J108">
            <v>645.65200000000004</v>
          </cell>
          <cell r="K108">
            <v>417.60399999999998</v>
          </cell>
          <cell r="L108">
            <v>339.73500000000001</v>
          </cell>
          <cell r="M108">
            <v>111.687</v>
          </cell>
          <cell r="N108">
            <v>645.65200000000004</v>
          </cell>
        </row>
        <row r="109">
          <cell r="A109" t="str">
            <v xml:space="preserve"> 614  Буженина в пряном маринаде 0,25 кг консервы из мяса индейки ТМ Стародворье  ПОКОМ</v>
          </cell>
          <cell r="E109" t="str">
            <v>шт</v>
          </cell>
          <cell r="F109">
            <v>246</v>
          </cell>
          <cell r="I109">
            <v>3</v>
          </cell>
          <cell r="J109">
            <v>243</v>
          </cell>
          <cell r="K109">
            <v>61.5</v>
          </cell>
          <cell r="M109">
            <v>0.75</v>
          </cell>
          <cell r="N109">
            <v>60.75</v>
          </cell>
        </row>
        <row r="110">
          <cell r="A110" t="str">
            <v xml:space="preserve"> 615  Гречка по-купечески с говядиной и овощами 0,325кг ТМ Стародворье  ПОКОМ</v>
          </cell>
          <cell r="E110" t="str">
            <v>шт</v>
          </cell>
          <cell r="F110">
            <v>145</v>
          </cell>
          <cell r="J110">
            <v>145</v>
          </cell>
          <cell r="K110">
            <v>47.125</v>
          </cell>
          <cell r="N110">
            <v>47.125</v>
          </cell>
        </row>
        <row r="111">
          <cell r="A111" t="str">
            <v xml:space="preserve"> 616  Индейка томлёная в собственном соку 0,25кг ТМ Стародлворье Консервый из мяс.птицы  ПОКОМ</v>
          </cell>
          <cell r="E111" t="str">
            <v>шт</v>
          </cell>
          <cell r="F111">
            <v>145</v>
          </cell>
          <cell r="I111">
            <v>3</v>
          </cell>
          <cell r="J111">
            <v>142</v>
          </cell>
          <cell r="K111">
            <v>36.25</v>
          </cell>
          <cell r="M111">
            <v>0.75</v>
          </cell>
          <cell r="N111">
            <v>35.5</v>
          </cell>
        </row>
        <row r="112">
          <cell r="A112" t="str">
            <v xml:space="preserve"> 633  Колбаса Мясная Классическая ТМ Вязанка в оболочке полиамид УМВ.ВЕС.  ПОКОМ</v>
          </cell>
          <cell r="E112" t="str">
            <v>кг</v>
          </cell>
          <cell r="F112">
            <v>-2.7839999999999998</v>
          </cell>
          <cell r="J112">
            <v>-2.7839999999999998</v>
          </cell>
          <cell r="K112">
            <v>-2.7839999999999998</v>
          </cell>
          <cell r="N112">
            <v>-2.7839999999999998</v>
          </cell>
        </row>
        <row r="113">
          <cell r="A113" t="str">
            <v>0614 ПРАЗДНИЧНАЯ с/к в/с дек.спец.мгс  Останкино</v>
          </cell>
          <cell r="E113" t="str">
            <v>кг</v>
          </cell>
          <cell r="F113">
            <v>33.732999999999997</v>
          </cell>
          <cell r="H113">
            <v>1.6850000000000001</v>
          </cell>
          <cell r="I113">
            <v>1.08</v>
          </cell>
          <cell r="J113">
            <v>34.338000000000001</v>
          </cell>
          <cell r="K113">
            <v>33.732999999999997</v>
          </cell>
          <cell r="L113">
            <v>1.6850000000000001</v>
          </cell>
          <cell r="M113">
            <v>1.08</v>
          </cell>
          <cell r="N113">
            <v>34.338000000000001</v>
          </cell>
        </row>
        <row r="114">
          <cell r="A114" t="str">
            <v>1103201 Сыр копченый "Косичка" мини ПАПА МОЖЕТ 55г лоток  ОСТАНКИНО</v>
          </cell>
          <cell r="E114" t="str">
            <v>шт</v>
          </cell>
          <cell r="F114">
            <v>82</v>
          </cell>
          <cell r="H114">
            <v>58</v>
          </cell>
          <cell r="I114">
            <v>35</v>
          </cell>
          <cell r="J114">
            <v>105</v>
          </cell>
          <cell r="K114">
            <v>4.51</v>
          </cell>
          <cell r="L114">
            <v>3.19</v>
          </cell>
          <cell r="M114">
            <v>1.925</v>
          </cell>
          <cell r="N114">
            <v>5.7750000000000004</v>
          </cell>
        </row>
        <row r="115">
          <cell r="A115" t="str">
            <v>2103201 БЖП, произведенный по технологии сыра копченый "Косичка" мини Ассорти  ОСТАНКИНО</v>
          </cell>
          <cell r="E115" t="str">
            <v>шт</v>
          </cell>
          <cell r="F115">
            <v>87</v>
          </cell>
          <cell r="H115">
            <v>15</v>
          </cell>
          <cell r="I115">
            <v>64</v>
          </cell>
          <cell r="J115">
            <v>38</v>
          </cell>
          <cell r="K115">
            <v>8.6999999999999993</v>
          </cell>
          <cell r="L115">
            <v>1.5</v>
          </cell>
          <cell r="M115">
            <v>6.4</v>
          </cell>
          <cell r="N115">
            <v>3.8</v>
          </cell>
        </row>
        <row r="116">
          <cell r="A116" t="str">
            <v>2105201 БЖП, произведенный по технологии сыра копченый "Балык" резаный 4 вкуса  ОСТАНКИНО</v>
          </cell>
          <cell r="E116" t="str">
            <v>шт</v>
          </cell>
          <cell r="F116">
            <v>38</v>
          </cell>
          <cell r="H116">
            <v>48</v>
          </cell>
          <cell r="I116">
            <v>25</v>
          </cell>
          <cell r="J116">
            <v>61</v>
          </cell>
          <cell r="K116">
            <v>3.8</v>
          </cell>
          <cell r="L116">
            <v>4.8</v>
          </cell>
          <cell r="M116">
            <v>2.5</v>
          </cell>
          <cell r="N116">
            <v>6.1</v>
          </cell>
        </row>
        <row r="117">
          <cell r="A117" t="str">
            <v>3215 ВЕТЧ.МЯСНАЯ Папа может п/о 0.4кг 8шт.    ОСТАНКИНО</v>
          </cell>
          <cell r="E117" t="str">
            <v>шт</v>
          </cell>
          <cell r="F117">
            <v>236</v>
          </cell>
          <cell r="H117">
            <v>29</v>
          </cell>
          <cell r="I117">
            <v>227</v>
          </cell>
          <cell r="J117">
            <v>38</v>
          </cell>
          <cell r="K117">
            <v>94.4</v>
          </cell>
          <cell r="L117">
            <v>11.6</v>
          </cell>
          <cell r="M117">
            <v>90.8</v>
          </cell>
          <cell r="N117">
            <v>15.2</v>
          </cell>
        </row>
        <row r="118">
          <cell r="A118" t="str">
            <v>3287 САЛЯМИ ИТАЛЬЯНСКАЯ с/к в/у ОСТАНКИНО</v>
          </cell>
          <cell r="E118" t="str">
            <v>кг</v>
          </cell>
          <cell r="F118">
            <v>91.161000000000001</v>
          </cell>
          <cell r="H118">
            <v>55.094999999999999</v>
          </cell>
          <cell r="I118">
            <v>57.055</v>
          </cell>
          <cell r="J118">
            <v>89.200999999999993</v>
          </cell>
          <cell r="K118">
            <v>91.161000000000001</v>
          </cell>
          <cell r="L118">
            <v>55.094999999999999</v>
          </cell>
          <cell r="M118">
            <v>57.055</v>
          </cell>
          <cell r="N118">
            <v>89.200999999999993</v>
          </cell>
        </row>
        <row r="119">
          <cell r="A119" t="str">
            <v>3323 Сыр Российский цилиндр 1/4 пленка ЮКМП м.д.ж. 50%  ОСТАНКИНО</v>
          </cell>
          <cell r="E119" t="str">
            <v>кг</v>
          </cell>
          <cell r="F119">
            <v>202.78100000000001</v>
          </cell>
          <cell r="H119">
            <v>88.254999999999995</v>
          </cell>
          <cell r="I119">
            <v>101.01600000000001</v>
          </cell>
          <cell r="J119">
            <v>190.02</v>
          </cell>
          <cell r="K119">
            <v>202.78100000000001</v>
          </cell>
          <cell r="L119">
            <v>88.254999999999995</v>
          </cell>
          <cell r="M119">
            <v>101.01600000000001</v>
          </cell>
          <cell r="N119">
            <v>190.02</v>
          </cell>
        </row>
        <row r="120">
          <cell r="A120" t="str">
            <v>3986 Ароматная с/к в/у 1/250 ОСТАНКИНО</v>
          </cell>
          <cell r="E120" t="str">
            <v>шт</v>
          </cell>
          <cell r="F120">
            <v>113</v>
          </cell>
          <cell r="H120">
            <v>59</v>
          </cell>
          <cell r="I120">
            <v>92</v>
          </cell>
          <cell r="J120">
            <v>80</v>
          </cell>
          <cell r="K120">
            <v>28.25</v>
          </cell>
          <cell r="L120">
            <v>14.75</v>
          </cell>
          <cell r="M120">
            <v>23</v>
          </cell>
          <cell r="N120">
            <v>20</v>
          </cell>
        </row>
        <row r="121">
          <cell r="A121" t="str">
            <v>4063 МЯСНАЯ Папа может вар п/о_Л   ОСТАНКИНО</v>
          </cell>
          <cell r="E121" t="str">
            <v>кг</v>
          </cell>
          <cell r="F121">
            <v>125.59399999999999</v>
          </cell>
          <cell r="H121">
            <v>354.16699999999997</v>
          </cell>
          <cell r="I121">
            <v>100.41800000000001</v>
          </cell>
          <cell r="J121">
            <v>379.34300000000002</v>
          </cell>
          <cell r="K121">
            <v>125.59399999999999</v>
          </cell>
          <cell r="L121">
            <v>354.16699999999997</v>
          </cell>
          <cell r="M121">
            <v>100.41800000000001</v>
          </cell>
          <cell r="N121">
            <v>379.34300000000002</v>
          </cell>
        </row>
        <row r="122">
          <cell r="A122" t="str">
            <v>4117 ЭКСТРА Папа может с/к в/у_Л   ОСТАНКИНО</v>
          </cell>
          <cell r="E122" t="str">
            <v>кг</v>
          </cell>
          <cell r="F122">
            <v>107.965</v>
          </cell>
          <cell r="H122">
            <v>90.135000000000005</v>
          </cell>
          <cell r="I122">
            <v>89.614999999999995</v>
          </cell>
          <cell r="J122">
            <v>108.485</v>
          </cell>
          <cell r="K122">
            <v>107.965</v>
          </cell>
          <cell r="L122">
            <v>90.135000000000005</v>
          </cell>
          <cell r="M122">
            <v>89.614999999999995</v>
          </cell>
          <cell r="N122">
            <v>108.485</v>
          </cell>
        </row>
        <row r="123">
          <cell r="A123" t="str">
            <v>4574 Мясная со шпиком Папа может вар п/о ОСТАНКИНО</v>
          </cell>
          <cell r="E123" t="str">
            <v>кг</v>
          </cell>
          <cell r="F123">
            <v>76.686000000000007</v>
          </cell>
          <cell r="H123">
            <v>75.968000000000004</v>
          </cell>
          <cell r="I123">
            <v>80.694000000000003</v>
          </cell>
          <cell r="J123">
            <v>71.959999999999994</v>
          </cell>
          <cell r="K123">
            <v>76.686000000000007</v>
          </cell>
          <cell r="L123">
            <v>75.968000000000004</v>
          </cell>
          <cell r="M123">
            <v>80.694000000000003</v>
          </cell>
          <cell r="N123">
            <v>71.959999999999994</v>
          </cell>
        </row>
        <row r="124">
          <cell r="A124" t="str">
            <v>4813 ФИЛЕЙНАЯ Папа может вар п/о_Л   ОСТАНКИНО</v>
          </cell>
          <cell r="E124" t="str">
            <v>кг</v>
          </cell>
          <cell r="F124">
            <v>207.27699999999999</v>
          </cell>
          <cell r="H124">
            <v>137.536</v>
          </cell>
          <cell r="I124">
            <v>255.536</v>
          </cell>
          <cell r="J124">
            <v>89.277000000000001</v>
          </cell>
          <cell r="K124">
            <v>207.27699999999999</v>
          </cell>
          <cell r="L124">
            <v>137.536</v>
          </cell>
          <cell r="M124">
            <v>255.536</v>
          </cell>
          <cell r="N124">
            <v>89.277000000000001</v>
          </cell>
        </row>
        <row r="125">
          <cell r="A125" t="str">
            <v>4931  Сыр полутвердый "Купеческий" с ароматом топленого молока, с м.д.ж. 50% ОСТАНКИНО</v>
          </cell>
          <cell r="E125" t="str">
            <v>кг</v>
          </cell>
          <cell r="F125">
            <v>12.118</v>
          </cell>
          <cell r="H125">
            <v>42</v>
          </cell>
          <cell r="J125">
            <v>54.118000000000002</v>
          </cell>
          <cell r="K125">
            <v>12.118</v>
          </cell>
          <cell r="L125">
            <v>42</v>
          </cell>
          <cell r="N125">
            <v>54.118000000000002</v>
          </cell>
        </row>
        <row r="126">
          <cell r="A126" t="str">
            <v>495  Колбаса Сочинка по-европейски с сочной грудинкой 0,3кг ТМ Стародворье  ПОКОМ</v>
          </cell>
          <cell r="E126" t="str">
            <v>шт</v>
          </cell>
          <cell r="F126">
            <v>180</v>
          </cell>
          <cell r="H126">
            <v>30</v>
          </cell>
          <cell r="I126">
            <v>22</v>
          </cell>
          <cell r="J126">
            <v>188</v>
          </cell>
          <cell r="K126">
            <v>54</v>
          </cell>
          <cell r="L126">
            <v>9</v>
          </cell>
          <cell r="M126">
            <v>6.6</v>
          </cell>
          <cell r="N126">
            <v>56.4</v>
          </cell>
        </row>
        <row r="127">
          <cell r="A127" t="str">
            <v>496  Колбаса Сочинка по-фински с сочным окроком 0,3кг ТМ Стародворье  ПОКОМ</v>
          </cell>
          <cell r="E127" t="str">
            <v>шт</v>
          </cell>
          <cell r="F127">
            <v>180</v>
          </cell>
          <cell r="H127">
            <v>30</v>
          </cell>
          <cell r="I127">
            <v>23</v>
          </cell>
          <cell r="J127">
            <v>187</v>
          </cell>
          <cell r="K127">
            <v>54</v>
          </cell>
          <cell r="L127">
            <v>9</v>
          </cell>
          <cell r="M127">
            <v>6.9</v>
          </cell>
          <cell r="N127">
            <v>56.1</v>
          </cell>
        </row>
        <row r="128">
          <cell r="A128" t="str">
            <v>4993 САЛЯМИ ИТАЛЬЯНСКАЯ с/к в/у 1/250*8_120c ОСТАНКИНО</v>
          </cell>
          <cell r="E128" t="str">
            <v>шт</v>
          </cell>
          <cell r="F128">
            <v>92</v>
          </cell>
          <cell r="H128">
            <v>24</v>
          </cell>
          <cell r="I128">
            <v>116</v>
          </cell>
          <cell r="K128">
            <v>23</v>
          </cell>
          <cell r="L128">
            <v>6</v>
          </cell>
          <cell r="M128">
            <v>29</v>
          </cell>
        </row>
        <row r="129">
          <cell r="A129" t="str">
            <v>503 Колбаса Филейская со шпиком ТМ Вязанка в оболочке полиамид.ПОКОМ</v>
          </cell>
          <cell r="E129" t="str">
            <v>кг</v>
          </cell>
          <cell r="F129">
            <v>19.579000000000001</v>
          </cell>
          <cell r="H129">
            <v>10.803000000000001</v>
          </cell>
          <cell r="I129">
            <v>4.2320000000000002</v>
          </cell>
          <cell r="J129">
            <v>26.15</v>
          </cell>
          <cell r="K129">
            <v>19.579000000000001</v>
          </cell>
          <cell r="L129">
            <v>10.803000000000001</v>
          </cell>
          <cell r="M129">
            <v>4.2320000000000002</v>
          </cell>
          <cell r="N129">
            <v>26.15</v>
          </cell>
        </row>
        <row r="130">
          <cell r="A130" t="str">
            <v>515  Колбаса Сервелат Мясорубский Делюкс 0,3кг ТМ Стародворье  ПОКОМ</v>
          </cell>
          <cell r="E130" t="str">
            <v>шт</v>
          </cell>
          <cell r="F130">
            <v>239</v>
          </cell>
          <cell r="I130">
            <v>2</v>
          </cell>
          <cell r="J130">
            <v>237</v>
          </cell>
          <cell r="K130">
            <v>71.7</v>
          </cell>
          <cell r="M130">
            <v>0.6</v>
          </cell>
          <cell r="N130">
            <v>71.099999999999994</v>
          </cell>
        </row>
        <row r="131">
          <cell r="A131" t="str">
            <v>519  Грудинка 0,12 кг нарезка ТМ Стародворье  ПОКОМ</v>
          </cell>
          <cell r="E131" t="str">
            <v>шт</v>
          </cell>
          <cell r="F131">
            <v>95</v>
          </cell>
          <cell r="I131">
            <v>6</v>
          </cell>
          <cell r="J131">
            <v>89</v>
          </cell>
          <cell r="K131">
            <v>11.4</v>
          </cell>
          <cell r="M131">
            <v>0.72</v>
          </cell>
          <cell r="N131">
            <v>10.68</v>
          </cell>
        </row>
        <row r="132">
          <cell r="A132" t="str">
            <v>5452 ВЕТЧ.МЯСНАЯ Папа может п/о    ОСТАНКИНО</v>
          </cell>
          <cell r="E132" t="str">
            <v>кг</v>
          </cell>
          <cell r="F132">
            <v>85.078000000000003</v>
          </cell>
          <cell r="H132">
            <v>12.749000000000001</v>
          </cell>
          <cell r="I132">
            <v>98.813000000000002</v>
          </cell>
          <cell r="J132">
            <v>-0.98599999999999999</v>
          </cell>
          <cell r="K132">
            <v>85.078000000000003</v>
          </cell>
          <cell r="L132">
            <v>12.749000000000001</v>
          </cell>
          <cell r="M132">
            <v>98.813000000000002</v>
          </cell>
          <cell r="N132">
            <v>-0.98599999999999999</v>
          </cell>
        </row>
        <row r="133">
          <cell r="A133" t="str">
            <v>5483 ЭКСТРА Папа может с/к в/у 1/250 8шт.   ОСТАНКИНО</v>
          </cell>
          <cell r="E133" t="str">
            <v>шт</v>
          </cell>
          <cell r="F133">
            <v>190</v>
          </cell>
          <cell r="H133">
            <v>70</v>
          </cell>
          <cell r="I133">
            <v>260</v>
          </cell>
          <cell r="K133">
            <v>47.5</v>
          </cell>
          <cell r="L133">
            <v>17.5</v>
          </cell>
          <cell r="M133">
            <v>65</v>
          </cell>
        </row>
        <row r="134">
          <cell r="A134" t="str">
            <v>5495 ВЕТЧ.С ИНДЕЙКОЙ Папа может п/о 400*6  Останкино</v>
          </cell>
          <cell r="E134" t="str">
            <v>шт</v>
          </cell>
          <cell r="F134">
            <v>119</v>
          </cell>
          <cell r="I134">
            <v>90</v>
          </cell>
          <cell r="J134">
            <v>29</v>
          </cell>
          <cell r="K134">
            <v>47.6</v>
          </cell>
          <cell r="M134">
            <v>36</v>
          </cell>
          <cell r="N134">
            <v>11.6</v>
          </cell>
        </row>
        <row r="135">
          <cell r="A135" t="str">
            <v>5544 Сервелат Финский в/к в/у_45с НОВАЯ ОСТАНКИНО</v>
          </cell>
          <cell r="E135" t="str">
            <v>кг</v>
          </cell>
          <cell r="F135">
            <v>42.084000000000003</v>
          </cell>
          <cell r="H135">
            <v>12.833</v>
          </cell>
          <cell r="I135">
            <v>54.917000000000002</v>
          </cell>
          <cell r="K135">
            <v>42.084000000000003</v>
          </cell>
          <cell r="L135">
            <v>12.833</v>
          </cell>
          <cell r="M135">
            <v>54.917000000000002</v>
          </cell>
        </row>
        <row r="136">
          <cell r="A136" t="str">
            <v>5579 БЛИНЧ.КРУГЛЫЕ С САД.ЯБЛОК.пл.1/420 зам. ОСТАНКИНО</v>
          </cell>
          <cell r="E136" t="str">
            <v>шт</v>
          </cell>
          <cell r="F136">
            <v>18</v>
          </cell>
          <cell r="J136">
            <v>18</v>
          </cell>
          <cell r="K136">
            <v>7.56</v>
          </cell>
          <cell r="N136">
            <v>7.56</v>
          </cell>
        </row>
        <row r="137">
          <cell r="A137" t="str">
            <v>5754 БЛИНЧ.КРУГЛЫЕ С МЯСОМ 4,5кг зам. ПМ ОСТАНКИНО</v>
          </cell>
          <cell r="E137" t="str">
            <v>кг</v>
          </cell>
          <cell r="F137">
            <v>96.257999999999996</v>
          </cell>
          <cell r="I137">
            <v>13.762</v>
          </cell>
          <cell r="J137">
            <v>82.495999999999995</v>
          </cell>
          <cell r="K137">
            <v>96.257999999999996</v>
          </cell>
          <cell r="M137">
            <v>13.762</v>
          </cell>
          <cell r="N137">
            <v>82.495999999999995</v>
          </cell>
        </row>
        <row r="138">
          <cell r="A138" t="str">
            <v>5755 БЛИНЧ.КРУГЛЫЕ С ТВОРОГОМ 4,5кг зам. ПМ ОСТАНКИНО</v>
          </cell>
          <cell r="E138" t="str">
            <v>кг</v>
          </cell>
          <cell r="F138">
            <v>18.385999999999999</v>
          </cell>
          <cell r="I138">
            <v>9.2579999999999991</v>
          </cell>
          <cell r="J138">
            <v>9.1280000000000001</v>
          </cell>
          <cell r="K138">
            <v>18.385999999999999</v>
          </cell>
          <cell r="M138">
            <v>9.2579999999999991</v>
          </cell>
          <cell r="N138">
            <v>9.1280000000000001</v>
          </cell>
        </row>
        <row r="139">
          <cell r="A139" t="str">
            <v>5819 Сосиски Папа может 400г Мясные  ОСТАНКИНО</v>
          </cell>
          <cell r="E139" t="str">
            <v>шт</v>
          </cell>
          <cell r="F139">
            <v>118</v>
          </cell>
          <cell r="H139">
            <v>152</v>
          </cell>
          <cell r="I139">
            <v>172</v>
          </cell>
          <cell r="J139">
            <v>98</v>
          </cell>
          <cell r="K139">
            <v>47.2</v>
          </cell>
          <cell r="L139">
            <v>60.8</v>
          </cell>
          <cell r="M139">
            <v>68.8</v>
          </cell>
          <cell r="N139">
            <v>39.200000000000003</v>
          </cell>
        </row>
        <row r="140">
          <cell r="A140" t="str">
            <v>5851 ЭКСТРА Папа может вар п/о   ОСТАНКИНО</v>
          </cell>
          <cell r="E140" t="str">
            <v>кг</v>
          </cell>
          <cell r="F140">
            <v>115.309</v>
          </cell>
          <cell r="H140">
            <v>12.311999999999999</v>
          </cell>
          <cell r="I140">
            <v>38.817999999999998</v>
          </cell>
          <cell r="J140">
            <v>88.802999999999997</v>
          </cell>
          <cell r="K140">
            <v>115.309</v>
          </cell>
          <cell r="L140">
            <v>12.311999999999999</v>
          </cell>
          <cell r="M140">
            <v>38.817999999999998</v>
          </cell>
          <cell r="N140">
            <v>88.802999999999997</v>
          </cell>
        </row>
        <row r="141">
          <cell r="A141" t="str">
            <v>5897 БЛИНЧ.КРУГЛЫЕ С ГРУШЕЙ пл.1/420 зам.   ОСТАНКИНО</v>
          </cell>
          <cell r="E141" t="str">
            <v>шт</v>
          </cell>
          <cell r="F141">
            <v>33</v>
          </cell>
          <cell r="I141">
            <v>11</v>
          </cell>
          <cell r="J141">
            <v>22</v>
          </cell>
          <cell r="K141">
            <v>13.86</v>
          </cell>
          <cell r="M141">
            <v>4.62</v>
          </cell>
          <cell r="N141">
            <v>9.24</v>
          </cell>
        </row>
        <row r="142">
          <cell r="A142" t="str">
            <v>5931 ОХОТНИЧЬЯ Папа может с/к в/у 1/220 8шт.   ОСТАНКИНО</v>
          </cell>
          <cell r="E142" t="str">
            <v>шт</v>
          </cell>
          <cell r="F142">
            <v>90</v>
          </cell>
          <cell r="H142">
            <v>12</v>
          </cell>
          <cell r="I142">
            <v>102</v>
          </cell>
          <cell r="K142">
            <v>19.8</v>
          </cell>
          <cell r="L142">
            <v>2.64</v>
          </cell>
          <cell r="M142">
            <v>22.44</v>
          </cell>
        </row>
        <row r="143">
          <cell r="A143" t="str">
            <v>6008 САЛО СОЛЕНОЕ С ЧЕРНЫМ ПЕРЦЕМ мл/к в/у ОСТАНКИНО</v>
          </cell>
          <cell r="E143" t="str">
            <v>кг</v>
          </cell>
          <cell r="F143">
            <v>17.611999999999998</v>
          </cell>
          <cell r="H143">
            <v>8.4580000000000002</v>
          </cell>
          <cell r="I143">
            <v>12.028</v>
          </cell>
          <cell r="J143">
            <v>14.042</v>
          </cell>
          <cell r="K143">
            <v>17.611999999999998</v>
          </cell>
          <cell r="L143">
            <v>8.4580000000000002</v>
          </cell>
          <cell r="M143">
            <v>12.028</v>
          </cell>
          <cell r="N143">
            <v>14.042</v>
          </cell>
        </row>
        <row r="144">
          <cell r="A144" t="str">
            <v>6148 БЛИНЧ.КРУГЛЫЕ С ВЕТЧ.И СЫР. ПМ 1/300 зам. ОСТАНКИНО</v>
          </cell>
          <cell r="E144" t="str">
            <v>шт</v>
          </cell>
          <cell r="F144">
            <v>11</v>
          </cell>
          <cell r="I144">
            <v>15</v>
          </cell>
          <cell r="J144">
            <v>-4</v>
          </cell>
          <cell r="K144">
            <v>3.3</v>
          </cell>
          <cell r="M144">
            <v>4.5</v>
          </cell>
          <cell r="N144">
            <v>-1.2</v>
          </cell>
        </row>
        <row r="145">
          <cell r="A145" t="str">
            <v>6149 БЛИНЧ.КРУГЛЫЕ С ПЕЧЕНЬЮ ПМ 1/300 зам. ОСТАНКИНО</v>
          </cell>
          <cell r="E145" t="str">
            <v>шт</v>
          </cell>
          <cell r="F145">
            <v>25</v>
          </cell>
          <cell r="I145">
            <v>11</v>
          </cell>
          <cell r="J145">
            <v>14</v>
          </cell>
          <cell r="K145">
            <v>7.5</v>
          </cell>
          <cell r="M145">
            <v>3.3</v>
          </cell>
          <cell r="N145">
            <v>4.2</v>
          </cell>
        </row>
        <row r="146">
          <cell r="A146" t="str">
            <v>6168 Блинчики с мясом пл. 1/350 зам. ОСТАНКИНО</v>
          </cell>
          <cell r="E146" t="str">
            <v>шт</v>
          </cell>
          <cell r="F146">
            <v>20</v>
          </cell>
          <cell r="I146">
            <v>19</v>
          </cell>
          <cell r="J146">
            <v>1</v>
          </cell>
          <cell r="K146">
            <v>7</v>
          </cell>
          <cell r="M146">
            <v>6.65</v>
          </cell>
          <cell r="N146">
            <v>0.35</v>
          </cell>
        </row>
        <row r="147">
          <cell r="A147" t="str">
            <v>6202 БЛИНЧ.КРУГЛЫЕ С ТВОРОГОМ ПМ 1/300 зам. ОСТАНКИНО</v>
          </cell>
          <cell r="E147" t="str">
            <v>шт</v>
          </cell>
          <cell r="F147">
            <v>61</v>
          </cell>
          <cell r="I147">
            <v>13</v>
          </cell>
          <cell r="J147">
            <v>48</v>
          </cell>
          <cell r="K147">
            <v>18.3</v>
          </cell>
          <cell r="M147">
            <v>3.9</v>
          </cell>
          <cell r="N147">
            <v>14.4</v>
          </cell>
        </row>
        <row r="148">
          <cell r="A148" t="str">
            <v>6209 Блинчики с куриным мясом пл. 1/350 зам. ОСТАНКИНО</v>
          </cell>
          <cell r="E148" t="str">
            <v>шт</v>
          </cell>
          <cell r="F148">
            <v>7</v>
          </cell>
          <cell r="I148">
            <v>12</v>
          </cell>
          <cell r="J148">
            <v>-5</v>
          </cell>
          <cell r="K148">
            <v>2.4500000000000002</v>
          </cell>
          <cell r="M148">
            <v>4.2</v>
          </cell>
          <cell r="N148">
            <v>-1.75</v>
          </cell>
        </row>
        <row r="149">
          <cell r="A149" t="str">
            <v>6220 ГОВЯЖЬЯ папа может вар п/о  Останкино</v>
          </cell>
          <cell r="E149" t="str">
            <v>кг</v>
          </cell>
          <cell r="F149">
            <v>20.175999999999998</v>
          </cell>
          <cell r="H149">
            <v>63.158000000000001</v>
          </cell>
          <cell r="I149">
            <v>22.626000000000001</v>
          </cell>
          <cell r="J149">
            <v>60.707999999999998</v>
          </cell>
          <cell r="K149">
            <v>20.175999999999998</v>
          </cell>
          <cell r="L149">
            <v>63.158000000000001</v>
          </cell>
          <cell r="M149">
            <v>22.626000000000001</v>
          </cell>
          <cell r="N149">
            <v>60.707999999999998</v>
          </cell>
        </row>
        <row r="150">
          <cell r="A150" t="str">
            <v>6221 НЕОПОЛИТАНСКИЙ ДУЭТ с/к с/н мгс 1/90  Останкино</v>
          </cell>
          <cell r="E150" t="str">
            <v>шт</v>
          </cell>
          <cell r="F150">
            <v>329</v>
          </cell>
          <cell r="H150">
            <v>244</v>
          </cell>
          <cell r="I150">
            <v>127</v>
          </cell>
          <cell r="J150">
            <v>446</v>
          </cell>
          <cell r="K150">
            <v>29.61</v>
          </cell>
          <cell r="L150">
            <v>21.96</v>
          </cell>
          <cell r="M150">
            <v>11.43</v>
          </cell>
          <cell r="N150">
            <v>40.14</v>
          </cell>
        </row>
        <row r="151">
          <cell r="A151" t="str">
            <v>6228 МЯСНОЕ АССОРТИ к/з с/н мгс 1/90 10шт  Останкино</v>
          </cell>
          <cell r="E151" t="str">
            <v>шт</v>
          </cell>
          <cell r="F151">
            <v>180</v>
          </cell>
          <cell r="H151">
            <v>122</v>
          </cell>
          <cell r="I151">
            <v>148</v>
          </cell>
          <cell r="J151">
            <v>154</v>
          </cell>
          <cell r="K151">
            <v>16.2</v>
          </cell>
          <cell r="L151">
            <v>10.98</v>
          </cell>
          <cell r="M151">
            <v>13.32</v>
          </cell>
          <cell r="N151">
            <v>13.86</v>
          </cell>
        </row>
        <row r="152">
          <cell r="A152" t="str">
            <v>6279 КОРЕЙКА ПО-ОСТ.к/в в/с с/н в/у 1/150_45с  Останкино</v>
          </cell>
          <cell r="E152" t="str">
            <v>шт</v>
          </cell>
          <cell r="F152">
            <v>77</v>
          </cell>
          <cell r="H152">
            <v>43</v>
          </cell>
          <cell r="I152">
            <v>71</v>
          </cell>
          <cell r="J152">
            <v>49</v>
          </cell>
          <cell r="K152">
            <v>11.55</v>
          </cell>
          <cell r="L152">
            <v>6.45</v>
          </cell>
          <cell r="M152">
            <v>10.65</v>
          </cell>
          <cell r="N152">
            <v>7.35</v>
          </cell>
        </row>
        <row r="153">
          <cell r="A153" t="str">
            <v>6303 Мясные Папа может сос п/о мгс 1,5*3  Останкино</v>
          </cell>
          <cell r="E153" t="str">
            <v>кг</v>
          </cell>
          <cell r="F153">
            <v>219.94300000000001</v>
          </cell>
          <cell r="I153">
            <v>264.851</v>
          </cell>
          <cell r="J153">
            <v>-44.908000000000001</v>
          </cell>
          <cell r="K153">
            <v>219.94300000000001</v>
          </cell>
          <cell r="M153">
            <v>264.851</v>
          </cell>
          <cell r="N153">
            <v>-44.908000000000001</v>
          </cell>
        </row>
        <row r="154">
          <cell r="A154" t="str">
            <v>6325 ДОКТОРСКАЯ ПРЕМИУМ вар п/о 0.4кг 8шт.  ОСТАНКИНО</v>
          </cell>
          <cell r="E154" t="str">
            <v>шт</v>
          </cell>
          <cell r="F154">
            <v>86</v>
          </cell>
          <cell r="H154">
            <v>59</v>
          </cell>
          <cell r="I154">
            <v>99</v>
          </cell>
          <cell r="J154">
            <v>46</v>
          </cell>
          <cell r="K154">
            <v>34.4</v>
          </cell>
          <cell r="L154">
            <v>23.6</v>
          </cell>
          <cell r="M154">
            <v>39.6</v>
          </cell>
          <cell r="N154">
            <v>18.399999999999999</v>
          </cell>
        </row>
        <row r="155">
          <cell r="A155" t="str">
            <v>6333 МЯСНАЯ Папа может вар п/о 0.4кг 8шт.  ОСТАНКИНО</v>
          </cell>
          <cell r="E155" t="str">
            <v>шт</v>
          </cell>
          <cell r="F155">
            <v>211</v>
          </cell>
          <cell r="H155">
            <v>56</v>
          </cell>
          <cell r="I155">
            <v>274</v>
          </cell>
          <cell r="J155">
            <v>-7</v>
          </cell>
          <cell r="K155">
            <v>84.4</v>
          </cell>
          <cell r="L155">
            <v>22.4</v>
          </cell>
          <cell r="M155">
            <v>109.6</v>
          </cell>
          <cell r="N155">
            <v>-2.8</v>
          </cell>
        </row>
        <row r="156">
          <cell r="A156" t="str">
            <v>6392 ФИЛЕЙНАЯ Папа может вар п/о 0,4кг  ОСТАНКИНО</v>
          </cell>
          <cell r="E156" t="str">
            <v>шт</v>
          </cell>
          <cell r="F156">
            <v>251</v>
          </cell>
          <cell r="H156">
            <v>37</v>
          </cell>
          <cell r="I156">
            <v>272</v>
          </cell>
          <cell r="J156">
            <v>16</v>
          </cell>
          <cell r="K156">
            <v>100.4</v>
          </cell>
          <cell r="L156">
            <v>14.8</v>
          </cell>
          <cell r="M156">
            <v>108.8</v>
          </cell>
          <cell r="N156">
            <v>6.4</v>
          </cell>
        </row>
        <row r="157">
          <cell r="A157" t="str">
            <v>6495 ВЕТЧ.МРАМОРНАЯ в/у срез 0,3кг 6шт_45с  Останкино</v>
          </cell>
          <cell r="E157" t="str">
            <v>шт</v>
          </cell>
          <cell r="F157">
            <v>-1</v>
          </cell>
          <cell r="H157">
            <v>1</v>
          </cell>
          <cell r="K157">
            <v>-0.3</v>
          </cell>
          <cell r="L157">
            <v>0.3</v>
          </cell>
        </row>
        <row r="158">
          <cell r="A158" t="str">
            <v>6498 МОЛОЧНАЯ Папа может вар п/о  ОСТАНКИНО</v>
          </cell>
          <cell r="E158" t="str">
            <v>кг</v>
          </cell>
          <cell r="F158">
            <v>98.403000000000006</v>
          </cell>
          <cell r="H158">
            <v>147.995</v>
          </cell>
          <cell r="I158">
            <v>11.266999999999999</v>
          </cell>
          <cell r="J158">
            <v>235.131</v>
          </cell>
          <cell r="K158">
            <v>98.403000000000006</v>
          </cell>
          <cell r="L158">
            <v>147.995</v>
          </cell>
          <cell r="M158">
            <v>11.266999999999999</v>
          </cell>
          <cell r="N158">
            <v>235.131</v>
          </cell>
        </row>
        <row r="159">
          <cell r="A159" t="str">
            <v>6527 ШПИКАЧКИ СОЧНЫЕ ПМ сар б/о мгс 1*3 45с ОСТАНКИНО</v>
          </cell>
          <cell r="E159" t="str">
            <v>кг</v>
          </cell>
          <cell r="F159">
            <v>53.551000000000002</v>
          </cell>
          <cell r="I159">
            <v>1.337</v>
          </cell>
          <cell r="J159">
            <v>52.213999999999999</v>
          </cell>
          <cell r="K159">
            <v>53.551000000000002</v>
          </cell>
          <cell r="M159">
            <v>1.337</v>
          </cell>
          <cell r="N159">
            <v>52.213999999999999</v>
          </cell>
        </row>
        <row r="160">
          <cell r="A160" t="str">
            <v>6550 МЯСНЫЕ Папа может сар б/о мгс 1*3 О 45с  Останкино</v>
          </cell>
          <cell r="E160" t="str">
            <v>кг</v>
          </cell>
          <cell r="H160">
            <v>2.0819999999999999</v>
          </cell>
          <cell r="I160">
            <v>2.0819999999999999</v>
          </cell>
          <cell r="L160">
            <v>2.0819999999999999</v>
          </cell>
          <cell r="M160">
            <v>2.0819999999999999</v>
          </cell>
        </row>
        <row r="161">
          <cell r="A161" t="str">
            <v>6608 С ГОВЯДИНОЙ ОРИГИН. сар б/о мгс 1*3_45с  ОСТАНКИНО</v>
          </cell>
          <cell r="E161" t="str">
            <v>кг</v>
          </cell>
          <cell r="F161">
            <v>52.223999999999997</v>
          </cell>
          <cell r="H161">
            <v>21.111000000000001</v>
          </cell>
          <cell r="I161">
            <v>36.204999999999998</v>
          </cell>
          <cell r="J161">
            <v>37.130000000000003</v>
          </cell>
          <cell r="K161">
            <v>52.223999999999997</v>
          </cell>
          <cell r="L161">
            <v>21.111000000000001</v>
          </cell>
          <cell r="M161">
            <v>36.204999999999998</v>
          </cell>
          <cell r="N161">
            <v>37.130000000000003</v>
          </cell>
        </row>
        <row r="162">
          <cell r="A162" t="str">
            <v>6616 МОЛОЧНЫЕ КЛАССИЧЕСКИЕ сос п/о в/у 0,3 кг  Останкино</v>
          </cell>
          <cell r="E162" t="str">
            <v>шт</v>
          </cell>
          <cell r="F162">
            <v>157</v>
          </cell>
          <cell r="H162">
            <v>23</v>
          </cell>
          <cell r="I162">
            <v>43</v>
          </cell>
          <cell r="J162">
            <v>137</v>
          </cell>
          <cell r="K162">
            <v>47.1</v>
          </cell>
          <cell r="L162">
            <v>6.9</v>
          </cell>
          <cell r="M162">
            <v>12.9</v>
          </cell>
          <cell r="N162">
            <v>41.1</v>
          </cell>
        </row>
        <row r="163">
          <cell r="A163" t="str">
            <v>6620 РЕБРЫШКИ к/в в/у_30с  Останкино</v>
          </cell>
          <cell r="E163" t="str">
            <v>кг</v>
          </cell>
          <cell r="F163">
            <v>44.991999999999997</v>
          </cell>
          <cell r="H163">
            <v>46.478999999999999</v>
          </cell>
          <cell r="I163">
            <v>49.466000000000001</v>
          </cell>
          <cell r="J163">
            <v>42.005000000000003</v>
          </cell>
          <cell r="K163">
            <v>44.991999999999997</v>
          </cell>
          <cell r="L163">
            <v>46.478999999999999</v>
          </cell>
          <cell r="M163">
            <v>49.466000000000001</v>
          </cell>
          <cell r="N163">
            <v>42.005000000000003</v>
          </cell>
        </row>
        <row r="164">
          <cell r="A164" t="str">
            <v>6661 СОЧНЫЙ ГРИЛЬ ПМ сос п/о мгс 1,5*4_Маяк Останкино</v>
          </cell>
          <cell r="E164" t="str">
            <v>кг</v>
          </cell>
          <cell r="F164">
            <v>75.444999999999993</v>
          </cell>
          <cell r="I164">
            <v>34.034999999999997</v>
          </cell>
          <cell r="J164">
            <v>41.41</v>
          </cell>
          <cell r="K164">
            <v>75.444999999999993</v>
          </cell>
          <cell r="M164">
            <v>34.034999999999997</v>
          </cell>
          <cell r="N164">
            <v>41.41</v>
          </cell>
        </row>
        <row r="165">
          <cell r="A165" t="str">
            <v>6697 СЕРВЕЛАТ ФИНСКИЙ ПМ в/к в/у 0,35кг 8шт  ОСТАНКИНО</v>
          </cell>
          <cell r="E165" t="str">
            <v>шт</v>
          </cell>
          <cell r="F165">
            <v>258</v>
          </cell>
          <cell r="H165">
            <v>118</v>
          </cell>
          <cell r="I165">
            <v>387</v>
          </cell>
          <cell r="J165">
            <v>-11</v>
          </cell>
          <cell r="K165">
            <v>90.3</v>
          </cell>
          <cell r="L165">
            <v>41.3</v>
          </cell>
          <cell r="M165">
            <v>135.44999999999999</v>
          </cell>
          <cell r="N165">
            <v>-3.85</v>
          </cell>
        </row>
        <row r="166">
          <cell r="A166" t="str">
            <v>6713 СОЧНЫЙ ГРИЛЬ ПМ сос п/о мгс 0,41кг 8 шт.  ОСТАНКИНО</v>
          </cell>
          <cell r="E166" t="str">
            <v>шт</v>
          </cell>
          <cell r="F166">
            <v>-2</v>
          </cell>
          <cell r="H166">
            <v>2</v>
          </cell>
          <cell r="K166">
            <v>-0.82</v>
          </cell>
          <cell r="L166">
            <v>0.82</v>
          </cell>
        </row>
        <row r="167">
          <cell r="A167" t="str">
            <v>6724 МОЛОЧНЫЕ ПМ сос п/о мгс 0,41кг 10шт  Останкино</v>
          </cell>
          <cell r="E167" t="str">
            <v>шт</v>
          </cell>
          <cell r="F167">
            <v>137</v>
          </cell>
          <cell r="H167">
            <v>23</v>
          </cell>
          <cell r="I167">
            <v>155</v>
          </cell>
          <cell r="J167">
            <v>5</v>
          </cell>
          <cell r="K167">
            <v>56.17</v>
          </cell>
          <cell r="L167">
            <v>9.43</v>
          </cell>
          <cell r="M167">
            <v>63.55</v>
          </cell>
          <cell r="N167">
            <v>2.0499999999999998</v>
          </cell>
        </row>
        <row r="168">
          <cell r="A168" t="str">
            <v>6765 РУБЛЕНЫЕ сос ц/о мгс 0,36кг 6шт  Останкино</v>
          </cell>
          <cell r="E168" t="str">
            <v>шт</v>
          </cell>
          <cell r="F168">
            <v>64</v>
          </cell>
          <cell r="H168">
            <v>2</v>
          </cell>
          <cell r="I168">
            <v>2</v>
          </cell>
          <cell r="J168">
            <v>64</v>
          </cell>
          <cell r="K168">
            <v>23.04</v>
          </cell>
          <cell r="L168">
            <v>0.72</v>
          </cell>
          <cell r="M168">
            <v>0.72</v>
          </cell>
          <cell r="N168">
            <v>23.04</v>
          </cell>
        </row>
        <row r="169">
          <cell r="A169" t="str">
            <v>6787 СЕРВЕЛАТ КРЕМЛЕВСКИЙ в/к в/у 0,33кг 8шт  Останкино</v>
          </cell>
          <cell r="E169" t="str">
            <v>шт</v>
          </cell>
          <cell r="F169">
            <v>32</v>
          </cell>
          <cell r="H169">
            <v>21</v>
          </cell>
          <cell r="I169">
            <v>40</v>
          </cell>
          <cell r="J169">
            <v>13</v>
          </cell>
          <cell r="K169">
            <v>10.56</v>
          </cell>
          <cell r="L169">
            <v>6.93</v>
          </cell>
          <cell r="M169">
            <v>13.2</v>
          </cell>
          <cell r="N169">
            <v>4.29</v>
          </cell>
        </row>
        <row r="170">
          <cell r="A170" t="str">
            <v>6797 С ИНДЕЙКОЙ Папа может вар п/о 0,4кг 8шт. ОСТАНКИНО</v>
          </cell>
          <cell r="E170" t="str">
            <v>шт</v>
          </cell>
          <cell r="F170">
            <v>56</v>
          </cell>
          <cell r="H170">
            <v>50</v>
          </cell>
          <cell r="I170">
            <v>71</v>
          </cell>
          <cell r="J170">
            <v>35</v>
          </cell>
          <cell r="K170">
            <v>22.4</v>
          </cell>
          <cell r="L170">
            <v>20</v>
          </cell>
          <cell r="M170">
            <v>28.4</v>
          </cell>
          <cell r="N170">
            <v>14</v>
          </cell>
        </row>
        <row r="171">
          <cell r="A171" t="str">
            <v>6807 СЕРВЕЛАТ ЕВРОПЕЙСКИЙ в/к в/у 0,33кг 8шт  Останкино</v>
          </cell>
          <cell r="E171" t="str">
            <v>шт</v>
          </cell>
          <cell r="F171">
            <v>16</v>
          </cell>
          <cell r="I171">
            <v>16</v>
          </cell>
          <cell r="K171">
            <v>5.28</v>
          </cell>
          <cell r="M171">
            <v>5.28</v>
          </cell>
        </row>
        <row r="172">
          <cell r="A172" t="str">
            <v>6819 БЛИНЧ.КРУГЛЫЕ С САД.ЯБЛОК. пл. 1/300 зам. ОСТАНКИНО</v>
          </cell>
          <cell r="E172" t="str">
            <v>шт</v>
          </cell>
          <cell r="F172">
            <v>64</v>
          </cell>
          <cell r="I172">
            <v>17</v>
          </cell>
          <cell r="J172">
            <v>47</v>
          </cell>
          <cell r="K172">
            <v>19.2</v>
          </cell>
          <cell r="M172">
            <v>5.0999999999999996</v>
          </cell>
          <cell r="N172">
            <v>14.1</v>
          </cell>
        </row>
        <row r="173">
          <cell r="A173" t="str">
            <v>6824 ОСТАНКИНСКИЕ пельм кор.0,5кг зам_NEW  ОСТАНКИНО</v>
          </cell>
          <cell r="E173" t="str">
            <v>шт</v>
          </cell>
          <cell r="F173">
            <v>29</v>
          </cell>
          <cell r="I173">
            <v>1</v>
          </cell>
          <cell r="J173">
            <v>28</v>
          </cell>
          <cell r="K173">
            <v>14.5</v>
          </cell>
          <cell r="M173">
            <v>0.5</v>
          </cell>
          <cell r="N173">
            <v>14</v>
          </cell>
        </row>
        <row r="174">
          <cell r="A174" t="str">
            <v>6829  МОЛОЧНЫЕ КЛАССИЧЕСКИЕ сос п/о мгс 2*4 С  Останккино</v>
          </cell>
          <cell r="E174" t="str">
            <v>кг</v>
          </cell>
          <cell r="F174">
            <v>86.254999999999995</v>
          </cell>
          <cell r="H174">
            <v>13.465</v>
          </cell>
          <cell r="I174">
            <v>13.798999999999999</v>
          </cell>
          <cell r="J174">
            <v>85.921000000000006</v>
          </cell>
          <cell r="K174">
            <v>86.254999999999995</v>
          </cell>
          <cell r="L174">
            <v>13.465</v>
          </cell>
          <cell r="M174">
            <v>13.798999999999999</v>
          </cell>
          <cell r="N174">
            <v>85.921000000000006</v>
          </cell>
        </row>
        <row r="175">
          <cell r="A175" t="str">
            <v>6837 ФИЛЕЙНЫЕ Папа Может сос ц/о мгс 0,4кг  Останкино</v>
          </cell>
          <cell r="E175" t="str">
            <v>шт</v>
          </cell>
          <cell r="F175">
            <v>202</v>
          </cell>
          <cell r="H175">
            <v>152</v>
          </cell>
          <cell r="I175">
            <v>205</v>
          </cell>
          <cell r="J175">
            <v>149</v>
          </cell>
          <cell r="K175">
            <v>80.8</v>
          </cell>
          <cell r="L175">
            <v>60.8</v>
          </cell>
          <cell r="M175">
            <v>82</v>
          </cell>
          <cell r="N175">
            <v>59.6</v>
          </cell>
        </row>
        <row r="176">
          <cell r="A176" t="str">
            <v>6866 ВЕТЧ.НЕЖНАЯ Коровино п/о_Маяк  Останкино</v>
          </cell>
          <cell r="E176" t="str">
            <v>кг</v>
          </cell>
          <cell r="F176">
            <v>31.545000000000002</v>
          </cell>
          <cell r="H176">
            <v>48.274999999999999</v>
          </cell>
          <cell r="J176">
            <v>79.819999999999993</v>
          </cell>
          <cell r="K176">
            <v>31.545000000000002</v>
          </cell>
          <cell r="L176">
            <v>48.274999999999999</v>
          </cell>
          <cell r="N176">
            <v>79.819999999999993</v>
          </cell>
        </row>
        <row r="177">
          <cell r="A177" t="str">
            <v>6929 КАРБОНАД ДОМАШНИЙ ПМ к/в кр/к в/у  ОСТАНКИНО</v>
          </cell>
          <cell r="E177" t="str">
            <v>кг</v>
          </cell>
          <cell r="F177">
            <v>100.456</v>
          </cell>
          <cell r="H177">
            <v>0.56100000000000005</v>
          </cell>
          <cell r="I177">
            <v>1.996</v>
          </cell>
          <cell r="J177">
            <v>99.021000000000001</v>
          </cell>
          <cell r="K177">
            <v>100.456</v>
          </cell>
          <cell r="L177">
            <v>0.56100000000000005</v>
          </cell>
          <cell r="M177">
            <v>1.996</v>
          </cell>
          <cell r="N177">
            <v>99.021000000000001</v>
          </cell>
        </row>
        <row r="178">
          <cell r="A178" t="str">
            <v>6937 САЛЯМИ Папа может с/к в/у 1/250 8шт  Останкино</v>
          </cell>
          <cell r="E178" t="str">
            <v>шт</v>
          </cell>
          <cell r="F178">
            <v>111</v>
          </cell>
          <cell r="I178">
            <v>16</v>
          </cell>
          <cell r="J178">
            <v>95</v>
          </cell>
          <cell r="K178">
            <v>27.75</v>
          </cell>
          <cell r="M178">
            <v>4</v>
          </cell>
          <cell r="N178">
            <v>23.75</v>
          </cell>
        </row>
        <row r="179">
          <cell r="A179" t="str">
            <v>6948249 Майонезный соус провансаль 824,5гр деликатес.с массовой долей жирн.25% Коровино Останкино</v>
          </cell>
          <cell r="E179" t="str">
            <v>шт</v>
          </cell>
          <cell r="F179">
            <v>126</v>
          </cell>
          <cell r="H179">
            <v>4</v>
          </cell>
          <cell r="I179">
            <v>58</v>
          </cell>
          <cell r="J179">
            <v>72</v>
          </cell>
          <cell r="K179">
            <v>103.824</v>
          </cell>
          <cell r="L179">
            <v>3.2959999999999998</v>
          </cell>
          <cell r="M179">
            <v>47.792000000000002</v>
          </cell>
          <cell r="N179">
            <v>59.328000000000003</v>
          </cell>
        </row>
        <row r="180">
          <cell r="A180" t="str">
            <v>6948256 Майонез провансаль классич.оливковый Папа может 372гр с массовой долей жирн. 67% Останкино</v>
          </cell>
          <cell r="E180" t="str">
            <v>шт</v>
          </cell>
          <cell r="F180">
            <v>133</v>
          </cell>
          <cell r="H180">
            <v>65</v>
          </cell>
          <cell r="I180">
            <v>113</v>
          </cell>
          <cell r="J180">
            <v>85</v>
          </cell>
          <cell r="K180">
            <v>49.475999999999999</v>
          </cell>
          <cell r="L180">
            <v>24.18</v>
          </cell>
          <cell r="M180">
            <v>42.036000000000001</v>
          </cell>
          <cell r="N180">
            <v>31.62</v>
          </cell>
        </row>
        <row r="181">
          <cell r="A181" t="str">
            <v>6948263 Майонез провансаль классич.оливковый Папа может 744гр с массовой долей жирн. 67% Останкино</v>
          </cell>
          <cell r="E181" t="str">
            <v>шт</v>
          </cell>
          <cell r="F181">
            <v>182</v>
          </cell>
          <cell r="H181">
            <v>133</v>
          </cell>
          <cell r="I181">
            <v>149</v>
          </cell>
          <cell r="J181">
            <v>166</v>
          </cell>
          <cell r="K181">
            <v>135.40799999999999</v>
          </cell>
          <cell r="L181">
            <v>98.951999999999998</v>
          </cell>
          <cell r="M181">
            <v>110.85599999999999</v>
          </cell>
          <cell r="N181">
            <v>123.504</v>
          </cell>
        </row>
        <row r="182">
          <cell r="A182" t="str">
            <v>6948270 Майонез провансаль классич.Папа может 372гр с массовой долей жирн. 67% Останкино</v>
          </cell>
          <cell r="E182" t="str">
            <v>шт</v>
          </cell>
          <cell r="F182">
            <v>56</v>
          </cell>
          <cell r="H182">
            <v>14</v>
          </cell>
          <cell r="I182">
            <v>40</v>
          </cell>
          <cell r="J182">
            <v>30</v>
          </cell>
          <cell r="K182">
            <v>20.832000000000001</v>
          </cell>
          <cell r="L182">
            <v>5.2080000000000002</v>
          </cell>
          <cell r="M182">
            <v>14.88</v>
          </cell>
          <cell r="N182">
            <v>11.16</v>
          </cell>
        </row>
        <row r="183">
          <cell r="A183" t="str">
            <v>6948287 Майонез провансаль классич.Папа может 744гр с массовой долей жирн. 67% Останкино</v>
          </cell>
          <cell r="E183" t="str">
            <v>шт</v>
          </cell>
          <cell r="F183">
            <v>2</v>
          </cell>
          <cell r="H183">
            <v>16</v>
          </cell>
          <cell r="I183">
            <v>18</v>
          </cell>
          <cell r="K183">
            <v>1.488</v>
          </cell>
          <cell r="L183">
            <v>11.904</v>
          </cell>
          <cell r="M183">
            <v>13.391999999999999</v>
          </cell>
        </row>
        <row r="184">
          <cell r="A184" t="str">
            <v>6967 БУРГУНДИЯ Папа может с/к в/у 1/250 8шт  Останкино</v>
          </cell>
          <cell r="E184" t="str">
            <v>шт</v>
          </cell>
          <cell r="F184">
            <v>91</v>
          </cell>
          <cell r="H184">
            <v>27</v>
          </cell>
          <cell r="I184">
            <v>118</v>
          </cell>
          <cell r="K184">
            <v>22.75</v>
          </cell>
          <cell r="L184">
            <v>6.75</v>
          </cell>
          <cell r="M184">
            <v>29.5</v>
          </cell>
        </row>
        <row r="185">
          <cell r="A185" t="str">
            <v>7001 КЛАССИЧЕСКИЕ Папа может сар б/о мгс 1*3  Останкино</v>
          </cell>
          <cell r="E185" t="str">
            <v>кг</v>
          </cell>
          <cell r="F185">
            <v>36.520000000000003</v>
          </cell>
          <cell r="H185">
            <v>3.129</v>
          </cell>
          <cell r="J185">
            <v>39.649000000000001</v>
          </cell>
          <cell r="K185">
            <v>36.520000000000003</v>
          </cell>
          <cell r="L185">
            <v>3.129</v>
          </cell>
          <cell r="N185">
            <v>39.649000000000001</v>
          </cell>
        </row>
        <row r="186">
          <cell r="A186" t="str">
            <v>7040 С ИНДЕЙКОЙ ПМ сос ц/о в/у 1/270 8шт.  ОСТАНКИНО</v>
          </cell>
          <cell r="E186" t="str">
            <v>шт</v>
          </cell>
          <cell r="F186">
            <v>96</v>
          </cell>
          <cell r="H186">
            <v>48</v>
          </cell>
          <cell r="I186">
            <v>48</v>
          </cell>
          <cell r="J186">
            <v>96</v>
          </cell>
          <cell r="K186">
            <v>25.92</v>
          </cell>
          <cell r="L186">
            <v>12.96</v>
          </cell>
          <cell r="M186">
            <v>12.96</v>
          </cell>
          <cell r="N186">
            <v>25.92</v>
          </cell>
        </row>
        <row r="187">
          <cell r="A187" t="str">
            <v>7049 С КАРТОФ.И ГРИБ.вареники пл.0,42кг зам  ОСТАНКИНО</v>
          </cell>
          <cell r="E187" t="str">
            <v>шт</v>
          </cell>
          <cell r="F187">
            <v>41</v>
          </cell>
          <cell r="I187">
            <v>4</v>
          </cell>
          <cell r="J187">
            <v>37</v>
          </cell>
          <cell r="K187">
            <v>17.22</v>
          </cell>
          <cell r="M187">
            <v>1.68</v>
          </cell>
          <cell r="N187">
            <v>15.54</v>
          </cell>
        </row>
        <row r="188">
          <cell r="A188" t="str">
            <v>7059 ШПИКАЧКИ СОЧНЫЕ С БЕК. п/о мгс 0,3кг 60с ОСТАНКИНО</v>
          </cell>
          <cell r="E188" t="str">
            <v>шт</v>
          </cell>
          <cell r="F188">
            <v>39</v>
          </cell>
          <cell r="H188">
            <v>5</v>
          </cell>
          <cell r="I188">
            <v>12</v>
          </cell>
          <cell r="J188">
            <v>32</v>
          </cell>
          <cell r="K188">
            <v>11.7</v>
          </cell>
          <cell r="L188">
            <v>1.5</v>
          </cell>
          <cell r="M188">
            <v>3.6</v>
          </cell>
          <cell r="N188">
            <v>9.6</v>
          </cell>
        </row>
        <row r="189">
          <cell r="A189" t="str">
            <v>7066 СОЧНЫЕ ПМ сос п/о мгс 0,41кг 10шт 50с  Останкино</v>
          </cell>
          <cell r="E189" t="str">
            <v>шт</v>
          </cell>
          <cell r="F189">
            <v>84</v>
          </cell>
          <cell r="H189">
            <v>154</v>
          </cell>
          <cell r="I189">
            <v>221</v>
          </cell>
          <cell r="J189">
            <v>17</v>
          </cell>
          <cell r="K189">
            <v>34.44</v>
          </cell>
          <cell r="L189">
            <v>63.14</v>
          </cell>
          <cell r="M189">
            <v>90.61</v>
          </cell>
          <cell r="N189">
            <v>6.97</v>
          </cell>
        </row>
        <row r="190">
          <cell r="A190" t="str">
            <v>7070 СОЧНЫЕ ПМ сос п/о 1,5*4_А_50с  Останкино</v>
          </cell>
          <cell r="E190" t="str">
            <v>кг</v>
          </cell>
          <cell r="F190">
            <v>57.146999999999998</v>
          </cell>
          <cell r="H190">
            <v>2.9460000000000002</v>
          </cell>
          <cell r="I190">
            <v>49.246000000000002</v>
          </cell>
          <cell r="J190">
            <v>10.847</v>
          </cell>
          <cell r="K190">
            <v>57.146999999999998</v>
          </cell>
          <cell r="L190">
            <v>2.9460000000000002</v>
          </cell>
          <cell r="M190">
            <v>49.246000000000002</v>
          </cell>
          <cell r="N190">
            <v>10.847</v>
          </cell>
        </row>
        <row r="191">
          <cell r="A191" t="str">
            <v>7073 МОЛОЧ.ПРЕМИУМ ПМ сос п/о в/у 1/350_50с  Останкино</v>
          </cell>
          <cell r="E191" t="str">
            <v>шт</v>
          </cell>
          <cell r="F191">
            <v>137</v>
          </cell>
          <cell r="H191">
            <v>129</v>
          </cell>
          <cell r="I191">
            <v>170</v>
          </cell>
          <cell r="J191">
            <v>96</v>
          </cell>
          <cell r="K191">
            <v>47.95</v>
          </cell>
          <cell r="L191">
            <v>45.15</v>
          </cell>
          <cell r="M191">
            <v>59.5</v>
          </cell>
          <cell r="N191">
            <v>33.6</v>
          </cell>
        </row>
        <row r="192">
          <cell r="A192" t="str">
            <v>7075 МОЛОЧ.ПРЕМИУМ ПМ сос п/о мгс 1,5*4_О_50с  Останкино</v>
          </cell>
          <cell r="E192" t="str">
            <v>кг</v>
          </cell>
          <cell r="F192">
            <v>6.2690000000000001</v>
          </cell>
          <cell r="J192">
            <v>6.2690000000000001</v>
          </cell>
          <cell r="K192">
            <v>6.2690000000000001</v>
          </cell>
          <cell r="N192">
            <v>6.2690000000000001</v>
          </cell>
        </row>
        <row r="193">
          <cell r="A193" t="str">
            <v>7080 СЛИВОЧНЫЕ ПМ сос п/о мгс 0,41кг 10шт 50с  Останкино</v>
          </cell>
          <cell r="E193" t="str">
            <v>шт</v>
          </cell>
          <cell r="F193">
            <v>253</v>
          </cell>
          <cell r="H193">
            <v>108</v>
          </cell>
          <cell r="I193">
            <v>149</v>
          </cell>
          <cell r="J193">
            <v>212</v>
          </cell>
          <cell r="K193">
            <v>103.73</v>
          </cell>
          <cell r="L193">
            <v>44.28</v>
          </cell>
          <cell r="M193">
            <v>61.09</v>
          </cell>
          <cell r="N193">
            <v>86.92</v>
          </cell>
        </row>
        <row r="194">
          <cell r="A194" t="str">
            <v>7083 СЛИВОЧНЫЕ ПМ сос п/о мгс 1.5*4_А_50с  ОСТАНКИНО</v>
          </cell>
          <cell r="E194" t="str">
            <v>кг</v>
          </cell>
          <cell r="F194">
            <v>10.973000000000001</v>
          </cell>
          <cell r="H194">
            <v>4.0000000000000001E-3</v>
          </cell>
          <cell r="J194">
            <v>10.977</v>
          </cell>
          <cell r="K194">
            <v>10.973000000000001</v>
          </cell>
          <cell r="L194">
            <v>4.0000000000000001E-3</v>
          </cell>
          <cell r="N194">
            <v>10.977</v>
          </cell>
        </row>
        <row r="195">
          <cell r="A195" t="str">
            <v>7085 ОСТАНКИНСКИЕ пельм пл.0,7кг 10шт.зам  ОСТАНКИНО</v>
          </cell>
          <cell r="E195" t="str">
            <v>шт</v>
          </cell>
          <cell r="F195">
            <v>20</v>
          </cell>
          <cell r="J195">
            <v>20</v>
          </cell>
          <cell r="K195">
            <v>14</v>
          </cell>
          <cell r="N195">
            <v>14</v>
          </cell>
        </row>
        <row r="196">
          <cell r="A196" t="str">
            <v>7090 СВИНИНА ПО-ДОМ.к/в мл/к в/у 0,3кг_50с  Останкино</v>
          </cell>
          <cell r="E196" t="str">
            <v>шт</v>
          </cell>
          <cell r="F196">
            <v>187</v>
          </cell>
          <cell r="H196">
            <v>147</v>
          </cell>
          <cell r="I196">
            <v>224</v>
          </cell>
          <cell r="J196">
            <v>110</v>
          </cell>
          <cell r="K196">
            <v>56.1</v>
          </cell>
          <cell r="L196">
            <v>44.1</v>
          </cell>
          <cell r="M196">
            <v>67.2</v>
          </cell>
          <cell r="N196">
            <v>33</v>
          </cell>
        </row>
        <row r="197">
          <cell r="A197" t="str">
            <v>7092 БЕКОН Папа может с/к с/н в/у 1/140_50с  Останкино</v>
          </cell>
          <cell r="E197" t="str">
            <v>шт</v>
          </cell>
          <cell r="F197">
            <v>-2</v>
          </cell>
          <cell r="H197">
            <v>2</v>
          </cell>
          <cell r="K197">
            <v>-0.28000000000000003</v>
          </cell>
          <cell r="L197">
            <v>0.28000000000000003</v>
          </cell>
        </row>
        <row r="198">
          <cell r="A198" t="str">
            <v>7103 БЕКОН Останкино с/к с/н в/у 1/180_50с  Останкино</v>
          </cell>
          <cell r="E198" t="str">
            <v>шт</v>
          </cell>
          <cell r="F198">
            <v>18</v>
          </cell>
          <cell r="H198">
            <v>7</v>
          </cell>
          <cell r="I198">
            <v>25</v>
          </cell>
          <cell r="K198">
            <v>3.24</v>
          </cell>
          <cell r="L198">
            <v>1.26</v>
          </cell>
          <cell r="M198">
            <v>4.5</v>
          </cell>
        </row>
        <row r="199">
          <cell r="A199" t="str">
            <v>7143 БРАУНШВЕЙГСКАЯ ГОСТ с/к в/у 1/220 8шт.  ОСТАНКИНО</v>
          </cell>
          <cell r="E199" t="str">
            <v>шт</v>
          </cell>
          <cell r="F199">
            <v>5</v>
          </cell>
          <cell r="I199">
            <v>5</v>
          </cell>
          <cell r="K199">
            <v>1.1000000000000001</v>
          </cell>
          <cell r="M199">
            <v>1.1000000000000001</v>
          </cell>
        </row>
        <row r="200">
          <cell r="A200" t="str">
            <v>7154 СЕРВЕЛАТ ЗЕРНИСТЫЙ ПМ в/к в/у 0,35кг_50с  Останкино</v>
          </cell>
          <cell r="E200" t="str">
            <v>шт</v>
          </cell>
          <cell r="F200">
            <v>288</v>
          </cell>
          <cell r="H200">
            <v>92</v>
          </cell>
          <cell r="I200">
            <v>372</v>
          </cell>
          <cell r="J200">
            <v>8</v>
          </cell>
          <cell r="K200">
            <v>100.8</v>
          </cell>
          <cell r="L200">
            <v>32.200000000000003</v>
          </cell>
          <cell r="M200">
            <v>130.19999999999999</v>
          </cell>
          <cell r="N200">
            <v>2.8</v>
          </cell>
        </row>
        <row r="201">
          <cell r="A201" t="str">
            <v>7157 СЕРВЕЛАТ ЗЕРНИСТЫЙ ПМ в/к в/у_50с  Останкино</v>
          </cell>
          <cell r="E201" t="str">
            <v>кг</v>
          </cell>
          <cell r="H201">
            <v>7.1159999999999997</v>
          </cell>
          <cell r="I201">
            <v>7.1159999999999997</v>
          </cell>
          <cell r="L201">
            <v>7.1159999999999997</v>
          </cell>
          <cell r="M201">
            <v>7.1159999999999997</v>
          </cell>
        </row>
        <row r="202">
          <cell r="A202" t="str">
            <v>7166 СЕРВЕЛАТ ОХОТНИЧИЙ ПМ в/к в/у_50с  Останкино</v>
          </cell>
          <cell r="E202" t="str">
            <v>кг</v>
          </cell>
          <cell r="F202">
            <v>5.0250000000000004</v>
          </cell>
          <cell r="H202">
            <v>8.0839999999999996</v>
          </cell>
          <cell r="I202">
            <v>11.709</v>
          </cell>
          <cell r="J202">
            <v>1.4</v>
          </cell>
          <cell r="K202">
            <v>5.0250000000000004</v>
          </cell>
          <cell r="L202">
            <v>8.0839999999999996</v>
          </cell>
          <cell r="M202">
            <v>11.709</v>
          </cell>
          <cell r="N202">
            <v>1.4</v>
          </cell>
        </row>
        <row r="203">
          <cell r="A203" t="str">
            <v>7169 СЕРВЕЛАТ ОХОТНИЧИЙ ПМ в/к в/у 0,35кг_50с  Останкино</v>
          </cell>
          <cell r="E203" t="str">
            <v>шт</v>
          </cell>
          <cell r="F203">
            <v>134</v>
          </cell>
          <cell r="H203">
            <v>34</v>
          </cell>
          <cell r="I203">
            <v>168</v>
          </cell>
          <cell r="K203">
            <v>46.9</v>
          </cell>
          <cell r="L203">
            <v>11.9</v>
          </cell>
          <cell r="M203">
            <v>58.8</v>
          </cell>
        </row>
        <row r="204">
          <cell r="A204" t="str">
            <v>7187 ГРУДИНКА ПРЕМИУМ к/в мл/к в/у 0,3кг_50с  Останкино</v>
          </cell>
          <cell r="E204" t="str">
            <v>шт</v>
          </cell>
          <cell r="F204">
            <v>92</v>
          </cell>
          <cell r="H204">
            <v>61</v>
          </cell>
          <cell r="I204">
            <v>121</v>
          </cell>
          <cell r="J204">
            <v>32</v>
          </cell>
          <cell r="K204">
            <v>27.6</v>
          </cell>
          <cell r="L204">
            <v>18.3</v>
          </cell>
          <cell r="M204">
            <v>36.299999999999997</v>
          </cell>
          <cell r="N204">
            <v>9.6</v>
          </cell>
        </row>
        <row r="205">
          <cell r="A205" t="str">
            <v>7212 СОЧНЫЕ Папа Может пельм пл.0,42кг зам  ОСТАНКИНО</v>
          </cell>
          <cell r="E205" t="str">
            <v>шт</v>
          </cell>
          <cell r="F205">
            <v>62</v>
          </cell>
          <cell r="I205">
            <v>4</v>
          </cell>
          <cell r="J205">
            <v>58</v>
          </cell>
          <cell r="K205">
            <v>26.04</v>
          </cell>
          <cell r="M205">
            <v>1.68</v>
          </cell>
          <cell r="N205">
            <v>24.36</v>
          </cell>
        </row>
        <row r="206">
          <cell r="A206" t="str">
            <v>7214 СОЧНЫЕ Папа Может пельм пл.0,7кг зам  ОСТАНКИНО</v>
          </cell>
          <cell r="E206" t="str">
            <v>шт</v>
          </cell>
          <cell r="F206">
            <v>30</v>
          </cell>
          <cell r="J206">
            <v>30</v>
          </cell>
          <cell r="K206">
            <v>21</v>
          </cell>
          <cell r="N206">
            <v>21</v>
          </cell>
        </row>
        <row r="207">
          <cell r="A207" t="str">
            <v>7216 СОЧНЫЕ СО СЛ.МАСЛ.ПМ пельм пл.0.7кг зам. ОСТАНКИНО</v>
          </cell>
          <cell r="E207" t="str">
            <v>шт</v>
          </cell>
          <cell r="F207">
            <v>179</v>
          </cell>
          <cell r="I207">
            <v>19</v>
          </cell>
          <cell r="J207">
            <v>160</v>
          </cell>
          <cell r="K207">
            <v>125.3</v>
          </cell>
          <cell r="M207">
            <v>13.3</v>
          </cell>
          <cell r="N207">
            <v>112</v>
          </cell>
        </row>
        <row r="208">
          <cell r="A208" t="str">
            <v>7224 МЯСНЫЕ ПРЕМИУМ пельм кор.0,4кг зам  ОСТАНКИНО</v>
          </cell>
          <cell r="E208" t="str">
            <v>шт</v>
          </cell>
          <cell r="F208">
            <v>22</v>
          </cell>
          <cell r="I208">
            <v>1</v>
          </cell>
          <cell r="J208">
            <v>21</v>
          </cell>
          <cell r="K208">
            <v>8.8000000000000007</v>
          </cell>
          <cell r="M208">
            <v>0.4</v>
          </cell>
          <cell r="N208">
            <v>8.4</v>
          </cell>
        </row>
        <row r="209">
          <cell r="A209" t="str">
            <v>7231 КЛАССИЧЕСКАЯ ПМ вар п/о 0,3кг 8 шт_209к  Останкино</v>
          </cell>
          <cell r="E209" t="str">
            <v>шт</v>
          </cell>
          <cell r="F209">
            <v>63</v>
          </cell>
          <cell r="H209">
            <v>9</v>
          </cell>
          <cell r="I209">
            <v>67</v>
          </cell>
          <cell r="J209">
            <v>5</v>
          </cell>
          <cell r="K209">
            <v>18.899999999999999</v>
          </cell>
          <cell r="L209">
            <v>2.7</v>
          </cell>
          <cell r="M209">
            <v>20.100000000000001</v>
          </cell>
          <cell r="N209">
            <v>1.5</v>
          </cell>
        </row>
        <row r="210">
          <cell r="A210" t="str">
            <v>7232 БОЯNСКАЯ ПМ п/к в/у 0,28кг 8шт_209к  Останкино</v>
          </cell>
          <cell r="E210" t="str">
            <v>шт</v>
          </cell>
          <cell r="F210">
            <v>186</v>
          </cell>
          <cell r="H210">
            <v>25</v>
          </cell>
          <cell r="I210">
            <v>207</v>
          </cell>
          <cell r="J210">
            <v>4</v>
          </cell>
          <cell r="K210">
            <v>52.08</v>
          </cell>
          <cell r="L210">
            <v>7</v>
          </cell>
          <cell r="M210">
            <v>57.96</v>
          </cell>
          <cell r="N210">
            <v>1.1200000000000001</v>
          </cell>
        </row>
        <row r="211">
          <cell r="A211" t="str">
            <v>7236 СЕРВЕЛАТ КАРЕЛЬСКИЙ в/к в/у 0,28кг_209к  Останкино</v>
          </cell>
          <cell r="E211" t="str">
            <v>шт</v>
          </cell>
          <cell r="F211">
            <v>165</v>
          </cell>
          <cell r="H211">
            <v>50</v>
          </cell>
          <cell r="I211">
            <v>215</v>
          </cell>
          <cell r="K211">
            <v>46.2</v>
          </cell>
          <cell r="L211">
            <v>14</v>
          </cell>
          <cell r="M211">
            <v>60.2</v>
          </cell>
        </row>
        <row r="212">
          <cell r="A212" t="str">
            <v>7241 САЛЯМИ Папа может п/к в/у 0,28кг ОСТАНКИНО</v>
          </cell>
          <cell r="E212" t="str">
            <v>шт</v>
          </cell>
          <cell r="F212">
            <v>253</v>
          </cell>
          <cell r="H212">
            <v>13</v>
          </cell>
          <cell r="I212">
            <v>227</v>
          </cell>
          <cell r="J212">
            <v>39</v>
          </cell>
          <cell r="K212">
            <v>70.84</v>
          </cell>
          <cell r="L212">
            <v>3.64</v>
          </cell>
          <cell r="M212">
            <v>63.56</v>
          </cell>
          <cell r="N212">
            <v>10.92</v>
          </cell>
        </row>
        <row r="213">
          <cell r="A213" t="str">
            <v>7255 МЯСНЫЕ С ГОВЯД.ПМ сос п/о мгс 0.4кг 6шт.  ОСТАНКИНО</v>
          </cell>
          <cell r="E213" t="str">
            <v>шт</v>
          </cell>
          <cell r="F213">
            <v>103</v>
          </cell>
          <cell r="H213">
            <v>82</v>
          </cell>
          <cell r="I213">
            <v>192</v>
          </cell>
          <cell r="J213">
            <v>-7</v>
          </cell>
          <cell r="K213">
            <v>41.2</v>
          </cell>
          <cell r="L213">
            <v>32.799999999999997</v>
          </cell>
          <cell r="M213">
            <v>76.8</v>
          </cell>
          <cell r="N213">
            <v>-2.8</v>
          </cell>
        </row>
        <row r="214">
          <cell r="A214" t="str">
            <v>7299 НАБОР ДЛЯ ПИЦЦЫ Папа Может с/к в/у  ОСТАНКИНО</v>
          </cell>
          <cell r="E214" t="str">
            <v>кг</v>
          </cell>
          <cell r="F214">
            <v>77.212999999999994</v>
          </cell>
          <cell r="H214">
            <v>3.0470000000000002</v>
          </cell>
          <cell r="I214">
            <v>0.99</v>
          </cell>
          <cell r="J214">
            <v>79.27</v>
          </cell>
          <cell r="K214">
            <v>77.212999999999994</v>
          </cell>
          <cell r="L214">
            <v>3.0470000000000002</v>
          </cell>
          <cell r="M214">
            <v>0.99</v>
          </cell>
          <cell r="N214">
            <v>79.27</v>
          </cell>
        </row>
        <row r="215">
          <cell r="A215" t="str">
            <v>7332 БОЯРСКАЯ ПМ п/к в/у 0,28кг ОСТАНКИНО</v>
          </cell>
          <cell r="E215" t="str">
            <v>шт</v>
          </cell>
          <cell r="F215">
            <v>-1</v>
          </cell>
          <cell r="H215">
            <v>1</v>
          </cell>
          <cell r="K215">
            <v>-0.28000000000000003</v>
          </cell>
          <cell r="L215">
            <v>0.28000000000000003</v>
          </cell>
        </row>
        <row r="216">
          <cell r="A216" t="str">
            <v>7344 КОНСЕРВЫ МЯС.ГОВЯДИНА ТУШ. В/С 338г_ЧЗ  ОСТАНКИНО</v>
          </cell>
          <cell r="E216" t="str">
            <v>шт</v>
          </cell>
          <cell r="F216">
            <v>192</v>
          </cell>
          <cell r="I216">
            <v>1</v>
          </cell>
          <cell r="J216">
            <v>191</v>
          </cell>
          <cell r="K216">
            <v>64.896000000000001</v>
          </cell>
          <cell r="M216">
            <v>0.33800000000000002</v>
          </cell>
          <cell r="N216">
            <v>64.558000000000007</v>
          </cell>
        </row>
        <row r="217">
          <cell r="A217" t="str">
            <v>7345 КОНСЕРВЫ МЯС.СВИНИНА ТУШ. В/С 325г_ЧЗ  ОСТАНКИНО</v>
          </cell>
          <cell r="E217" t="str">
            <v>шт</v>
          </cell>
          <cell r="F217">
            <v>148</v>
          </cell>
          <cell r="H217">
            <v>113</v>
          </cell>
          <cell r="I217">
            <v>112</v>
          </cell>
          <cell r="J217">
            <v>149</v>
          </cell>
          <cell r="K217">
            <v>48.1</v>
          </cell>
          <cell r="L217">
            <v>36.725000000000001</v>
          </cell>
          <cell r="M217">
            <v>36.4</v>
          </cell>
          <cell r="N217">
            <v>48.424999999999997</v>
          </cell>
        </row>
        <row r="218">
          <cell r="A218" t="str">
            <v>7375 СОЧНЫЕ Папа Может пельм 4кг зам  ОСТАНКИНО</v>
          </cell>
          <cell r="E218" t="str">
            <v>кг</v>
          </cell>
          <cell r="F218">
            <v>40.578000000000003</v>
          </cell>
          <cell r="J218">
            <v>40.578000000000003</v>
          </cell>
          <cell r="K218">
            <v>40.578000000000003</v>
          </cell>
          <cell r="N218">
            <v>40.578000000000003</v>
          </cell>
        </row>
        <row r="219">
          <cell r="A219" t="str">
            <v>7382  САЛЯМИ МЕЛКОЗЕРНЕНАЯ с/к в/у1/120 8шт.  ОСТАНКИНО</v>
          </cell>
          <cell r="E219" t="str">
            <v>шт</v>
          </cell>
          <cell r="F219">
            <v>79</v>
          </cell>
          <cell r="H219">
            <v>20</v>
          </cell>
          <cell r="I219">
            <v>98</v>
          </cell>
          <cell r="J219">
            <v>1</v>
          </cell>
          <cell r="K219">
            <v>9.48</v>
          </cell>
          <cell r="L219">
            <v>2.4</v>
          </cell>
          <cell r="M219">
            <v>11.76</v>
          </cell>
          <cell r="N219">
            <v>0.12</v>
          </cell>
        </row>
        <row r="220">
          <cell r="A220" t="str">
            <v>7386 БАРСЕЛОНА ПМ с/к в/у 1/150  ОСТАНКИНО</v>
          </cell>
          <cell r="E220" t="str">
            <v>шт</v>
          </cell>
          <cell r="F220">
            <v>17</v>
          </cell>
          <cell r="H220">
            <v>1</v>
          </cell>
          <cell r="I220">
            <v>18</v>
          </cell>
          <cell r="K220">
            <v>2.5499999999999998</v>
          </cell>
          <cell r="L220">
            <v>0.15</v>
          </cell>
          <cell r="M220">
            <v>2.7</v>
          </cell>
        </row>
        <row r="221">
          <cell r="A221" t="str">
            <v>7456 САЛЯМИ ФИНСКАЯ Папа может с/к в/у 1/150  ОСТАНКИНО</v>
          </cell>
          <cell r="E221" t="str">
            <v>шт</v>
          </cell>
          <cell r="F221">
            <v>19</v>
          </cell>
          <cell r="H221">
            <v>39</v>
          </cell>
          <cell r="I221">
            <v>51</v>
          </cell>
          <cell r="J221">
            <v>7</v>
          </cell>
          <cell r="K221">
            <v>2.85</v>
          </cell>
          <cell r="L221">
            <v>5.85</v>
          </cell>
          <cell r="M221">
            <v>7.65</v>
          </cell>
          <cell r="N221">
            <v>1.05</v>
          </cell>
        </row>
        <row r="222">
          <cell r="A222" t="str">
            <v>7461 ДЛЯ ДЕТЕЙ Папа Может сос п/о мгс 0,33кг ОСТАНКИНО</v>
          </cell>
          <cell r="E222" t="str">
            <v>шт</v>
          </cell>
          <cell r="F222">
            <v>39</v>
          </cell>
          <cell r="H222">
            <v>1</v>
          </cell>
          <cell r="I222">
            <v>40</v>
          </cell>
          <cell r="K222">
            <v>12.87</v>
          </cell>
          <cell r="L222">
            <v>0.33</v>
          </cell>
          <cell r="M222">
            <v>13.2</v>
          </cell>
        </row>
        <row r="223">
          <cell r="A223" t="str">
            <v>7485 РИЕТ МЯСНОЙ С ГРИБАМИ ПМ п/о 1/150  ОСТАНКИНО</v>
          </cell>
          <cell r="E223" t="str">
            <v>шт</v>
          </cell>
          <cell r="H223">
            <v>23</v>
          </cell>
          <cell r="I223">
            <v>23</v>
          </cell>
          <cell r="L223">
            <v>3.45</v>
          </cell>
          <cell r="M223">
            <v>3.45</v>
          </cell>
        </row>
        <row r="224">
          <cell r="A224" t="str">
            <v>7490 СОЧНЫЙ ГРИЛЬ сос ц/о мгс 0.41кг_Даблпак  ОСТАНКИНО</v>
          </cell>
          <cell r="E224" t="str">
            <v>шт</v>
          </cell>
          <cell r="F224">
            <v>89</v>
          </cell>
          <cell r="I224">
            <v>92</v>
          </cell>
          <cell r="J224">
            <v>-3</v>
          </cell>
          <cell r="K224">
            <v>36.49</v>
          </cell>
          <cell r="M224">
            <v>37.72</v>
          </cell>
          <cell r="N224">
            <v>-1.23</v>
          </cell>
        </row>
        <row r="225">
          <cell r="A225" t="str">
            <v>7512 ЧАЙНАЯ Останкино вар н/о мгс 1*3  ОСТАНКИНО</v>
          </cell>
          <cell r="E225" t="str">
            <v>кг</v>
          </cell>
          <cell r="F225">
            <v>49.591000000000001</v>
          </cell>
          <cell r="I225">
            <v>1.516</v>
          </cell>
          <cell r="J225">
            <v>48.075000000000003</v>
          </cell>
          <cell r="K225">
            <v>49.591000000000001</v>
          </cell>
          <cell r="M225">
            <v>1.516</v>
          </cell>
          <cell r="N225">
            <v>48.075000000000003</v>
          </cell>
        </row>
        <row r="226">
          <cell r="A226" t="str">
            <v>7513 ВОСКРЕСЕНСКАЯ ВЯЛЕНАЯ в/к в/у срез 1/260  ОСТАНКИНО</v>
          </cell>
          <cell r="E226" t="str">
            <v>шт</v>
          </cell>
          <cell r="F226">
            <v>225</v>
          </cell>
          <cell r="H226">
            <v>3</v>
          </cell>
          <cell r="I226">
            <v>8</v>
          </cell>
          <cell r="J226">
            <v>220</v>
          </cell>
          <cell r="K226">
            <v>58.5</v>
          </cell>
          <cell r="L226">
            <v>0.78</v>
          </cell>
          <cell r="M226">
            <v>2.08</v>
          </cell>
          <cell r="N226">
            <v>57.2</v>
          </cell>
        </row>
        <row r="227">
          <cell r="A227" t="str">
            <v>7514 ЛЮБИТЕЛЬСКАЯ ОСТАНКИНСКАЯ вар п/о в/у  ОСТАНКИНО</v>
          </cell>
          <cell r="E227" t="str">
            <v>кг</v>
          </cell>
          <cell r="F227">
            <v>-3.5999999999999997E-2</v>
          </cell>
          <cell r="H227">
            <v>1.679</v>
          </cell>
          <cell r="I227">
            <v>1.643</v>
          </cell>
          <cell r="K227">
            <v>-3.5999999999999997E-2</v>
          </cell>
          <cell r="L227">
            <v>1.679</v>
          </cell>
          <cell r="M227">
            <v>1.643</v>
          </cell>
        </row>
        <row r="228">
          <cell r="A228" t="str">
            <v>7516 НОВОМОСКОВСКАЯ в/к в/у срез 0.31кг  ОСТАНКИНО</v>
          </cell>
          <cell r="E228" t="str">
            <v>шт</v>
          </cell>
          <cell r="F228">
            <v>149</v>
          </cell>
          <cell r="H228">
            <v>1</v>
          </cell>
          <cell r="I228">
            <v>75</v>
          </cell>
          <cell r="J228">
            <v>75</v>
          </cell>
          <cell r="K228">
            <v>46.19</v>
          </cell>
          <cell r="L228">
            <v>0.31</v>
          </cell>
          <cell r="M228">
            <v>23.25</v>
          </cell>
          <cell r="N228">
            <v>23.25</v>
          </cell>
        </row>
        <row r="229">
          <cell r="A229" t="str">
            <v>7518 ТЕЛЯЧЬЯ ГОСТ Останкино вар п/о в/у  ОСТАНКИНО</v>
          </cell>
          <cell r="E229" t="str">
            <v>кг</v>
          </cell>
          <cell r="F229">
            <v>9.4E-2</v>
          </cell>
          <cell r="H229">
            <v>8.1479999999999997</v>
          </cell>
          <cell r="I229">
            <v>4.1210000000000004</v>
          </cell>
          <cell r="J229">
            <v>4.1210000000000004</v>
          </cell>
          <cell r="K229">
            <v>9.4E-2</v>
          </cell>
          <cell r="L229">
            <v>8.1479999999999997</v>
          </cell>
          <cell r="M229">
            <v>4.1210000000000004</v>
          </cell>
          <cell r="N229">
            <v>4.1210000000000004</v>
          </cell>
        </row>
        <row r="230">
          <cell r="A230" t="str">
            <v>7523 ГОВЯЖЬЯ Папа Может вар п/о 0,4кг 6шт. ОСТАНКИНО</v>
          </cell>
          <cell r="E230" t="str">
            <v>шт</v>
          </cell>
          <cell r="F230">
            <v>108</v>
          </cell>
          <cell r="H230">
            <v>60</v>
          </cell>
          <cell r="I230">
            <v>166</v>
          </cell>
          <cell r="J230">
            <v>2</v>
          </cell>
          <cell r="K230">
            <v>43.2</v>
          </cell>
          <cell r="L230">
            <v>24</v>
          </cell>
          <cell r="M230">
            <v>66.400000000000006</v>
          </cell>
          <cell r="N230">
            <v>0.8</v>
          </cell>
        </row>
        <row r="231">
          <cell r="A231" t="str">
            <v>7539 ДОКТОРСКАЯ ГОСТ вар п/о 0,35кг ОСТАНКИНО</v>
          </cell>
          <cell r="E231" t="str">
            <v>шт</v>
          </cell>
          <cell r="F231">
            <v>-2</v>
          </cell>
          <cell r="H231">
            <v>51</v>
          </cell>
          <cell r="J231">
            <v>49</v>
          </cell>
          <cell r="K231">
            <v>-0.7</v>
          </cell>
          <cell r="L231">
            <v>17.850000000000001</v>
          </cell>
          <cell r="N231">
            <v>17.149999999999999</v>
          </cell>
        </row>
        <row r="232">
          <cell r="A232" t="str">
            <v>7562 КРАКОВСКАЯ ГОСТ Останкино п/к н/о мгс  ОСТАНКИНО</v>
          </cell>
          <cell r="E232" t="str">
            <v>кг</v>
          </cell>
          <cell r="F232">
            <v>83.98</v>
          </cell>
          <cell r="I232">
            <v>3.0529999999999999</v>
          </cell>
          <cell r="J232">
            <v>80.927000000000007</v>
          </cell>
          <cell r="K232">
            <v>83.98</v>
          </cell>
          <cell r="M232">
            <v>3.0529999999999999</v>
          </cell>
          <cell r="N232">
            <v>80.927000000000007</v>
          </cell>
        </row>
        <row r="233">
          <cell r="A233" t="str">
            <v>7564 Балыковая в/к в/у Останкино Вес  ОСТАНКИНО</v>
          </cell>
          <cell r="E233" t="str">
            <v>кг</v>
          </cell>
          <cell r="F233">
            <v>6.7000000000000004E-2</v>
          </cell>
          <cell r="I233">
            <v>6.7000000000000004E-2</v>
          </cell>
          <cell r="K233">
            <v>6.7000000000000004E-2</v>
          </cell>
          <cell r="M233">
            <v>6.7000000000000004E-2</v>
          </cell>
        </row>
        <row r="234">
          <cell r="A234" t="str">
            <v>7603 БАЛЫКОВАЯ в/к в/у 0.33кг 8шт. ОСТАНКИНО</v>
          </cell>
          <cell r="E234" t="str">
            <v>шт</v>
          </cell>
          <cell r="F234">
            <v>34</v>
          </cell>
          <cell r="H234">
            <v>1</v>
          </cell>
          <cell r="I234">
            <v>17</v>
          </cell>
          <cell r="J234">
            <v>18</v>
          </cell>
          <cell r="K234">
            <v>11.22</v>
          </cell>
          <cell r="L234">
            <v>0.33</v>
          </cell>
          <cell r="M234">
            <v>5.61</v>
          </cell>
          <cell r="N234">
            <v>5.94</v>
          </cell>
        </row>
        <row r="235">
          <cell r="A235" t="str">
            <v>7612 БАЛЫК с/к с/н в/у 1/100 10шт_  ОСТАНКИНО</v>
          </cell>
          <cell r="E235" t="str">
            <v>шт</v>
          </cell>
          <cell r="F235">
            <v>90</v>
          </cell>
          <cell r="H235">
            <v>90</v>
          </cell>
          <cell r="I235">
            <v>91</v>
          </cell>
          <cell r="J235">
            <v>89</v>
          </cell>
          <cell r="K235">
            <v>9</v>
          </cell>
          <cell r="L235">
            <v>9</v>
          </cell>
          <cell r="M235">
            <v>9.1</v>
          </cell>
          <cell r="N235">
            <v>8.9</v>
          </cell>
        </row>
        <row r="236">
          <cell r="A236" t="str">
            <v>7613 АРОМАТНАЯ с/к с/н в/у 1/100 10шт_Л10  ОСТАНКИНО</v>
          </cell>
          <cell r="E236" t="str">
            <v>шт</v>
          </cell>
          <cell r="F236">
            <v>263</v>
          </cell>
          <cell r="H236">
            <v>346</v>
          </cell>
          <cell r="I236">
            <v>294</v>
          </cell>
          <cell r="J236">
            <v>315</v>
          </cell>
          <cell r="K236">
            <v>26.3</v>
          </cell>
          <cell r="L236">
            <v>34.6</v>
          </cell>
          <cell r="M236">
            <v>29.4</v>
          </cell>
          <cell r="N236">
            <v>31.5</v>
          </cell>
        </row>
        <row r="237">
          <cell r="A237" t="str">
            <v>7616 ЭКСТРА Папа может с/к с/н в/у 1/100_  ОСТАНКИНО</v>
          </cell>
          <cell r="E237" t="str">
            <v>шт</v>
          </cell>
          <cell r="F237">
            <v>461</v>
          </cell>
          <cell r="H237">
            <v>177</v>
          </cell>
          <cell r="I237">
            <v>234</v>
          </cell>
          <cell r="J237">
            <v>404</v>
          </cell>
          <cell r="K237">
            <v>46.1</v>
          </cell>
          <cell r="L237">
            <v>17.7</v>
          </cell>
          <cell r="M237">
            <v>23.4</v>
          </cell>
          <cell r="N237">
            <v>40.4</v>
          </cell>
        </row>
        <row r="238">
          <cell r="A238" t="str">
            <v>7632 ЭКСТРА Папа может вар п/о 0.4кг 8шт_195к  ОСТАНКИНО</v>
          </cell>
          <cell r="E238" t="str">
            <v>шт</v>
          </cell>
          <cell r="F238">
            <v>302</v>
          </cell>
          <cell r="H238">
            <v>286</v>
          </cell>
          <cell r="I238">
            <v>318</v>
          </cell>
          <cell r="J238">
            <v>270</v>
          </cell>
          <cell r="K238">
            <v>120.8</v>
          </cell>
          <cell r="L238">
            <v>114.4</v>
          </cell>
          <cell r="M238">
            <v>127.2</v>
          </cell>
          <cell r="N238">
            <v>108</v>
          </cell>
        </row>
        <row r="239">
          <cell r="A239" t="str">
            <v>7647 ХОЧУ ВЕТЧ.ИЗ СВ.ОТРУБА с/н мгс 1/100_Л11  ОСТАНКИНО</v>
          </cell>
          <cell r="E239" t="str">
            <v>шт</v>
          </cell>
          <cell r="F239">
            <v>-1</v>
          </cell>
          <cell r="H239">
            <v>1</v>
          </cell>
          <cell r="K239">
            <v>-0.1</v>
          </cell>
          <cell r="L239">
            <v>0.1</v>
          </cell>
        </row>
        <row r="240">
          <cell r="A240" t="str">
            <v>7700 ЛИТОВСКАЯ с/к в/у  ОСТАНКИНО</v>
          </cell>
          <cell r="E240" t="str">
            <v>кг</v>
          </cell>
          <cell r="F240">
            <v>13.597</v>
          </cell>
          <cell r="J240">
            <v>13.597</v>
          </cell>
          <cell r="K240">
            <v>13.597</v>
          </cell>
          <cell r="N240">
            <v>13.597</v>
          </cell>
        </row>
        <row r="241">
          <cell r="A241" t="str">
            <v>7710 КРАКОВСКАЯ ГОСТ п/к н/о мгс 0.3кг  ОСТАНКИНО</v>
          </cell>
          <cell r="E241" t="str">
            <v>шт</v>
          </cell>
          <cell r="F241">
            <v>59</v>
          </cell>
          <cell r="H241">
            <v>30</v>
          </cell>
          <cell r="I241">
            <v>37</v>
          </cell>
          <cell r="J241">
            <v>52</v>
          </cell>
          <cell r="K241">
            <v>17.7</v>
          </cell>
          <cell r="L241">
            <v>9</v>
          </cell>
          <cell r="M241">
            <v>11.1</v>
          </cell>
          <cell r="N241">
            <v>15.6</v>
          </cell>
        </row>
        <row r="242">
          <cell r="A242" t="str">
            <v>7725 ВЕТ.МРАМОРНАЯ в/у срез 0.3кг 6шт_62  ОСТАНКИНО</v>
          </cell>
          <cell r="E242" t="str">
            <v>шт</v>
          </cell>
          <cell r="F242">
            <v>54</v>
          </cell>
          <cell r="I242">
            <v>19</v>
          </cell>
          <cell r="J242">
            <v>35</v>
          </cell>
          <cell r="K242">
            <v>16.2</v>
          </cell>
          <cell r="M242">
            <v>5.7</v>
          </cell>
          <cell r="N242">
            <v>10.5</v>
          </cell>
        </row>
        <row r="243">
          <cell r="A243" t="str">
            <v>7730 ХОЧУ ВЕТЧ.ИЗ СВ.ОТРУБА мгс 1/100_45с_Л11  ОСТАНКИНО</v>
          </cell>
          <cell r="E243" t="str">
            <v>шт</v>
          </cell>
          <cell r="F243">
            <v>15</v>
          </cell>
          <cell r="H243">
            <v>1</v>
          </cell>
          <cell r="I243">
            <v>5</v>
          </cell>
          <cell r="J243">
            <v>11</v>
          </cell>
          <cell r="K243">
            <v>1.5</v>
          </cell>
          <cell r="L243">
            <v>0.1</v>
          </cell>
          <cell r="M243">
            <v>0.5</v>
          </cell>
          <cell r="N243">
            <v>1.1000000000000001</v>
          </cell>
        </row>
        <row r="244">
          <cell r="A244" t="str">
            <v>7731 ХОЧУ ВЕТЧ. МРАМОР. с/н мгс 1/100_45с_Л11  ОСТАНКИНО</v>
          </cell>
          <cell r="E244" t="str">
            <v>шт</v>
          </cell>
          <cell r="F244">
            <v>-5</v>
          </cell>
          <cell r="H244">
            <v>5</v>
          </cell>
          <cell r="K244">
            <v>-0.5</v>
          </cell>
          <cell r="L244">
            <v>0.5</v>
          </cell>
        </row>
        <row r="245">
          <cell r="A245" t="str">
            <v>9988421 Творожный Сыр 60 % С маринованными огурчиками и укропом  Останкино</v>
          </cell>
          <cell r="E245" t="str">
            <v>шт</v>
          </cell>
          <cell r="F245">
            <v>51</v>
          </cell>
          <cell r="H245">
            <v>3</v>
          </cell>
          <cell r="I245">
            <v>3</v>
          </cell>
          <cell r="J245">
            <v>51</v>
          </cell>
          <cell r="K245">
            <v>7.14</v>
          </cell>
          <cell r="L245">
            <v>0.42</v>
          </cell>
          <cell r="M245">
            <v>0.42</v>
          </cell>
          <cell r="N245">
            <v>7.14</v>
          </cell>
        </row>
        <row r="246">
          <cell r="A246" t="str">
            <v>9988438 Плавленый Сыр 45% "С ветчиной" СТМ"ПапаМожет" 180гр  Останкино</v>
          </cell>
          <cell r="E246" t="str">
            <v>шт</v>
          </cell>
          <cell r="F246">
            <v>31</v>
          </cell>
          <cell r="I246">
            <v>2</v>
          </cell>
          <cell r="J246">
            <v>29</v>
          </cell>
          <cell r="K246">
            <v>5.58</v>
          </cell>
          <cell r="M246">
            <v>0.36</v>
          </cell>
          <cell r="N246">
            <v>5.22</v>
          </cell>
        </row>
        <row r="247">
          <cell r="A247" t="str">
            <v>9988445 Плавленый Сыр 45%"С грибами" СТМ"ПапаМожет" 180 гр  Останкино</v>
          </cell>
          <cell r="E247" t="str">
            <v>шт</v>
          </cell>
          <cell r="F247">
            <v>32</v>
          </cell>
          <cell r="H247">
            <v>2</v>
          </cell>
          <cell r="I247">
            <v>4</v>
          </cell>
          <cell r="J247">
            <v>30</v>
          </cell>
          <cell r="K247">
            <v>5.76</v>
          </cell>
          <cell r="L247">
            <v>0.36</v>
          </cell>
          <cell r="M247">
            <v>0.72</v>
          </cell>
          <cell r="N247">
            <v>5.4</v>
          </cell>
        </row>
        <row r="248">
          <cell r="A248" t="str">
            <v>Cыр Перлини со вкусом Васаби 40% 100гр (8шт)  Останкино</v>
          </cell>
          <cell r="E248" t="str">
            <v>шт</v>
          </cell>
          <cell r="F248">
            <v>67</v>
          </cell>
          <cell r="H248">
            <v>51</v>
          </cell>
          <cell r="I248">
            <v>60</v>
          </cell>
          <cell r="J248">
            <v>58</v>
          </cell>
          <cell r="K248">
            <v>6.7</v>
          </cell>
          <cell r="L248">
            <v>5.0999999999999996</v>
          </cell>
          <cell r="M248">
            <v>6</v>
          </cell>
          <cell r="N248">
            <v>5.8</v>
          </cell>
        </row>
        <row r="249">
          <cell r="A249" t="str">
            <v>А_5579 БЛИНЧ.КРУГЛЫЕ С САД.ЯБЛОК.пл.1/420 зам. ОСТАНКИНО</v>
          </cell>
          <cell r="E249" t="str">
            <v>шт</v>
          </cell>
          <cell r="F249">
            <v>-3</v>
          </cell>
          <cell r="I249">
            <v>5</v>
          </cell>
          <cell r="J249">
            <v>-8</v>
          </cell>
          <cell r="K249">
            <v>-1.26</v>
          </cell>
          <cell r="M249">
            <v>2.1</v>
          </cell>
          <cell r="N249">
            <v>-3.36</v>
          </cell>
        </row>
        <row r="250">
          <cell r="A250" t="str">
            <v>БОНУС_ 334  Паштет Любительский ТМ Стародворье ламистер 0,1 кг  ПОКОМ</v>
          </cell>
          <cell r="E250" t="str">
            <v>шт</v>
          </cell>
          <cell r="F250">
            <v>-7</v>
          </cell>
          <cell r="H250">
            <v>11</v>
          </cell>
          <cell r="I250">
            <v>4</v>
          </cell>
          <cell r="K250">
            <v>-0.7</v>
          </cell>
          <cell r="L250">
            <v>1.1000000000000001</v>
          </cell>
          <cell r="M250">
            <v>0.4</v>
          </cell>
        </row>
        <row r="251">
          <cell r="A251" t="str">
            <v>БОНУС_Готовые чебупели сочные с мясом ТМ Горячая штучка флоу-пак 0,24 кг  ПОКОМ</v>
          </cell>
          <cell r="E251" t="str">
            <v>шт</v>
          </cell>
          <cell r="F251">
            <v>-21</v>
          </cell>
          <cell r="H251">
            <v>40</v>
          </cell>
          <cell r="I251">
            <v>20</v>
          </cell>
          <cell r="J251">
            <v>-1</v>
          </cell>
          <cell r="K251">
            <v>-5.04</v>
          </cell>
          <cell r="L251">
            <v>9.6</v>
          </cell>
          <cell r="M251">
            <v>4.8</v>
          </cell>
          <cell r="N251">
            <v>-0.24</v>
          </cell>
        </row>
        <row r="252">
          <cell r="A252" t="str">
            <v>БОНУС_Наггетсы Нагетосы Сочная курочка ТМ Горячая штучка 0,25 кг зам  ПОКОМ</v>
          </cell>
          <cell r="E252" t="str">
            <v>шт</v>
          </cell>
          <cell r="F252">
            <v>-7</v>
          </cell>
          <cell r="H252">
            <v>22</v>
          </cell>
          <cell r="I252">
            <v>20</v>
          </cell>
          <cell r="J252">
            <v>-5</v>
          </cell>
          <cell r="K252">
            <v>-1.75</v>
          </cell>
          <cell r="L252">
            <v>5.5</v>
          </cell>
          <cell r="M252">
            <v>5</v>
          </cell>
          <cell r="N252">
            <v>-1.25</v>
          </cell>
        </row>
        <row r="253">
          <cell r="A253" t="str">
            <v>Бульмени хрустящие с мясом ТМ Горячая штучка ТС Бульмени ГШ сфера 0,22 кг  Поком</v>
          </cell>
          <cell r="E253" t="str">
            <v>шт</v>
          </cell>
          <cell r="F253">
            <v>6</v>
          </cell>
          <cell r="J253">
            <v>6</v>
          </cell>
          <cell r="K253">
            <v>1.32</v>
          </cell>
          <cell r="N253">
            <v>1.32</v>
          </cell>
        </row>
        <row r="254">
          <cell r="A254" t="str">
            <v>Вареники Медвежье ушко Премиум с картофелем и лесными грибами клас. форма флоу-пак 0,6 кг  ПОКОМ</v>
          </cell>
          <cell r="E254" t="str">
            <v>шт</v>
          </cell>
          <cell r="F254">
            <v>240</v>
          </cell>
          <cell r="J254">
            <v>240</v>
          </cell>
          <cell r="K254">
            <v>144</v>
          </cell>
          <cell r="N254">
            <v>144</v>
          </cell>
        </row>
        <row r="255">
          <cell r="A255" t="str">
            <v>Готовая чебупицца курочка по-итальянски 0,25кг ТМ Горячая штучка  ПОКОМ</v>
          </cell>
          <cell r="E255" t="str">
            <v>шт</v>
          </cell>
          <cell r="F255">
            <v>343</v>
          </cell>
          <cell r="I255">
            <v>134</v>
          </cell>
          <cell r="J255">
            <v>209</v>
          </cell>
          <cell r="K255">
            <v>85.75</v>
          </cell>
          <cell r="M255">
            <v>33.5</v>
          </cell>
          <cell r="N255">
            <v>52.25</v>
          </cell>
        </row>
        <row r="256">
          <cell r="A256" t="str">
            <v>Готовые бельмеши сочные с мясом ТМ Горячая штучка 0,3кг зам  ПОКОМ</v>
          </cell>
          <cell r="E256" t="str">
            <v>шт</v>
          </cell>
          <cell r="F256">
            <v>26</v>
          </cell>
          <cell r="H256">
            <v>2</v>
          </cell>
          <cell r="I256">
            <v>32</v>
          </cell>
          <cell r="J256">
            <v>-4</v>
          </cell>
          <cell r="K256">
            <v>7.8</v>
          </cell>
          <cell r="L256">
            <v>0.6</v>
          </cell>
          <cell r="M256">
            <v>9.6</v>
          </cell>
          <cell r="N256">
            <v>-1.2</v>
          </cell>
        </row>
        <row r="257">
          <cell r="A257" t="str">
            <v>Готовые круггетсы сочные ТМ Горячая штучка флоу пак 0,2кг  ПОКОМ</v>
          </cell>
          <cell r="E257" t="str">
            <v>шт</v>
          </cell>
          <cell r="F257">
            <v>795</v>
          </cell>
          <cell r="H257">
            <v>3</v>
          </cell>
          <cell r="I257">
            <v>47</v>
          </cell>
          <cell r="J257">
            <v>751</v>
          </cell>
          <cell r="K257">
            <v>159</v>
          </cell>
          <cell r="L257">
            <v>0.6</v>
          </cell>
          <cell r="M257">
            <v>9.4</v>
          </cell>
          <cell r="N257">
            <v>150.19999999999999</v>
          </cell>
        </row>
        <row r="258">
          <cell r="A258" t="str">
            <v>Готовые пекерсы с индейкой в сливочном соусе ТМ Горячая штучка флоу-пак 0,25кг  ПОКОМ</v>
          </cell>
          <cell r="E258" t="str">
            <v>шт</v>
          </cell>
          <cell r="F258">
            <v>101</v>
          </cell>
          <cell r="I258">
            <v>30</v>
          </cell>
          <cell r="J258">
            <v>71</v>
          </cell>
          <cell r="K258">
            <v>25.25</v>
          </cell>
          <cell r="M258">
            <v>7.5</v>
          </cell>
          <cell r="N258">
            <v>17.75</v>
          </cell>
        </row>
        <row r="259">
          <cell r="A259" t="str">
            <v>Готовые хотстеры с сыром ТМ Горячая штучка ТС Хотстеры флоу-пак 0,25 кг.  ПОКОМ</v>
          </cell>
          <cell r="E259" t="str">
            <v>шт</v>
          </cell>
          <cell r="F259">
            <v>256</v>
          </cell>
          <cell r="I259">
            <v>51</v>
          </cell>
          <cell r="J259">
            <v>205</v>
          </cell>
          <cell r="K259">
            <v>64</v>
          </cell>
          <cell r="M259">
            <v>12.75</v>
          </cell>
          <cell r="N259">
            <v>51.25</v>
          </cell>
        </row>
        <row r="260">
          <cell r="A260" t="str">
            <v>Готовые хотстеры ТМ Горячая штучка ТС Хотстеры флоу-пак 0,25 кг.  ПОКОМ</v>
          </cell>
          <cell r="E260" t="str">
            <v>шт</v>
          </cell>
          <cell r="F260">
            <v>151</v>
          </cell>
          <cell r="I260">
            <v>53</v>
          </cell>
          <cell r="J260">
            <v>98</v>
          </cell>
          <cell r="K260">
            <v>37.75</v>
          </cell>
          <cell r="M260">
            <v>13.25</v>
          </cell>
          <cell r="N260">
            <v>24.5</v>
          </cell>
        </row>
        <row r="261">
          <cell r="A261" t="str">
            <v>Готовые чебупели острые с мясом ТМ Горячая штучка флоу-пак 0,24 кг  Поком</v>
          </cell>
          <cell r="E261" t="str">
            <v>шт</v>
          </cell>
          <cell r="F261">
            <v>331</v>
          </cell>
          <cell r="I261">
            <v>41</v>
          </cell>
          <cell r="J261">
            <v>290</v>
          </cell>
          <cell r="K261">
            <v>79.44</v>
          </cell>
          <cell r="M261">
            <v>9.84</v>
          </cell>
          <cell r="N261">
            <v>69.599999999999994</v>
          </cell>
        </row>
        <row r="262">
          <cell r="A262" t="str">
            <v>Готовые чебупели с ветчиной и сыром 0,24 кг НОВАЯ ТМ Горячая штучка  ПОКОМ</v>
          </cell>
          <cell r="E262" t="str">
            <v>шт</v>
          </cell>
          <cell r="F262">
            <v>26</v>
          </cell>
          <cell r="I262">
            <v>9</v>
          </cell>
          <cell r="J262">
            <v>17</v>
          </cell>
          <cell r="K262">
            <v>6.24</v>
          </cell>
          <cell r="M262">
            <v>2.16</v>
          </cell>
          <cell r="N262">
            <v>4.08</v>
          </cell>
        </row>
        <row r="263">
          <cell r="A263" t="str">
            <v>Готовые чебупели с мясом ТМ Горячая штучка 0,24 кг  ПОКОМ</v>
          </cell>
          <cell r="E263" t="str">
            <v>шт</v>
          </cell>
          <cell r="F263">
            <v>137</v>
          </cell>
          <cell r="H263">
            <v>4</v>
          </cell>
          <cell r="I263">
            <v>45</v>
          </cell>
          <cell r="J263">
            <v>96</v>
          </cell>
          <cell r="K263">
            <v>32.880000000000003</v>
          </cell>
          <cell r="L263">
            <v>0.96</v>
          </cell>
          <cell r="M263">
            <v>10.8</v>
          </cell>
          <cell r="N263">
            <v>23.04</v>
          </cell>
        </row>
        <row r="264">
          <cell r="A264" t="str">
            <v>Готовые чебупели сочные с мясом 0,24 кг НОВАЯ ТМ Горячая штучка флоу-пак  ПОКОМ</v>
          </cell>
          <cell r="E264" t="str">
            <v>шт</v>
          </cell>
          <cell r="F264">
            <v>475</v>
          </cell>
          <cell r="H264">
            <v>6</v>
          </cell>
          <cell r="I264">
            <v>87</v>
          </cell>
          <cell r="J264">
            <v>394</v>
          </cell>
          <cell r="K264">
            <v>114</v>
          </cell>
          <cell r="L264">
            <v>1.44</v>
          </cell>
          <cell r="M264">
            <v>20.88</v>
          </cell>
          <cell r="N264">
            <v>94.56</v>
          </cell>
        </row>
        <row r="265">
          <cell r="A265" t="str">
            <v>Готовые чебупели сочные с мясом 0,48 кг НОВАЯ ТМ Горячая штучка флоу-пак МЕГАпачка  ПОКОМ</v>
          </cell>
          <cell r="E265" t="str">
            <v>шт</v>
          </cell>
          <cell r="F265">
            <v>377</v>
          </cell>
          <cell r="H265">
            <v>4</v>
          </cell>
          <cell r="I265">
            <v>29</v>
          </cell>
          <cell r="J265">
            <v>352</v>
          </cell>
          <cell r="K265">
            <v>180.96</v>
          </cell>
          <cell r="L265">
            <v>1.92</v>
          </cell>
          <cell r="M265">
            <v>13.92</v>
          </cell>
          <cell r="N265">
            <v>168.96</v>
          </cell>
        </row>
        <row r="266">
          <cell r="A266" t="str">
            <v>Готовые чебуреки с мясом ТМ Горячая штучка 0,09 кг флоу-пак ПОКОМ</v>
          </cell>
          <cell r="E266" t="str">
            <v>шт</v>
          </cell>
          <cell r="F266">
            <v>768</v>
          </cell>
          <cell r="H266">
            <v>2</v>
          </cell>
          <cell r="I266">
            <v>14</v>
          </cell>
          <cell r="J266">
            <v>756</v>
          </cell>
          <cell r="K266">
            <v>69.12</v>
          </cell>
          <cell r="L266">
            <v>0.18</v>
          </cell>
          <cell r="M266">
            <v>1.26</v>
          </cell>
          <cell r="N266">
            <v>68.040000000000006</v>
          </cell>
        </row>
        <row r="267">
          <cell r="A267" t="str">
            <v>Жареные вареники с картофелем и беконом ТМ Стародворье 0,2 кг  ПОКОМ</v>
          </cell>
          <cell r="E267" t="str">
            <v>шт</v>
          </cell>
          <cell r="F267">
            <v>129</v>
          </cell>
          <cell r="I267">
            <v>14</v>
          </cell>
          <cell r="J267">
            <v>115</v>
          </cell>
          <cell r="K267">
            <v>25.8</v>
          </cell>
          <cell r="M267">
            <v>2.8</v>
          </cell>
          <cell r="N267">
            <v>23</v>
          </cell>
        </row>
        <row r="268">
          <cell r="A268" t="str">
            <v>Круггетсы с сырным соусом ТМ Горячая штучка 0,25 кг зам  ПОКОМ</v>
          </cell>
          <cell r="E268" t="str">
            <v>шт</v>
          </cell>
          <cell r="F268">
            <v>347</v>
          </cell>
          <cell r="J268">
            <v>347</v>
          </cell>
          <cell r="K268">
            <v>86.75</v>
          </cell>
          <cell r="N268">
            <v>86.75</v>
          </cell>
        </row>
        <row r="269">
          <cell r="A269" t="str">
            <v>Круггетсы с сырным соусом ТМ Горячая штучка ТС Круггетсы флоу-пак 0,2 кг  ПОКОМ</v>
          </cell>
          <cell r="E269" t="str">
            <v>шт</v>
          </cell>
          <cell r="F269">
            <v>-21</v>
          </cell>
          <cell r="H269">
            <v>27</v>
          </cell>
          <cell r="I269">
            <v>12</v>
          </cell>
          <cell r="J269">
            <v>-6</v>
          </cell>
          <cell r="K269">
            <v>-4.2</v>
          </cell>
          <cell r="L269">
            <v>5.4</v>
          </cell>
          <cell r="M269">
            <v>2.4</v>
          </cell>
          <cell r="N269">
            <v>-1.2</v>
          </cell>
        </row>
        <row r="270">
          <cell r="A270" t="str">
            <v>Масло "Папа может" 82,5% 180гр  Останкино</v>
          </cell>
          <cell r="E270" t="str">
            <v>шт</v>
          </cell>
          <cell r="F270">
            <v>584</v>
          </cell>
          <cell r="H270">
            <v>132</v>
          </cell>
          <cell r="I270">
            <v>221</v>
          </cell>
          <cell r="J270">
            <v>495</v>
          </cell>
          <cell r="K270">
            <v>105.12</v>
          </cell>
          <cell r="L270">
            <v>23.76</v>
          </cell>
          <cell r="M270">
            <v>39.78</v>
          </cell>
          <cell r="N270">
            <v>89.1</v>
          </cell>
        </row>
        <row r="271">
          <cell r="A271" t="str">
            <v>Масло сливочное 72,5 % 180 гр.(10 шт) СЛАВЯНА  Останкино</v>
          </cell>
          <cell r="E271" t="str">
            <v>шт</v>
          </cell>
          <cell r="F271">
            <v>183</v>
          </cell>
          <cell r="H271">
            <v>39</v>
          </cell>
          <cell r="I271">
            <v>99</v>
          </cell>
          <cell r="J271">
            <v>123</v>
          </cell>
          <cell r="K271">
            <v>32.94</v>
          </cell>
          <cell r="L271">
            <v>7.02</v>
          </cell>
          <cell r="M271">
            <v>17.82</v>
          </cell>
          <cell r="N271">
            <v>22.14</v>
          </cell>
        </row>
        <row r="272">
          <cell r="A272" t="str">
            <v>Мини-сосиски в ароматном тесте ВЕС ТМ Зареченские продукты  ПОКОМ</v>
          </cell>
          <cell r="E272" t="str">
            <v>кг</v>
          </cell>
          <cell r="F272">
            <v>233.1</v>
          </cell>
          <cell r="H272">
            <v>3.7</v>
          </cell>
          <cell r="I272">
            <v>7.4</v>
          </cell>
          <cell r="J272">
            <v>229.4</v>
          </cell>
          <cell r="K272">
            <v>233.1</v>
          </cell>
          <cell r="L272">
            <v>3.7</v>
          </cell>
          <cell r="M272">
            <v>7.4</v>
          </cell>
          <cell r="N272">
            <v>229.4</v>
          </cell>
        </row>
        <row r="273">
          <cell r="A273" t="str">
            <v>Наггетсы из печи 0,25кг ТМ Вязанка замор.  ПОКОМ</v>
          </cell>
          <cell r="E273" t="str">
            <v>шт</v>
          </cell>
          <cell r="F273">
            <v>233</v>
          </cell>
          <cell r="I273">
            <v>64</v>
          </cell>
          <cell r="J273">
            <v>169</v>
          </cell>
          <cell r="K273">
            <v>58.25</v>
          </cell>
          <cell r="M273">
            <v>16</v>
          </cell>
          <cell r="N273">
            <v>42.25</v>
          </cell>
        </row>
        <row r="274">
          <cell r="A274" t="str">
            <v>Наггетсы Нагетосы Сочная курочка со сметаной и зеленью ТМ Горячая штучка флоу-пак 0,25 кг  Поком</v>
          </cell>
          <cell r="E274" t="str">
            <v>шт</v>
          </cell>
          <cell r="F274">
            <v>281</v>
          </cell>
          <cell r="H274">
            <v>12</v>
          </cell>
          <cell r="I274">
            <v>50</v>
          </cell>
          <cell r="J274">
            <v>243</v>
          </cell>
          <cell r="K274">
            <v>70.25</v>
          </cell>
          <cell r="L274">
            <v>3</v>
          </cell>
          <cell r="M274">
            <v>12.5</v>
          </cell>
          <cell r="N274">
            <v>60.75</v>
          </cell>
        </row>
        <row r="275">
          <cell r="A275" t="str">
            <v>Наггетсы Нагетосы Сочная курочка ТМ Горячая штучка 0,25 кг зам  ПОКОМ</v>
          </cell>
          <cell r="E275" t="str">
            <v>шт</v>
          </cell>
          <cell r="F275">
            <v>258</v>
          </cell>
          <cell r="I275">
            <v>153</v>
          </cell>
          <cell r="J275">
            <v>105</v>
          </cell>
          <cell r="K275">
            <v>64.5</v>
          </cell>
          <cell r="M275">
            <v>38.25</v>
          </cell>
          <cell r="N275">
            <v>26.25</v>
          </cell>
        </row>
        <row r="276">
          <cell r="A276" t="str">
            <v>Наггетсы с индейкой 0,25кг ТМ Вязанка ТС Из печи Сливушки ПОКОМ</v>
          </cell>
          <cell r="E276" t="str">
            <v>шт</v>
          </cell>
          <cell r="F276">
            <v>348</v>
          </cell>
          <cell r="I276">
            <v>86</v>
          </cell>
          <cell r="J276">
            <v>262</v>
          </cell>
          <cell r="K276">
            <v>87</v>
          </cell>
          <cell r="M276">
            <v>21.5</v>
          </cell>
          <cell r="N276">
            <v>65.5</v>
          </cell>
        </row>
        <row r="277">
          <cell r="A277" t="str">
            <v>Наггетсы с куриным филе и сыром ТМ Вязанка ТС Из печи Сливушки 0,25 кг.  Поком</v>
          </cell>
          <cell r="E277" t="str">
            <v>шт</v>
          </cell>
          <cell r="F277">
            <v>137</v>
          </cell>
          <cell r="I277">
            <v>62</v>
          </cell>
          <cell r="J277">
            <v>75</v>
          </cell>
          <cell r="K277">
            <v>34.25</v>
          </cell>
          <cell r="M277">
            <v>15.5</v>
          </cell>
          <cell r="N277">
            <v>18.75</v>
          </cell>
        </row>
        <row r="278">
          <cell r="A278" t="str">
            <v>Наггетсы Сливушки в темпуре ТМ Вязанка флоу-пак 0,23 кг  ПОКОМ</v>
          </cell>
          <cell r="E278" t="str">
            <v>шт</v>
          </cell>
          <cell r="F278">
            <v>331</v>
          </cell>
          <cell r="I278">
            <v>5</v>
          </cell>
          <cell r="J278">
            <v>326</v>
          </cell>
          <cell r="K278">
            <v>76.13</v>
          </cell>
          <cell r="M278">
            <v>1.1499999999999999</v>
          </cell>
          <cell r="N278">
            <v>74.98</v>
          </cell>
        </row>
        <row r="279">
          <cell r="A279" t="str">
            <v>Наггетсы Хрустящие НД2. ВЕС.  ПОКОМ</v>
          </cell>
          <cell r="E279" t="str">
            <v>кг</v>
          </cell>
          <cell r="F279">
            <v>187</v>
          </cell>
          <cell r="I279">
            <v>11</v>
          </cell>
          <cell r="J279">
            <v>176</v>
          </cell>
          <cell r="K279">
            <v>187</v>
          </cell>
          <cell r="M279">
            <v>11</v>
          </cell>
          <cell r="N279">
            <v>176</v>
          </cell>
        </row>
        <row r="280">
          <cell r="A280" t="str">
            <v>Наггетсы Хрустящие ТМ Стародворье с сочной курочкой 0,23 кг  ПОКОМ</v>
          </cell>
          <cell r="E280" t="str">
            <v>шт</v>
          </cell>
          <cell r="F280">
            <v>198</v>
          </cell>
          <cell r="I280">
            <v>23</v>
          </cell>
          <cell r="J280">
            <v>175</v>
          </cell>
          <cell r="K280">
            <v>45.54</v>
          </cell>
          <cell r="M280">
            <v>5.29</v>
          </cell>
          <cell r="N280">
            <v>40.25</v>
          </cell>
        </row>
        <row r="281">
          <cell r="A281" t="str">
            <v>Новая точка линейная розница</v>
          </cell>
          <cell r="E281" t="str">
            <v>шт</v>
          </cell>
          <cell r="F281">
            <v>-2</v>
          </cell>
          <cell r="J281">
            <v>-2</v>
          </cell>
          <cell r="K281">
            <v>-2E-3</v>
          </cell>
          <cell r="N281">
            <v>-2E-3</v>
          </cell>
        </row>
        <row r="282">
          <cell r="A282" t="str">
            <v>Пельмени Grandmeni с говядиной и свининой ТМ Горячаяштучка флоу-па классическая форма 0,7 кг.  Поком</v>
          </cell>
          <cell r="E282" t="str">
            <v>шт</v>
          </cell>
          <cell r="F282">
            <v>203</v>
          </cell>
          <cell r="H282">
            <v>6</v>
          </cell>
          <cell r="I282">
            <v>23</v>
          </cell>
          <cell r="J282">
            <v>186</v>
          </cell>
          <cell r="K282">
            <v>142.1</v>
          </cell>
          <cell r="L282">
            <v>4.2</v>
          </cell>
          <cell r="M282">
            <v>16.100000000000001</v>
          </cell>
          <cell r="N282">
            <v>130.19999999999999</v>
          </cell>
        </row>
        <row r="283">
          <cell r="A283" t="str">
            <v>Пельмени Grandmeni с говядиной ТМ Горячаяштучка флоу-пак сфера 0,7 кг.  Поком</v>
          </cell>
          <cell r="E283" t="str">
            <v>шт</v>
          </cell>
          <cell r="F283">
            <v>152</v>
          </cell>
          <cell r="H283">
            <v>16</v>
          </cell>
          <cell r="I283">
            <v>5</v>
          </cell>
          <cell r="J283">
            <v>163</v>
          </cell>
          <cell r="K283">
            <v>106.4</v>
          </cell>
          <cell r="L283">
            <v>11.2</v>
          </cell>
          <cell r="M283">
            <v>3.5</v>
          </cell>
          <cell r="N283">
            <v>114.1</v>
          </cell>
        </row>
        <row r="284">
          <cell r="A284" t="str">
            <v>Пельмени Бигбули #МЕГАВКУСИЩЕ с сочной грудинкой  ТМ Горячая штучка  флоу-пак сфера 0,7 кг.  Поком</v>
          </cell>
          <cell r="E284" t="str">
            <v>шт</v>
          </cell>
          <cell r="F284">
            <v>250</v>
          </cell>
          <cell r="H284">
            <v>5</v>
          </cell>
          <cell r="I284">
            <v>59</v>
          </cell>
          <cell r="J284">
            <v>196</v>
          </cell>
          <cell r="K284">
            <v>175</v>
          </cell>
          <cell r="L284">
            <v>3.5</v>
          </cell>
          <cell r="M284">
            <v>41.3</v>
          </cell>
          <cell r="N284">
            <v>137.19999999999999</v>
          </cell>
        </row>
        <row r="285">
          <cell r="A285" t="str">
            <v>Пельмени Бигбули с мясом ТМ Горячая штучка БУЛЬМЕНИ ТС Бигбули ГШ  флоу-пак сфера 0,7.   Поком</v>
          </cell>
          <cell r="E285" t="str">
            <v>шт</v>
          </cell>
          <cell r="F285">
            <v>378</v>
          </cell>
          <cell r="I285">
            <v>22</v>
          </cell>
          <cell r="J285">
            <v>356</v>
          </cell>
          <cell r="K285">
            <v>264.60000000000002</v>
          </cell>
          <cell r="M285">
            <v>15.4</v>
          </cell>
          <cell r="N285">
            <v>249.2</v>
          </cell>
        </row>
        <row r="286">
          <cell r="A286" t="str">
            <v>Пельмени Бигбули со сливочным маслом  ТС Бигбули ГШ#МЕГАМАСЛИЩЕ флоу-пак сфера 0,7.  Поком</v>
          </cell>
          <cell r="E286" t="str">
            <v>шт</v>
          </cell>
          <cell r="F286">
            <v>445</v>
          </cell>
          <cell r="H286">
            <v>10</v>
          </cell>
          <cell r="I286">
            <v>47</v>
          </cell>
          <cell r="J286">
            <v>408</v>
          </cell>
          <cell r="K286">
            <v>311.5</v>
          </cell>
          <cell r="L286">
            <v>7</v>
          </cell>
          <cell r="M286">
            <v>32.9</v>
          </cell>
          <cell r="N286">
            <v>285.60000000000002</v>
          </cell>
        </row>
        <row r="287">
          <cell r="A287" t="str">
            <v>Пельмени Бульмени мини с мясом и оливковым маслом  ТС Бульмени ГШ флоу-пак сфера 0,7кг  Поком</v>
          </cell>
          <cell r="E287" t="str">
            <v>шт</v>
          </cell>
          <cell r="F287">
            <v>92</v>
          </cell>
          <cell r="I287">
            <v>19</v>
          </cell>
          <cell r="J287">
            <v>73</v>
          </cell>
          <cell r="K287">
            <v>64.400000000000006</v>
          </cell>
          <cell r="M287">
            <v>13.3</v>
          </cell>
          <cell r="N287">
            <v>51.1</v>
          </cell>
        </row>
        <row r="288">
          <cell r="A288" t="str">
            <v>Пельмени Бульмени с говядиной и свининой Наваристые Горячая штучка ВЕС  ПОКОМ</v>
          </cell>
          <cell r="E288" t="str">
            <v>кг</v>
          </cell>
          <cell r="F288">
            <v>465</v>
          </cell>
          <cell r="H288">
            <v>15</v>
          </cell>
          <cell r="I288">
            <v>130</v>
          </cell>
          <cell r="J288">
            <v>350</v>
          </cell>
          <cell r="K288">
            <v>465</v>
          </cell>
          <cell r="L288">
            <v>15</v>
          </cell>
          <cell r="M288">
            <v>130</v>
          </cell>
          <cell r="N288">
            <v>350</v>
          </cell>
        </row>
        <row r="289">
          <cell r="A289" t="str">
            <v>Пельмени Бульмени с говядиной и свининой ТМ Горячая штучка  флоу-пак сфера 0,4 кг  Поком</v>
          </cell>
          <cell r="E289" t="str">
            <v>шт</v>
          </cell>
          <cell r="F289">
            <v>-2</v>
          </cell>
          <cell r="H289">
            <v>3</v>
          </cell>
          <cell r="J289">
            <v>1</v>
          </cell>
          <cell r="K289">
            <v>-0.8</v>
          </cell>
          <cell r="L289">
            <v>1.2</v>
          </cell>
          <cell r="N289">
            <v>0.4</v>
          </cell>
        </row>
        <row r="290">
          <cell r="A290" t="str">
            <v>Пельмени Бульмени с говядиной и свининой ТМ Горячая штучка БУЛЬМЕНИ  флоу-пак сфера 0,7 кг.  Поком</v>
          </cell>
          <cell r="E290" t="str">
            <v>шт</v>
          </cell>
          <cell r="F290">
            <v>1</v>
          </cell>
          <cell r="H290">
            <v>3</v>
          </cell>
          <cell r="J290">
            <v>4</v>
          </cell>
          <cell r="K290">
            <v>0.7</v>
          </cell>
          <cell r="L290">
            <v>2.1</v>
          </cell>
          <cell r="N290">
            <v>2.8</v>
          </cell>
        </row>
        <row r="291">
          <cell r="A291" t="str">
            <v>Пельмени Бульмени со сливочным маслом ТМ Горячая штучка  флоу-пак сфера 0,4 кг .  Поком</v>
          </cell>
          <cell r="E291" t="str">
            <v>шт</v>
          </cell>
          <cell r="F291">
            <v>72</v>
          </cell>
          <cell r="H291">
            <v>3</v>
          </cell>
          <cell r="I291">
            <v>82</v>
          </cell>
          <cell r="J291">
            <v>-7</v>
          </cell>
          <cell r="K291">
            <v>28.8</v>
          </cell>
          <cell r="L291">
            <v>1.2</v>
          </cell>
          <cell r="M291">
            <v>32.799999999999997</v>
          </cell>
          <cell r="N291">
            <v>-2.8</v>
          </cell>
        </row>
        <row r="292">
          <cell r="A292" t="str">
            <v>Пельмени Бульмени со сливочным маслом ТМ Горячая штучка флоу-пак сфера 0,7 кг .  Поком</v>
          </cell>
          <cell r="E292" t="str">
            <v>шт</v>
          </cell>
          <cell r="F292">
            <v>270</v>
          </cell>
          <cell r="H292">
            <v>15</v>
          </cell>
          <cell r="I292">
            <v>117</v>
          </cell>
          <cell r="J292">
            <v>168</v>
          </cell>
          <cell r="K292">
            <v>189</v>
          </cell>
          <cell r="L292">
            <v>10.5</v>
          </cell>
          <cell r="M292">
            <v>81.900000000000006</v>
          </cell>
          <cell r="N292">
            <v>117.6</v>
          </cell>
        </row>
        <row r="293">
          <cell r="A293" t="str">
            <v>Пельмени Медвежье ушко Премиум Мясные ТМ Медвежье ушко классическая форма флоу-пак 0,8 кг. ПОКОМ</v>
          </cell>
          <cell r="E293" t="str">
            <v>шт</v>
          </cell>
          <cell r="F293">
            <v>452</v>
          </cell>
          <cell r="H293">
            <v>2</v>
          </cell>
          <cell r="I293">
            <v>49</v>
          </cell>
          <cell r="J293">
            <v>405</v>
          </cell>
          <cell r="K293">
            <v>361.6</v>
          </cell>
          <cell r="L293">
            <v>1.6</v>
          </cell>
          <cell r="M293">
            <v>39.200000000000003</v>
          </cell>
          <cell r="N293">
            <v>324</v>
          </cell>
        </row>
        <row r="294">
          <cell r="A294" t="str">
            <v>Пельмени Медвежье ушко Премиум со сливочным маслом 0,4 кг ТМ Медвежье ушко  ПОКОМ</v>
          </cell>
          <cell r="E294" t="str">
            <v>шт</v>
          </cell>
          <cell r="F294">
            <v>191</v>
          </cell>
          <cell r="I294">
            <v>48</v>
          </cell>
          <cell r="J294">
            <v>143</v>
          </cell>
          <cell r="K294">
            <v>76.400000000000006</v>
          </cell>
          <cell r="M294">
            <v>19.2</v>
          </cell>
          <cell r="N294">
            <v>57.2</v>
          </cell>
        </row>
        <row r="295">
          <cell r="A295" t="str">
            <v>Пельмени Медвежье ушко Премиум со сливочным маслом 0,8 кг ТМ Медвежье ушко  ПОКОМ</v>
          </cell>
          <cell r="E295" t="str">
            <v>шт</v>
          </cell>
          <cell r="F295">
            <v>96</v>
          </cell>
          <cell r="I295">
            <v>48</v>
          </cell>
          <cell r="J295">
            <v>48</v>
          </cell>
          <cell r="K295">
            <v>76.8</v>
          </cell>
          <cell r="M295">
            <v>38.4</v>
          </cell>
          <cell r="N295">
            <v>38.4</v>
          </cell>
        </row>
        <row r="296">
          <cell r="A296" t="str">
            <v>Пельмени Отборные из свинины и говядины 0,9 кг ТМ Стародворье ТС Медвежье ушко  ПОКОМ</v>
          </cell>
          <cell r="E296" t="str">
            <v>шт</v>
          </cell>
          <cell r="F296">
            <v>66</v>
          </cell>
          <cell r="I296">
            <v>3</v>
          </cell>
          <cell r="J296">
            <v>63</v>
          </cell>
          <cell r="K296">
            <v>59.4</v>
          </cell>
          <cell r="M296">
            <v>2.7</v>
          </cell>
          <cell r="N296">
            <v>56.7</v>
          </cell>
        </row>
        <row r="297">
          <cell r="A297" t="str">
            <v>Пельмени Отборные с говядиной 0,9 кг НОВА ТМ Стародворье ТС Медвежье ушко  ПОКОМ</v>
          </cell>
          <cell r="E297" t="str">
            <v>шт</v>
          </cell>
          <cell r="F297">
            <v>51</v>
          </cell>
          <cell r="I297">
            <v>3</v>
          </cell>
          <cell r="J297">
            <v>48</v>
          </cell>
          <cell r="K297">
            <v>45.9</v>
          </cell>
          <cell r="M297">
            <v>2.7</v>
          </cell>
          <cell r="N297">
            <v>43.2</v>
          </cell>
        </row>
        <row r="298">
          <cell r="A298" t="str">
            <v>Пельмени С говядиной и свининой, ВЕС, ТМ Славница сфера пуговки  ПОКОМ</v>
          </cell>
          <cell r="E298" t="str">
            <v>кг</v>
          </cell>
          <cell r="F298">
            <v>115</v>
          </cell>
          <cell r="I298">
            <v>20</v>
          </cell>
          <cell r="J298">
            <v>95</v>
          </cell>
          <cell r="K298">
            <v>115</v>
          </cell>
          <cell r="M298">
            <v>20</v>
          </cell>
          <cell r="N298">
            <v>95</v>
          </cell>
        </row>
        <row r="299">
          <cell r="A299" t="str">
            <v>Пельмени Со свининой и говядиной ТС Любимая ложка сфера флоу-пак 1 кг  ПОКОМ</v>
          </cell>
          <cell r="E299" t="str">
            <v>шт</v>
          </cell>
          <cell r="F299">
            <v>280</v>
          </cell>
          <cell r="I299">
            <v>13</v>
          </cell>
          <cell r="J299">
            <v>267</v>
          </cell>
          <cell r="K299">
            <v>280</v>
          </cell>
          <cell r="M299">
            <v>13</v>
          </cell>
          <cell r="N299">
            <v>267</v>
          </cell>
        </row>
        <row r="300">
          <cell r="A300" t="str">
            <v>Пирожки с мясом 3,7кг ВЕС ТМ Зареченские  ПОКОМ</v>
          </cell>
          <cell r="E300" t="str">
            <v>кг</v>
          </cell>
          <cell r="F300">
            <v>37</v>
          </cell>
          <cell r="J300">
            <v>37</v>
          </cell>
          <cell r="K300">
            <v>37</v>
          </cell>
          <cell r="N300">
            <v>37</v>
          </cell>
        </row>
        <row r="301">
          <cell r="A301" t="str">
            <v>Плавленый продукт с Сыром колбасный копченый 40% СТМ "Коровино" 400гр  Останкино</v>
          </cell>
          <cell r="E301" t="str">
            <v>шт</v>
          </cell>
          <cell r="F301">
            <v>53</v>
          </cell>
          <cell r="I301">
            <v>1</v>
          </cell>
          <cell r="J301">
            <v>52</v>
          </cell>
          <cell r="K301">
            <v>21.2</v>
          </cell>
          <cell r="M301">
            <v>0.4</v>
          </cell>
          <cell r="N301">
            <v>20.8</v>
          </cell>
        </row>
        <row r="302">
          <cell r="A302" t="str">
            <v>Плавленый сыр "Шоколадный" 30% 180гр Папа Может Останкино</v>
          </cell>
          <cell r="E302" t="str">
            <v>шт</v>
          </cell>
          <cell r="F302">
            <v>28</v>
          </cell>
          <cell r="J302">
            <v>28</v>
          </cell>
          <cell r="K302">
            <v>5.04</v>
          </cell>
          <cell r="N302">
            <v>5.04</v>
          </cell>
        </row>
        <row r="303">
          <cell r="A303" t="str">
            <v>Плавленый Сыр колбасный копченый 40% СТМ"ПапаМожет"400гр  Останкино</v>
          </cell>
          <cell r="E303" t="str">
            <v>шт</v>
          </cell>
          <cell r="F303">
            <v>24</v>
          </cell>
          <cell r="H303">
            <v>19</v>
          </cell>
          <cell r="I303">
            <v>16</v>
          </cell>
          <cell r="J303">
            <v>27</v>
          </cell>
          <cell r="K303">
            <v>9.6</v>
          </cell>
          <cell r="L303">
            <v>7.6</v>
          </cell>
          <cell r="M303">
            <v>6.4</v>
          </cell>
          <cell r="N303">
            <v>10.8</v>
          </cell>
        </row>
        <row r="304">
          <cell r="A304" t="str">
            <v>Продукт белково-жировой Сметанковый 50% ВЕС Коровино Останкино</v>
          </cell>
          <cell r="E304" t="str">
            <v>кг</v>
          </cell>
          <cell r="F304">
            <v>54.424999999999997</v>
          </cell>
          <cell r="H304">
            <v>19.84</v>
          </cell>
          <cell r="I304">
            <v>16.670000000000002</v>
          </cell>
          <cell r="J304">
            <v>57.594999999999999</v>
          </cell>
          <cell r="K304">
            <v>54.424999999999997</v>
          </cell>
          <cell r="L304">
            <v>19.84</v>
          </cell>
          <cell r="M304">
            <v>16.670000000000002</v>
          </cell>
          <cell r="N304">
            <v>57.594999999999999</v>
          </cell>
        </row>
        <row r="305">
          <cell r="A305" t="str">
            <v>Продукт По-Росийски Классический с ЗМЖ 50% 200г Коровино Останкино</v>
          </cell>
          <cell r="E305" t="str">
            <v>шт</v>
          </cell>
          <cell r="F305">
            <v>116</v>
          </cell>
          <cell r="J305">
            <v>116</v>
          </cell>
          <cell r="K305">
            <v>23.2</v>
          </cell>
          <cell r="N305">
            <v>23.2</v>
          </cell>
        </row>
        <row r="306">
          <cell r="A306" t="str">
            <v>Продукт По-Росийски Классический с ЗМЖ 50% ВЕС Коровино Останкино</v>
          </cell>
          <cell r="E306" t="str">
            <v>кг</v>
          </cell>
          <cell r="F306">
            <v>39.86</v>
          </cell>
          <cell r="J306">
            <v>39.86</v>
          </cell>
          <cell r="K306">
            <v>39.86</v>
          </cell>
          <cell r="N306">
            <v>39.86</v>
          </cell>
        </row>
        <row r="307">
          <cell r="A307" t="str">
            <v>Сыр "Пармезан" 40% кусок 180 гр  ОСТАНКИНО</v>
          </cell>
          <cell r="E307" t="str">
            <v>шт</v>
          </cell>
          <cell r="F307">
            <v>79</v>
          </cell>
          <cell r="H307">
            <v>32</v>
          </cell>
          <cell r="I307">
            <v>64</v>
          </cell>
          <cell r="J307">
            <v>47</v>
          </cell>
          <cell r="K307">
            <v>14.22</v>
          </cell>
          <cell r="L307">
            <v>5.76</v>
          </cell>
          <cell r="M307">
            <v>11.52</v>
          </cell>
          <cell r="N307">
            <v>8.4600000000000009</v>
          </cell>
        </row>
        <row r="308">
          <cell r="A308" t="str">
            <v>Сыр Боккончини копченый 40% 100 гр.  ОСТАНКИНО</v>
          </cell>
          <cell r="E308" t="str">
            <v>шт</v>
          </cell>
          <cell r="F308">
            <v>9</v>
          </cell>
          <cell r="H308">
            <v>17</v>
          </cell>
          <cell r="I308">
            <v>14</v>
          </cell>
          <cell r="J308">
            <v>12</v>
          </cell>
          <cell r="K308">
            <v>0.9</v>
          </cell>
          <cell r="L308">
            <v>1.7</v>
          </cell>
          <cell r="M308">
            <v>1.4</v>
          </cell>
          <cell r="N308">
            <v>1.2</v>
          </cell>
        </row>
        <row r="309">
          <cell r="A309" t="str">
            <v>Сыр Косичка сырная 45% 100г/8шт Папа Может Останкино</v>
          </cell>
          <cell r="E309" t="str">
            <v>шт</v>
          </cell>
          <cell r="F309">
            <v>90</v>
          </cell>
          <cell r="H309">
            <v>26</v>
          </cell>
          <cell r="I309">
            <v>42</v>
          </cell>
          <cell r="J309">
            <v>74</v>
          </cell>
          <cell r="K309">
            <v>9</v>
          </cell>
          <cell r="L309">
            <v>2.6</v>
          </cell>
          <cell r="M309">
            <v>4.2</v>
          </cell>
          <cell r="N309">
            <v>7.4</v>
          </cell>
        </row>
        <row r="310">
          <cell r="A310" t="str">
            <v>Сыр Косичка сырная копченая 43% 100г/8шт Папа Может Останкино</v>
          </cell>
          <cell r="E310" t="str">
            <v>шт</v>
          </cell>
          <cell r="F310">
            <v>50</v>
          </cell>
          <cell r="H310">
            <v>67</v>
          </cell>
          <cell r="I310">
            <v>81</v>
          </cell>
          <cell r="J310">
            <v>36</v>
          </cell>
          <cell r="K310">
            <v>5</v>
          </cell>
          <cell r="L310">
            <v>6.7</v>
          </cell>
          <cell r="M310">
            <v>8.1</v>
          </cell>
          <cell r="N310">
            <v>3.6</v>
          </cell>
        </row>
        <row r="311">
          <cell r="A311" t="str">
            <v>Сыр ПАПА МОЖЕТ "Гауда Голд" 45 % 180 гр (10шт) Останкино</v>
          </cell>
          <cell r="E311" t="str">
            <v>шт</v>
          </cell>
          <cell r="F311">
            <v>180</v>
          </cell>
          <cell r="H311">
            <v>130</v>
          </cell>
          <cell r="I311">
            <v>133</v>
          </cell>
          <cell r="J311">
            <v>177</v>
          </cell>
          <cell r="K311">
            <v>32.4</v>
          </cell>
          <cell r="L311">
            <v>23.4</v>
          </cell>
          <cell r="M311">
            <v>23.94</v>
          </cell>
          <cell r="N311">
            <v>31.86</v>
          </cell>
        </row>
        <row r="312">
          <cell r="A312" t="str">
            <v>Сыр ПАПА МОЖЕТ "Голландский традиционный" 45% 180 гр (10шт)  Останкино</v>
          </cell>
          <cell r="E312" t="str">
            <v>шт</v>
          </cell>
          <cell r="F312">
            <v>205</v>
          </cell>
          <cell r="I312">
            <v>104</v>
          </cell>
          <cell r="J312">
            <v>101</v>
          </cell>
          <cell r="K312">
            <v>36.9</v>
          </cell>
          <cell r="M312">
            <v>18.72</v>
          </cell>
          <cell r="N312">
            <v>18.18</v>
          </cell>
        </row>
        <row r="313">
          <cell r="A313" t="str">
            <v>Сыр ПАПА МОЖЕТ "Министерский" 180 г фасованный массовая  Останкино</v>
          </cell>
          <cell r="E313" t="str">
            <v>шт</v>
          </cell>
          <cell r="F313">
            <v>106</v>
          </cell>
          <cell r="H313">
            <v>16</v>
          </cell>
          <cell r="I313">
            <v>18</v>
          </cell>
          <cell r="J313">
            <v>104</v>
          </cell>
          <cell r="K313">
            <v>19.079999999999998</v>
          </cell>
          <cell r="L313">
            <v>2.88</v>
          </cell>
          <cell r="M313">
            <v>3.24</v>
          </cell>
          <cell r="N313">
            <v>18.72</v>
          </cell>
        </row>
        <row r="314">
          <cell r="A314" t="str">
            <v>Сыр ПАПА МОЖЕТ "Папин завтрак"  45% 180 г  Останкино</v>
          </cell>
          <cell r="E314" t="str">
            <v>шт</v>
          </cell>
          <cell r="F314">
            <v>103</v>
          </cell>
          <cell r="H314">
            <v>69</v>
          </cell>
          <cell r="I314">
            <v>72</v>
          </cell>
          <cell r="J314">
            <v>100</v>
          </cell>
          <cell r="K314">
            <v>18.54</v>
          </cell>
          <cell r="L314">
            <v>12.42</v>
          </cell>
          <cell r="M314">
            <v>12.96</v>
          </cell>
          <cell r="N314">
            <v>18</v>
          </cell>
        </row>
        <row r="315">
          <cell r="A315" t="str">
            <v>Сыр ПАПА МОЖЕТ "Российский традиционный"45 % 180 г Останкино</v>
          </cell>
          <cell r="E315" t="str">
            <v>шт</v>
          </cell>
          <cell r="F315">
            <v>160</v>
          </cell>
          <cell r="H315">
            <v>64</v>
          </cell>
          <cell r="I315">
            <v>88</v>
          </cell>
          <cell r="J315">
            <v>136</v>
          </cell>
          <cell r="K315">
            <v>28.8</v>
          </cell>
          <cell r="L315">
            <v>11.52</v>
          </cell>
          <cell r="M315">
            <v>15.84</v>
          </cell>
          <cell r="N315">
            <v>24.48</v>
          </cell>
        </row>
        <row r="316">
          <cell r="A316" t="str">
            <v>Сыр ПАПА МОЖЕТ "Тильзитер" фасованный массовая доля жира в сухом веществе 45%, 180г  Останкино</v>
          </cell>
          <cell r="E316" t="str">
            <v>шт</v>
          </cell>
          <cell r="F316">
            <v>45</v>
          </cell>
          <cell r="H316">
            <v>1</v>
          </cell>
          <cell r="I316">
            <v>4</v>
          </cell>
          <cell r="J316">
            <v>42</v>
          </cell>
          <cell r="K316">
            <v>8.1</v>
          </cell>
          <cell r="L316">
            <v>0.18</v>
          </cell>
          <cell r="M316">
            <v>0.72</v>
          </cell>
          <cell r="N316">
            <v>7.56</v>
          </cell>
        </row>
        <row r="317">
          <cell r="A317" t="str">
            <v>Сыр плавленный Сливочный ж.45% 180г ТМ Папа может (16шт)  Останкино</v>
          </cell>
          <cell r="E317" t="str">
            <v>шт</v>
          </cell>
          <cell r="F317">
            <v>127</v>
          </cell>
          <cell r="H317">
            <v>2</v>
          </cell>
          <cell r="I317">
            <v>5</v>
          </cell>
          <cell r="J317">
            <v>124</v>
          </cell>
          <cell r="K317">
            <v>22.86</v>
          </cell>
          <cell r="L317">
            <v>0.36</v>
          </cell>
          <cell r="M317">
            <v>0.9</v>
          </cell>
          <cell r="N317">
            <v>22.32</v>
          </cell>
        </row>
        <row r="318">
          <cell r="A318" t="str">
            <v>Сыр полутвердый "Гауда" с массовой долей жира в пересчете на сухое вещество 45%,   Останкино</v>
          </cell>
          <cell r="E318" t="str">
            <v>кг</v>
          </cell>
          <cell r="F318">
            <v>52.887999999999998</v>
          </cell>
          <cell r="H318">
            <v>43.72</v>
          </cell>
          <cell r="I318">
            <v>43.72</v>
          </cell>
          <cell r="J318">
            <v>52.887999999999998</v>
          </cell>
          <cell r="K318">
            <v>52.887999999999998</v>
          </cell>
          <cell r="L318">
            <v>43.72</v>
          </cell>
          <cell r="M318">
            <v>43.72</v>
          </cell>
          <cell r="N318">
            <v>52.887999999999998</v>
          </cell>
        </row>
        <row r="319">
          <cell r="A319" t="str">
            <v>Сыр полутвердый "Голландский" с массовой долей жира в пересчете на сухое  Останкино</v>
          </cell>
          <cell r="E319" t="str">
            <v>кг</v>
          </cell>
          <cell r="F319">
            <v>72.302000000000007</v>
          </cell>
          <cell r="I319">
            <v>9.7750000000000004</v>
          </cell>
          <cell r="J319">
            <v>62.527000000000001</v>
          </cell>
          <cell r="K319">
            <v>72.302000000000007</v>
          </cell>
          <cell r="M319">
            <v>9.7750000000000004</v>
          </cell>
          <cell r="N319">
            <v>62.527000000000001</v>
          </cell>
        </row>
        <row r="320">
          <cell r="A320" t="str">
            <v>Сыр полутвердый "Сметанковый", с масс долей жира в пересчете на сухое вещес50%, брус  Останкино</v>
          </cell>
          <cell r="E320" t="str">
            <v>кг</v>
          </cell>
          <cell r="F320">
            <v>97.152000000000001</v>
          </cell>
          <cell r="H320">
            <v>21.616</v>
          </cell>
          <cell r="I320">
            <v>18.71</v>
          </cell>
          <cell r="J320">
            <v>100.05800000000001</v>
          </cell>
          <cell r="K320">
            <v>97.152000000000001</v>
          </cell>
          <cell r="L320">
            <v>21.616</v>
          </cell>
          <cell r="M320">
            <v>18.71</v>
          </cell>
          <cell r="N320">
            <v>100.05800000000001</v>
          </cell>
        </row>
        <row r="321">
          <cell r="A321" t="str">
            <v>Сыр полутвердый "Тильзитер" с массовой долей жира в пересчете на сухое вещество 45%. 1/5  Останкино</v>
          </cell>
          <cell r="E321" t="str">
            <v>кг</v>
          </cell>
          <cell r="F321">
            <v>68.126000000000005</v>
          </cell>
          <cell r="J321">
            <v>68.126000000000005</v>
          </cell>
          <cell r="K321">
            <v>68.126000000000005</v>
          </cell>
          <cell r="N321">
            <v>68.126000000000005</v>
          </cell>
        </row>
        <row r="322">
          <cell r="A322" t="str">
            <v>Сыр рассольный жирный Чечил 45% 100 гр  ОСТАНКИНО</v>
          </cell>
          <cell r="E322" t="str">
            <v>шт</v>
          </cell>
          <cell r="F322">
            <v>188</v>
          </cell>
          <cell r="I322">
            <v>72</v>
          </cell>
          <cell r="J322">
            <v>116</v>
          </cell>
          <cell r="K322">
            <v>18.8</v>
          </cell>
          <cell r="M322">
            <v>7.2</v>
          </cell>
          <cell r="N322">
            <v>11.6</v>
          </cell>
        </row>
        <row r="323">
          <cell r="A323" t="str">
            <v>Сыр рассольный жирный Чечил копченый 43% 100 гр  Останкино</v>
          </cell>
          <cell r="E323" t="str">
            <v>шт</v>
          </cell>
          <cell r="F323">
            <v>106</v>
          </cell>
          <cell r="H323">
            <v>33</v>
          </cell>
          <cell r="I323">
            <v>63</v>
          </cell>
          <cell r="J323">
            <v>76</v>
          </cell>
          <cell r="K323">
            <v>10.6</v>
          </cell>
          <cell r="L323">
            <v>3.3</v>
          </cell>
          <cell r="M323">
            <v>6.3</v>
          </cell>
          <cell r="N323">
            <v>7.6</v>
          </cell>
        </row>
        <row r="324">
          <cell r="A324" t="str">
            <v>Сыр Скаморца свежий 100 гр.  ОСТАНКИНО</v>
          </cell>
          <cell r="E324" t="str">
            <v>шт</v>
          </cell>
          <cell r="F324">
            <v>43</v>
          </cell>
          <cell r="J324">
            <v>43</v>
          </cell>
          <cell r="K324">
            <v>4.3</v>
          </cell>
          <cell r="N324">
            <v>4.3</v>
          </cell>
        </row>
        <row r="325">
          <cell r="A325" t="str">
            <v>Сыр Творожный с зеленью 60% Папа может 140 гр.  Останкино</v>
          </cell>
          <cell r="E325" t="str">
            <v>шт</v>
          </cell>
          <cell r="F325">
            <v>14</v>
          </cell>
          <cell r="H325">
            <v>1</v>
          </cell>
          <cell r="J325">
            <v>15</v>
          </cell>
          <cell r="K325">
            <v>1.96</v>
          </cell>
          <cell r="L325">
            <v>0.14000000000000001</v>
          </cell>
          <cell r="N325">
            <v>2.1</v>
          </cell>
        </row>
        <row r="326">
          <cell r="A326" t="str">
            <v>Сыр творожный Сливочный 140 гр.  Останкино</v>
          </cell>
          <cell r="E326" t="str">
            <v>шт</v>
          </cell>
          <cell r="F326">
            <v>38</v>
          </cell>
          <cell r="H326">
            <v>3</v>
          </cell>
          <cell r="I326">
            <v>3</v>
          </cell>
          <cell r="J326">
            <v>38</v>
          </cell>
          <cell r="K326">
            <v>5.32</v>
          </cell>
          <cell r="L326">
            <v>0.42</v>
          </cell>
          <cell r="M326">
            <v>0.42</v>
          </cell>
          <cell r="N326">
            <v>5.32</v>
          </cell>
        </row>
        <row r="327">
          <cell r="A327" t="str">
            <v>Сыч/Прод Коровино Российский 50% 200г НОВАЯ СЗМЖ  ОСТАНКИНО</v>
          </cell>
          <cell r="E327" t="str">
            <v>шт</v>
          </cell>
          <cell r="F327">
            <v>107</v>
          </cell>
          <cell r="H327">
            <v>77</v>
          </cell>
          <cell r="I327">
            <v>70</v>
          </cell>
          <cell r="J327">
            <v>114</v>
          </cell>
          <cell r="K327">
            <v>21.4</v>
          </cell>
          <cell r="L327">
            <v>15.4</v>
          </cell>
          <cell r="M327">
            <v>14</v>
          </cell>
          <cell r="N327">
            <v>22.8</v>
          </cell>
        </row>
        <row r="328">
          <cell r="A328" t="str">
            <v>Сыч/Прод Коровино Российский Оригин 50% ВЕС НОВАЯ (3,5 кг)  ОСТАНКИНО</v>
          </cell>
          <cell r="E328" t="str">
            <v>кг</v>
          </cell>
          <cell r="F328">
            <v>44.856000000000002</v>
          </cell>
          <cell r="H328">
            <v>15.804</v>
          </cell>
          <cell r="I328">
            <v>15.804</v>
          </cell>
          <cell r="J328">
            <v>44.856000000000002</v>
          </cell>
          <cell r="K328">
            <v>44.856000000000002</v>
          </cell>
          <cell r="L328">
            <v>15.804</v>
          </cell>
          <cell r="M328">
            <v>15.804</v>
          </cell>
          <cell r="N328">
            <v>44.856000000000002</v>
          </cell>
        </row>
        <row r="329">
          <cell r="A329" t="str">
            <v>Сыч/Прод Коровино Тильзитер 50% 200г НОВАЯ СЗМЖ  ОСТАНКИНО</v>
          </cell>
          <cell r="E329" t="str">
            <v>шт</v>
          </cell>
          <cell r="F329">
            <v>127</v>
          </cell>
          <cell r="H329">
            <v>47</v>
          </cell>
          <cell r="I329">
            <v>60</v>
          </cell>
          <cell r="J329">
            <v>114</v>
          </cell>
          <cell r="K329">
            <v>25.4</v>
          </cell>
          <cell r="L329">
            <v>9.4</v>
          </cell>
          <cell r="M329">
            <v>12</v>
          </cell>
          <cell r="N329">
            <v>22.8</v>
          </cell>
        </row>
        <row r="330">
          <cell r="A330" t="str">
            <v>Сыч/Прод Коровино Тильзитер Оригин 50% ВЕС НОВАЯ (5 кг брус) СЗМЖ  ОСТАНКИНО</v>
          </cell>
          <cell r="E330" t="str">
            <v>кг</v>
          </cell>
          <cell r="F330">
            <v>45.496000000000002</v>
          </cell>
          <cell r="J330">
            <v>45.496000000000002</v>
          </cell>
          <cell r="K330">
            <v>45.496000000000002</v>
          </cell>
          <cell r="N330">
            <v>45.496000000000002</v>
          </cell>
        </row>
        <row r="331">
          <cell r="A331" t="str">
            <v>ХБИ Готовые чебуманы с говядиной 0,28кг ТМ Горячая штучка  ПОКОМ</v>
          </cell>
          <cell r="E331" t="str">
            <v>шт</v>
          </cell>
          <cell r="F331">
            <v>211</v>
          </cell>
          <cell r="H331">
            <v>12</v>
          </cell>
          <cell r="I331">
            <v>18</v>
          </cell>
          <cell r="J331">
            <v>205</v>
          </cell>
          <cell r="K331">
            <v>59.08</v>
          </cell>
          <cell r="L331">
            <v>3.36</v>
          </cell>
          <cell r="M331">
            <v>5.04</v>
          </cell>
          <cell r="N331">
            <v>57.4</v>
          </cell>
        </row>
        <row r="332">
          <cell r="A332" t="str">
            <v>ХБИ Готовые чебупели с курицей ТМ Горячая штучка (курочка гриль) флоу-пак 0,3 кг  ПОКОМ</v>
          </cell>
          <cell r="E332" t="str">
            <v>шт</v>
          </cell>
          <cell r="F332">
            <v>147</v>
          </cell>
          <cell r="H332">
            <v>8</v>
          </cell>
          <cell r="I332">
            <v>69</v>
          </cell>
          <cell r="J332">
            <v>86</v>
          </cell>
          <cell r="K332">
            <v>44.1</v>
          </cell>
          <cell r="L332">
            <v>2.4</v>
          </cell>
          <cell r="M332">
            <v>20.7</v>
          </cell>
          <cell r="N332">
            <v>25.8</v>
          </cell>
        </row>
        <row r="333">
          <cell r="A333" t="str">
            <v>ХБИ Мини-шарики с курочкой и сыром ТМ Зареченские продукты ВЕС  ПОКОМ</v>
          </cell>
          <cell r="E333" t="str">
            <v>кг</v>
          </cell>
          <cell r="F333">
            <v>150</v>
          </cell>
          <cell r="I333">
            <v>3</v>
          </cell>
          <cell r="J333">
            <v>147</v>
          </cell>
          <cell r="K333">
            <v>150</v>
          </cell>
          <cell r="M333">
            <v>3</v>
          </cell>
          <cell r="N333">
            <v>147</v>
          </cell>
        </row>
        <row r="334">
          <cell r="A334" t="str">
            <v>ХБИ Снеки «Готовые круггетсы с сырным соусом» Фикс.вес 0,2 ТМ «Горячая штучка» ПОКОМ</v>
          </cell>
          <cell r="E334" t="str">
            <v>шт</v>
          </cell>
          <cell r="F334">
            <v>43</v>
          </cell>
          <cell r="H334">
            <v>168</v>
          </cell>
          <cell r="I334">
            <v>255</v>
          </cell>
          <cell r="J334">
            <v>-44</v>
          </cell>
          <cell r="K334">
            <v>8.6</v>
          </cell>
          <cell r="L334">
            <v>33.6</v>
          </cell>
          <cell r="M334">
            <v>51</v>
          </cell>
          <cell r="N334">
            <v>-8.8000000000000007</v>
          </cell>
        </row>
        <row r="335">
          <cell r="A335" t="str">
            <v>Хотстеры Васаби-чили ТМ Горячая штучка ТС Хотстеры 0,23кг жареные ПОКОМ</v>
          </cell>
          <cell r="E335" t="str">
            <v>шт</v>
          </cell>
          <cell r="F335">
            <v>79</v>
          </cell>
          <cell r="H335">
            <v>6</v>
          </cell>
          <cell r="I335">
            <v>67</v>
          </cell>
          <cell r="J335">
            <v>18</v>
          </cell>
          <cell r="K335">
            <v>18.170000000000002</v>
          </cell>
          <cell r="L335">
            <v>1.38</v>
          </cell>
          <cell r="M335">
            <v>15.41</v>
          </cell>
          <cell r="N335">
            <v>4.1399999999999997</v>
          </cell>
        </row>
        <row r="336">
          <cell r="A336" t="str">
            <v>Хрустипай апельсин имбирь ТМ Горячая штучка 0,18 кг  ПОКОМ</v>
          </cell>
          <cell r="E336" t="str">
            <v>шт</v>
          </cell>
          <cell r="F336">
            <v>40</v>
          </cell>
          <cell r="J336">
            <v>40</v>
          </cell>
          <cell r="K336">
            <v>7.2</v>
          </cell>
          <cell r="N336">
            <v>7.2</v>
          </cell>
        </row>
        <row r="337">
          <cell r="A337" t="str">
            <v>Хрустипай манго маракуйя ТМ Горячая штучка 0,18 кг  ПОКОМ</v>
          </cell>
          <cell r="E337" t="str">
            <v>шт</v>
          </cell>
          <cell r="F337">
            <v>71</v>
          </cell>
          <cell r="J337">
            <v>71</v>
          </cell>
          <cell r="K337">
            <v>12.78</v>
          </cell>
          <cell r="N337">
            <v>12.78</v>
          </cell>
        </row>
        <row r="338">
          <cell r="A338" t="str">
            <v>Хрустипай манго чили ТМ Горячая штучка 0,18кг с начинкой ПОКОМ</v>
          </cell>
          <cell r="E338" t="str">
            <v>шт</v>
          </cell>
          <cell r="F338">
            <v>20</v>
          </cell>
          <cell r="J338">
            <v>20</v>
          </cell>
          <cell r="K338">
            <v>3.6</v>
          </cell>
          <cell r="N338">
            <v>3.6</v>
          </cell>
        </row>
        <row r="339">
          <cell r="A339" t="str">
            <v>Хрустящие крылышки острые к пиву ТМ Горячая штучка 0,3кг зам  ПОКОМ</v>
          </cell>
          <cell r="E339" t="str">
            <v>шт</v>
          </cell>
          <cell r="F339">
            <v>93</v>
          </cell>
          <cell r="I339">
            <v>35</v>
          </cell>
          <cell r="J339">
            <v>58</v>
          </cell>
          <cell r="K339">
            <v>27.9</v>
          </cell>
          <cell r="M339">
            <v>10.5</v>
          </cell>
          <cell r="N339">
            <v>17.399999999999999</v>
          </cell>
        </row>
        <row r="340">
          <cell r="A340" t="str">
            <v>Чебупели со вкусом Фо бо ТМ Горячая штучка 0,22 кг  ПОКОМ</v>
          </cell>
          <cell r="E340" t="str">
            <v>шт</v>
          </cell>
          <cell r="F340">
            <v>36</v>
          </cell>
          <cell r="J340">
            <v>36</v>
          </cell>
          <cell r="K340">
            <v>7.92</v>
          </cell>
          <cell r="N340">
            <v>7.92</v>
          </cell>
        </row>
        <row r="341">
          <cell r="A341" t="str">
            <v>Чебупицца курочка по-итальянски Горячая штучка 0,25 кг зам  ПОКОМ</v>
          </cell>
          <cell r="E341" t="str">
            <v>шт</v>
          </cell>
          <cell r="F341">
            <v>-22</v>
          </cell>
          <cell r="H341">
            <v>34</v>
          </cell>
          <cell r="I341">
            <v>12</v>
          </cell>
          <cell r="K341">
            <v>-5.5</v>
          </cell>
          <cell r="L341">
            <v>8.5</v>
          </cell>
          <cell r="M341">
            <v>3</v>
          </cell>
        </row>
        <row r="342">
          <cell r="A342" t="str">
            <v>Чебупицца Пепперони ТМ Горячая штучка ТС Чебупицца 0.25кг зам  ПОКОМ</v>
          </cell>
          <cell r="E342" t="str">
            <v>шт</v>
          </cell>
          <cell r="F342">
            <v>75</v>
          </cell>
          <cell r="H342">
            <v>4</v>
          </cell>
          <cell r="I342">
            <v>81</v>
          </cell>
          <cell r="J342">
            <v>-2</v>
          </cell>
          <cell r="K342">
            <v>18.75</v>
          </cell>
          <cell r="L342">
            <v>1</v>
          </cell>
          <cell r="M342">
            <v>20.25</v>
          </cell>
          <cell r="N342">
            <v>-0.5</v>
          </cell>
        </row>
        <row r="343">
          <cell r="A343" t="str">
            <v>Чебупицца со вкусом 4 сыра 0,2кг ТМ Горячая штучка ТС Foodgital  ПОКОМ</v>
          </cell>
          <cell r="E343" t="str">
            <v>шт</v>
          </cell>
          <cell r="F343">
            <v>133</v>
          </cell>
          <cell r="I343">
            <v>12</v>
          </cell>
          <cell r="J343">
            <v>121</v>
          </cell>
          <cell r="K343">
            <v>26.6</v>
          </cell>
          <cell r="M343">
            <v>2.4</v>
          </cell>
          <cell r="N343">
            <v>24.2</v>
          </cell>
        </row>
        <row r="344">
          <cell r="A344" t="str">
            <v>Чебупицца со вкусом Том ям ТМ Горячая штучка ТС Чебупицца 0,23кг жареные ПОКОМ</v>
          </cell>
          <cell r="E344" t="str">
            <v>шт</v>
          </cell>
          <cell r="F344">
            <v>286</v>
          </cell>
          <cell r="H344">
            <v>1</v>
          </cell>
          <cell r="I344">
            <v>110</v>
          </cell>
          <cell r="J344">
            <v>177</v>
          </cell>
          <cell r="K344">
            <v>65.78</v>
          </cell>
          <cell r="L344">
            <v>0.23</v>
          </cell>
          <cell r="M344">
            <v>25.3</v>
          </cell>
          <cell r="N344">
            <v>40.71</v>
          </cell>
        </row>
        <row r="345">
          <cell r="A345" t="str">
            <v>Чебупицца со вкусом Утка по-пекински ТМ Горячая штучка ТС Чебупицца 0,23 кг.  ПОКОМ</v>
          </cell>
          <cell r="E345" t="str">
            <v>шт</v>
          </cell>
          <cell r="F345">
            <v>253</v>
          </cell>
          <cell r="I345">
            <v>56</v>
          </cell>
          <cell r="J345">
            <v>197</v>
          </cell>
          <cell r="K345">
            <v>58.19</v>
          </cell>
          <cell r="M345">
            <v>12.88</v>
          </cell>
          <cell r="N345">
            <v>45.31</v>
          </cell>
        </row>
        <row r="346">
          <cell r="A346" t="str">
            <v>Чебуреки Мясные вес 2,7 кг ТМ Зареченские ТС Зареченские продукты   Поком</v>
          </cell>
          <cell r="E346" t="str">
            <v>кг</v>
          </cell>
          <cell r="F346">
            <v>15.9</v>
          </cell>
          <cell r="I346">
            <v>2.7</v>
          </cell>
          <cell r="J346">
            <v>13.2</v>
          </cell>
          <cell r="K346">
            <v>15.9</v>
          </cell>
          <cell r="M346">
            <v>2.7</v>
          </cell>
          <cell r="N346">
            <v>13.2</v>
          </cell>
        </row>
        <row r="347">
          <cell r="A347" t="str">
            <v>Чебуреки сочные ТМ Зареченские ТС Зареченские продукты.  Поком</v>
          </cell>
          <cell r="E347" t="str">
            <v>кг</v>
          </cell>
          <cell r="F347">
            <v>115</v>
          </cell>
          <cell r="I347">
            <v>20</v>
          </cell>
          <cell r="J347">
            <v>95</v>
          </cell>
          <cell r="K347">
            <v>115</v>
          </cell>
          <cell r="M347">
            <v>20</v>
          </cell>
          <cell r="N347">
            <v>95</v>
          </cell>
        </row>
        <row r="348">
          <cell r="A348" t="str">
            <v>Итого</v>
          </cell>
          <cell r="K348">
            <v>21482.1</v>
          </cell>
          <cell r="L348">
            <v>7922.7110000000002</v>
          </cell>
          <cell r="M348">
            <v>7330.4070000000002</v>
          </cell>
          <cell r="N348">
            <v>22074.403999999999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/>
  </sheetPr>
  <dimension ref="A1:E65"/>
  <sheetViews>
    <sheetView tabSelected="1" zoomScaleNormal="100" workbookViewId="0">
      <pane ySplit="1" topLeftCell="A2" activePane="bottomLeft" state="frozen"/>
      <selection pane="bottomLeft" activeCell="E26" sqref="E26"/>
    </sheetView>
  </sheetViews>
  <sheetFormatPr defaultColWidth="10.5" defaultRowHeight="11.25" x14ac:dyDescent="0.2"/>
  <cols>
    <col min="1" max="1" width="82.1640625" style="1" customWidth="1"/>
    <col min="2" max="2" width="15.33203125" style="1" customWidth="1"/>
    <col min="3" max="3" width="13.33203125" customWidth="1"/>
    <col min="5" max="5" width="37" customWidth="1"/>
  </cols>
  <sheetData>
    <row r="1" spans="1:5" ht="15" x14ac:dyDescent="0.25">
      <c r="A1" s="2" t="s">
        <v>116</v>
      </c>
      <c r="B1" s="2" t="s">
        <v>117</v>
      </c>
      <c r="D1" t="s">
        <v>119</v>
      </c>
    </row>
    <row r="2" spans="1:5" ht="15" hidden="1" x14ac:dyDescent="0.2">
      <c r="A2" s="3" t="s">
        <v>37</v>
      </c>
      <c r="B2" s="6">
        <v>1</v>
      </c>
    </row>
    <row r="3" spans="1:5" ht="15" x14ac:dyDescent="0.2">
      <c r="A3" s="3" t="s">
        <v>38</v>
      </c>
      <c r="B3" s="7">
        <v>3.2</v>
      </c>
      <c r="C3" t="str">
        <f>VLOOKUP(A3,[1]Sheet!$A:$I,9,0)</f>
        <v>матрица</v>
      </c>
      <c r="D3">
        <f>VLOOKUP(A3,[2]TDSheet!$A:$T,14,0)</f>
        <v>15.2</v>
      </c>
    </row>
    <row r="4" spans="1:5" ht="30" hidden="1" x14ac:dyDescent="0.2">
      <c r="A4" s="3" t="s">
        <v>39</v>
      </c>
      <c r="B4" s="4">
        <v>1.226</v>
      </c>
    </row>
    <row r="5" spans="1:5" ht="15" x14ac:dyDescent="0.2">
      <c r="A5" s="3" t="s">
        <v>40</v>
      </c>
      <c r="B5" s="7">
        <v>2.6</v>
      </c>
      <c r="C5" t="str">
        <f>VLOOKUP(A5,[1]Sheet!$A:$I,9,0)</f>
        <v>матрица</v>
      </c>
      <c r="D5">
        <f>VLOOKUP(A5,[2]TDSheet!$A:$T,14,0)</f>
        <v>379.34300000000002</v>
      </c>
    </row>
    <row r="6" spans="1:5" ht="15" x14ac:dyDescent="0.2">
      <c r="A6" s="3" t="s">
        <v>41</v>
      </c>
      <c r="B6" s="4">
        <v>5.8929999999999998</v>
      </c>
      <c r="C6" t="str">
        <f>VLOOKUP(A6,[1]Sheet!$A:$I,9,0)</f>
        <v>матрица</v>
      </c>
      <c r="D6">
        <f>VLOOKUP(A6,[2]TDSheet!$A:$T,14,0)</f>
        <v>89.277000000000001</v>
      </c>
    </row>
    <row r="7" spans="1:5" ht="30" hidden="1" x14ac:dyDescent="0.2">
      <c r="A7" s="3" t="s">
        <v>42</v>
      </c>
      <c r="B7" s="4">
        <v>0.40799999999999997</v>
      </c>
    </row>
    <row r="8" spans="1:5" ht="15" x14ac:dyDescent="0.2">
      <c r="A8" s="3" t="s">
        <v>43</v>
      </c>
      <c r="B8" s="5">
        <v>5.75</v>
      </c>
      <c r="C8" t="str">
        <f>VLOOKUP(A8,[1]Sheet!$A:$I,9,0)</f>
        <v>матрица</v>
      </c>
      <c r="D8">
        <f>VLOOKUP(A8,[2]TDSheet!$A:$T,14,0)</f>
        <v>0</v>
      </c>
      <c r="E8" t="s">
        <v>120</v>
      </c>
    </row>
    <row r="9" spans="1:5" ht="15" hidden="1" x14ac:dyDescent="0.2">
      <c r="A9" s="3" t="s">
        <v>44</v>
      </c>
      <c r="B9" s="5">
        <v>0.43</v>
      </c>
    </row>
    <row r="10" spans="1:5" ht="15" x14ac:dyDescent="0.2">
      <c r="A10" s="3" t="s">
        <v>45</v>
      </c>
      <c r="B10" s="7">
        <v>11.5</v>
      </c>
      <c r="C10" t="str">
        <f>VLOOKUP(A10,[1]Sheet!$A:$I,9,0)</f>
        <v>матрица</v>
      </c>
      <c r="D10">
        <f>VLOOKUP(A10,[2]TDSheet!$A:$T,14,0)</f>
        <v>0</v>
      </c>
      <c r="E10" t="s">
        <v>121</v>
      </c>
    </row>
    <row r="11" spans="1:5" ht="15" hidden="1" x14ac:dyDescent="0.2">
      <c r="A11" s="3" t="s">
        <v>46</v>
      </c>
      <c r="B11" s="7">
        <v>1.6</v>
      </c>
    </row>
    <row r="12" spans="1:5" ht="15" x14ac:dyDescent="0.2">
      <c r="A12" s="3" t="s">
        <v>47</v>
      </c>
      <c r="B12" s="7">
        <v>4.2</v>
      </c>
      <c r="C12" t="str">
        <f>VLOOKUP(A12,[1]Sheet!$A:$I,9,0)</f>
        <v>матрица</v>
      </c>
      <c r="D12">
        <f>VLOOKUP(A12,[2]TDSheet!$A:$T,14,0)</f>
        <v>0</v>
      </c>
      <c r="E12" t="s">
        <v>122</v>
      </c>
    </row>
    <row r="13" spans="1:5" ht="15" hidden="1" x14ac:dyDescent="0.2">
      <c r="A13" s="3" t="s">
        <v>48</v>
      </c>
      <c r="B13" s="7">
        <v>1.5</v>
      </c>
    </row>
    <row r="14" spans="1:5" ht="15" hidden="1" x14ac:dyDescent="0.2">
      <c r="A14" s="3" t="s">
        <v>49</v>
      </c>
      <c r="B14" s="7">
        <v>1.2</v>
      </c>
    </row>
    <row r="15" spans="1:5" ht="15" x14ac:dyDescent="0.2">
      <c r="A15" s="3" t="s">
        <v>50</v>
      </c>
      <c r="B15" s="5">
        <v>5.0599999999999996</v>
      </c>
      <c r="C15" t="str">
        <f>VLOOKUP(A15,[1]Sheet!$A:$I,9,0)</f>
        <v>матрица</v>
      </c>
      <c r="D15">
        <f>VLOOKUP(A15,[2]TDSheet!$A:$T,14,0)</f>
        <v>0</v>
      </c>
      <c r="E15" t="s">
        <v>123</v>
      </c>
    </row>
    <row r="16" spans="1:5" ht="15" x14ac:dyDescent="0.2">
      <c r="A16" s="3" t="s">
        <v>52</v>
      </c>
      <c r="B16" s="7">
        <v>2.5</v>
      </c>
      <c r="C16" t="str">
        <f>VLOOKUP(A16,[1]Sheet!$A:$I,9,0)</f>
        <v>матрица</v>
      </c>
      <c r="D16">
        <f>VLOOKUP(A16,[2]TDSheet!$A:$T,14,0)</f>
        <v>60.707999999999998</v>
      </c>
    </row>
    <row r="17" spans="1:5" ht="15" x14ac:dyDescent="0.2">
      <c r="A17" s="3" t="s">
        <v>53</v>
      </c>
      <c r="B17" s="6">
        <v>10</v>
      </c>
      <c r="C17" t="str">
        <f>VLOOKUP(A17,[1]Sheet!$A:$I,9,0)</f>
        <v>матрица</v>
      </c>
      <c r="D17">
        <f>VLOOKUP(A17,[2]TDSheet!$A:$T,14,0)</f>
        <v>18.399999999999999</v>
      </c>
    </row>
    <row r="18" spans="1:5" ht="15" x14ac:dyDescent="0.2">
      <c r="A18" s="3" t="s">
        <v>54</v>
      </c>
      <c r="B18" s="7">
        <v>23.2</v>
      </c>
      <c r="C18" t="str">
        <f>VLOOKUP(A18,[1]Sheet!$A:$I,9,0)</f>
        <v>матрица</v>
      </c>
      <c r="D18">
        <v>0</v>
      </c>
      <c r="E18" t="s">
        <v>124</v>
      </c>
    </row>
    <row r="19" spans="1:5" ht="15" x14ac:dyDescent="0.2">
      <c r="A19" s="3" t="s">
        <v>55</v>
      </c>
      <c r="B19" s="7">
        <v>14.4</v>
      </c>
      <c r="C19" t="str">
        <f>VLOOKUP(A19,[1]Sheet!$A:$I,9,0)</f>
        <v>матрица</v>
      </c>
      <c r="D19">
        <f>VLOOKUP(A19,[2]TDSheet!$A:$T,14,0)</f>
        <v>6.4</v>
      </c>
      <c r="E19" t="s">
        <v>125</v>
      </c>
    </row>
    <row r="20" spans="1:5" ht="15" x14ac:dyDescent="0.2">
      <c r="A20" s="3" t="s">
        <v>56</v>
      </c>
      <c r="B20" s="7">
        <v>16.2</v>
      </c>
      <c r="C20" s="9" t="s">
        <v>118</v>
      </c>
    </row>
    <row r="21" spans="1:5" ht="15" hidden="1" x14ac:dyDescent="0.2">
      <c r="A21" s="3" t="s">
        <v>57</v>
      </c>
      <c r="B21" s="6">
        <v>2</v>
      </c>
    </row>
    <row r="22" spans="1:5" ht="15" x14ac:dyDescent="0.2">
      <c r="A22" s="3" t="s">
        <v>58</v>
      </c>
      <c r="B22" s="6">
        <v>22</v>
      </c>
      <c r="C22" t="str">
        <f>VLOOKUP(A22,[1]Sheet!$A:$I,9,0)</f>
        <v>матрица</v>
      </c>
      <c r="D22">
        <f>VLOOKUP(A22,[2]TDSheet!$A:$T,14,0)</f>
        <v>235.131</v>
      </c>
    </row>
    <row r="23" spans="1:5" ht="15" x14ac:dyDescent="0.2">
      <c r="A23" s="3" t="s">
        <v>59</v>
      </c>
      <c r="B23" s="6">
        <v>25</v>
      </c>
      <c r="C23" t="str">
        <f>VLOOKUP(A23,[1]Sheet!$A:$I,9,0)</f>
        <v>матрица</v>
      </c>
      <c r="D23">
        <f>VLOOKUP(A23,[2]TDSheet!$A:$T,14,0)</f>
        <v>0</v>
      </c>
      <c r="E23" t="s">
        <v>126</v>
      </c>
    </row>
    <row r="24" spans="1:5" ht="15" hidden="1" x14ac:dyDescent="0.2">
      <c r="A24" s="3" t="s">
        <v>60</v>
      </c>
      <c r="B24" s="7">
        <v>0.3</v>
      </c>
    </row>
    <row r="25" spans="1:5" ht="15" x14ac:dyDescent="0.2">
      <c r="A25" s="3" t="s">
        <v>61</v>
      </c>
      <c r="B25" s="6">
        <v>6</v>
      </c>
      <c r="C25" t="str">
        <f>VLOOKUP(A25,[1]Sheet!$A:$I,9,0)</f>
        <v>матрица</v>
      </c>
      <c r="D25">
        <f>VLOOKUP(A25,[2]TDSheet!$A:$T,14,0)</f>
        <v>41.41</v>
      </c>
    </row>
    <row r="26" spans="1:5" ht="15" x14ac:dyDescent="0.2">
      <c r="A26" s="3" t="s">
        <v>62</v>
      </c>
      <c r="B26" s="6">
        <v>35</v>
      </c>
      <c r="C26" t="str">
        <f>VLOOKUP(A26,[1]Sheet!$A:$I,9,0)</f>
        <v>матрица</v>
      </c>
      <c r="D26">
        <v>0</v>
      </c>
      <c r="E26" t="b">
        <f t="shared" ref="E25:E28" si="0">D26&lt;B26</f>
        <v>1</v>
      </c>
    </row>
    <row r="27" spans="1:5" ht="15" x14ac:dyDescent="0.2">
      <c r="A27" s="3" t="s">
        <v>63</v>
      </c>
      <c r="B27" s="5">
        <v>12.71</v>
      </c>
      <c r="C27" t="str">
        <f>VLOOKUP(A27,[1]Sheet!$A:$I,9,0)</f>
        <v>матрица</v>
      </c>
      <c r="D27">
        <f>VLOOKUP(A27,[2]TDSheet!$A:$T,14,0)</f>
        <v>2.0499999999999998</v>
      </c>
      <c r="E27" t="b">
        <f t="shared" si="0"/>
        <v>1</v>
      </c>
    </row>
    <row r="28" spans="1:5" ht="15" x14ac:dyDescent="0.2">
      <c r="A28" s="3" t="s">
        <v>64</v>
      </c>
      <c r="B28" s="6">
        <v>4</v>
      </c>
      <c r="C28" t="str">
        <f>VLOOKUP(A28,[1]Sheet!$A:$I,9,0)</f>
        <v>матрица</v>
      </c>
      <c r="D28">
        <f>VLOOKUP(A28,[2]TDSheet!$A:$T,14,0)</f>
        <v>85.921000000000006</v>
      </c>
    </row>
    <row r="29" spans="1:5" ht="15" hidden="1" x14ac:dyDescent="0.2">
      <c r="A29" s="3" t="s">
        <v>65</v>
      </c>
      <c r="B29" s="7">
        <v>1.2</v>
      </c>
    </row>
    <row r="30" spans="1:5" ht="15" x14ac:dyDescent="0.2">
      <c r="A30" s="3" t="s">
        <v>66</v>
      </c>
      <c r="B30" s="6">
        <v>4</v>
      </c>
      <c r="C30" t="str">
        <f>VLOOKUP(A30,[1]Sheet!$A:$I,9,0)</f>
        <v>матрица</v>
      </c>
      <c r="D30">
        <f>VLOOKUP(A30,[2]TDSheet!$A:$T,14,0)</f>
        <v>0</v>
      </c>
      <c r="E30" t="b">
        <f t="shared" ref="E30" si="1">D30&lt;B30</f>
        <v>1</v>
      </c>
    </row>
    <row r="31" spans="1:5" ht="15" hidden="1" x14ac:dyDescent="0.2">
      <c r="A31" s="3" t="s">
        <v>67</v>
      </c>
      <c r="B31" s="5">
        <v>1.64</v>
      </c>
    </row>
    <row r="32" spans="1:5" ht="15" x14ac:dyDescent="0.2">
      <c r="A32" s="3" t="s">
        <v>68</v>
      </c>
      <c r="B32" s="4">
        <v>3.3319999999999999</v>
      </c>
      <c r="C32" t="str">
        <f>VLOOKUP(A32,[1]Sheet!$A:$I,9,0)</f>
        <v>матрица</v>
      </c>
      <c r="D32">
        <f>VLOOKUP(A32,[2]TDSheet!$A:$T,14,0)</f>
        <v>10.847</v>
      </c>
    </row>
    <row r="33" spans="1:5" ht="15" hidden="1" x14ac:dyDescent="0.2">
      <c r="A33" s="3" t="s">
        <v>69</v>
      </c>
      <c r="B33" s="7">
        <v>1.4</v>
      </c>
    </row>
    <row r="34" spans="1:5" ht="15" hidden="1" x14ac:dyDescent="0.2">
      <c r="A34" s="3" t="s">
        <v>70</v>
      </c>
      <c r="B34" s="5">
        <v>1.23</v>
      </c>
    </row>
    <row r="35" spans="1:5" ht="15" hidden="1" x14ac:dyDescent="0.2">
      <c r="A35" s="3" t="s">
        <v>71</v>
      </c>
      <c r="B35" s="7">
        <v>1.5</v>
      </c>
    </row>
    <row r="36" spans="1:5" ht="15" hidden="1" x14ac:dyDescent="0.2">
      <c r="A36" s="3" t="s">
        <v>72</v>
      </c>
      <c r="B36" s="5">
        <v>0.72</v>
      </c>
    </row>
    <row r="37" spans="1:5" ht="15" x14ac:dyDescent="0.2">
      <c r="A37" s="3" t="s">
        <v>73</v>
      </c>
      <c r="B37" s="5">
        <v>5.95</v>
      </c>
      <c r="C37" t="str">
        <f>VLOOKUP(A37,[1]Sheet!$A:$I,9,0)</f>
        <v>матрица</v>
      </c>
      <c r="D37">
        <f>VLOOKUP(A37,[2]TDSheet!$A:$T,14,0)</f>
        <v>2.8</v>
      </c>
      <c r="E37" t="b">
        <f t="shared" ref="E37:E40" si="2">D37&lt;B37</f>
        <v>1</v>
      </c>
    </row>
    <row r="38" spans="1:5" ht="15" x14ac:dyDescent="0.2">
      <c r="A38" s="3" t="s">
        <v>74</v>
      </c>
      <c r="B38" s="7">
        <v>15.7</v>
      </c>
      <c r="C38" t="str">
        <f>VLOOKUP(A38,[1]Sheet!$A:$I,9,0)</f>
        <v>матрица</v>
      </c>
      <c r="D38">
        <f>VLOOKUP(A38,[2]TDSheet!$A:$T,14,0)</f>
        <v>0</v>
      </c>
      <c r="E38" t="b">
        <f t="shared" si="2"/>
        <v>1</v>
      </c>
    </row>
    <row r="39" spans="1:5" ht="15" x14ac:dyDescent="0.2">
      <c r="A39" s="3" t="s">
        <v>75</v>
      </c>
      <c r="B39" s="7">
        <v>20.399999999999999</v>
      </c>
      <c r="C39" t="str">
        <f>VLOOKUP(A39,[1]Sheet!$A:$I,9,0)</f>
        <v>матрица</v>
      </c>
      <c r="D39">
        <f>VLOOKUP(A39,[2]TDSheet!$A:$T,14,0)</f>
        <v>1.4</v>
      </c>
      <c r="E39" t="b">
        <f t="shared" si="2"/>
        <v>1</v>
      </c>
    </row>
    <row r="40" spans="1:5" ht="15" x14ac:dyDescent="0.2">
      <c r="A40" s="3" t="s">
        <v>76</v>
      </c>
      <c r="B40" s="7">
        <v>26.6</v>
      </c>
      <c r="C40" t="str">
        <f>VLOOKUP(A40,[1]Sheet!$A:$I,9,0)</f>
        <v>матрица</v>
      </c>
      <c r="D40">
        <f>VLOOKUP(A40,[2]TDSheet!$A:$T,14,0)</f>
        <v>0</v>
      </c>
      <c r="E40" t="b">
        <f t="shared" si="2"/>
        <v>1</v>
      </c>
    </row>
    <row r="41" spans="1:5" ht="15" hidden="1" x14ac:dyDescent="0.2">
      <c r="A41" s="3" t="s">
        <v>77</v>
      </c>
      <c r="B41" s="7">
        <v>1.4</v>
      </c>
    </row>
    <row r="42" spans="1:5" ht="15" x14ac:dyDescent="0.2">
      <c r="A42" s="3" t="s">
        <v>78</v>
      </c>
      <c r="B42" s="5">
        <v>5.04</v>
      </c>
      <c r="C42" t="str">
        <f>VLOOKUP(A42,[1]Sheet!$A:$I,9,0)</f>
        <v>матрица</v>
      </c>
      <c r="D42">
        <f>VLOOKUP(A42,[2]TDSheet!$A:$T,14,0)</f>
        <v>1.1200000000000001</v>
      </c>
      <c r="E42" t="b">
        <f t="shared" ref="E42:E44" si="3">D42&lt;B42</f>
        <v>1</v>
      </c>
    </row>
    <row r="43" spans="1:5" ht="15" x14ac:dyDescent="0.2">
      <c r="A43" s="3" t="s">
        <v>79</v>
      </c>
      <c r="B43" s="5">
        <v>18.760000000000002</v>
      </c>
      <c r="C43" t="str">
        <f>VLOOKUP(A43,[1]Sheet!$A:$I,9,0)</f>
        <v>матрица</v>
      </c>
      <c r="D43">
        <f>VLOOKUP(A43,[2]TDSheet!$A:$T,14,0)</f>
        <v>0</v>
      </c>
      <c r="E43" t="b">
        <f t="shared" si="3"/>
        <v>1</v>
      </c>
    </row>
    <row r="44" spans="1:5" ht="15" x14ac:dyDescent="0.2">
      <c r="A44" s="3" t="s">
        <v>80</v>
      </c>
      <c r="B44" s="5">
        <v>5.04</v>
      </c>
      <c r="C44" t="str">
        <f>VLOOKUP(A44,[1]Sheet!$A:$I,9,0)</f>
        <v>матрица</v>
      </c>
      <c r="D44">
        <f>VLOOKUP(A44,[2]TDSheet!$A:$T,14,0)</f>
        <v>10.92</v>
      </c>
    </row>
    <row r="45" spans="1:5" ht="15" hidden="1" x14ac:dyDescent="0.2">
      <c r="A45" s="3" t="s">
        <v>81</v>
      </c>
      <c r="B45" s="7">
        <v>0.4</v>
      </c>
    </row>
    <row r="46" spans="1:5" ht="15" hidden="1" x14ac:dyDescent="0.2">
      <c r="A46" s="3" t="s">
        <v>82</v>
      </c>
      <c r="B46" s="5">
        <v>0.12</v>
      </c>
    </row>
    <row r="47" spans="1:5" ht="15" hidden="1" x14ac:dyDescent="0.2">
      <c r="A47" s="3" t="s">
        <v>83</v>
      </c>
      <c r="B47" s="5">
        <v>1.35</v>
      </c>
    </row>
    <row r="48" spans="1:5" ht="15" hidden="1" x14ac:dyDescent="0.2">
      <c r="A48" s="3" t="s">
        <v>84</v>
      </c>
      <c r="B48" s="5">
        <v>0.15</v>
      </c>
    </row>
    <row r="49" spans="1:5" ht="15" x14ac:dyDescent="0.2">
      <c r="A49" s="3" t="s">
        <v>85</v>
      </c>
      <c r="B49" s="5">
        <v>2.85</v>
      </c>
      <c r="C49" t="str">
        <f>VLOOKUP(A49,[1]Sheet!$A:$I,9,0)</f>
        <v>матрица</v>
      </c>
      <c r="D49">
        <f>VLOOKUP(A49,[2]TDSheet!$A:$T,14,0)</f>
        <v>0</v>
      </c>
      <c r="E49" t="b">
        <f t="shared" ref="E49" si="4">D49&lt;B49</f>
        <v>1</v>
      </c>
    </row>
    <row r="50" spans="1:5" ht="15" hidden="1" x14ac:dyDescent="0.2">
      <c r="A50" s="3" t="s">
        <v>86</v>
      </c>
      <c r="B50" s="5">
        <v>1.1200000000000001</v>
      </c>
    </row>
    <row r="51" spans="1:5" ht="15" hidden="1" x14ac:dyDescent="0.2">
      <c r="A51" s="3" t="s">
        <v>87</v>
      </c>
      <c r="B51" s="5">
        <v>1.64</v>
      </c>
    </row>
    <row r="52" spans="1:5" ht="15" hidden="1" x14ac:dyDescent="0.2">
      <c r="A52" s="3" t="s">
        <v>88</v>
      </c>
      <c r="B52" s="6">
        <v>2</v>
      </c>
    </row>
    <row r="53" spans="1:5" ht="15" hidden="1" x14ac:dyDescent="0.2">
      <c r="A53" s="3" t="s">
        <v>89</v>
      </c>
      <c r="B53" s="5">
        <v>0.78</v>
      </c>
    </row>
    <row r="54" spans="1:5" ht="15" hidden="1" x14ac:dyDescent="0.2">
      <c r="A54" s="3" t="s">
        <v>90</v>
      </c>
      <c r="B54" s="7">
        <v>0.4</v>
      </c>
    </row>
    <row r="55" spans="1:5" ht="15" x14ac:dyDescent="0.2">
      <c r="A55" s="3" t="s">
        <v>91</v>
      </c>
      <c r="B55" s="7">
        <v>5.6</v>
      </c>
      <c r="C55" t="str">
        <f>VLOOKUP(A55,[1]Sheet!$A:$I,9,0)</f>
        <v>матрица</v>
      </c>
      <c r="D55">
        <f>VLOOKUP(A55,[2]TDSheet!$A:$T,14,0)</f>
        <v>17.149999999999999</v>
      </c>
    </row>
    <row r="56" spans="1:5" ht="15" hidden="1" x14ac:dyDescent="0.2">
      <c r="A56" s="3" t="s">
        <v>92</v>
      </c>
      <c r="B56" s="7">
        <v>0.7</v>
      </c>
    </row>
    <row r="57" spans="1:5" ht="15" hidden="1" x14ac:dyDescent="0.2">
      <c r="A57" s="3" t="s">
        <v>93</v>
      </c>
      <c r="B57" s="5">
        <v>0.66</v>
      </c>
    </row>
    <row r="58" spans="1:5" ht="15" hidden="1" x14ac:dyDescent="0.2">
      <c r="A58" s="3" t="s">
        <v>94</v>
      </c>
      <c r="B58" s="7">
        <v>0.4</v>
      </c>
    </row>
    <row r="59" spans="1:5" ht="15" x14ac:dyDescent="0.2">
      <c r="A59" s="3" t="s">
        <v>95</v>
      </c>
      <c r="B59" s="7">
        <v>14.8</v>
      </c>
      <c r="C59" t="str">
        <f>VLOOKUP(A59,[1]Sheet!$A:$I,9,0)</f>
        <v>матрица</v>
      </c>
      <c r="D59">
        <f>VLOOKUP(A59,[2]TDSheet!$A:$T,14,0)</f>
        <v>108</v>
      </c>
    </row>
    <row r="60" spans="1:5" ht="15" hidden="1" x14ac:dyDescent="0.2">
      <c r="A60" s="3" t="s">
        <v>96</v>
      </c>
      <c r="B60" s="7">
        <v>0.9</v>
      </c>
    </row>
    <row r="61" spans="1:5" ht="15" hidden="1" x14ac:dyDescent="0.2">
      <c r="A61" s="3" t="s">
        <v>106</v>
      </c>
      <c r="B61" s="5">
        <v>0.54</v>
      </c>
    </row>
    <row r="62" spans="1:5" ht="15" hidden="1" x14ac:dyDescent="0.2">
      <c r="A62" s="3" t="s">
        <v>109</v>
      </c>
      <c r="B62" s="6">
        <v>1</v>
      </c>
    </row>
    <row r="63" spans="1:5" ht="15" hidden="1" x14ac:dyDescent="0.2">
      <c r="A63" s="3" t="s">
        <v>110</v>
      </c>
      <c r="B63" s="6">
        <v>1</v>
      </c>
    </row>
    <row r="64" spans="1:5" ht="15" hidden="1" x14ac:dyDescent="0.2">
      <c r="A64" s="3" t="s">
        <v>111</v>
      </c>
      <c r="B64" s="7">
        <v>0.2</v>
      </c>
    </row>
    <row r="65" spans="2:2" ht="15" x14ac:dyDescent="0.2">
      <c r="B65" s="8">
        <f>SUM(B2:B64)</f>
        <v>369.39899999999994</v>
      </c>
    </row>
  </sheetData>
  <autoFilter ref="A1:B65" xr:uid="{8F3BD1F6-A66A-422C-A601-584EBAC756A0}">
    <filterColumn colId="1">
      <customFilters>
        <customFilter operator="greaterThan" val="2"/>
      </customFilters>
    </filterColumn>
  </autoFilter>
  <pageMargins left="0.75" right="1" top="0.75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D8AB-F828-4C4C-8F11-6984C09B8438}">
  <sheetPr filterMode="1"/>
  <dimension ref="A1:B18"/>
  <sheetViews>
    <sheetView workbookViewId="0">
      <selection activeCell="G21" sqref="G21"/>
    </sheetView>
  </sheetViews>
  <sheetFormatPr defaultRowHeight="11.25" x14ac:dyDescent="0.2"/>
  <cols>
    <col min="1" max="1" width="81.1640625" bestFit="1" customWidth="1"/>
    <col min="2" max="2" width="14.33203125" bestFit="1" customWidth="1"/>
  </cols>
  <sheetData>
    <row r="1" spans="1:2" ht="15" x14ac:dyDescent="0.25">
      <c r="A1" s="2" t="s">
        <v>116</v>
      </c>
      <c r="B1" s="2" t="s">
        <v>117</v>
      </c>
    </row>
    <row r="2" spans="1:2" ht="30" hidden="1" x14ac:dyDescent="0.2">
      <c r="A2" s="3" t="s">
        <v>97</v>
      </c>
      <c r="B2" s="6">
        <v>1</v>
      </c>
    </row>
    <row r="3" spans="1:2" ht="30" hidden="1" x14ac:dyDescent="0.2">
      <c r="A3" s="3" t="s">
        <v>98</v>
      </c>
      <c r="B3" s="7">
        <v>0.6</v>
      </c>
    </row>
    <row r="4" spans="1:2" ht="15" hidden="1" x14ac:dyDescent="0.2">
      <c r="A4" s="3" t="s">
        <v>99</v>
      </c>
      <c r="B4" s="7">
        <v>0.6</v>
      </c>
    </row>
    <row r="5" spans="1:2" ht="30" x14ac:dyDescent="0.2">
      <c r="A5" s="3" t="s">
        <v>100</v>
      </c>
      <c r="B5" s="5">
        <v>20.88</v>
      </c>
    </row>
    <row r="6" spans="1:2" ht="15" hidden="1" x14ac:dyDescent="0.2">
      <c r="A6" s="3" t="s">
        <v>101</v>
      </c>
      <c r="B6" s="5">
        <v>0.48</v>
      </c>
    </row>
    <row r="7" spans="1:2" ht="30" x14ac:dyDescent="0.2">
      <c r="A7" s="3" t="s">
        <v>102</v>
      </c>
      <c r="B7" s="7">
        <v>2.4</v>
      </c>
    </row>
    <row r="8" spans="1:2" ht="30" x14ac:dyDescent="0.2">
      <c r="A8" s="3" t="s">
        <v>103</v>
      </c>
      <c r="B8" s="5">
        <v>1.92</v>
      </c>
    </row>
    <row r="9" spans="1:2" ht="30" hidden="1" x14ac:dyDescent="0.2">
      <c r="A9" s="3" t="s">
        <v>104</v>
      </c>
      <c r="B9" s="5">
        <v>0.18</v>
      </c>
    </row>
    <row r="10" spans="1:2" ht="30" x14ac:dyDescent="0.2">
      <c r="A10" s="3" t="s">
        <v>105</v>
      </c>
      <c r="B10" s="7">
        <v>1.2</v>
      </c>
    </row>
    <row r="11" spans="1:2" ht="30" x14ac:dyDescent="0.2">
      <c r="A11" s="3" t="s">
        <v>107</v>
      </c>
      <c r="B11" s="6">
        <v>3</v>
      </c>
    </row>
    <row r="12" spans="1:2" ht="30" hidden="1" x14ac:dyDescent="0.2">
      <c r="A12" s="3" t="s">
        <v>108</v>
      </c>
      <c r="B12" s="7">
        <v>0.7</v>
      </c>
    </row>
    <row r="13" spans="1:2" ht="30" x14ac:dyDescent="0.2">
      <c r="A13" s="3" t="s">
        <v>112</v>
      </c>
      <c r="B13" s="5">
        <v>3.36</v>
      </c>
    </row>
    <row r="14" spans="1:2" ht="15" x14ac:dyDescent="0.2">
      <c r="A14" s="3" t="s">
        <v>51</v>
      </c>
      <c r="B14" s="7">
        <v>2.1</v>
      </c>
    </row>
    <row r="15" spans="1:2" ht="30" x14ac:dyDescent="0.2">
      <c r="A15" s="3" t="s">
        <v>113</v>
      </c>
      <c r="B15" s="7">
        <v>2.4</v>
      </c>
    </row>
    <row r="16" spans="1:2" ht="30" hidden="1" x14ac:dyDescent="0.2">
      <c r="A16" s="3" t="s">
        <v>114</v>
      </c>
      <c r="B16" s="5">
        <v>0.46</v>
      </c>
    </row>
    <row r="17" spans="1:2" ht="30" hidden="1" x14ac:dyDescent="0.2">
      <c r="A17" s="3" t="s">
        <v>115</v>
      </c>
      <c r="B17" s="6">
        <v>1</v>
      </c>
    </row>
    <row r="18" spans="1:2" ht="15" x14ac:dyDescent="0.2">
      <c r="B18" s="8">
        <f>SUM(B2:B17)</f>
        <v>42.279999999999994</v>
      </c>
    </row>
  </sheetData>
  <autoFilter ref="A1:B18" xr:uid="{38108FD0-A626-4308-A981-343A5F0D3F03}">
    <filterColumn colId="1">
      <customFilters>
        <customFilter operator="greaterThan" val="1"/>
      </custom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4C02-BE6C-485F-B015-F44742E806E2}">
  <sheetPr filterMode="1"/>
  <dimension ref="A1:B39"/>
  <sheetViews>
    <sheetView workbookViewId="0">
      <selection activeCell="H45" sqref="H45"/>
    </sheetView>
  </sheetViews>
  <sheetFormatPr defaultRowHeight="11.25" x14ac:dyDescent="0.2"/>
  <cols>
    <col min="1" max="1" width="81.83203125" bestFit="1" customWidth="1"/>
    <col min="2" max="2" width="14.33203125" bestFit="1" customWidth="1"/>
  </cols>
  <sheetData>
    <row r="1" spans="1:2" ht="15" x14ac:dyDescent="0.25">
      <c r="A1" s="2" t="s">
        <v>116</v>
      </c>
      <c r="B1" s="2" t="s">
        <v>117</v>
      </c>
    </row>
    <row r="2" spans="1:2" ht="15" hidden="1" x14ac:dyDescent="0.2">
      <c r="A2" s="3" t="s">
        <v>0</v>
      </c>
      <c r="B2" s="4">
        <v>1.867</v>
      </c>
    </row>
    <row r="3" spans="1:2" ht="15" hidden="1" x14ac:dyDescent="0.2">
      <c r="A3" s="3" t="s">
        <v>1</v>
      </c>
      <c r="B3" s="5">
        <v>0.55000000000000004</v>
      </c>
    </row>
    <row r="4" spans="1:2" ht="15" x14ac:dyDescent="0.2">
      <c r="A4" s="3" t="s">
        <v>2</v>
      </c>
      <c r="B4" s="5">
        <v>4.17</v>
      </c>
    </row>
    <row r="5" spans="1:2" ht="15" x14ac:dyDescent="0.2">
      <c r="A5" s="3" t="s">
        <v>3</v>
      </c>
      <c r="B5" s="6">
        <v>10</v>
      </c>
    </row>
    <row r="6" spans="1:2" ht="15" x14ac:dyDescent="0.2">
      <c r="A6" s="3" t="s">
        <v>4</v>
      </c>
      <c r="B6" s="7">
        <v>9.6</v>
      </c>
    </row>
    <row r="7" spans="1:2" ht="15" hidden="1" x14ac:dyDescent="0.2">
      <c r="A7" s="3" t="s">
        <v>5</v>
      </c>
      <c r="B7" s="7">
        <v>0.8</v>
      </c>
    </row>
    <row r="8" spans="1:2" ht="15" x14ac:dyDescent="0.2">
      <c r="A8" s="3" t="s">
        <v>6</v>
      </c>
      <c r="B8" s="7">
        <v>10.4</v>
      </c>
    </row>
    <row r="9" spans="1:2" ht="30" x14ac:dyDescent="0.2">
      <c r="A9" s="3" t="s">
        <v>7</v>
      </c>
      <c r="B9" s="5">
        <v>5.14</v>
      </c>
    </row>
    <row r="10" spans="1:2" ht="30" hidden="1" x14ac:dyDescent="0.2">
      <c r="A10" s="3" t="s">
        <v>8</v>
      </c>
      <c r="B10" s="7">
        <v>1.6</v>
      </c>
    </row>
    <row r="11" spans="1:2" ht="30" x14ac:dyDescent="0.2">
      <c r="A11" s="3" t="s">
        <v>9</v>
      </c>
      <c r="B11" s="7">
        <v>6.6</v>
      </c>
    </row>
    <row r="12" spans="1:2" ht="15" hidden="1" x14ac:dyDescent="0.2">
      <c r="A12" s="3" t="s">
        <v>10</v>
      </c>
      <c r="B12" s="7">
        <v>1.3</v>
      </c>
    </row>
    <row r="13" spans="1:2" ht="30" hidden="1" x14ac:dyDescent="0.2">
      <c r="A13" s="3" t="s">
        <v>11</v>
      </c>
      <c r="B13" s="7">
        <v>1.3</v>
      </c>
    </row>
    <row r="14" spans="1:2" ht="30" hidden="1" x14ac:dyDescent="0.2">
      <c r="A14" s="3" t="s">
        <v>12</v>
      </c>
      <c r="B14" s="5">
        <v>1.35</v>
      </c>
    </row>
    <row r="15" spans="1:2" ht="30" hidden="1" x14ac:dyDescent="0.2">
      <c r="A15" s="3" t="s">
        <v>13</v>
      </c>
      <c r="B15" s="5">
        <v>0.85</v>
      </c>
    </row>
    <row r="16" spans="1:2" ht="30" hidden="1" x14ac:dyDescent="0.2">
      <c r="A16" s="3" t="s">
        <v>14</v>
      </c>
      <c r="B16" s="4">
        <v>1.8520000000000001</v>
      </c>
    </row>
    <row r="17" spans="1:2" ht="30" hidden="1" x14ac:dyDescent="0.2">
      <c r="A17" s="3" t="s">
        <v>15</v>
      </c>
      <c r="B17" s="7">
        <v>0.7</v>
      </c>
    </row>
    <row r="18" spans="1:2" ht="15" hidden="1" x14ac:dyDescent="0.2">
      <c r="A18" s="3" t="s">
        <v>16</v>
      </c>
      <c r="B18" s="7">
        <v>0.8</v>
      </c>
    </row>
    <row r="19" spans="1:2" ht="15" hidden="1" x14ac:dyDescent="0.2">
      <c r="A19" s="3" t="s">
        <v>17</v>
      </c>
      <c r="B19" s="7">
        <v>1.3</v>
      </c>
    </row>
    <row r="20" spans="1:2" ht="15" x14ac:dyDescent="0.2">
      <c r="A20" s="3" t="s">
        <v>18</v>
      </c>
      <c r="B20" s="7">
        <v>2.6</v>
      </c>
    </row>
    <row r="21" spans="1:2" ht="15" hidden="1" x14ac:dyDescent="0.2">
      <c r="A21" s="3" t="s">
        <v>19</v>
      </c>
      <c r="B21" s="7">
        <v>1.6</v>
      </c>
    </row>
    <row r="22" spans="1:2" ht="30" x14ac:dyDescent="0.2">
      <c r="A22" s="3" t="s">
        <v>20</v>
      </c>
      <c r="B22" s="7">
        <v>2.6</v>
      </c>
    </row>
    <row r="23" spans="1:2" ht="15" x14ac:dyDescent="0.2">
      <c r="A23" s="3" t="s">
        <v>21</v>
      </c>
      <c r="B23" s="5">
        <v>2.71</v>
      </c>
    </row>
    <row r="24" spans="1:2" ht="30" hidden="1" x14ac:dyDescent="0.2">
      <c r="A24" s="3" t="s">
        <v>22</v>
      </c>
      <c r="B24" s="4">
        <v>0.68100000000000005</v>
      </c>
    </row>
    <row r="25" spans="1:2" ht="30" hidden="1" x14ac:dyDescent="0.2">
      <c r="A25" s="3" t="s">
        <v>23</v>
      </c>
      <c r="B25" s="4">
        <v>0.16800000000000001</v>
      </c>
    </row>
    <row r="26" spans="1:2" ht="30" hidden="1" x14ac:dyDescent="0.2">
      <c r="A26" s="3" t="s">
        <v>24</v>
      </c>
      <c r="B26" s="4">
        <v>0.17199999999999999</v>
      </c>
    </row>
    <row r="27" spans="1:2" ht="15" hidden="1" x14ac:dyDescent="0.2">
      <c r="A27" s="3" t="s">
        <v>25</v>
      </c>
      <c r="B27" s="7">
        <v>1.8</v>
      </c>
    </row>
    <row r="28" spans="1:2" ht="15" hidden="1" x14ac:dyDescent="0.2">
      <c r="A28" s="3" t="s">
        <v>26</v>
      </c>
      <c r="B28" s="7">
        <v>1.8</v>
      </c>
    </row>
    <row r="29" spans="1:2" ht="30" hidden="1" x14ac:dyDescent="0.2">
      <c r="A29" s="3" t="s">
        <v>27</v>
      </c>
      <c r="B29" s="7">
        <v>1.8</v>
      </c>
    </row>
    <row r="30" spans="1:2" ht="15" x14ac:dyDescent="0.2">
      <c r="A30" s="3" t="s">
        <v>28</v>
      </c>
      <c r="B30" s="7">
        <v>5.7</v>
      </c>
    </row>
    <row r="31" spans="1:2" ht="30" hidden="1" x14ac:dyDescent="0.2">
      <c r="A31" s="3" t="s">
        <v>29</v>
      </c>
      <c r="B31" s="4">
        <v>0.499</v>
      </c>
    </row>
    <row r="32" spans="1:2" ht="30" x14ac:dyDescent="0.2">
      <c r="A32" s="3" t="s">
        <v>30</v>
      </c>
      <c r="B32" s="4">
        <v>4.2190000000000003</v>
      </c>
    </row>
    <row r="33" spans="1:2" ht="30" x14ac:dyDescent="0.2">
      <c r="A33" s="3" t="s">
        <v>31</v>
      </c>
      <c r="B33" s="4">
        <v>3.7509999999999999</v>
      </c>
    </row>
    <row r="34" spans="1:2" ht="30" x14ac:dyDescent="0.2">
      <c r="A34" s="3" t="s">
        <v>32</v>
      </c>
      <c r="B34" s="4">
        <v>7.2309999999999999</v>
      </c>
    </row>
    <row r="35" spans="1:2" ht="30" hidden="1" x14ac:dyDescent="0.2">
      <c r="A35" s="3" t="s">
        <v>33</v>
      </c>
      <c r="B35" s="4">
        <v>0.32800000000000001</v>
      </c>
    </row>
    <row r="36" spans="1:2" ht="15" hidden="1" x14ac:dyDescent="0.2">
      <c r="A36" s="3" t="s">
        <v>34</v>
      </c>
      <c r="B36" s="7">
        <v>0.7</v>
      </c>
    </row>
    <row r="37" spans="1:2" ht="30" x14ac:dyDescent="0.2">
      <c r="A37" s="3" t="s">
        <v>35</v>
      </c>
      <c r="B37" s="5">
        <v>3.36</v>
      </c>
    </row>
    <row r="38" spans="1:2" ht="30" x14ac:dyDescent="0.2">
      <c r="A38" s="3" t="s">
        <v>36</v>
      </c>
      <c r="B38" s="5">
        <v>3.01</v>
      </c>
    </row>
    <row r="39" spans="1:2" ht="15" x14ac:dyDescent="0.2">
      <c r="B39" s="8">
        <f>SUM(B2:B38)</f>
        <v>104.90799999999997</v>
      </c>
    </row>
  </sheetData>
  <autoFilter ref="A1:B39" xr:uid="{6C2EE0B7-27FC-41E0-9835-A8F20B381568}">
    <filterColumn colId="1">
      <customFilters>
        <customFilter operator="greaterThan" val="2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Останкино</vt:lpstr>
      <vt:lpstr>заморозка</vt:lpstr>
      <vt:lpstr>ПОКОМ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</dc:creator>
  <cp:lastModifiedBy>Uaer4</cp:lastModifiedBy>
  <dcterms:created xsi:type="dcterms:W3CDTF">2026-10-29T10:31:55Z</dcterms:created>
  <dcterms:modified xsi:type="dcterms:W3CDTF">2026-10-29T13:49:31Z</dcterms:modified>
</cp:coreProperties>
</file>