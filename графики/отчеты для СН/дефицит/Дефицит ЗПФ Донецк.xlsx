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D:\Father\Work\2025_05\графики\отчеты для СН\дефицит\"/>
    </mc:Choice>
  </mc:AlternateContent>
  <xr:revisionPtr revIDLastSave="0" documentId="13_ncr:1_{A834442C-567C-4907-A239-4FFCF441D37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TDSheet" sheetId="1" r:id="rId1"/>
    <sheet name="дефицит" sheetId="2" r:id="rId2"/>
  </sheets>
  <externalReferences>
    <externalReference r:id="rId3"/>
    <externalReference r:id="rId4"/>
  </externalReferences>
  <definedNames>
    <definedName name="_xlnm._FilterDatabase" localSheetId="0" hidden="1">TDSheet!$A$8:$J$93</definedName>
  </definedNames>
  <calcPr calcId="191029" refMode="R1C1"/>
</workbook>
</file>

<file path=xl/calcChain.xml><?xml version="1.0" encoding="utf-8"?>
<calcChain xmlns="http://schemas.openxmlformats.org/spreadsheetml/2006/main">
  <c r="D4" i="2" l="1"/>
  <c r="D6" i="2"/>
  <c r="D2" i="2"/>
  <c r="C9" i="2"/>
  <c r="B10" i="2" l="1"/>
  <c r="J15" i="1"/>
  <c r="J18" i="1"/>
  <c r="J28" i="1"/>
  <c r="J38" i="1"/>
  <c r="J46" i="1"/>
  <c r="J54" i="1"/>
  <c r="J81" i="1"/>
  <c r="J84" i="1"/>
  <c r="G93" i="1"/>
  <c r="J93" i="1"/>
</calcChain>
</file>

<file path=xl/sharedStrings.xml><?xml version="1.0" encoding="utf-8"?>
<sst xmlns="http://schemas.openxmlformats.org/spreadsheetml/2006/main" count="120" uniqueCount="116">
  <si>
    <t>Ведомость по товарам на складах</t>
  </si>
  <si>
    <t>Параметры:</t>
  </si>
  <si>
    <t>Период: 28.10.2026 - 28.10.2026</t>
  </si>
  <si>
    <t>Количество товаров: В единицах хранения</t>
  </si>
  <si>
    <t>Отбор:</t>
  </si>
  <si>
    <t>Склад Равно "АСП Донецк Заморозка" И
Номенклатура В группе из списка "Авида; АО "КОНТИ-РУС"; Апрель ООО (Яшкино) ; Артеменко Т.С. ИП (Макаро...; Атяшево МК (11000); Байсад ЗАО; Белокаменка-Фиш ООО; Бизнес логистика ТК ООО; Бондюэль-кубань ООО; Варвикс МК;..."</t>
  </si>
  <si>
    <t>Склад</t>
  </si>
  <si>
    <t>Количество</t>
  </si>
  <si>
    <t>Конечный остаток на 29.10.26</t>
  </si>
  <si>
    <t>Дефицит</t>
  </si>
  <si>
    <t>Номенклатура, Артикул</t>
  </si>
  <si>
    <t>Нач.остаток на кг/шт 28.10.26</t>
  </si>
  <si>
    <t>Заказано кг на 29.10.26</t>
  </si>
  <si>
    <t>Расход кг на 29.10.26</t>
  </si>
  <si>
    <t>АСП Донецк Заморозка</t>
  </si>
  <si>
    <t xml:space="preserve">ПОКОМ Логистический Партнер , </t>
  </si>
  <si>
    <t xml:space="preserve">Заморозка Зареченские Логистический партнер (кг), </t>
  </si>
  <si>
    <t>Мини-сосиски в ароматном тесте ВЕС ТМ Зареченские продукты  ПОКОМ, SU004361</t>
  </si>
  <si>
    <t>Мини-шарики с курочкой и сыром ТМ Зареченские ВЕС ПОКОМ, SU003448</t>
  </si>
  <si>
    <t>Наггетсы Хрустящие ТМ Зареченские ТС Зареченские продукты. Поком, SU003020</t>
  </si>
  <si>
    <t>Пирожки с мясом 3,7кг ВЕС ТМ Зареченские  ПОКОМ, SU003439</t>
  </si>
  <si>
    <t>Чебуреки Мясные вес 2,7 кг ТМ Зареченские ТС Зареченские продукты   Поком, SU003012</t>
  </si>
  <si>
    <t>Чебуреки сочные ТМ Зареченские ТС Зареченские продукты.  Поком, SU002045</t>
  </si>
  <si>
    <t xml:space="preserve">ПОКОМ Логистический Партнер Заморозка, </t>
  </si>
  <si>
    <t>БОНУС_Готовые чебупели сочные с мясом ТМ Горячая штучка флоу-пак 0,24 кг  ПОКОМ, Б_SU003884</t>
  </si>
  <si>
    <t>БОНУС_Наггетсы Нагетосы Сочная курочка ТМ Горячая штучка 0,25 кг зам  ПОКОМ, Б_SU003598</t>
  </si>
  <si>
    <t>Вареники Медвежье ушко Премиум с картофелем и лесными грибами клас. форма флоу-пак 0,6 кг  ПОКОМ, SU004310</t>
  </si>
  <si>
    <t>Готовая чебупицца курочка по-итальянски 0,25кг ТМ Горячая штучка  ПОКОМ, SU004231</t>
  </si>
  <si>
    <t>Готовые бельмеши сочные с мясом ТМ Горячая штучка 0,3кг зам  ПОКОМ, SU002560</t>
  </si>
  <si>
    <t>Готовые круггетсы сочные ТМ Горячая штучка флоу пак 0,2кг  ПОКОМ, SU004219</t>
  </si>
  <si>
    <t>Готовые пекерсы с индейкой в сливочном соусе ТМ Горячая штучка флоу-пак 0,25кг  ПОКОМ, SU004223</t>
  </si>
  <si>
    <t>Готовые хотстеры с сыром ТМ Горячая штучка ТС Хотстеры флоу-пак 0,25 кг.  ПОКОМ, SU004230</t>
  </si>
  <si>
    <t>Готовые хотстеры ТМ Горячая штучка ТС Хотстеры флоу-пак 0,25 кг.  ПОКОМ, SU004226</t>
  </si>
  <si>
    <t>Готовые чебуманы с говядиной ТМ горячая штучка 0,28 кг.  Поком, SU002668</t>
  </si>
  <si>
    <t>Готовые чебупели острые с мясом ТМ Горячая штучка флоу-пак 0,24 кг  Поком, SU003887</t>
  </si>
  <si>
    <t>Готовые чебупели с ветчиной и сыром 0,24 кг НОВАЯ ТМ Горячая штучка  ПОКОМ, SU004207</t>
  </si>
  <si>
    <t>Готовые чебупели с ветчиной и сыром ТМ Горячая штучка флоу-пак 0,24 кг.  ПОКОМ, SU003889</t>
  </si>
  <si>
    <t>Готовые чебупели с мясом ТМ Горячая штучка 0,24 кг  ПОКОМ, SU004257</t>
  </si>
  <si>
    <t>Готовые чебупели сочные с мясом 0,24 кг НОВАЯ ТМ Горячая штучка флоу-пак  ПОКОМ, SU004210</t>
  </si>
  <si>
    <t>Готовые чебупели сочные с мясом 0,48 кг НОВАЯ ТМ Горячая штучка флоу-пак МЕГАпачка  ПОКОМ, SU004258</t>
  </si>
  <si>
    <t>Готовые чебупели сочные с мясом ТМ Горячая штучка флоу-пак 0,24 кг  ПОКОМ, SU003884</t>
  </si>
  <si>
    <t>Готовые чебуреки с мясом ТМ Горячая штучка 0,09 кг флоу-пак ПОКОМ, SU002573</t>
  </si>
  <si>
    <t>Готовые чебуреки со свининой и говядиной ТМ Горячая штучка ТС Базовый ассортимент 0,36 кг  ПОКОМ, SU002558</t>
  </si>
  <si>
    <t>Жареные вареники с картофелем и беконом ТМ Стародворье 0,2 кг  ПОКОМ, SU004012</t>
  </si>
  <si>
    <t>Круггетсы с сырным соусом ТМ Горячая штучка ТС Круггетсы флоу-пак 0,2 кг  ПОКОМ, SU003872</t>
  </si>
  <si>
    <t>Круггетсы сочные ТМ Горячая штучка ТС Круггетсы флоу-пак  0,2 кг.  ПОКОМ, SU003870</t>
  </si>
  <si>
    <t>Мини-чебуреки с мясом ТМ Зареченские ТС Зареченские продукты ПОКОМ, SU003434</t>
  </si>
  <si>
    <t>Наггетсы из печи 0,25кг ТМ Вязанка замор.  ПОКОМ, SU002514</t>
  </si>
  <si>
    <t>Наггетсы Нагетосы Сочная курочка со сметаной и зеленью ТМ Горячая штучка флоу-пак 0,25 кг  Поком, SU003600</t>
  </si>
  <si>
    <t>Наггетсы Нагетосы Сочная курочка ТМ Горячая штучка 0,25 кг зам  ПОКОМ, SU002763</t>
  </si>
  <si>
    <t>Наггетсы с индейкой 0,25кг ТМ Вязанка ТС Из печи Сливушки ПОКОМ, SU003800</t>
  </si>
  <si>
    <t>Наггетсы с куриным филе и сыром ТМ Вязанка ТС Из печи Сливушки 0,25 кг.  Поком, SU003001</t>
  </si>
  <si>
    <t>Наггетсы Сливушки в темпуре ТМ Вязанка флоу-пак 0,23 кг  ПОКОМ, SU004023</t>
  </si>
  <si>
    <t>Наггетсы Хрустящие НД2. ВЕС.  ПОКОМ, SU002644</t>
  </si>
  <si>
    <t>Наггетсы Хрустящие ТМ Стародворье с сочной курочкой 0,23 кг  ПОКОМ, SU003930</t>
  </si>
  <si>
    <t>Пекерсы с индейкой в сливочном соусе ТМ Горячая штучка 0,25 кг зам  ПОКОМ, SU002669</t>
  </si>
  <si>
    <t>Пельмени Grandmeni с говядиной и свининой ТМ Горячаяштучка флоу-па классическая форма 0,7 кг.  Поком, SU003828</t>
  </si>
  <si>
    <t>Пельмени Grandmeni с говядиной ТМ Горячаяштучка флоу-пак сфера 0,7 кг.  Поком, SU003826</t>
  </si>
  <si>
    <t>Пельмени Grandmeni со сливочным маслом  ТМ Горячая штучка флоу-пак сфера 0,7 кг.  Поком</t>
  </si>
  <si>
    <t>Пельмени Бигбули #МЕГАВКУСИЩЕ с сочной грудинкой  ТМ Горячая штучка  флоу-пак сфера 0,7 кг.  Поком, SU003532</t>
  </si>
  <si>
    <t>Пельмени Бигбули с мясом ТМ Горячая штучка БУЛЬМЕНИ ТС Бигбули ГШ  флоу-пак сфера 0,7.   Поком, SU003529</t>
  </si>
  <si>
    <t>Пельмени Бигбули с мясом ТМ Горячая штучка. флоу-пак сфера 0,4 кг. ПОКОМ, SU003530</t>
  </si>
  <si>
    <t>Пельмени Бигбули со сливочным маслом  ТС Бигбули ГШ#МЕГАМАСЛИЩЕ флоу-пак сфера 0,7.  Поком, SU003385</t>
  </si>
  <si>
    <t>Пельмени Бульмени мини с мясом и оливковым маслом  ТС Бульмени ГШ флоу-пак сфера 0,7кг  Поком , SU003717</t>
  </si>
  <si>
    <t>Пельмени Бульмени с говядиной и свининой Наваристые Горячая штучка ВЕС  ПОКОМ, SU002595</t>
  </si>
  <si>
    <t>Пельмени Бульмени с говядиной и свининой ТМ Горячая штучка  флоу-пак сфера 0,4 кг  Поком, SU003527</t>
  </si>
  <si>
    <t>Пельмени Бульмени с говядиной и свининой ТМ Горячая штучка БУЛЬМЕНИ  флоу-пак сфера 0,7 кг.  Поком, SU003460</t>
  </si>
  <si>
    <t>Пельмени Бульмени со сливочным маслом ТМ Горячая штучка  флоу-пак сфера 0,4 кг .  Поком, SU003528</t>
  </si>
  <si>
    <t>Пельмени Бульмени со сливочным маслом ТМ Горячая штучка флоу-пак сфера 0,7 кг .  Поком, SU003459</t>
  </si>
  <si>
    <t>Пельмени Медвежье ушко Премиум Мясные ТМ Медвежье ушко классическая форма флоу-пак 0,8 кг. ПОКОМ, SU004022</t>
  </si>
  <si>
    <t>Пельмени Медвежье ушко Премиум со сливочным маслом 0,4 кг ТМ Медвежье ушко  ПОКОМ, SU004163</t>
  </si>
  <si>
    <t>Пельмени Медвежье ушко Премиум со сливочным маслом 0,8 кг ТМ Медвежье ушко  ПОКОМ, SU004162</t>
  </si>
  <si>
    <t>Пельмени Мясные с говядиной ТМ Стародворье сфера флоу-пак 1 кг  ПОКОМ, SU003935</t>
  </si>
  <si>
    <t>Пельмени Отборные из свинины и говядины 0,9 кг ТМ Стародворье ТС Медвежье ушко  ПОКОМ, SU002066</t>
  </si>
  <si>
    <t>Пельмени С говядиной и свининой, ВЕС, ТМ Славница сфера пуговки  ПОКОМ, SU000197</t>
  </si>
  <si>
    <t>Пельмени Со свининой и говядиной ТС Любимая ложка сфера флоу-пак 1 кг  ПОКОМ, SU004038</t>
  </si>
  <si>
    <t>Пирожки с мясом НД  ВЕС  ПОКОМ, SU003438</t>
  </si>
  <si>
    <t>ХБИ Готовые бельмеши сочные с мясом НД1 ТМ Горячая штучка 0,3кг зам  ПОКОМ, SU004205</t>
  </si>
  <si>
    <t>ХБИ Готовые чебуманы с говядиной 0,28кг ТМ Горячая штучка  ПОКОМ, SU004206</t>
  </si>
  <si>
    <t>ХБИ Готовые чебупели с курицей ТМ Горячая штучка (курочка гриль) флоу-пак 0,3 кг  ПОКОМ, SU004263</t>
  </si>
  <si>
    <t>ХБИ Мини-шарики с курочкой и сыром ТМ Зареченские продукты ВЕС  ПОКОМ, SU004375</t>
  </si>
  <si>
    <t>ХБИ Снеки «Готовые круггетсы с сырным соусом» Фикс.вес 0,2 ТМ «Горячая штучка» ПОКОМ, SU004216</t>
  </si>
  <si>
    <t>ХБИ Чебупицца Пепперони ТМ Горячая штучка ТС Чебупицца 0.25кг зам  ПОКОМ, SU004234</t>
  </si>
  <si>
    <t>Хотстеры Васаби-чили ТМ Горячая штучка ТС Хотстеры 0,23кг жареные ПОКОМ, SU004034</t>
  </si>
  <si>
    <t>Хотстеры с сыром ТМ Горячая штучка ТС Хотстеры 0,25кг.  Поком, SU003384</t>
  </si>
  <si>
    <t>Хотстеры ТМ Горячая штучка ТС Хотстеры 0,25 кг зам  ПОКОМ, SU002565</t>
  </si>
  <si>
    <t>Хрустипай апельсин имбирь ТМ Горячая штучка 0,18 кг  ПОКОМ, SU004071</t>
  </si>
  <si>
    <t>Хрустипай манго маракуйя ТМ Горячая штучка 0,18 кг  ПОКОМ, SU004069</t>
  </si>
  <si>
    <t>Хрустипай манго чили ТМ Горячая штучка 0,18кг с начинкой ПОКОМ, SU004070</t>
  </si>
  <si>
    <t>Хрустящие крылышки острые к пиву ТМ Горячая штучка 0,3кг зам  ПОКОМ, SU002564</t>
  </si>
  <si>
    <t>Хрустящие крылышки ТМ Горячая штучка 0,3 кг зам  ПОКОМ, SU002563</t>
  </si>
  <si>
    <t>Чебупели со вкусом Фо бо ТМ Горячая штучка 0,22 кг  ПОКОМ, SU004097</t>
  </si>
  <si>
    <t>Чебупицца курочка по-итальянски Горячая штучка 0,25 кг зам  ПОКОМ, SU002562</t>
  </si>
  <si>
    <t>Чебупицца Пепперони ТМ Горячая штучка ТС Чебупицца 0.25кг зам  ПОКОМ, SU002561</t>
  </si>
  <si>
    <t>Чебупицца со вкусом 4 сыра 0,2кг ТМ Горячая штучка ТС Foodgital  ПОКОМ, SU003676</t>
  </si>
  <si>
    <t>Чебупицца со вкусом Том ям ТМ Горячая штучка ТС Чебупицца 0,23кг жареные ПОКОМ, SU004032</t>
  </si>
  <si>
    <t>Чебупицца со вкусом Утка по-пекински ТМ Горячая штучка ТС Чебупицца 0,23 кг.  ПОКОМ, SU004031</t>
  </si>
  <si>
    <t>Итого</t>
  </si>
  <si>
    <t>Наггетсы Хрустящие ТМ Зареченские ТС Зареченские продукты. Поком</t>
  </si>
  <si>
    <t>Чебуреки сочные ТМ Зареченские ТС Зареченские продукты.  Поком</t>
  </si>
  <si>
    <t>Готовые хотстеры ТМ Горячая штучка ТС Хотстеры флоу-пак 0,25 кг.  ПОКОМ</t>
  </si>
  <si>
    <t>Готовые чебуреки со свининой и говядиной ТМ Горячая штучка ТС Базовый ассортимент 0,36 кг  ПОКОМ</t>
  </si>
  <si>
    <t>Наггетсы с индейкой 0,25кг ТМ Вязанка ТС Из печи Сливушки ПОКОМ</t>
  </si>
  <si>
    <t>Хотстеры ТМ Горячая штучка ТС Хотстеры 0,25 кг зам  ПОКОМ</t>
  </si>
  <si>
    <t>Хрустипай манго чили ТМ Горячая штучка 0,18кг с начинкой ПОКОМ</t>
  </si>
  <si>
    <t>матрица</t>
  </si>
  <si>
    <t>остаток, кг</t>
  </si>
  <si>
    <t>завод вывел из производства</t>
  </si>
  <si>
    <t>завод ратировал</t>
  </si>
  <si>
    <t>Наггетсы Хрустящие НД2. ВЕС.  ПОКОМ - 1785кг</t>
  </si>
  <si>
    <t>рост продаж в 1,9 раза</t>
  </si>
  <si>
    <t>нет в бланке завода</t>
  </si>
  <si>
    <t>дубль</t>
  </si>
  <si>
    <t>Хотстеры ТМ Горячая штучка ТС Хотстеры 0,25 кг зам  ПОКОМ (см. ниже)</t>
  </si>
  <si>
    <t>Номенклатура</t>
  </si>
  <si>
    <t>дефицит,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</si>
</sst>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;[Red]\-#,##0.000"/>
    <numFmt numFmtId="165" formatCode="0.000;[Red]\-0.000"/>
    <numFmt numFmtId="166" formatCode="0.000"/>
    <numFmt numFmtId="167" formatCode="0.0"/>
  </numFmts>
  <fonts count="6" x14ac:knownFonts="1">
    <font>
      <sz val="8"/>
      <name val="Arial"/>
      <family val="2"/>
      <charset val="204"/>
    </font>
    <font>
      <b/>
      <sz val="18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8"/>
      <name val="Arial"/>
      <family val="2"/>
      <charset val="204"/>
    </font>
    <font>
      <b/>
      <sz val="8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indexed="2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24"/>
      </left>
      <right/>
      <top style="thin">
        <color indexed="24"/>
      </top>
      <bottom/>
      <diagonal/>
    </border>
    <border>
      <left style="thin">
        <color indexed="24"/>
      </left>
      <right/>
      <top/>
      <bottom style="thin">
        <color indexed="24"/>
      </bottom>
      <diagonal/>
    </border>
    <border>
      <left style="thin">
        <color indexed="24"/>
      </left>
      <right/>
      <top/>
      <bottom/>
      <diagonal/>
    </border>
    <border>
      <left style="thin">
        <color indexed="24"/>
      </left>
      <right/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/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/>
      <top style="thin">
        <color indexed="24"/>
      </top>
      <bottom style="thin">
        <color indexed="24"/>
      </bottom>
      <diagonal/>
    </border>
    <border>
      <left/>
      <right style="thin">
        <color indexed="60"/>
      </right>
      <top style="thin">
        <color indexed="24"/>
      </top>
      <bottom style="thin">
        <color indexed="2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left" vertical="top" wrapText="1"/>
    </xf>
    <xf numFmtId="164" fontId="4" fillId="2" borderId="1" xfId="0" applyNumberFormat="1" applyFont="1" applyFill="1" applyBorder="1" applyAlignment="1">
      <alignment horizontal="right" vertical="top"/>
    </xf>
    <xf numFmtId="164" fontId="4" fillId="2" borderId="5" xfId="0" applyNumberFormat="1" applyFont="1" applyFill="1" applyBorder="1" applyAlignment="1">
      <alignment horizontal="right" vertical="top"/>
    </xf>
    <xf numFmtId="0" fontId="0" fillId="0" borderId="6" xfId="0" applyBorder="1"/>
    <xf numFmtId="164" fontId="4" fillId="3" borderId="1" xfId="0" applyNumberFormat="1" applyFont="1" applyFill="1" applyBorder="1" applyAlignment="1">
      <alignment horizontal="right" vertical="top"/>
    </xf>
    <xf numFmtId="164" fontId="4" fillId="3" borderId="5" xfId="0" applyNumberFormat="1" applyFont="1" applyFill="1" applyBorder="1" applyAlignment="1">
      <alignment horizontal="right" vertical="top"/>
    </xf>
    <xf numFmtId="165" fontId="4" fillId="3" borderId="1" xfId="0" applyNumberFormat="1" applyFont="1" applyFill="1" applyBorder="1" applyAlignment="1">
      <alignment horizontal="right" vertical="top"/>
    </xf>
    <xf numFmtId="165" fontId="4" fillId="3" borderId="5" xfId="0" applyNumberFormat="1" applyFont="1" applyFill="1" applyBorder="1" applyAlignment="1">
      <alignment horizontal="right" vertical="top"/>
    </xf>
    <xf numFmtId="165" fontId="5" fillId="0" borderId="1" xfId="0" applyNumberFormat="1" applyFont="1" applyBorder="1" applyAlignment="1">
      <alignment horizontal="right" vertical="top"/>
    </xf>
    <xf numFmtId="166" fontId="5" fillId="0" borderId="7" xfId="0" applyNumberFormat="1" applyFont="1" applyBorder="1" applyAlignment="1">
      <alignment horizontal="right" vertical="top"/>
    </xf>
    <xf numFmtId="165" fontId="5" fillId="0" borderId="5" xfId="0" applyNumberFormat="1" applyFont="1" applyBorder="1" applyAlignment="1">
      <alignment horizontal="right" vertical="top"/>
    </xf>
    <xf numFmtId="0" fontId="5" fillId="0" borderId="6" xfId="0" applyFont="1" applyBorder="1"/>
    <xf numFmtId="166" fontId="5" fillId="5" borderId="7" xfId="0" applyNumberFormat="1" applyFont="1" applyFill="1" applyBorder="1" applyAlignment="1">
      <alignment horizontal="right" vertical="top"/>
    </xf>
    <xf numFmtId="0" fontId="5" fillId="5" borderId="1" xfId="0" applyFont="1" applyFill="1" applyBorder="1" applyAlignment="1">
      <alignment horizontal="right" vertical="top"/>
    </xf>
    <xf numFmtId="0" fontId="5" fillId="0" borderId="5" xfId="0" applyFont="1" applyBorder="1" applyAlignment="1">
      <alignment horizontal="right" vertical="top"/>
    </xf>
    <xf numFmtId="166" fontId="5" fillId="5" borderId="6" xfId="0" applyNumberFormat="1" applyFont="1" applyFill="1" applyBorder="1"/>
    <xf numFmtId="165" fontId="5" fillId="5" borderId="1" xfId="0" applyNumberFormat="1" applyFont="1" applyFill="1" applyBorder="1" applyAlignment="1">
      <alignment horizontal="right" vertical="top"/>
    </xf>
    <xf numFmtId="164" fontId="5" fillId="3" borderId="1" xfId="0" applyNumberFormat="1" applyFont="1" applyFill="1" applyBorder="1" applyAlignment="1">
      <alignment horizontal="right" vertical="top"/>
    </xf>
    <xf numFmtId="166" fontId="5" fillId="3" borderId="1" xfId="0" applyNumberFormat="1" applyFont="1" applyFill="1" applyBorder="1" applyAlignment="1">
      <alignment horizontal="right" vertical="top"/>
    </xf>
    <xf numFmtId="164" fontId="5" fillId="3" borderId="5" xfId="0" applyNumberFormat="1" applyFont="1" applyFill="1" applyBorder="1" applyAlignment="1">
      <alignment horizontal="right" vertical="top"/>
    </xf>
    <xf numFmtId="166" fontId="5" fillId="6" borderId="6" xfId="0" applyNumberFormat="1" applyFont="1" applyFill="1" applyBorder="1"/>
    <xf numFmtId="0" fontId="5" fillId="0" borderId="8" xfId="0" applyFont="1" applyBorder="1" applyAlignment="1">
      <alignment horizontal="right" vertical="top"/>
    </xf>
    <xf numFmtId="164" fontId="5" fillId="0" borderId="5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right" vertical="top"/>
    </xf>
    <xf numFmtId="164" fontId="3" fillId="4" borderId="1" xfId="0" applyNumberFormat="1" applyFont="1" applyFill="1" applyBorder="1" applyAlignment="1">
      <alignment horizontal="right" vertical="top"/>
    </xf>
    <xf numFmtId="0" fontId="5" fillId="5" borderId="6" xfId="0" applyFont="1" applyFill="1" applyBorder="1"/>
    <xf numFmtId="164" fontId="3" fillId="4" borderId="5" xfId="0" applyNumberFormat="1" applyFont="1" applyFill="1" applyBorder="1" applyAlignment="1">
      <alignment horizontal="right" vertical="top"/>
    </xf>
    <xf numFmtId="167" fontId="0" fillId="0" borderId="0" xfId="0" applyNumberFormat="1"/>
    <xf numFmtId="167" fontId="0" fillId="0" borderId="6" xfId="0" applyNumberFormat="1" applyBorder="1"/>
    <xf numFmtId="0" fontId="0" fillId="7" borderId="6" xfId="0" applyFill="1" applyBorder="1"/>
    <xf numFmtId="0" fontId="4" fillId="3" borderId="1" xfId="0" applyFont="1" applyFill="1" applyBorder="1" applyAlignment="1">
      <alignment vertical="top" wrapText="1" indent="2"/>
    </xf>
    <xf numFmtId="164" fontId="4" fillId="3" borderId="1" xfId="0" applyNumberFormat="1" applyFont="1" applyFill="1" applyBorder="1" applyAlignment="1">
      <alignment horizontal="right" vertical="top"/>
    </xf>
    <xf numFmtId="0" fontId="4" fillId="3" borderId="1" xfId="0" applyFont="1" applyFill="1" applyBorder="1" applyAlignment="1">
      <alignment vertical="top" wrapText="1" indent="4"/>
    </xf>
    <xf numFmtId="165" fontId="4" fillId="3" borderId="1" xfId="0" applyNumberFormat="1" applyFont="1" applyFill="1" applyBorder="1" applyAlignment="1">
      <alignment horizontal="right" vertical="top"/>
    </xf>
    <xf numFmtId="0" fontId="5" fillId="0" borderId="1" xfId="0" applyFont="1" applyBorder="1" applyAlignment="1">
      <alignment vertical="top" wrapText="1" indent="6"/>
    </xf>
    <xf numFmtId="165" fontId="5" fillId="0" borderId="1" xfId="0" applyNumberFormat="1" applyFont="1" applyBorder="1" applyAlignment="1">
      <alignment horizontal="right" vertical="top"/>
    </xf>
    <xf numFmtId="0" fontId="2" fillId="0" borderId="0" xfId="0" applyFont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164" fontId="4" fillId="2" borderId="1" xfId="0" applyNumberFormat="1" applyFont="1" applyFill="1" applyBorder="1" applyAlignment="1">
      <alignment horizontal="right" vertical="top"/>
    </xf>
    <xf numFmtId="0" fontId="5" fillId="3" borderId="1" xfId="0" applyFont="1" applyFill="1" applyBorder="1" applyAlignment="1">
      <alignment vertical="top" wrapText="1" indent="4"/>
    </xf>
    <xf numFmtId="164" fontId="5" fillId="3" borderId="1" xfId="0" applyNumberFormat="1" applyFont="1" applyFill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5" fillId="0" borderId="5" xfId="0" applyFont="1" applyBorder="1" applyAlignment="1">
      <alignment horizontal="center" vertical="top" wrapText="1"/>
    </xf>
    <xf numFmtId="0" fontId="5" fillId="0" borderId="9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165" fontId="5" fillId="0" borderId="5" xfId="0" applyNumberFormat="1" applyFont="1" applyBorder="1" applyAlignment="1">
      <alignment horizontal="center" vertical="top"/>
    </xf>
    <xf numFmtId="165" fontId="5" fillId="0" borderId="10" xfId="0" applyNumberFormat="1" applyFont="1" applyBorder="1" applyAlignment="1">
      <alignment horizontal="center" vertical="top"/>
    </xf>
    <xf numFmtId="0" fontId="3" fillId="4" borderId="1" xfId="0" applyFont="1" applyFill="1" applyBorder="1" applyAlignment="1">
      <alignment vertical="top"/>
    </xf>
    <xf numFmtId="164" fontId="3" fillId="4" borderId="1" xfId="0" applyNumberFormat="1" applyFont="1" applyFill="1" applyBorder="1" applyAlignment="1">
      <alignment horizontal="right" vertical="top"/>
    </xf>
    <xf numFmtId="0" fontId="3" fillId="4" borderId="2" xfId="0" applyFont="1" applyFill="1" applyBorder="1" applyAlignment="1">
      <alignment vertical="top" wrapText="1"/>
    </xf>
    <xf numFmtId="0" fontId="3" fillId="4" borderId="3" xfId="0" applyFont="1" applyFill="1" applyBorder="1" applyAlignment="1">
      <alignment vertical="top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CCC085"/>
      <rgbColor rgb="00993366"/>
      <rgbColor rgb="00F4ECC5"/>
      <rgbColor rgb="00CCFFFF"/>
      <rgbColor rgb="00F8F2D8"/>
      <rgbColor rgb="00FBF9EC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&#1075;&#1088;&#1072;&#1092;&#1080;&#1082;&#1080;\&#1086;&#1090;&#1095;&#1077;&#1090;&#1099;%20&#1076;&#1083;&#1103;%20&#1057;&#1053;\&#1076;&#1077;&#1092;&#1080;&#1094;&#1080;&#1090;\&#1076;&#1072;&#1085;&#1085;&#1099;&#1077;%20&#1087;&#1086;%20&#1086;&#1089;&#1090;&#1072;&#1090;&#1082;&#1072;&#1084;\&#1086;&#1089;&#1090;%20&#1076;&#1085;%20&#1087;&#1086;&#1082;%20&#1079;&#1087;&#1092;%2029,10,26.xlsx" TargetMode="External"/><Relationship Id="rId1" Type="http://schemas.openxmlformats.org/officeDocument/2006/relationships/externalLinkPath" Target="&#1076;&#1072;&#1085;&#1085;&#1099;&#1077;%20&#1087;&#1086;%20&#1086;&#1089;&#1090;&#1072;&#1090;&#1082;&#1072;&#1084;/&#1086;&#1089;&#1090;%20&#1076;&#1085;%20&#1087;&#1086;&#1082;%20&#1079;&#1087;&#1092;%2029,10,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10,26\22,10,26%20&#1055;&#1054;&#1050;&#1054;&#1052;%20&#1047;&#1055;&#1060;\&#1076;&#1074;%2022,10,26%20&#1076;&#1085;&#1088;&#1089;&#1095;%20&#1087;&#1086;&#1082;%20&#1079;&#1087;&#1092;.xlsx" TargetMode="External"/><Relationship Id="rId1" Type="http://schemas.openxmlformats.org/officeDocument/2006/relationships/externalLinkPath" Target="/Father/Work/2025_05/2026/&#1047;&#1040;&#1042;&#1054;&#1044;&#1067;/&#1055;&#1054;&#1050;&#1054;&#1052;/&#1092;&#1080;&#1083;&#1080;&#1072;&#1083;&#1099;%20&#1053;&#1042;/10,26/22,10,26%20&#1055;&#1054;&#1050;&#1054;&#1052;%20&#1047;&#1055;&#1060;/&#1076;&#1074;%2022,10,26%20&#1076;&#1085;&#1088;&#1089;&#1095;%20&#1087;&#1086;&#1082;%20&#1079;&#1087;&#10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DSheet"/>
    </sheetNames>
    <sheetDataSet>
      <sheetData sheetId="0">
        <row r="2">
          <cell r="A2" t="str">
            <v>Ведомость по товарам на складах</v>
          </cell>
        </row>
        <row r="4">
          <cell r="A4" t="str">
            <v>Параметры:</v>
          </cell>
          <cell r="C4" t="str">
            <v>Период: 22.10.2026 - 29.10.2026</v>
          </cell>
        </row>
        <row r="5">
          <cell r="C5" t="str">
            <v>Количество товаров: В единицах хранения</v>
          </cell>
        </row>
        <row r="6">
          <cell r="A6" t="str">
            <v>Отбор:</v>
          </cell>
          <cell r="C6" t="str">
            <v>Склад В списке "АСП Донецк Заморозка" И
Номенклатура В группе из списка "ПОКОМ Логистический Партн..."</v>
          </cell>
        </row>
        <row r="8">
          <cell r="A8" t="str">
            <v>Номенклатура</v>
          </cell>
          <cell r="E8" t="str">
            <v>Ед. изм.</v>
          </cell>
          <cell r="F8" t="str">
            <v>Количество</v>
          </cell>
          <cell r="K8" t="str">
            <v>Вес (нетто), кг</v>
          </cell>
        </row>
        <row r="9">
          <cell r="F9" t="str">
            <v>Начальный остаток</v>
          </cell>
          <cell r="H9" t="str">
            <v>Приход</v>
          </cell>
          <cell r="I9" t="str">
            <v>Расход</v>
          </cell>
          <cell r="J9" t="str">
            <v>Конечный остаток</v>
          </cell>
          <cell r="K9" t="str">
            <v>Начальный остаток</v>
          </cell>
          <cell r="L9" t="str">
            <v>Приход</v>
          </cell>
          <cell r="M9" t="str">
            <v>Расход</v>
          </cell>
          <cell r="N9" t="str">
            <v>Конечный остаток</v>
          </cell>
        </row>
        <row r="10">
          <cell r="A10" t="str">
            <v>БОНУС_Готовые чебупели сочные с мясом ТМ Горячая штучка флоу-пак 0,24 кг  ПОКОМ</v>
          </cell>
          <cell r="E10" t="str">
            <v>шт</v>
          </cell>
          <cell r="F10">
            <v>212</v>
          </cell>
          <cell r="H10">
            <v>25</v>
          </cell>
          <cell r="I10">
            <v>268</v>
          </cell>
          <cell r="J10">
            <v>-31</v>
          </cell>
          <cell r="K10">
            <v>50.88</v>
          </cell>
          <cell r="L10">
            <v>6</v>
          </cell>
          <cell r="M10">
            <v>64.319999999999993</v>
          </cell>
          <cell r="N10">
            <v>-7.44</v>
          </cell>
        </row>
        <row r="11">
          <cell r="A11" t="str">
            <v>БОНУС_Наггетсы Нагетосы Сочная курочка ТМ Горячая штучка 0,25 кг зам  ПОКОМ</v>
          </cell>
          <cell r="E11" t="str">
            <v>шт</v>
          </cell>
          <cell r="F11">
            <v>224</v>
          </cell>
          <cell r="H11">
            <v>8</v>
          </cell>
          <cell r="I11">
            <v>166</v>
          </cell>
          <cell r="J11">
            <v>66</v>
          </cell>
          <cell r="K11">
            <v>56</v>
          </cell>
          <cell r="L11">
            <v>2</v>
          </cell>
          <cell r="M11">
            <v>41.5</v>
          </cell>
          <cell r="N11">
            <v>16.5</v>
          </cell>
        </row>
        <row r="12">
          <cell r="A12" t="str">
            <v>Вареники Медвежье ушко Премиум с картофелем и лесными грибами клас. форма флоу-пак 0,6 кг  ПОКОМ</v>
          </cell>
          <cell r="E12" t="str">
            <v>шт</v>
          </cell>
          <cell r="H12">
            <v>243</v>
          </cell>
          <cell r="I12">
            <v>34</v>
          </cell>
          <cell r="J12">
            <v>209</v>
          </cell>
          <cell r="L12">
            <v>145.80000000000001</v>
          </cell>
          <cell r="M12">
            <v>20.399999999999999</v>
          </cell>
          <cell r="N12">
            <v>125.4</v>
          </cell>
        </row>
        <row r="13">
          <cell r="A13" t="str">
            <v>Готовая чебупицца курочка по-итальянски 0,25кг ТМ Горячая штучка  ПОКОМ</v>
          </cell>
          <cell r="E13" t="str">
            <v>шт</v>
          </cell>
          <cell r="F13">
            <v>1684</v>
          </cell>
          <cell r="H13">
            <v>2513</v>
          </cell>
          <cell r="I13">
            <v>2205</v>
          </cell>
          <cell r="J13">
            <v>1992</v>
          </cell>
          <cell r="K13">
            <v>421</v>
          </cell>
          <cell r="L13">
            <v>628.25</v>
          </cell>
          <cell r="M13">
            <v>551.25</v>
          </cell>
          <cell r="N13">
            <v>498</v>
          </cell>
        </row>
        <row r="14">
          <cell r="A14" t="str">
            <v>Готовые бельмеши сочные с мясом ТМ Горячая штучка 0,3кг зам  ПОКОМ</v>
          </cell>
          <cell r="E14" t="str">
            <v>шт</v>
          </cell>
          <cell r="F14">
            <v>-3</v>
          </cell>
          <cell r="H14">
            <v>254</v>
          </cell>
          <cell r="I14">
            <v>251</v>
          </cell>
          <cell r="K14">
            <v>-0.9</v>
          </cell>
          <cell r="L14">
            <v>76.2</v>
          </cell>
          <cell r="M14">
            <v>75.3</v>
          </cell>
        </row>
        <row r="15">
          <cell r="A15" t="str">
            <v>Готовые круггетсы сочные ТМ Горячая штучка флоу пак 0,2кг  ПОКОМ</v>
          </cell>
          <cell r="E15" t="str">
            <v>шт</v>
          </cell>
          <cell r="F15">
            <v>699</v>
          </cell>
          <cell r="H15">
            <v>816</v>
          </cell>
          <cell r="I15">
            <v>736</v>
          </cell>
          <cell r="J15">
            <v>779</v>
          </cell>
          <cell r="K15">
            <v>139.80000000000001</v>
          </cell>
          <cell r="L15">
            <v>163.19999999999999</v>
          </cell>
          <cell r="M15">
            <v>147.19999999999999</v>
          </cell>
          <cell r="N15">
            <v>155.80000000000001</v>
          </cell>
        </row>
        <row r="16">
          <cell r="A16" t="str">
            <v>Готовые пекерсы с индейкой в сливочном соусе ТМ Горячая штучка флоу-пак 0,25кг  ПОКОМ</v>
          </cell>
          <cell r="E16" t="str">
            <v>шт</v>
          </cell>
          <cell r="F16">
            <v>210</v>
          </cell>
          <cell r="H16">
            <v>908</v>
          </cell>
          <cell r="I16">
            <v>641</v>
          </cell>
          <cell r="J16">
            <v>477</v>
          </cell>
          <cell r="K16">
            <v>52.5</v>
          </cell>
          <cell r="L16">
            <v>227</v>
          </cell>
          <cell r="M16">
            <v>160.25</v>
          </cell>
          <cell r="N16">
            <v>119.25</v>
          </cell>
        </row>
        <row r="17">
          <cell r="A17" t="str">
            <v>Готовые хотстеры с сыром ТМ Горячая штучка ТС Хотстеры флоу-пак 0,25 кг.  ПОКОМ</v>
          </cell>
          <cell r="E17" t="str">
            <v>шт</v>
          </cell>
          <cell r="F17">
            <v>382</v>
          </cell>
          <cell r="H17">
            <v>1228</v>
          </cell>
          <cell r="I17">
            <v>878</v>
          </cell>
          <cell r="J17">
            <v>732</v>
          </cell>
          <cell r="K17">
            <v>95.5</v>
          </cell>
          <cell r="L17">
            <v>307</v>
          </cell>
          <cell r="M17">
            <v>219.5</v>
          </cell>
          <cell r="N17">
            <v>183</v>
          </cell>
        </row>
        <row r="18">
          <cell r="A18" t="str">
            <v>Готовые хотстеры ТМ Горячая штучка ТС Хотстеры флоу-пак 0,25 кг.  ПОКОМ</v>
          </cell>
          <cell r="E18" t="str">
            <v>шт</v>
          </cell>
          <cell r="F18">
            <v>619</v>
          </cell>
          <cell r="H18">
            <v>89</v>
          </cell>
          <cell r="I18">
            <v>694</v>
          </cell>
          <cell r="J18">
            <v>14</v>
          </cell>
          <cell r="K18">
            <v>154.75</v>
          </cell>
          <cell r="L18">
            <v>22.25</v>
          </cell>
          <cell r="M18">
            <v>173.5</v>
          </cell>
          <cell r="N18">
            <v>3.5</v>
          </cell>
        </row>
        <row r="19">
          <cell r="A19" t="str">
            <v>Готовые чебуманы с говядиной ТМ горячая штучка 0,28 кг.  Поком</v>
          </cell>
          <cell r="E19" t="str">
            <v>шт</v>
          </cell>
          <cell r="F19">
            <v>-24</v>
          </cell>
          <cell r="H19">
            <v>206</v>
          </cell>
          <cell r="I19">
            <v>183</v>
          </cell>
          <cell r="J19">
            <v>-1</v>
          </cell>
          <cell r="K19">
            <v>-6.72</v>
          </cell>
          <cell r="L19">
            <v>57.68</v>
          </cell>
          <cell r="M19">
            <v>51.24</v>
          </cell>
          <cell r="N19">
            <v>-0.28000000000000003</v>
          </cell>
        </row>
        <row r="20">
          <cell r="A20" t="str">
            <v>Готовые чебупели острые с мясом ТМ Горячая штучка флоу-пак 0,24 кг  Поком</v>
          </cell>
          <cell r="E20" t="str">
            <v>шт</v>
          </cell>
          <cell r="F20">
            <v>238</v>
          </cell>
          <cell r="H20">
            <v>888</v>
          </cell>
          <cell r="I20">
            <v>640</v>
          </cell>
          <cell r="J20">
            <v>486</v>
          </cell>
          <cell r="K20">
            <v>57.12</v>
          </cell>
          <cell r="L20">
            <v>213.12</v>
          </cell>
          <cell r="M20">
            <v>153.6</v>
          </cell>
          <cell r="N20">
            <v>116.64</v>
          </cell>
        </row>
        <row r="21">
          <cell r="A21" t="str">
            <v>Готовые чебупели с ветчиной и сыром 0,24 кг НОВАЯ ТМ Горячая штучка  ПОКОМ</v>
          </cell>
          <cell r="E21" t="str">
            <v>шт</v>
          </cell>
          <cell r="F21">
            <v>263</v>
          </cell>
          <cell r="H21">
            <v>2183</v>
          </cell>
          <cell r="I21">
            <v>1216</v>
          </cell>
          <cell r="J21">
            <v>1230</v>
          </cell>
          <cell r="K21">
            <v>63.12</v>
          </cell>
          <cell r="L21">
            <v>523.91999999999996</v>
          </cell>
          <cell r="M21">
            <v>291.83999999999997</v>
          </cell>
          <cell r="N21">
            <v>295.2</v>
          </cell>
        </row>
        <row r="22">
          <cell r="A22" t="str">
            <v>Готовые чебупели с ветчиной и сыром ТМ Горячая штучка флоу-пак 0,24 кг.  ПОКОМ</v>
          </cell>
          <cell r="E22" t="str">
            <v>шт</v>
          </cell>
          <cell r="F22">
            <v>-5</v>
          </cell>
          <cell r="H22">
            <v>66</v>
          </cell>
          <cell r="I22">
            <v>61</v>
          </cell>
          <cell r="K22">
            <v>-1.2</v>
          </cell>
          <cell r="L22">
            <v>15.84</v>
          </cell>
          <cell r="M22">
            <v>14.64</v>
          </cell>
        </row>
        <row r="23">
          <cell r="A23" t="str">
            <v>Готовые чебупели с мясом ТМ Горячая штучка 0,24 кг  ПОКОМ</v>
          </cell>
          <cell r="E23" t="str">
            <v>шт</v>
          </cell>
          <cell r="F23">
            <v>1680</v>
          </cell>
          <cell r="H23">
            <v>46</v>
          </cell>
          <cell r="I23">
            <v>735</v>
          </cell>
          <cell r="J23">
            <v>991</v>
          </cell>
          <cell r="K23">
            <v>403.2</v>
          </cell>
          <cell r="L23">
            <v>11.04</v>
          </cell>
          <cell r="M23">
            <v>176.4</v>
          </cell>
          <cell r="N23">
            <v>237.84</v>
          </cell>
        </row>
        <row r="24">
          <cell r="A24" t="str">
            <v>Готовые чебупели сочные с мясом 0,24 кг НОВАЯ ТМ Горячая штучка флоу-пак  ПОКОМ</v>
          </cell>
          <cell r="E24" t="str">
            <v>шт</v>
          </cell>
          <cell r="F24">
            <v>838</v>
          </cell>
          <cell r="H24">
            <v>355</v>
          </cell>
          <cell r="I24">
            <v>854</v>
          </cell>
          <cell r="J24">
            <v>339</v>
          </cell>
          <cell r="K24">
            <v>201.12</v>
          </cell>
          <cell r="L24">
            <v>85.2</v>
          </cell>
          <cell r="M24">
            <v>204.96</v>
          </cell>
          <cell r="N24">
            <v>81.36</v>
          </cell>
        </row>
        <row r="25">
          <cell r="A25" t="str">
            <v>Готовые чебупели сочные с мясом 0,48 кг НОВАЯ ТМ Горячая штучка флоу-пак МЕГАпачка  ПОКОМ</v>
          </cell>
          <cell r="E25" t="str">
            <v>шт</v>
          </cell>
          <cell r="F25">
            <v>233</v>
          </cell>
          <cell r="H25">
            <v>490</v>
          </cell>
          <cell r="I25">
            <v>564</v>
          </cell>
          <cell r="J25">
            <v>159</v>
          </cell>
          <cell r="K25">
            <v>111.84</v>
          </cell>
          <cell r="L25">
            <v>235.2</v>
          </cell>
          <cell r="M25">
            <v>270.72000000000003</v>
          </cell>
          <cell r="N25">
            <v>76.319999999999993</v>
          </cell>
        </row>
        <row r="26">
          <cell r="A26" t="str">
            <v>Готовые чебупели сочные с мясом ТМ Горячая штучка флоу-пак 0,24 кг  ПОКОМ</v>
          </cell>
          <cell r="E26" t="str">
            <v>шт</v>
          </cell>
          <cell r="F26">
            <v>-2</v>
          </cell>
          <cell r="H26">
            <v>93</v>
          </cell>
          <cell r="I26">
            <v>106</v>
          </cell>
          <cell r="J26">
            <v>-15</v>
          </cell>
          <cell r="K26">
            <v>-0.48</v>
          </cell>
          <cell r="L26">
            <v>22.32</v>
          </cell>
          <cell r="M26">
            <v>25.44</v>
          </cell>
          <cell r="N26">
            <v>-3.6</v>
          </cell>
        </row>
        <row r="27">
          <cell r="A27" t="str">
            <v>Готовые чебупели сочные с мясом ТМ Горячая штучка флоу-пак 0,48 кг XXL  Поком</v>
          </cell>
          <cell r="E27" t="str">
            <v>шт</v>
          </cell>
          <cell r="F27">
            <v>-1</v>
          </cell>
          <cell r="H27">
            <v>1</v>
          </cell>
          <cell r="K27">
            <v>-0.48</v>
          </cell>
          <cell r="L27">
            <v>0.48</v>
          </cell>
        </row>
        <row r="28">
          <cell r="A28" t="str">
            <v>Готовые чебуреки с мясом ТМ Горячая штучка 0,09 кг флоу-пак ПОКОМ</v>
          </cell>
          <cell r="E28" t="str">
            <v>шт</v>
          </cell>
          <cell r="F28">
            <v>416</v>
          </cell>
          <cell r="H28">
            <v>2077</v>
          </cell>
          <cell r="I28">
            <v>643</v>
          </cell>
          <cell r="J28">
            <v>1850</v>
          </cell>
          <cell r="K28">
            <v>37.44</v>
          </cell>
          <cell r="L28">
            <v>186.93</v>
          </cell>
          <cell r="M28">
            <v>57.87</v>
          </cell>
          <cell r="N28">
            <v>166.5</v>
          </cell>
        </row>
        <row r="29">
          <cell r="A29" t="str">
            <v>Готовые чебуреки со свининой и говядиной ТМ Горячая штучка ТС Базовый ассортимент 0,36 кг  ПОКОМ</v>
          </cell>
          <cell r="E29" t="str">
            <v>шт</v>
          </cell>
          <cell r="F29">
            <v>-1</v>
          </cell>
          <cell r="J29">
            <v>-1</v>
          </cell>
          <cell r="K29">
            <v>-0.36</v>
          </cell>
          <cell r="N29">
            <v>-0.36</v>
          </cell>
        </row>
        <row r="30">
          <cell r="A30" t="str">
            <v>Жареные вареники с картофелем и беконом ТМ Стародворье 0,2 кг  ПОКОМ</v>
          </cell>
          <cell r="E30" t="str">
            <v>шт</v>
          </cell>
          <cell r="F30">
            <v>425</v>
          </cell>
          <cell r="H30">
            <v>16</v>
          </cell>
          <cell r="I30">
            <v>283</v>
          </cell>
          <cell r="J30">
            <v>158</v>
          </cell>
          <cell r="K30">
            <v>85</v>
          </cell>
          <cell r="L30">
            <v>3.2</v>
          </cell>
          <cell r="M30">
            <v>56.6</v>
          </cell>
          <cell r="N30">
            <v>31.6</v>
          </cell>
        </row>
        <row r="31">
          <cell r="A31" t="str">
            <v>Круггетсы с сырным соусом ТМ Горячая штучка ТС Круггетсы флоу-пак 0,2 кг  ПОКОМ</v>
          </cell>
          <cell r="E31" t="str">
            <v>шт</v>
          </cell>
          <cell r="F31">
            <v>-57</v>
          </cell>
          <cell r="H31">
            <v>301</v>
          </cell>
          <cell r="I31">
            <v>262</v>
          </cell>
          <cell r="J31">
            <v>-18</v>
          </cell>
          <cell r="K31">
            <v>-11.4</v>
          </cell>
          <cell r="L31">
            <v>60.2</v>
          </cell>
          <cell r="M31">
            <v>52.4</v>
          </cell>
          <cell r="N31">
            <v>-3.6</v>
          </cell>
        </row>
        <row r="32">
          <cell r="A32" t="str">
            <v>Круггетсы сочные ТМ Горячая штучка ТС Круггетсы флоу-пак  0,2 кг.  ПОКОМ</v>
          </cell>
          <cell r="E32" t="str">
            <v>шт</v>
          </cell>
          <cell r="F32">
            <v>-31</v>
          </cell>
          <cell r="H32">
            <v>213</v>
          </cell>
          <cell r="I32">
            <v>182</v>
          </cell>
          <cell r="K32">
            <v>-6.2</v>
          </cell>
          <cell r="L32">
            <v>42.6</v>
          </cell>
          <cell r="M32">
            <v>36.4</v>
          </cell>
        </row>
        <row r="33">
          <cell r="A33" t="str">
            <v>Мини-сосиски в ароматном тесте ВЕС ТМ Зареченские продукты  ПОКОМ</v>
          </cell>
          <cell r="E33" t="str">
            <v>кг</v>
          </cell>
          <cell r="F33">
            <v>353.9</v>
          </cell>
          <cell r="H33">
            <v>689.5</v>
          </cell>
          <cell r="I33">
            <v>328.6</v>
          </cell>
          <cell r="J33">
            <v>714.8</v>
          </cell>
          <cell r="K33">
            <v>353.9</v>
          </cell>
          <cell r="L33">
            <v>689.5</v>
          </cell>
          <cell r="M33">
            <v>328.6</v>
          </cell>
          <cell r="N33">
            <v>714.8</v>
          </cell>
        </row>
        <row r="34">
          <cell r="A34" t="str">
            <v>Мини-чебуреки с мясом ТМ Зареченские ТС Зареченские продукты ПОКОМ</v>
          </cell>
          <cell r="E34" t="str">
            <v>кг</v>
          </cell>
          <cell r="F34">
            <v>27.5</v>
          </cell>
          <cell r="H34">
            <v>374</v>
          </cell>
          <cell r="I34">
            <v>126.5</v>
          </cell>
          <cell r="J34">
            <v>275</v>
          </cell>
          <cell r="K34">
            <v>27.5</v>
          </cell>
          <cell r="L34">
            <v>374</v>
          </cell>
          <cell r="M34">
            <v>126.5</v>
          </cell>
          <cell r="N34">
            <v>275</v>
          </cell>
        </row>
        <row r="35">
          <cell r="A35" t="str">
            <v>Мини-шарики с курочкой и сыром ТМ Зареченские ВЕС ПОКОМ</v>
          </cell>
          <cell r="E35" t="str">
            <v>кг</v>
          </cell>
          <cell r="F35">
            <v>21</v>
          </cell>
          <cell r="H35">
            <v>105</v>
          </cell>
          <cell r="I35">
            <v>126</v>
          </cell>
          <cell r="K35">
            <v>21</v>
          </cell>
          <cell r="L35">
            <v>105</v>
          </cell>
          <cell r="M35">
            <v>126</v>
          </cell>
        </row>
        <row r="36">
          <cell r="A36" t="str">
            <v>Наггетсы из печи 0,25кг ТМ Вязанка замор.  ПОКОМ</v>
          </cell>
          <cell r="E36" t="str">
            <v>шт</v>
          </cell>
          <cell r="F36">
            <v>1327</v>
          </cell>
          <cell r="H36">
            <v>1648</v>
          </cell>
          <cell r="I36">
            <v>1583</v>
          </cell>
          <cell r="J36">
            <v>1392</v>
          </cell>
          <cell r="K36">
            <v>331.75</v>
          </cell>
          <cell r="L36">
            <v>412</v>
          </cell>
          <cell r="M36">
            <v>395.75</v>
          </cell>
          <cell r="N36">
            <v>348</v>
          </cell>
        </row>
        <row r="37">
          <cell r="A37" t="str">
            <v>Наггетсы Нагетосы Сочная курочка со сметаной и зеленью ТМ Горячая штучка флоу-пак 0,25 кг  Поком</v>
          </cell>
          <cell r="E37" t="str">
            <v>шт</v>
          </cell>
          <cell r="F37">
            <v>858</v>
          </cell>
          <cell r="H37">
            <v>420</v>
          </cell>
          <cell r="I37">
            <v>573</v>
          </cell>
          <cell r="J37">
            <v>705</v>
          </cell>
          <cell r="K37">
            <v>214.5</v>
          </cell>
          <cell r="L37">
            <v>105</v>
          </cell>
          <cell r="M37">
            <v>143.25</v>
          </cell>
          <cell r="N37">
            <v>176.25</v>
          </cell>
        </row>
        <row r="38">
          <cell r="A38" t="str">
            <v>Наггетсы Нагетосы Сочная курочка ТМ Горячая штучка 0,25 кг зам  ПОКОМ</v>
          </cell>
          <cell r="E38" t="str">
            <v>шт</v>
          </cell>
          <cell r="F38">
            <v>466</v>
          </cell>
          <cell r="H38">
            <v>1123</v>
          </cell>
          <cell r="I38">
            <v>747</v>
          </cell>
          <cell r="J38">
            <v>842</v>
          </cell>
          <cell r="K38">
            <v>116.5</v>
          </cell>
          <cell r="L38">
            <v>280.75</v>
          </cell>
          <cell r="M38">
            <v>186.75</v>
          </cell>
          <cell r="N38">
            <v>210.5</v>
          </cell>
        </row>
        <row r="39">
          <cell r="A39" t="str">
            <v>Наггетсы с индейкой 0,25кг ТМ Вязанка ТС Из печи Сливушки ПОКОМ</v>
          </cell>
          <cell r="E39" t="str">
            <v>шт</v>
          </cell>
          <cell r="F39">
            <v>663</v>
          </cell>
          <cell r="H39">
            <v>1461</v>
          </cell>
          <cell r="I39">
            <v>1681</v>
          </cell>
          <cell r="J39">
            <v>443</v>
          </cell>
          <cell r="K39">
            <v>165.75</v>
          </cell>
          <cell r="L39">
            <v>365.25</v>
          </cell>
          <cell r="M39">
            <v>420.25</v>
          </cell>
          <cell r="N39">
            <v>110.75</v>
          </cell>
        </row>
        <row r="40">
          <cell r="A40" t="str">
            <v>Наггетсы с куриным филе и сыром ТМ Вязанка ТС Из печи Сливушки 0,25 кг.  Поком</v>
          </cell>
          <cell r="E40" t="str">
            <v>шт</v>
          </cell>
          <cell r="F40">
            <v>101</v>
          </cell>
          <cell r="H40">
            <v>1593</v>
          </cell>
          <cell r="I40">
            <v>603</v>
          </cell>
          <cell r="J40">
            <v>1091</v>
          </cell>
          <cell r="K40">
            <v>25.25</v>
          </cell>
          <cell r="L40">
            <v>398.25</v>
          </cell>
          <cell r="M40">
            <v>150.75</v>
          </cell>
          <cell r="N40">
            <v>272.75</v>
          </cell>
        </row>
        <row r="41">
          <cell r="A41" t="str">
            <v>Наггетсы Сливушки в темпуре ТМ Вязанка флоу-пак 0,23 кг  ПОКОМ</v>
          </cell>
          <cell r="E41" t="str">
            <v>шт</v>
          </cell>
          <cell r="H41">
            <v>341</v>
          </cell>
          <cell r="I41">
            <v>90</v>
          </cell>
          <cell r="J41">
            <v>251</v>
          </cell>
          <cell r="L41">
            <v>78.430000000000007</v>
          </cell>
          <cell r="M41">
            <v>20.7</v>
          </cell>
          <cell r="N41">
            <v>57.73</v>
          </cell>
        </row>
        <row r="42">
          <cell r="A42" t="str">
            <v>Наггетсы Хрустящие НД2. ВЕС.  ПОКОМ</v>
          </cell>
          <cell r="E42" t="str">
            <v>кг</v>
          </cell>
          <cell r="F42">
            <v>588</v>
          </cell>
          <cell r="H42">
            <v>2294</v>
          </cell>
          <cell r="I42">
            <v>1097</v>
          </cell>
          <cell r="J42">
            <v>1785</v>
          </cell>
          <cell r="K42">
            <v>588</v>
          </cell>
          <cell r="L42">
            <v>2294</v>
          </cell>
          <cell r="M42">
            <v>1097</v>
          </cell>
          <cell r="N42">
            <v>1785</v>
          </cell>
        </row>
        <row r="43">
          <cell r="A43" t="str">
            <v>Наггетсы Хрустящие ТМ Зареченские ТС Зареченские продукты. Поком</v>
          </cell>
          <cell r="E43" t="str">
            <v>кг</v>
          </cell>
          <cell r="H43">
            <v>34</v>
          </cell>
          <cell r="I43">
            <v>34</v>
          </cell>
          <cell r="L43">
            <v>34</v>
          </cell>
          <cell r="M43">
            <v>34</v>
          </cell>
        </row>
        <row r="44">
          <cell r="A44" t="str">
            <v>Наггетсы Хрустящие ТМ Стародворье с сочной курочкой 0,23 кг  ПОКОМ</v>
          </cell>
          <cell r="E44" t="str">
            <v>шт</v>
          </cell>
          <cell r="F44">
            <v>1416</v>
          </cell>
          <cell r="H44">
            <v>1070</v>
          </cell>
          <cell r="I44">
            <v>770</v>
          </cell>
          <cell r="J44">
            <v>1716</v>
          </cell>
          <cell r="K44">
            <v>325.68</v>
          </cell>
          <cell r="L44">
            <v>246.1</v>
          </cell>
          <cell r="M44">
            <v>177.1</v>
          </cell>
          <cell r="N44">
            <v>394.68</v>
          </cell>
        </row>
        <row r="45">
          <cell r="A45" t="str">
            <v>Пекерсы с индейкой в сливочном соусе ТМ Горячая штучка 0,25 кг зам  ПОКОМ</v>
          </cell>
          <cell r="E45" t="str">
            <v>шт</v>
          </cell>
          <cell r="H45">
            <v>316</v>
          </cell>
          <cell r="I45">
            <v>336</v>
          </cell>
          <cell r="J45">
            <v>-20</v>
          </cell>
          <cell r="L45">
            <v>79</v>
          </cell>
          <cell r="M45">
            <v>84</v>
          </cell>
          <cell r="N45">
            <v>-5</v>
          </cell>
        </row>
        <row r="46">
          <cell r="A46" t="str">
            <v>Пельмени Grandmeni с говядиной и свининой ТМ Горячаяштучка флоу-па классическая форма 0,7 кг.  Поком</v>
          </cell>
          <cell r="E46" t="str">
            <v>шт</v>
          </cell>
          <cell r="F46">
            <v>223</v>
          </cell>
          <cell r="H46">
            <v>307</v>
          </cell>
          <cell r="I46">
            <v>361</v>
          </cell>
          <cell r="J46">
            <v>169</v>
          </cell>
          <cell r="K46">
            <v>156.1</v>
          </cell>
          <cell r="L46">
            <v>214.9</v>
          </cell>
          <cell r="M46">
            <v>252.7</v>
          </cell>
          <cell r="N46">
            <v>118.3</v>
          </cell>
        </row>
        <row r="47">
          <cell r="A47" t="str">
            <v>Пельмени Grandmeni с говядиной ТМ Горячаяштучка флоу-пак сфера 0,7 кг.  Поком</v>
          </cell>
          <cell r="E47" t="str">
            <v>шт</v>
          </cell>
          <cell r="F47">
            <v>394</v>
          </cell>
          <cell r="H47">
            <v>567</v>
          </cell>
          <cell r="I47">
            <v>568</v>
          </cell>
          <cell r="J47">
            <v>393</v>
          </cell>
          <cell r="K47">
            <v>275.8</v>
          </cell>
          <cell r="L47">
            <v>396.9</v>
          </cell>
          <cell r="M47">
            <v>397.6</v>
          </cell>
          <cell r="N47">
            <v>275.10000000000002</v>
          </cell>
        </row>
        <row r="48">
          <cell r="A48" t="str">
            <v>Пельмени Бигбули #МЕГАВКУСИЩЕ с сочной грудинкой  ТМ Горячая штучка  флоу-пак сфера 0,7 кг.  Поком</v>
          </cell>
          <cell r="E48" t="str">
            <v>шт</v>
          </cell>
          <cell r="F48">
            <v>129</v>
          </cell>
          <cell r="H48">
            <v>520</v>
          </cell>
          <cell r="I48">
            <v>502</v>
          </cell>
          <cell r="J48">
            <v>147</v>
          </cell>
          <cell r="K48">
            <v>90.3</v>
          </cell>
          <cell r="L48">
            <v>364</v>
          </cell>
          <cell r="M48">
            <v>351.4</v>
          </cell>
          <cell r="N48">
            <v>102.9</v>
          </cell>
        </row>
        <row r="49">
          <cell r="A49" t="str">
            <v>Пельмени Бигбули с мясом ТМ Горячая штучка БУЛЬМЕНИ ТС Бигбули ГШ  флоу-пак сфера 0,7.   Поком</v>
          </cell>
          <cell r="E49" t="str">
            <v>шт</v>
          </cell>
          <cell r="F49">
            <v>786</v>
          </cell>
          <cell r="H49">
            <v>247</v>
          </cell>
          <cell r="I49">
            <v>603</v>
          </cell>
          <cell r="J49">
            <v>430</v>
          </cell>
          <cell r="K49">
            <v>550.20000000000005</v>
          </cell>
          <cell r="L49">
            <v>172.9</v>
          </cell>
          <cell r="M49">
            <v>422.1</v>
          </cell>
          <cell r="N49">
            <v>301</v>
          </cell>
        </row>
        <row r="50">
          <cell r="A50" t="str">
            <v>Пельмени Бигбули с мясом ТМ Горячая штучка. флоу-пак сфера 0,4 кг. ПОКОМ</v>
          </cell>
          <cell r="E50" t="str">
            <v>шт</v>
          </cell>
          <cell r="F50">
            <v>405</v>
          </cell>
          <cell r="H50">
            <v>430</v>
          </cell>
          <cell r="I50">
            <v>710</v>
          </cell>
          <cell r="J50">
            <v>125</v>
          </cell>
          <cell r="K50">
            <v>162</v>
          </cell>
          <cell r="L50">
            <v>172</v>
          </cell>
          <cell r="M50">
            <v>284</v>
          </cell>
          <cell r="N50">
            <v>50</v>
          </cell>
        </row>
        <row r="51">
          <cell r="A51" t="str">
            <v>Пельмени Бигбули со сливочным маслом  ТС Бигбули ГШ#МЕГАМАСЛИЩЕ флоу-пак сфера 0,7.  Поком</v>
          </cell>
          <cell r="E51" t="str">
            <v>шт</v>
          </cell>
          <cell r="F51">
            <v>46</v>
          </cell>
          <cell r="H51">
            <v>974</v>
          </cell>
          <cell r="I51">
            <v>662</v>
          </cell>
          <cell r="J51">
            <v>358</v>
          </cell>
          <cell r="K51">
            <v>32.200000000000003</v>
          </cell>
          <cell r="L51">
            <v>681.8</v>
          </cell>
          <cell r="M51">
            <v>463.4</v>
          </cell>
          <cell r="N51">
            <v>250.6</v>
          </cell>
        </row>
        <row r="52">
          <cell r="A52" t="str">
            <v>Пельмени Бульмени мини с мясом и оливковым маслом  ТС Бульмени ГШ флоу-пак сфера 0,7кг  Поком</v>
          </cell>
          <cell r="E52" t="str">
            <v>шт</v>
          </cell>
          <cell r="F52">
            <v>262</v>
          </cell>
          <cell r="H52">
            <v>1871</v>
          </cell>
          <cell r="I52">
            <v>1219</v>
          </cell>
          <cell r="J52">
            <v>914</v>
          </cell>
          <cell r="K52">
            <v>183.4</v>
          </cell>
          <cell r="L52">
            <v>1309.7</v>
          </cell>
          <cell r="M52">
            <v>853.3</v>
          </cell>
          <cell r="N52">
            <v>639.79999999999995</v>
          </cell>
        </row>
        <row r="53">
          <cell r="A53" t="str">
            <v>Пельмени Бульмени с говядиной и свининой Наваристые Горячая штучка ВЕС  ПОКОМ</v>
          </cell>
          <cell r="E53" t="str">
            <v>кг</v>
          </cell>
          <cell r="F53">
            <v>505</v>
          </cell>
          <cell r="H53">
            <v>460</v>
          </cell>
          <cell r="I53">
            <v>860</v>
          </cell>
          <cell r="J53">
            <v>105</v>
          </cell>
          <cell r="K53">
            <v>505</v>
          </cell>
          <cell r="L53">
            <v>460</v>
          </cell>
          <cell r="M53">
            <v>860</v>
          </cell>
          <cell r="N53">
            <v>105</v>
          </cell>
        </row>
        <row r="54">
          <cell r="A54" t="str">
            <v>Пельмени Бульмени с говядиной и свининой ТМ Горячая штучка  флоу-пак сфера 0,4 кг  Поком</v>
          </cell>
          <cell r="E54" t="str">
            <v>шт</v>
          </cell>
          <cell r="F54">
            <v>474</v>
          </cell>
          <cell r="H54">
            <v>65</v>
          </cell>
          <cell r="I54">
            <v>601</v>
          </cell>
          <cell r="J54">
            <v>-62</v>
          </cell>
          <cell r="K54">
            <v>189.6</v>
          </cell>
          <cell r="L54">
            <v>26</v>
          </cell>
          <cell r="M54">
            <v>240.4</v>
          </cell>
          <cell r="N54">
            <v>-24.8</v>
          </cell>
        </row>
        <row r="55">
          <cell r="A55" t="str">
            <v>Пельмени Бульмени с говядиной и свининой ТМ Горячая штучка БУЛЬМЕНИ  флоу-пак сфера 0,7 кг.  Поком</v>
          </cell>
          <cell r="E55" t="str">
            <v>шт</v>
          </cell>
          <cell r="F55">
            <v>224</v>
          </cell>
          <cell r="H55">
            <v>2146</v>
          </cell>
          <cell r="I55">
            <v>1078</v>
          </cell>
          <cell r="J55">
            <v>1292</v>
          </cell>
          <cell r="K55">
            <v>156.80000000000001</v>
          </cell>
          <cell r="L55">
            <v>1502.2</v>
          </cell>
          <cell r="M55">
            <v>754.6</v>
          </cell>
          <cell r="N55">
            <v>904.4</v>
          </cell>
        </row>
        <row r="56">
          <cell r="A56" t="str">
            <v>Пельмени Бульмени со сливочным маслом ТМ Горячая штучка  флоу-пак сфера 0,4 кг .  Поком</v>
          </cell>
          <cell r="E56" t="str">
            <v>шт</v>
          </cell>
          <cell r="F56">
            <v>471</v>
          </cell>
          <cell r="H56">
            <v>259</v>
          </cell>
          <cell r="I56">
            <v>766</v>
          </cell>
          <cell r="J56">
            <v>-36</v>
          </cell>
          <cell r="K56">
            <v>188.4</v>
          </cell>
          <cell r="L56">
            <v>103.6</v>
          </cell>
          <cell r="M56">
            <v>306.39999999999998</v>
          </cell>
          <cell r="N56">
            <v>-14.4</v>
          </cell>
        </row>
        <row r="57">
          <cell r="A57" t="str">
            <v>Пельмени Бульмени со сливочным маслом ТМ Горячая штучка флоу-пак сфера 0,7 кг .  Поком</v>
          </cell>
          <cell r="E57" t="str">
            <v>шт</v>
          </cell>
          <cell r="F57">
            <v>395</v>
          </cell>
          <cell r="H57">
            <v>2037</v>
          </cell>
          <cell r="I57">
            <v>1258</v>
          </cell>
          <cell r="J57">
            <v>1174</v>
          </cell>
          <cell r="K57">
            <v>276.5</v>
          </cell>
          <cell r="L57">
            <v>1425.9</v>
          </cell>
          <cell r="M57">
            <v>880.6</v>
          </cell>
          <cell r="N57">
            <v>821.8</v>
          </cell>
        </row>
        <row r="58">
          <cell r="A58" t="str">
            <v>Пельмени Медвежье ушко Премиум Мясные ТМ Медвежье ушко классическая форма флоу-пак 0,8 кг. ПОКОМ</v>
          </cell>
          <cell r="E58" t="str">
            <v>шт</v>
          </cell>
          <cell r="F58">
            <v>676</v>
          </cell>
          <cell r="H58">
            <v>21</v>
          </cell>
          <cell r="I58">
            <v>416</v>
          </cell>
          <cell r="J58">
            <v>281</v>
          </cell>
          <cell r="K58">
            <v>540.79999999999995</v>
          </cell>
          <cell r="L58">
            <v>16.8</v>
          </cell>
          <cell r="M58">
            <v>332.8</v>
          </cell>
          <cell r="N58">
            <v>224.8</v>
          </cell>
        </row>
        <row r="59">
          <cell r="A59" t="str">
            <v>Пельмени Медвежье ушко Премиум со сливочным маслом 0,4 кг ТМ Медвежье ушко  ПОКОМ</v>
          </cell>
          <cell r="E59" t="str">
            <v>шт</v>
          </cell>
          <cell r="F59">
            <v>191</v>
          </cell>
          <cell r="I59">
            <v>21</v>
          </cell>
          <cell r="J59">
            <v>170</v>
          </cell>
          <cell r="K59">
            <v>76.400000000000006</v>
          </cell>
          <cell r="M59">
            <v>8.4</v>
          </cell>
          <cell r="N59">
            <v>68</v>
          </cell>
        </row>
        <row r="60">
          <cell r="A60" t="str">
            <v>Пельмени Медвежье ушко Премиум со сливочным маслом 0,8 кг ТМ Медвежье ушко  ПОКОМ</v>
          </cell>
          <cell r="E60" t="str">
            <v>шт</v>
          </cell>
          <cell r="F60">
            <v>96</v>
          </cell>
          <cell r="H60">
            <v>5</v>
          </cell>
          <cell r="I60">
            <v>40</v>
          </cell>
          <cell r="J60">
            <v>61</v>
          </cell>
          <cell r="K60">
            <v>76.8</v>
          </cell>
          <cell r="L60">
            <v>4</v>
          </cell>
          <cell r="M60">
            <v>32</v>
          </cell>
          <cell r="N60">
            <v>48.8</v>
          </cell>
        </row>
        <row r="61">
          <cell r="A61" t="str">
            <v>Пельмени Мясные с говядиной ТМ Стародворье сфера флоу-пак 1 кг  ПОКОМ</v>
          </cell>
          <cell r="E61" t="str">
            <v>шт</v>
          </cell>
          <cell r="F61">
            <v>-2</v>
          </cell>
          <cell r="H61">
            <v>1735</v>
          </cell>
          <cell r="I61">
            <v>721</v>
          </cell>
          <cell r="J61">
            <v>1012</v>
          </cell>
          <cell r="K61">
            <v>-2</v>
          </cell>
          <cell r="L61">
            <v>1735</v>
          </cell>
          <cell r="M61">
            <v>721</v>
          </cell>
          <cell r="N61">
            <v>1012</v>
          </cell>
        </row>
        <row r="62">
          <cell r="A62" t="str">
            <v>Пельмени Отборные из свинины и говядины 0,9 кг ТМ Стародворье ТС Медвежье ушко  ПОКОМ</v>
          </cell>
          <cell r="E62" t="str">
            <v>шт</v>
          </cell>
          <cell r="F62">
            <v>18</v>
          </cell>
          <cell r="H62">
            <v>99</v>
          </cell>
          <cell r="I62">
            <v>55</v>
          </cell>
          <cell r="J62">
            <v>62</v>
          </cell>
          <cell r="K62">
            <v>16.2</v>
          </cell>
          <cell r="L62">
            <v>89.1</v>
          </cell>
          <cell r="M62">
            <v>49.5</v>
          </cell>
          <cell r="N62">
            <v>55.8</v>
          </cell>
        </row>
        <row r="63">
          <cell r="A63" t="str">
            <v>Пельмени С говядиной и свининой, ВЕС, ТМ Славница сфера пуговки  ПОКОМ</v>
          </cell>
          <cell r="E63" t="str">
            <v>кг</v>
          </cell>
          <cell r="H63">
            <v>240</v>
          </cell>
          <cell r="I63">
            <v>65</v>
          </cell>
          <cell r="J63">
            <v>175</v>
          </cell>
          <cell r="L63">
            <v>240</v>
          </cell>
          <cell r="M63">
            <v>65</v>
          </cell>
          <cell r="N63">
            <v>175</v>
          </cell>
        </row>
        <row r="64">
          <cell r="A64" t="str">
            <v>Пельмени Со свининой и говядиной ТС Любимая ложка сфера флоу-пак 1 кг  ПОКОМ</v>
          </cell>
          <cell r="E64" t="str">
            <v>шт</v>
          </cell>
          <cell r="F64">
            <v>758</v>
          </cell>
          <cell r="H64">
            <v>22</v>
          </cell>
          <cell r="I64">
            <v>293</v>
          </cell>
          <cell r="J64">
            <v>487</v>
          </cell>
          <cell r="K64">
            <v>758</v>
          </cell>
          <cell r="L64">
            <v>22</v>
          </cell>
          <cell r="M64">
            <v>293</v>
          </cell>
          <cell r="N64">
            <v>487</v>
          </cell>
        </row>
        <row r="65">
          <cell r="A65" t="str">
            <v>Пирожки с мясом 3,7кг ВЕС ТМ Зареченские  ПОКОМ</v>
          </cell>
          <cell r="E65" t="str">
            <v>кг</v>
          </cell>
          <cell r="H65">
            <v>18.5</v>
          </cell>
          <cell r="I65">
            <v>18.5</v>
          </cell>
          <cell r="L65">
            <v>18.5</v>
          </cell>
          <cell r="M65">
            <v>18.5</v>
          </cell>
        </row>
        <row r="66">
          <cell r="A66" t="str">
            <v>Пирожки с мясом НД  ВЕС  ПОКОМ</v>
          </cell>
          <cell r="E66" t="str">
            <v>кг</v>
          </cell>
          <cell r="F66">
            <v>10.3</v>
          </cell>
          <cell r="H66">
            <v>207.2</v>
          </cell>
          <cell r="I66">
            <v>103.6</v>
          </cell>
          <cell r="J66">
            <v>113.9</v>
          </cell>
          <cell r="K66">
            <v>10.3</v>
          </cell>
          <cell r="L66">
            <v>207.2</v>
          </cell>
          <cell r="M66">
            <v>103.6</v>
          </cell>
          <cell r="N66">
            <v>113.9</v>
          </cell>
        </row>
        <row r="67">
          <cell r="A67" t="str">
            <v>ХБИ Готовые бельмеши сочные с мясом НД1 ТМ Горячая штучка 0,3кг зам  ПОКОМ</v>
          </cell>
          <cell r="E67" t="str">
            <v>шт</v>
          </cell>
          <cell r="F67">
            <v>-2</v>
          </cell>
          <cell r="H67">
            <v>1011</v>
          </cell>
          <cell r="I67">
            <v>278</v>
          </cell>
          <cell r="J67">
            <v>731</v>
          </cell>
          <cell r="K67">
            <v>-0.6</v>
          </cell>
          <cell r="L67">
            <v>303.3</v>
          </cell>
          <cell r="M67">
            <v>83.4</v>
          </cell>
          <cell r="N67">
            <v>219.3</v>
          </cell>
        </row>
        <row r="68">
          <cell r="A68" t="str">
            <v>ХБИ Готовые чебуманы с говядиной 0,28кг ТМ Горячая штучка  ПОКОМ</v>
          </cell>
          <cell r="E68" t="str">
            <v>шт</v>
          </cell>
          <cell r="F68">
            <v>274</v>
          </cell>
          <cell r="H68">
            <v>1065</v>
          </cell>
          <cell r="I68">
            <v>868</v>
          </cell>
          <cell r="J68">
            <v>471</v>
          </cell>
          <cell r="K68">
            <v>76.72</v>
          </cell>
          <cell r="L68">
            <v>298.2</v>
          </cell>
          <cell r="M68">
            <v>243.04</v>
          </cell>
          <cell r="N68">
            <v>131.88</v>
          </cell>
        </row>
        <row r="69">
          <cell r="A69" t="str">
            <v>ХБИ Готовые чебупели с курицей ТМ Горячая штучка (курочка гриль) флоу-пак 0,3 кг  ПОКОМ</v>
          </cell>
          <cell r="E69" t="str">
            <v>шт</v>
          </cell>
          <cell r="F69">
            <v>530</v>
          </cell>
          <cell r="H69">
            <v>92</v>
          </cell>
          <cell r="I69">
            <v>561</v>
          </cell>
          <cell r="J69">
            <v>61</v>
          </cell>
          <cell r="K69">
            <v>159</v>
          </cell>
          <cell r="L69">
            <v>27.6</v>
          </cell>
          <cell r="M69">
            <v>168.3</v>
          </cell>
          <cell r="N69">
            <v>18.3</v>
          </cell>
        </row>
        <row r="70">
          <cell r="A70" t="str">
            <v>ХБИ Мини-шарики с курочкой и сыром ТМ Зареченские продукты ВЕС  ПОКОМ</v>
          </cell>
          <cell r="E70" t="str">
            <v>кг</v>
          </cell>
          <cell r="F70">
            <v>252</v>
          </cell>
          <cell r="H70">
            <v>12</v>
          </cell>
          <cell r="I70">
            <v>174.7</v>
          </cell>
          <cell r="J70">
            <v>89.3</v>
          </cell>
          <cell r="K70">
            <v>252</v>
          </cell>
          <cell r="L70">
            <v>12</v>
          </cell>
          <cell r="M70">
            <v>174.7</v>
          </cell>
          <cell r="N70">
            <v>89.3</v>
          </cell>
        </row>
        <row r="71">
          <cell r="A71" t="str">
            <v>ХБИ Снеки «Готовые круггетсы с сырным соусом» Фикс.вес 0,2 ТМ «Горячая штучка» ПОКОМ</v>
          </cell>
          <cell r="E71" t="str">
            <v>шт</v>
          </cell>
          <cell r="F71">
            <v>873</v>
          </cell>
          <cell r="H71">
            <v>745</v>
          </cell>
          <cell r="I71">
            <v>999</v>
          </cell>
          <cell r="J71">
            <v>619</v>
          </cell>
          <cell r="K71">
            <v>174.6</v>
          </cell>
          <cell r="L71">
            <v>149</v>
          </cell>
          <cell r="M71">
            <v>199.8</v>
          </cell>
          <cell r="N71">
            <v>123.8</v>
          </cell>
        </row>
        <row r="72">
          <cell r="A72" t="str">
            <v>ХБИ Чебупицца Пепперони ТМ Горячая штучка ТС Чебупицца 0.25кг зам  ПОКОМ</v>
          </cell>
          <cell r="E72" t="str">
            <v>шт</v>
          </cell>
          <cell r="H72">
            <v>2333</v>
          </cell>
          <cell r="I72">
            <v>1493</v>
          </cell>
          <cell r="J72">
            <v>840</v>
          </cell>
          <cell r="L72">
            <v>583.25</v>
          </cell>
          <cell r="M72">
            <v>373.25</v>
          </cell>
          <cell r="N72">
            <v>210</v>
          </cell>
        </row>
        <row r="73">
          <cell r="A73" t="str">
            <v>Хотстеры Васаби-чили ТМ Горячая штучка ТС Хотстеры 0,23кг жареные ПОКОМ</v>
          </cell>
          <cell r="E73" t="str">
            <v>шт</v>
          </cell>
          <cell r="F73">
            <v>180</v>
          </cell>
          <cell r="H73">
            <v>368</v>
          </cell>
          <cell r="I73">
            <v>355</v>
          </cell>
          <cell r="J73">
            <v>193</v>
          </cell>
          <cell r="K73">
            <v>41.4</v>
          </cell>
          <cell r="L73">
            <v>84.64</v>
          </cell>
          <cell r="M73">
            <v>81.650000000000006</v>
          </cell>
          <cell r="N73">
            <v>44.39</v>
          </cell>
        </row>
        <row r="74">
          <cell r="A74" t="str">
            <v>Хотстеры с сыром ТМ Горячая штучка ТС Хотстеры 0,25кг.  Поком</v>
          </cell>
          <cell r="E74" t="str">
            <v>шт</v>
          </cell>
          <cell r="H74">
            <v>78</v>
          </cell>
          <cell r="I74">
            <v>82</v>
          </cell>
          <cell r="J74">
            <v>-4</v>
          </cell>
          <cell r="L74">
            <v>19.5</v>
          </cell>
          <cell r="M74">
            <v>20.5</v>
          </cell>
          <cell r="N74">
            <v>-1</v>
          </cell>
        </row>
        <row r="75">
          <cell r="A75" t="str">
            <v>Хотстеры ТМ Горячая штучка ТС Хотстеры 0,25 кг зам  ПОКОМ</v>
          </cell>
          <cell r="E75" t="str">
            <v>шт</v>
          </cell>
          <cell r="F75">
            <v>-12</v>
          </cell>
          <cell r="H75">
            <v>197</v>
          </cell>
          <cell r="I75">
            <v>189</v>
          </cell>
          <cell r="J75">
            <v>-4</v>
          </cell>
          <cell r="K75">
            <v>-3</v>
          </cell>
          <cell r="L75">
            <v>49.25</v>
          </cell>
          <cell r="M75">
            <v>47.25</v>
          </cell>
          <cell r="N75">
            <v>-1</v>
          </cell>
        </row>
        <row r="76">
          <cell r="A76" t="str">
            <v>Хрустипай апельсин имбирь ТМ Горячая штучка 0,18 кг  ПОКОМ</v>
          </cell>
          <cell r="E76" t="str">
            <v>шт</v>
          </cell>
          <cell r="F76">
            <v>100</v>
          </cell>
          <cell r="H76">
            <v>12</v>
          </cell>
          <cell r="I76">
            <v>71</v>
          </cell>
          <cell r="J76">
            <v>41</v>
          </cell>
          <cell r="K76">
            <v>18</v>
          </cell>
          <cell r="L76">
            <v>2.16</v>
          </cell>
          <cell r="M76">
            <v>12.78</v>
          </cell>
          <cell r="N76">
            <v>7.38</v>
          </cell>
        </row>
        <row r="77">
          <cell r="A77" t="str">
            <v>Хрустипай манго маракуйя ТМ Горячая штучка 0,18 кг  ПОКОМ</v>
          </cell>
          <cell r="E77" t="str">
            <v>шт</v>
          </cell>
          <cell r="F77">
            <v>1081</v>
          </cell>
          <cell r="H77">
            <v>94</v>
          </cell>
          <cell r="I77">
            <v>83</v>
          </cell>
          <cell r="J77">
            <v>1092</v>
          </cell>
          <cell r="K77">
            <v>194.58</v>
          </cell>
          <cell r="L77">
            <v>16.920000000000002</v>
          </cell>
          <cell r="M77">
            <v>14.94</v>
          </cell>
          <cell r="N77">
            <v>196.56</v>
          </cell>
        </row>
        <row r="78">
          <cell r="A78" t="str">
            <v>Хрустипай манго чили ТМ Горячая штучка 0,18кг с начинкой ПОКОМ</v>
          </cell>
          <cell r="E78" t="str">
            <v>шт</v>
          </cell>
          <cell r="F78">
            <v>23</v>
          </cell>
          <cell r="I78">
            <v>22</v>
          </cell>
          <cell r="J78">
            <v>1</v>
          </cell>
          <cell r="K78">
            <v>4.1399999999999997</v>
          </cell>
          <cell r="M78">
            <v>3.96</v>
          </cell>
          <cell r="N78">
            <v>0.18</v>
          </cell>
        </row>
        <row r="79">
          <cell r="A79" t="str">
            <v>Хрустящие крылышки острые к пиву ТМ Горячая штучка 0,3кг зам  ПОКОМ</v>
          </cell>
          <cell r="E79" t="str">
            <v>шт</v>
          </cell>
          <cell r="F79">
            <v>136</v>
          </cell>
          <cell r="H79">
            <v>919</v>
          </cell>
          <cell r="I79">
            <v>483</v>
          </cell>
          <cell r="J79">
            <v>572</v>
          </cell>
          <cell r="K79">
            <v>40.799999999999997</v>
          </cell>
          <cell r="L79">
            <v>275.7</v>
          </cell>
          <cell r="M79">
            <v>144.9</v>
          </cell>
          <cell r="N79">
            <v>171.6</v>
          </cell>
        </row>
        <row r="80">
          <cell r="A80" t="str">
            <v>Хрустящие крылышки ТМ Горячая штучка 0,3 кг зам  ПОКОМ</v>
          </cell>
          <cell r="E80" t="str">
            <v>шт</v>
          </cell>
          <cell r="F80">
            <v>390</v>
          </cell>
          <cell r="H80">
            <v>1780</v>
          </cell>
          <cell r="I80">
            <v>1140</v>
          </cell>
          <cell r="J80">
            <v>1030</v>
          </cell>
          <cell r="K80">
            <v>117</v>
          </cell>
          <cell r="L80">
            <v>534</v>
          </cell>
          <cell r="M80">
            <v>342</v>
          </cell>
          <cell r="N80">
            <v>309</v>
          </cell>
        </row>
        <row r="81">
          <cell r="A81" t="str">
            <v>Чебупели Курочка гриль Базовый ассортимент Фикс.вес 0,3 Пакет Горячая штучка  Поком</v>
          </cell>
          <cell r="E81" t="str">
            <v>шт</v>
          </cell>
          <cell r="H81">
            <v>160</v>
          </cell>
          <cell r="I81">
            <v>174</v>
          </cell>
          <cell r="J81">
            <v>-14</v>
          </cell>
          <cell r="L81">
            <v>48</v>
          </cell>
          <cell r="M81">
            <v>52.2</v>
          </cell>
          <cell r="N81">
            <v>-4.2</v>
          </cell>
        </row>
        <row r="82">
          <cell r="A82" t="str">
            <v>Чебупели со вкусом Фо бо ТМ Горячая штучка 0,22 кг  ПОКОМ</v>
          </cell>
          <cell r="E82" t="str">
            <v>шт</v>
          </cell>
          <cell r="H82">
            <v>170</v>
          </cell>
          <cell r="I82">
            <v>57</v>
          </cell>
          <cell r="J82">
            <v>113</v>
          </cell>
          <cell r="L82">
            <v>37.4</v>
          </cell>
          <cell r="M82">
            <v>12.54</v>
          </cell>
          <cell r="N82">
            <v>24.86</v>
          </cell>
        </row>
        <row r="83">
          <cell r="A83" t="str">
            <v>Чебупицца курочка по-итальянски Горячая штучка 0,25 кг зам  ПОКОМ</v>
          </cell>
          <cell r="E83" t="str">
            <v>шт</v>
          </cell>
          <cell r="F83">
            <v>-61</v>
          </cell>
          <cell r="H83">
            <v>592</v>
          </cell>
          <cell r="I83">
            <v>558</v>
          </cell>
          <cell r="J83">
            <v>-27</v>
          </cell>
          <cell r="K83">
            <v>-15.25</v>
          </cell>
          <cell r="L83">
            <v>148</v>
          </cell>
          <cell r="M83">
            <v>139.5</v>
          </cell>
          <cell r="N83">
            <v>-6.75</v>
          </cell>
        </row>
        <row r="84">
          <cell r="A84" t="str">
            <v>Чебупицца Пепперони ТМ Горячая штучка ТС Чебупицца 0.25кг зам  ПОКОМ</v>
          </cell>
          <cell r="E84" t="str">
            <v>шт</v>
          </cell>
          <cell r="F84">
            <v>1128</v>
          </cell>
          <cell r="H84">
            <v>1131</v>
          </cell>
          <cell r="I84">
            <v>2259</v>
          </cell>
          <cell r="K84">
            <v>282</v>
          </cell>
          <cell r="L84">
            <v>282.75</v>
          </cell>
          <cell r="M84">
            <v>564.75</v>
          </cell>
        </row>
        <row r="85">
          <cell r="A85" t="str">
            <v>Чебупицца со вкусом 4 сыра 0,2кг ТМ Горячая штучка ТС Foodgital  ПОКОМ</v>
          </cell>
          <cell r="E85" t="str">
            <v>шт</v>
          </cell>
          <cell r="F85">
            <v>229</v>
          </cell>
          <cell r="H85">
            <v>664</v>
          </cell>
          <cell r="I85">
            <v>571</v>
          </cell>
          <cell r="J85">
            <v>322</v>
          </cell>
          <cell r="K85">
            <v>45.8</v>
          </cell>
          <cell r="L85">
            <v>132.80000000000001</v>
          </cell>
          <cell r="M85">
            <v>114.2</v>
          </cell>
          <cell r="N85">
            <v>64.400000000000006</v>
          </cell>
        </row>
        <row r="86">
          <cell r="A86" t="str">
            <v>Чебупицца со вкусом Том ям ТМ Горячая штучка ТС Чебупицца 0,23кг жареные ПОКОМ</v>
          </cell>
          <cell r="E86" t="str">
            <v>шт</v>
          </cell>
          <cell r="F86">
            <v>670</v>
          </cell>
          <cell r="H86">
            <v>991</v>
          </cell>
          <cell r="I86">
            <v>1061</v>
          </cell>
          <cell r="J86">
            <v>600</v>
          </cell>
          <cell r="K86">
            <v>154.1</v>
          </cell>
          <cell r="L86">
            <v>227.93</v>
          </cell>
          <cell r="M86">
            <v>244.03</v>
          </cell>
          <cell r="N86">
            <v>138</v>
          </cell>
        </row>
        <row r="87">
          <cell r="A87" t="str">
            <v>Чебупицца со вкусом Утка по-пекински ТМ Горячая штучка ТС Чебупицца 0,23 кг.  ПОКОМ</v>
          </cell>
          <cell r="E87" t="str">
            <v>шт</v>
          </cell>
          <cell r="F87">
            <v>209</v>
          </cell>
          <cell r="H87">
            <v>177</v>
          </cell>
          <cell r="I87">
            <v>300</v>
          </cell>
          <cell r="J87">
            <v>86</v>
          </cell>
          <cell r="K87">
            <v>48.07</v>
          </cell>
          <cell r="L87">
            <v>40.71</v>
          </cell>
          <cell r="M87">
            <v>69</v>
          </cell>
          <cell r="N87">
            <v>19.78</v>
          </cell>
        </row>
        <row r="88">
          <cell r="A88" t="str">
            <v>Чебуреки Мясные вес 2,7 кг ТМ Зареченские ТС Зареченские продукты   Поком</v>
          </cell>
          <cell r="E88" t="str">
            <v>кг</v>
          </cell>
          <cell r="F88">
            <v>2.7</v>
          </cell>
          <cell r="H88">
            <v>75.599999999999994</v>
          </cell>
          <cell r="I88">
            <v>10.8</v>
          </cell>
          <cell r="J88">
            <v>67.5</v>
          </cell>
          <cell r="K88">
            <v>2.7</v>
          </cell>
          <cell r="L88">
            <v>75.599999999999994</v>
          </cell>
          <cell r="M88">
            <v>10.8</v>
          </cell>
          <cell r="N88">
            <v>67.5</v>
          </cell>
        </row>
        <row r="89">
          <cell r="A89" t="str">
            <v>Чебуреки сочные ТМ Зареченские ТС Зареченские продукты.  Поком</v>
          </cell>
          <cell r="E89" t="str">
            <v>кг</v>
          </cell>
          <cell r="F89">
            <v>605</v>
          </cell>
          <cell r="H89">
            <v>175</v>
          </cell>
          <cell r="I89">
            <v>781</v>
          </cell>
          <cell r="J89">
            <v>-1</v>
          </cell>
          <cell r="K89">
            <v>605</v>
          </cell>
          <cell r="L89">
            <v>175</v>
          </cell>
          <cell r="M89">
            <v>781</v>
          </cell>
          <cell r="N89">
            <v>-1</v>
          </cell>
        </row>
        <row r="90">
          <cell r="A90" t="str">
            <v>Итого</v>
          </cell>
          <cell r="K90">
            <v>10511.22</v>
          </cell>
          <cell r="L90">
            <v>21182.92</v>
          </cell>
          <cell r="M90">
            <v>17724.77</v>
          </cell>
          <cell r="N90">
            <v>13969.37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</row>
        <row r="5">
          <cell r="E5">
            <v>31793.100000000002</v>
          </cell>
          <cell r="F5">
            <v>35386.199999999997</v>
          </cell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36</v>
          </cell>
          <cell r="D6">
            <v>311</v>
          </cell>
          <cell r="E6">
            <v>135</v>
          </cell>
          <cell r="F6">
            <v>212</v>
          </cell>
          <cell r="G6">
            <v>0</v>
          </cell>
          <cell r="I6" t="str">
            <v>бонус</v>
          </cell>
        </row>
        <row r="7">
          <cell r="A7" t="str">
            <v>БОНУС_Наггетсы Нагетосы Сочная курочка ТМ Горячая штучка 0,25 кг зам  ПОКОМ</v>
          </cell>
          <cell r="B7" t="str">
            <v>шт</v>
          </cell>
          <cell r="C7">
            <v>36</v>
          </cell>
          <cell r="D7">
            <v>303</v>
          </cell>
          <cell r="E7">
            <v>112</v>
          </cell>
          <cell r="F7">
            <v>224</v>
          </cell>
          <cell r="G7">
            <v>0</v>
          </cell>
          <cell r="I7" t="str">
            <v>бонус</v>
          </cell>
        </row>
        <row r="8">
          <cell r="A8" t="str">
            <v>Вареники «Медвежье ушко Премиум с картофелем и лесными грибами» 0,6 классическая форма ТМ «Медвежье ушко»</v>
          </cell>
          <cell r="B8" t="str">
            <v>шт</v>
          </cell>
          <cell r="G8">
            <v>0.6</v>
          </cell>
          <cell r="H8">
            <v>180</v>
          </cell>
          <cell r="I8" t="str">
            <v>SU004310</v>
          </cell>
        </row>
        <row r="9">
          <cell r="A9" t="str">
            <v>Готовая чебупицца курочка по-итальянски 0,25кг ТМ Горячая штучка  ПОКОМ</v>
          </cell>
          <cell r="B9" t="str">
            <v>шт</v>
          </cell>
          <cell r="C9">
            <v>495</v>
          </cell>
          <cell r="D9">
            <v>2433</v>
          </cell>
          <cell r="E9">
            <v>431</v>
          </cell>
          <cell r="F9">
            <v>1701</v>
          </cell>
          <cell r="G9">
            <v>0</v>
          </cell>
          <cell r="H9">
            <v>180</v>
          </cell>
          <cell r="I9" t="str">
            <v>дубль</v>
          </cell>
        </row>
        <row r="10">
          <cell r="A10" t="str">
            <v>Готовые бельмеши сочные с мясом ТМ Горячая штучка 0,3кг зам  ПОКОМ</v>
          </cell>
          <cell r="B10" t="str">
            <v>шт</v>
          </cell>
          <cell r="C10">
            <v>-13</v>
          </cell>
          <cell r="D10">
            <v>824</v>
          </cell>
          <cell r="E10">
            <v>165</v>
          </cell>
          <cell r="F10">
            <v>-5</v>
          </cell>
          <cell r="G10">
            <v>0.3</v>
          </cell>
          <cell r="H10">
            <v>180</v>
          </cell>
          <cell r="I10" t="str">
            <v>P004598</v>
          </cell>
        </row>
        <row r="11">
          <cell r="A11" t="str">
            <v>Готовые круггетсы сочные ТМ Горячая штучка флоу пак 0,2кг  ПОКОМ</v>
          </cell>
          <cell r="B11" t="str">
            <v>шт</v>
          </cell>
          <cell r="C11">
            <v>161</v>
          </cell>
          <cell r="D11">
            <v>853</v>
          </cell>
          <cell r="E11">
            <v>186</v>
          </cell>
          <cell r="F11">
            <v>668</v>
          </cell>
          <cell r="G11">
            <v>0</v>
          </cell>
          <cell r="H11">
            <v>180</v>
          </cell>
          <cell r="I11" t="str">
            <v>дубль</v>
          </cell>
        </row>
        <row r="12">
          <cell r="A12" t="str">
            <v>Готовые пекерсы с индейкой в сливочном соусе ТМ Горячая штучка флоу-пак 0,25кг  ПОКОМ</v>
          </cell>
          <cell r="B12" t="str">
            <v>шт</v>
          </cell>
          <cell r="C12">
            <v>368</v>
          </cell>
          <cell r="D12">
            <v>225</v>
          </cell>
          <cell r="E12">
            <v>168</v>
          </cell>
          <cell r="F12">
            <v>210</v>
          </cell>
          <cell r="G12">
            <v>0</v>
          </cell>
          <cell r="H12">
            <v>180</v>
          </cell>
          <cell r="I12" t="str">
            <v>дубль</v>
          </cell>
        </row>
        <row r="13">
          <cell r="A13" t="str">
            <v>Готовые хотстеры ТМ Горячая штучка ТС Хотстеры флоу-пак 0,25 кг.  ПОКОМ</v>
          </cell>
          <cell r="B13" t="str">
            <v>шт</v>
          </cell>
          <cell r="C13">
            <v>1612</v>
          </cell>
          <cell r="D13">
            <v>67</v>
          </cell>
          <cell r="E13">
            <v>654</v>
          </cell>
          <cell r="F13">
            <v>612</v>
          </cell>
          <cell r="G13">
            <v>0</v>
          </cell>
          <cell r="H13">
            <v>180</v>
          </cell>
          <cell r="I13" t="str">
            <v>дубль</v>
          </cell>
        </row>
        <row r="14">
          <cell r="A14" t="str">
            <v>Готовые хотстеры с сыром ТМ Горячая штучка ТС Хотстеры флоу-пак 0,25 кг.  ПОКОМ</v>
          </cell>
          <cell r="B14" t="str">
            <v>шт</v>
          </cell>
          <cell r="C14">
            <v>880</v>
          </cell>
          <cell r="D14">
            <v>196</v>
          </cell>
          <cell r="E14">
            <v>318</v>
          </cell>
          <cell r="F14">
            <v>383</v>
          </cell>
          <cell r="G14">
            <v>0</v>
          </cell>
          <cell r="H14">
            <v>180</v>
          </cell>
          <cell r="I14" t="str">
            <v>дубль</v>
          </cell>
        </row>
        <row r="15">
          <cell r="A15" t="str">
            <v>Готовые чебуманы с говядиной ТМ горячая штучка 0,28 кг.  Поком</v>
          </cell>
          <cell r="B15" t="str">
            <v>шт</v>
          </cell>
          <cell r="C15">
            <v>-6</v>
          </cell>
          <cell r="D15">
            <v>1228</v>
          </cell>
          <cell r="E15">
            <v>533</v>
          </cell>
          <cell r="F15">
            <v>276</v>
          </cell>
          <cell r="G15">
            <v>0.28000000000000003</v>
          </cell>
          <cell r="H15">
            <v>180</v>
          </cell>
          <cell r="I15" t="str">
            <v>P004597</v>
          </cell>
        </row>
        <row r="16">
          <cell r="A16" t="str">
            <v>Готовые чебупели острые с мясом ТМ Горячая штучка флоу-пак 0,24 кг  Поком</v>
          </cell>
          <cell r="B16" t="str">
            <v>шт</v>
          </cell>
          <cell r="C16">
            <v>786</v>
          </cell>
          <cell r="D16">
            <v>885</v>
          </cell>
          <cell r="E16">
            <v>591</v>
          </cell>
          <cell r="F16">
            <v>235</v>
          </cell>
          <cell r="G16">
            <v>0.24</v>
          </cell>
          <cell r="H16">
            <v>180</v>
          </cell>
          <cell r="I16" t="str">
            <v>P004969</v>
          </cell>
        </row>
        <row r="17">
          <cell r="A17" t="str">
            <v>Готовые чебупели с ветчиной и сыром 0,24 кг НОВАЯ ТМ Горячая штучка  ПОКОМ</v>
          </cell>
          <cell r="B17" t="str">
            <v>шт</v>
          </cell>
          <cell r="C17">
            <v>1014</v>
          </cell>
          <cell r="D17">
            <v>289</v>
          </cell>
          <cell r="E17">
            <v>649</v>
          </cell>
          <cell r="F17">
            <v>257</v>
          </cell>
          <cell r="G17">
            <v>0</v>
          </cell>
          <cell r="I17" t="str">
            <v>дубль</v>
          </cell>
        </row>
        <row r="18">
          <cell r="A18" t="str">
            <v>Готовые чебупели с ветчиной и сыром ТМ Горячая штучка флоу-пак 0,24 кг.  ПОКОМ</v>
          </cell>
          <cell r="B18" t="str">
            <v>шт</v>
          </cell>
          <cell r="D18">
            <v>110</v>
          </cell>
          <cell r="E18">
            <v>759</v>
          </cell>
          <cell r="F18">
            <v>257</v>
          </cell>
          <cell r="G18">
            <v>0.24</v>
          </cell>
          <cell r="H18">
            <v>180</v>
          </cell>
          <cell r="I18" t="str">
            <v>P004971</v>
          </cell>
        </row>
        <row r="19">
          <cell r="A19" t="str">
            <v>Готовые чебупели с мясом ТМ Горячая штучка 0,24 кг  ПОКОМ</v>
          </cell>
          <cell r="B19" t="str">
            <v>шт</v>
          </cell>
          <cell r="C19">
            <v>148</v>
          </cell>
          <cell r="D19">
            <v>2128</v>
          </cell>
          <cell r="E19">
            <v>538</v>
          </cell>
          <cell r="F19">
            <v>1683</v>
          </cell>
          <cell r="G19">
            <v>0.24</v>
          </cell>
          <cell r="H19">
            <v>180</v>
          </cell>
          <cell r="I19" t="str">
            <v>P004974</v>
          </cell>
        </row>
        <row r="20">
          <cell r="A20" t="str">
            <v>Готовые чебупели сочные с мясом 0,24 кг НОВАЯ ТМ Горячая штучка флоу-пак  ПОКОМ</v>
          </cell>
          <cell r="B20" t="str">
            <v>шт</v>
          </cell>
          <cell r="C20">
            <v>238</v>
          </cell>
          <cell r="D20">
            <v>1637</v>
          </cell>
          <cell r="E20">
            <v>469</v>
          </cell>
          <cell r="F20">
            <v>837</v>
          </cell>
          <cell r="G20">
            <v>0</v>
          </cell>
          <cell r="I20" t="str">
            <v>дубль</v>
          </cell>
        </row>
        <row r="21">
          <cell r="A21" t="str">
            <v>Готовые чебупели сочные с мясом 0,48 кг НОВАЯ ТМ Горячая штучка флоу-пак МЕГАпачка  ПОКОМ</v>
          </cell>
          <cell r="B21" t="str">
            <v>шт</v>
          </cell>
          <cell r="C21">
            <v>308</v>
          </cell>
          <cell r="D21">
            <v>790</v>
          </cell>
          <cell r="E21">
            <v>396</v>
          </cell>
          <cell r="F21">
            <v>235</v>
          </cell>
          <cell r="G21">
            <v>0</v>
          </cell>
          <cell r="H21">
            <v>180</v>
          </cell>
          <cell r="I21" t="str">
            <v>дубль</v>
          </cell>
        </row>
        <row r="22">
          <cell r="A22" t="str">
            <v>Готовые чебупели сочные с мясом ТМ Горячая штучка флоу-пак 0,24 кг  ПОКОМ</v>
          </cell>
          <cell r="B22" t="str">
            <v>шт</v>
          </cell>
          <cell r="C22">
            <v>-3</v>
          </cell>
          <cell r="D22">
            <v>98</v>
          </cell>
          <cell r="E22">
            <v>664</v>
          </cell>
          <cell r="F22">
            <v>1049</v>
          </cell>
          <cell r="G22">
            <v>0.24</v>
          </cell>
          <cell r="H22">
            <v>180</v>
          </cell>
          <cell r="I22" t="str">
            <v>P004486</v>
          </cell>
        </row>
        <row r="23">
          <cell r="A23" t="str">
            <v>Готовые чебупели сочные с мясом ТМ Горячая штучка флоу-пак 0,48 кг XXL  Поком</v>
          </cell>
          <cell r="B23" t="str">
            <v>шт</v>
          </cell>
          <cell r="D23">
            <v>1</v>
          </cell>
          <cell r="E23">
            <v>396</v>
          </cell>
          <cell r="F23">
            <v>235</v>
          </cell>
          <cell r="G23">
            <v>0.48</v>
          </cell>
          <cell r="H23">
            <v>180</v>
          </cell>
          <cell r="I23" t="str">
            <v>P004595</v>
          </cell>
        </row>
        <row r="24">
          <cell r="A24" t="str">
            <v>Готовые чебуреки с мясом ТМ Горячая штучка 0,09 кг флоу-пак ПОКОМ</v>
          </cell>
          <cell r="B24" t="str">
            <v>шт</v>
          </cell>
          <cell r="C24">
            <v>834</v>
          </cell>
          <cell r="D24">
            <v>2935</v>
          </cell>
          <cell r="E24">
            <v>724</v>
          </cell>
          <cell r="F24">
            <v>432</v>
          </cell>
          <cell r="G24">
            <v>0.09</v>
          </cell>
          <cell r="H24">
            <v>180</v>
          </cell>
          <cell r="I24" t="str">
            <v>P004138</v>
          </cell>
        </row>
        <row r="25">
          <cell r="A25" t="str">
            <v>Готовые чебуреки со свининой и говядиной ТМ Горячая штучка ТС Базовый ассортимент 0,36 кг  ПОКОМ</v>
          </cell>
          <cell r="B25" t="str">
            <v>шт</v>
          </cell>
          <cell r="C25">
            <v>-3</v>
          </cell>
          <cell r="D25">
            <v>28</v>
          </cell>
          <cell r="F25">
            <v>-1</v>
          </cell>
          <cell r="G25">
            <v>0.36</v>
          </cell>
          <cell r="H25">
            <v>180</v>
          </cell>
          <cell r="I25" t="str">
            <v>P004583</v>
          </cell>
        </row>
        <row r="26">
          <cell r="A26" t="str">
            <v>Жареные вареники с картофелем и беконом ТМ Стародворье 0,2 кг  ПОКОМ</v>
          </cell>
          <cell r="B26" t="str">
            <v>шт</v>
          </cell>
          <cell r="C26">
            <v>150</v>
          </cell>
          <cell r="D26">
            <v>744</v>
          </cell>
          <cell r="E26">
            <v>233</v>
          </cell>
          <cell r="F26">
            <v>427</v>
          </cell>
          <cell r="G26">
            <v>0.2</v>
          </cell>
          <cell r="H26">
            <v>180</v>
          </cell>
          <cell r="I26" t="str">
            <v>P005129</v>
          </cell>
        </row>
        <row r="27">
          <cell r="A27" t="str">
            <v>Круггетсы с сырным соусом ТМ Горячая штучка ТС Круггетсы флоу-пак 0,2 кг  ПОКОМ</v>
          </cell>
          <cell r="B27" t="str">
            <v>шт</v>
          </cell>
          <cell r="C27">
            <v>492</v>
          </cell>
          <cell r="D27">
            <v>1828</v>
          </cell>
          <cell r="E27">
            <v>574</v>
          </cell>
          <cell r="F27">
            <v>818</v>
          </cell>
          <cell r="G27">
            <v>0.2</v>
          </cell>
          <cell r="H27">
            <v>180</v>
          </cell>
          <cell r="I27" t="str">
            <v>P004956</v>
          </cell>
        </row>
        <row r="28">
          <cell r="A28" t="str">
            <v>Круггетсы сочные ТМ Горячая штучка ТС Круггетсы 0,25 кг зам  ПОКОМ</v>
          </cell>
          <cell r="B28" t="str">
            <v>шт</v>
          </cell>
          <cell r="C28">
            <v>-12</v>
          </cell>
          <cell r="D28">
            <v>12</v>
          </cell>
          <cell r="G28">
            <v>0</v>
          </cell>
          <cell r="I28" t="str">
            <v>дубль</v>
          </cell>
        </row>
        <row r="29">
          <cell r="A29" t="str">
            <v>Круггетсы сочные ТМ Горячая штучка ТС Круггетсы флоу-пак  0,2 кг.  ПОКОМ</v>
          </cell>
          <cell r="B29" t="str">
            <v>шт</v>
          </cell>
          <cell r="C29">
            <v>277</v>
          </cell>
          <cell r="D29">
            <v>792</v>
          </cell>
          <cell r="E29">
            <v>564</v>
          </cell>
          <cell r="F29">
            <v>676</v>
          </cell>
          <cell r="G29">
            <v>0.2</v>
          </cell>
          <cell r="H29">
            <v>180</v>
          </cell>
          <cell r="I29" t="str">
            <v>P004953</v>
          </cell>
        </row>
        <row r="30">
          <cell r="A30" t="str">
            <v>Мини-сосиски в ароматном тесте ВЕС ТМ Зареченские продукты  ПОКОМ</v>
          </cell>
          <cell r="B30" t="str">
            <v>кг</v>
          </cell>
          <cell r="C30">
            <v>-5.7</v>
          </cell>
          <cell r="D30">
            <v>560.70000000000005</v>
          </cell>
          <cell r="E30">
            <v>197.4</v>
          </cell>
          <cell r="F30">
            <v>353.9</v>
          </cell>
          <cell r="G30">
            <v>1</v>
          </cell>
          <cell r="I30" t="str">
            <v>новинка по ротации</v>
          </cell>
        </row>
        <row r="31">
          <cell r="A31" t="str">
            <v>Мини-чебуреки с мясом ТМ Зареченские ТС Зареченские продукты ПОКОМ</v>
          </cell>
          <cell r="B31" t="str">
            <v>кг</v>
          </cell>
          <cell r="C31">
            <v>90</v>
          </cell>
          <cell r="D31">
            <v>346</v>
          </cell>
          <cell r="E31">
            <v>97.5</v>
          </cell>
          <cell r="F31">
            <v>22</v>
          </cell>
          <cell r="G31">
            <v>1</v>
          </cell>
          <cell r="H31">
            <v>180</v>
          </cell>
          <cell r="I31" t="str">
            <v>P004358</v>
          </cell>
        </row>
        <row r="32">
          <cell r="A32" t="str">
            <v>Мини-шарики с курочкой и сыром ТМ Зареченские ВЕС ПОКОМ</v>
          </cell>
          <cell r="B32" t="str">
            <v>кг</v>
          </cell>
          <cell r="D32">
            <v>69</v>
          </cell>
          <cell r="E32">
            <v>87</v>
          </cell>
          <cell r="F32">
            <v>255</v>
          </cell>
          <cell r="G32">
            <v>1</v>
          </cell>
          <cell r="H32">
            <v>180</v>
          </cell>
          <cell r="I32" t="str">
            <v>P004394</v>
          </cell>
        </row>
        <row r="33">
          <cell r="A33" t="str">
            <v>Наггетсы «Сливушки в темпуре» Фикс.вес 0,23 ТМ «Вязанка»</v>
          </cell>
          <cell r="B33" t="str">
            <v>шт</v>
          </cell>
          <cell r="G33">
            <v>0.23</v>
          </cell>
          <cell r="H33">
            <v>180</v>
          </cell>
          <cell r="I33" t="str">
            <v>SU004023</v>
          </cell>
        </row>
        <row r="34">
          <cell r="A34" t="str">
            <v>Наггетсы Нагетосы Сочная курочка ТМ Горячая штучка 0,25 кг зам  ПОКОМ</v>
          </cell>
          <cell r="B34" t="str">
            <v>шт</v>
          </cell>
          <cell r="C34">
            <v>754</v>
          </cell>
          <cell r="D34">
            <v>909</v>
          </cell>
          <cell r="E34">
            <v>707</v>
          </cell>
          <cell r="F34">
            <v>700</v>
          </cell>
          <cell r="G34">
            <v>0.25</v>
          </cell>
          <cell r="H34">
            <v>365</v>
          </cell>
          <cell r="I34" t="str">
            <v>P004602</v>
          </cell>
        </row>
        <row r="35">
          <cell r="A35" t="str">
            <v>Наггетсы Нагетосы Сочная курочка со сметаной и зеленью ТМ Горячая штучка флоу-пак 0,25 кг  Поком</v>
          </cell>
          <cell r="B35" t="str">
            <v>шт</v>
          </cell>
          <cell r="C35">
            <v>6</v>
          </cell>
          <cell r="D35">
            <v>1294</v>
          </cell>
          <cell r="E35">
            <v>337</v>
          </cell>
          <cell r="F35">
            <v>857</v>
          </cell>
          <cell r="G35">
            <v>0.25</v>
          </cell>
          <cell r="H35">
            <v>365</v>
          </cell>
          <cell r="I35" t="str">
            <v>P004600</v>
          </cell>
        </row>
        <row r="36">
          <cell r="A36" t="str">
            <v>Наггетсы Хрустящие НД2. ВЕС.  ПОКОМ</v>
          </cell>
          <cell r="B36" t="str">
            <v>кг</v>
          </cell>
          <cell r="C36">
            <v>270</v>
          </cell>
          <cell r="D36">
            <v>1104</v>
          </cell>
          <cell r="E36">
            <v>588</v>
          </cell>
          <cell r="F36">
            <v>588</v>
          </cell>
          <cell r="G36">
            <v>0</v>
          </cell>
          <cell r="H36">
            <v>180</v>
          </cell>
          <cell r="I36" t="str">
            <v>дубль</v>
          </cell>
        </row>
        <row r="37">
          <cell r="A37" t="str">
            <v>Наггетсы Хрустящие ТМ Зареченские ТС Зареченские продукты. Поком</v>
          </cell>
          <cell r="B37" t="str">
            <v>кг</v>
          </cell>
          <cell r="C37">
            <v>-119</v>
          </cell>
          <cell r="D37">
            <v>131</v>
          </cell>
          <cell r="E37">
            <v>594</v>
          </cell>
          <cell r="F37">
            <v>588</v>
          </cell>
          <cell r="G37">
            <v>1</v>
          </cell>
          <cell r="H37">
            <v>180</v>
          </cell>
          <cell r="I37" t="str">
            <v>P003486</v>
          </cell>
        </row>
        <row r="38">
          <cell r="A38" t="str">
            <v>Наггетсы Хрустящие ТМ Стародворье с сочной курочкой 0,23 кг  ПОКОМ</v>
          </cell>
          <cell r="B38" t="str">
            <v>шт</v>
          </cell>
          <cell r="C38">
            <v>1872</v>
          </cell>
          <cell r="D38">
            <v>2155</v>
          </cell>
          <cell r="E38">
            <v>453</v>
          </cell>
          <cell r="F38">
            <v>1415</v>
          </cell>
          <cell r="G38">
            <v>0.23</v>
          </cell>
          <cell r="H38">
            <v>180</v>
          </cell>
          <cell r="I38" t="str">
            <v>P004486</v>
          </cell>
        </row>
        <row r="39">
          <cell r="A39" t="str">
            <v>Наггетсы из печи 0,25кг ТМ Вязанка замор.  ПОКОМ</v>
          </cell>
          <cell r="B39" t="str">
            <v>шт</v>
          </cell>
          <cell r="C39">
            <v>1052</v>
          </cell>
          <cell r="D39">
            <v>3677</v>
          </cell>
          <cell r="E39">
            <v>1376</v>
          </cell>
          <cell r="F39">
            <v>1326</v>
          </cell>
          <cell r="G39">
            <v>0.25</v>
          </cell>
          <cell r="H39">
            <v>365</v>
          </cell>
          <cell r="I39" t="str">
            <v>P004497</v>
          </cell>
        </row>
        <row r="40">
          <cell r="A40" t="str">
            <v>Наггетсы с индейкой 0,25кг ТМ Вязанка ТС Из печи Сливушки ПОКОМ</v>
          </cell>
          <cell r="B40" t="str">
            <v>шт</v>
          </cell>
          <cell r="C40">
            <v>934</v>
          </cell>
          <cell r="D40">
            <v>2750</v>
          </cell>
          <cell r="E40">
            <v>912</v>
          </cell>
          <cell r="F40">
            <v>664</v>
          </cell>
          <cell r="G40">
            <v>0.25</v>
          </cell>
          <cell r="H40">
            <v>365</v>
          </cell>
          <cell r="I40" t="str">
            <v>P004496</v>
          </cell>
        </row>
        <row r="41">
          <cell r="A41" t="str">
            <v>Наггетсы с куриным филе и сыром ТМ Вязанка ТС Из печи Сливушки 0,25 кг.  Поком</v>
          </cell>
          <cell r="B41" t="str">
            <v>шт</v>
          </cell>
          <cell r="C41">
            <v>673</v>
          </cell>
          <cell r="D41">
            <v>1624</v>
          </cell>
          <cell r="E41">
            <v>730</v>
          </cell>
          <cell r="F41">
            <v>107</v>
          </cell>
          <cell r="G41">
            <v>0.25</v>
          </cell>
          <cell r="H41">
            <v>180</v>
          </cell>
          <cell r="I41" t="str">
            <v>P004535</v>
          </cell>
        </row>
        <row r="42">
          <cell r="A42" t="str">
            <v>Пекерсы с индейкой в сливочном соусе ТМ Горячая штучка 0,25 кг зам  ПОКОМ</v>
          </cell>
          <cell r="B42" t="str">
            <v>шт</v>
          </cell>
          <cell r="C42">
            <v>-3</v>
          </cell>
          <cell r="D42">
            <v>182</v>
          </cell>
          <cell r="E42">
            <v>335</v>
          </cell>
          <cell r="F42">
            <v>210</v>
          </cell>
          <cell r="G42">
            <v>0.25</v>
          </cell>
          <cell r="H42">
            <v>180</v>
          </cell>
          <cell r="I42" t="str">
            <v>P004594</v>
          </cell>
        </row>
        <row r="43">
          <cell r="A43" t="str">
            <v>Пельмени Grandmeni с говядиной ТМ Горячаяштучка флоу-пак сфера 0,7 кг.  Поком</v>
          </cell>
          <cell r="B43" t="str">
            <v>шт</v>
          </cell>
          <cell r="C43">
            <v>133</v>
          </cell>
          <cell r="D43">
            <v>723</v>
          </cell>
          <cell r="E43">
            <v>298</v>
          </cell>
          <cell r="F43">
            <v>404</v>
          </cell>
          <cell r="G43">
            <v>0.7</v>
          </cell>
          <cell r="H43">
            <v>180</v>
          </cell>
          <cell r="I43" t="str">
            <v>P004887</v>
          </cell>
        </row>
        <row r="44">
          <cell r="A44" t="str">
            <v>Пельмени Grandmeni с говядиной и свининой ТМ Горячаяштучка флоу-па классическая форма 0,7 кг.  Поком</v>
          </cell>
          <cell r="B44" t="str">
            <v>шт</v>
          </cell>
          <cell r="C44">
            <v>441</v>
          </cell>
          <cell r="D44">
            <v>19</v>
          </cell>
          <cell r="E44">
            <v>225</v>
          </cell>
          <cell r="F44">
            <v>223</v>
          </cell>
          <cell r="G44">
            <v>0.7</v>
          </cell>
          <cell r="H44">
            <v>180</v>
          </cell>
          <cell r="I44" t="str">
            <v>P004889</v>
          </cell>
        </row>
        <row r="45">
          <cell r="A45" t="str">
            <v>Пельмени Grandmeni со сливочным маслом  ТМ Горячая штучка флоу-пак сфера 0,7 кг.  Поком</v>
          </cell>
          <cell r="B45" t="str">
            <v>шт</v>
          </cell>
          <cell r="C45">
            <v>2</v>
          </cell>
          <cell r="G45">
            <v>0.7</v>
          </cell>
          <cell r="H45">
            <v>180</v>
          </cell>
          <cell r="I45" t="str">
            <v>P004888</v>
          </cell>
        </row>
        <row r="46">
          <cell r="A46" t="str">
            <v>Пельмени Медвежье ушко Премиум со сливочным маслом 0,4 кг ТМ Медвежье ушко  ПОКОМ</v>
          </cell>
          <cell r="B46" t="str">
            <v>шт</v>
          </cell>
          <cell r="D46">
            <v>192</v>
          </cell>
          <cell r="E46">
            <v>1</v>
          </cell>
          <cell r="F46">
            <v>191</v>
          </cell>
          <cell r="G46">
            <v>0.4</v>
          </cell>
          <cell r="H46">
            <v>180</v>
          </cell>
          <cell r="I46" t="str">
            <v>P005439</v>
          </cell>
        </row>
        <row r="47">
          <cell r="A47" t="str">
            <v>Пельмени Медвежье ушко Премиум со сливочным маслом 0,8 кг ТМ Медвежье ушко  ПОКОМ</v>
          </cell>
          <cell r="B47" t="str">
            <v>шт</v>
          </cell>
          <cell r="D47">
            <v>96</v>
          </cell>
          <cell r="F47">
            <v>96</v>
          </cell>
          <cell r="G47">
            <v>0.8</v>
          </cell>
          <cell r="H47">
            <v>180</v>
          </cell>
          <cell r="I47" t="str">
            <v>P005438</v>
          </cell>
        </row>
        <row r="48">
          <cell r="A48" t="str">
            <v>Пельмени Бигбули #МЕГАВКУСИЩЕ с сочной грудинкой  ТМ Горячая штучка  флоу-пак сфера 0,7 кг.  Поком</v>
          </cell>
          <cell r="B48" t="str">
            <v>шт</v>
          </cell>
          <cell r="C48">
            <v>451</v>
          </cell>
          <cell r="D48">
            <v>807</v>
          </cell>
          <cell r="E48">
            <v>263</v>
          </cell>
          <cell r="F48">
            <v>133</v>
          </cell>
          <cell r="G48">
            <v>0.7</v>
          </cell>
          <cell r="H48">
            <v>180</v>
          </cell>
          <cell r="I48" t="str">
            <v>P004486</v>
          </cell>
        </row>
        <row r="49">
          <cell r="A49" t="str">
            <v>Пельмени Бигбули с мясом ТМ Горячая штучка БУЛЬМЕНИ ТС Бигбули ГШ  флоу-пак сфера 0,7.   Поком</v>
          </cell>
          <cell r="B49" t="str">
            <v>шт</v>
          </cell>
          <cell r="C49">
            <v>48</v>
          </cell>
          <cell r="D49">
            <v>1755</v>
          </cell>
          <cell r="E49">
            <v>178</v>
          </cell>
          <cell r="F49">
            <v>792</v>
          </cell>
          <cell r="G49">
            <v>0.7</v>
          </cell>
          <cell r="H49">
            <v>180</v>
          </cell>
          <cell r="I49" t="str">
            <v>P004442</v>
          </cell>
        </row>
        <row r="50">
          <cell r="A50" t="str">
            <v>Пельмени Бигбули с мясом ТМ Горячая штучка. флоу-пак сфера 0,4 кг. ПОКОМ</v>
          </cell>
          <cell r="B50" t="str">
            <v>шт</v>
          </cell>
          <cell r="C50">
            <v>320</v>
          </cell>
          <cell r="D50">
            <v>1179</v>
          </cell>
          <cell r="E50">
            <v>200</v>
          </cell>
          <cell r="F50">
            <v>415</v>
          </cell>
          <cell r="G50">
            <v>0.4</v>
          </cell>
          <cell r="H50">
            <v>180</v>
          </cell>
          <cell r="I50" t="str">
            <v>P004443</v>
          </cell>
        </row>
        <row r="51">
          <cell r="A51" t="str">
            <v>Пельмени Бигбули со сливочным маслом  ТС Бигбули ГШ#МЕГАМАСЛИЩЕ флоу-пак сфера 0,7.  Поком</v>
          </cell>
          <cell r="B51" t="str">
            <v>шт</v>
          </cell>
          <cell r="C51">
            <v>578</v>
          </cell>
          <cell r="D51">
            <v>1403</v>
          </cell>
          <cell r="E51">
            <v>439</v>
          </cell>
          <cell r="F51">
            <v>60</v>
          </cell>
          <cell r="G51">
            <v>0.7</v>
          </cell>
          <cell r="H51">
            <v>180</v>
          </cell>
          <cell r="I51" t="str">
            <v>P004203</v>
          </cell>
        </row>
        <row r="52">
          <cell r="A52" t="str">
            <v>Пельмени Бульмени мини с мясом и оливковым маслом  ТС Бульмени ГШ флоу-пак сфера 0,7кг  Поком</v>
          </cell>
          <cell r="B52" t="str">
            <v>шт</v>
          </cell>
          <cell r="C52">
            <v>398</v>
          </cell>
          <cell r="D52">
            <v>2485</v>
          </cell>
          <cell r="E52">
            <v>613</v>
          </cell>
          <cell r="F52">
            <v>295</v>
          </cell>
          <cell r="G52">
            <v>0.7</v>
          </cell>
          <cell r="H52">
            <v>180</v>
          </cell>
          <cell r="I52" t="str">
            <v>P004819</v>
          </cell>
        </row>
        <row r="53">
          <cell r="A53" t="str">
            <v>Пельмени Бульмени с говядиной и свининой Наваристые Горячая штучка ВЕС  ПОКОМ</v>
          </cell>
          <cell r="B53" t="str">
            <v>кг</v>
          </cell>
          <cell r="C53">
            <v>645</v>
          </cell>
          <cell r="D53">
            <v>655</v>
          </cell>
          <cell r="E53">
            <v>575</v>
          </cell>
          <cell r="F53">
            <v>505</v>
          </cell>
          <cell r="G53">
            <v>1</v>
          </cell>
          <cell r="H53">
            <v>180</v>
          </cell>
          <cell r="I53" t="str">
            <v>P003697</v>
          </cell>
        </row>
        <row r="54">
          <cell r="A54" t="str">
            <v>Пельмени Бульмени с говядиной и свининой ТМ Горячая штучка  флоу-пак сфера 0,4 кг  Поком</v>
          </cell>
          <cell r="B54" t="str">
            <v>шт</v>
          </cell>
          <cell r="C54">
            <v>350</v>
          </cell>
          <cell r="D54">
            <v>1188</v>
          </cell>
          <cell r="E54">
            <v>104</v>
          </cell>
          <cell r="F54">
            <v>484</v>
          </cell>
          <cell r="G54">
            <v>0.4</v>
          </cell>
          <cell r="H54">
            <v>180</v>
          </cell>
          <cell r="I54" t="str">
            <v>P004474</v>
          </cell>
        </row>
        <row r="55">
          <cell r="A55" t="str">
            <v>Пельмени Бульмени с говядиной и свининой ТМ Горячая штучка БУЛЬМЕНИ  флоу-пак сфера 0,7 кг.  Поком</v>
          </cell>
          <cell r="B55" t="str">
            <v>шт</v>
          </cell>
          <cell r="C55">
            <v>1099</v>
          </cell>
          <cell r="D55">
            <v>2320</v>
          </cell>
          <cell r="E55">
            <v>847</v>
          </cell>
          <cell r="F55">
            <v>239</v>
          </cell>
          <cell r="G55">
            <v>0.7</v>
          </cell>
          <cell r="H55">
            <v>180</v>
          </cell>
          <cell r="I55" t="str">
            <v>P004345</v>
          </cell>
        </row>
        <row r="56">
          <cell r="A56" t="str">
            <v>Пельмени Бульмени со сливочным маслом ТМ Горячая штучка  флоу-пак сфера 0,4 кг .  Поком</v>
          </cell>
          <cell r="B56" t="str">
            <v>шт</v>
          </cell>
          <cell r="C56">
            <v>1014</v>
          </cell>
          <cell r="D56">
            <v>968</v>
          </cell>
          <cell r="E56">
            <v>469</v>
          </cell>
          <cell r="F56">
            <v>483</v>
          </cell>
          <cell r="G56">
            <v>0.4</v>
          </cell>
          <cell r="H56">
            <v>180</v>
          </cell>
          <cell r="I56" t="str">
            <v>P004444</v>
          </cell>
        </row>
        <row r="57">
          <cell r="A57" t="str">
            <v>Пельмени Бульмени со сливочным маслом ТМ Горячая штучка флоу-пак сфера 0,7 кг .  Поком</v>
          </cell>
          <cell r="B57" t="str">
            <v>шт</v>
          </cell>
          <cell r="C57">
            <v>935</v>
          </cell>
          <cell r="D57">
            <v>1694</v>
          </cell>
          <cell r="E57">
            <v>830</v>
          </cell>
          <cell r="F57">
            <v>412</v>
          </cell>
          <cell r="G57">
            <v>0.7</v>
          </cell>
          <cell r="H57">
            <v>180</v>
          </cell>
          <cell r="I57" t="str">
            <v>P004346</v>
          </cell>
        </row>
        <row r="58">
          <cell r="A58" t="str">
            <v>Пельмени Медвежье ушко Премиум Мясные ТМ Медвежье ушко классическая форма флоу-пак 0,8 кг. ПОКОМ</v>
          </cell>
          <cell r="B58" t="str">
            <v>шт</v>
          </cell>
          <cell r="C58">
            <v>740</v>
          </cell>
          <cell r="D58">
            <v>340</v>
          </cell>
          <cell r="E58">
            <v>342</v>
          </cell>
          <cell r="F58">
            <v>676</v>
          </cell>
          <cell r="G58">
            <v>0.8</v>
          </cell>
          <cell r="I58" t="str">
            <v>ВНИМАНИЕ / P005158</v>
          </cell>
        </row>
        <row r="59">
          <cell r="A59" t="str">
            <v>Пельмени Мясные с говядиной ТМ Стародворье сфера флоу-пак 1 кг  ПОКОМ</v>
          </cell>
          <cell r="B59" t="str">
            <v>шт</v>
          </cell>
          <cell r="C59">
            <v>774</v>
          </cell>
          <cell r="D59">
            <v>554</v>
          </cell>
          <cell r="E59">
            <v>670</v>
          </cell>
          <cell r="F59">
            <v>3</v>
          </cell>
          <cell r="G59">
            <v>1</v>
          </cell>
          <cell r="H59">
            <v>180</v>
          </cell>
          <cell r="I59" t="str">
            <v>P005048</v>
          </cell>
        </row>
        <row r="60">
          <cell r="A60" t="str">
            <v>Пельмени Отборные из свинины и говядины 0,9 кг ТМ Стародворье ТС Медвежье ушко  ПОКОМ</v>
          </cell>
          <cell r="B60" t="str">
            <v>шт</v>
          </cell>
          <cell r="C60">
            <v>110</v>
          </cell>
          <cell r="D60">
            <v>10</v>
          </cell>
          <cell r="E60">
            <v>74</v>
          </cell>
          <cell r="F60">
            <v>18</v>
          </cell>
          <cell r="G60">
            <v>0.9</v>
          </cell>
          <cell r="H60">
            <v>180</v>
          </cell>
          <cell r="I60" t="str">
            <v>P005107</v>
          </cell>
        </row>
        <row r="61">
          <cell r="A61" t="str">
            <v>Пельмени С говядиной и свининой, ВЕС, ТМ Славница сфера пуговки  ПОКОМ</v>
          </cell>
          <cell r="B61" t="str">
            <v>кг</v>
          </cell>
          <cell r="C61">
            <v>65</v>
          </cell>
          <cell r="D61">
            <v>45</v>
          </cell>
          <cell r="G61">
            <v>1</v>
          </cell>
          <cell r="H61">
            <v>180</v>
          </cell>
          <cell r="I61" t="str">
            <v>P004472</v>
          </cell>
        </row>
        <row r="62">
          <cell r="A62" t="str">
            <v>Пельмени Со свининой и говядиной ТМ Особый рецепт Любимая ложка 1,0 кг  ПОКОМ</v>
          </cell>
          <cell r="B62" t="str">
            <v>шт</v>
          </cell>
          <cell r="E62">
            <v>289</v>
          </cell>
          <cell r="F62">
            <v>758</v>
          </cell>
          <cell r="G62">
            <v>1</v>
          </cell>
          <cell r="H62">
            <v>180</v>
          </cell>
          <cell r="I62" t="str">
            <v>ВНИМАНИЕ / P004081</v>
          </cell>
        </row>
        <row r="63">
          <cell r="A63" t="str">
            <v>Пельмени Со свининой и говядиной ТС Любимая ложка сфера флоу-пак 1 кг  ПОКОМ</v>
          </cell>
          <cell r="B63" t="str">
            <v>шт</v>
          </cell>
          <cell r="C63">
            <v>1012</v>
          </cell>
          <cell r="D63">
            <v>42</v>
          </cell>
          <cell r="E63">
            <v>289</v>
          </cell>
          <cell r="F63">
            <v>758</v>
          </cell>
          <cell r="G63">
            <v>0</v>
          </cell>
          <cell r="H63">
            <v>180</v>
          </cell>
          <cell r="I63" t="str">
            <v>дубль</v>
          </cell>
        </row>
        <row r="64">
          <cell r="A64" t="str">
            <v>Пирожки с мясом 3,7кг ВЕС ТМ Зареченские  ПОКОМ</v>
          </cell>
          <cell r="B64" t="str">
            <v>кг</v>
          </cell>
          <cell r="C64">
            <v>95.9</v>
          </cell>
          <cell r="D64">
            <v>33.6</v>
          </cell>
          <cell r="E64">
            <v>129.5</v>
          </cell>
          <cell r="F64">
            <v>10.3</v>
          </cell>
          <cell r="G64">
            <v>1</v>
          </cell>
          <cell r="H64">
            <v>180</v>
          </cell>
          <cell r="I64" t="str">
            <v>P004359</v>
          </cell>
        </row>
        <row r="65">
          <cell r="A65" t="str">
            <v>Пирожки с мясом НД  ВЕС  ПОКОМ</v>
          </cell>
          <cell r="B65" t="str">
            <v>кг</v>
          </cell>
          <cell r="D65">
            <v>51.8</v>
          </cell>
          <cell r="E65">
            <v>40.700000000000003</v>
          </cell>
          <cell r="F65">
            <v>10.3</v>
          </cell>
          <cell r="G65">
            <v>0</v>
          </cell>
          <cell r="H65">
            <v>180</v>
          </cell>
          <cell r="I65" t="str">
            <v>дубль</v>
          </cell>
        </row>
        <row r="66">
          <cell r="A66" t="str">
            <v>ХБИ Готовые бельмеши сочные с мясом НД1 ТМ Горячая штучка 0,3кг зам  ПОКОМ</v>
          </cell>
          <cell r="B66" t="str">
            <v>шт</v>
          </cell>
          <cell r="C66">
            <v>166</v>
          </cell>
          <cell r="D66">
            <v>5</v>
          </cell>
          <cell r="E66">
            <v>50</v>
          </cell>
          <cell r="F66">
            <v>-2</v>
          </cell>
          <cell r="G66">
            <v>0</v>
          </cell>
          <cell r="H66">
            <v>180</v>
          </cell>
          <cell r="I66" t="str">
            <v>дубль</v>
          </cell>
        </row>
        <row r="67">
          <cell r="A67" t="str">
            <v>ХБИ Готовые чебуманы с говядиной 0,28кг ТМ Горячая штучка  ПОКОМ</v>
          </cell>
          <cell r="B67" t="str">
            <v>шт</v>
          </cell>
          <cell r="C67">
            <v>496</v>
          </cell>
          <cell r="D67">
            <v>490</v>
          </cell>
          <cell r="E67">
            <v>197</v>
          </cell>
          <cell r="F67">
            <v>270</v>
          </cell>
          <cell r="G67">
            <v>0</v>
          </cell>
          <cell r="H67">
            <v>180</v>
          </cell>
          <cell r="I67" t="str">
            <v>дубль</v>
          </cell>
        </row>
        <row r="68">
          <cell r="A68" t="str">
            <v>ХБИ Готовые чебупели с курицей ТМ Горячая штучка (курочка гриль) флоу-пак 0,3 кг  ПОКОМ</v>
          </cell>
          <cell r="B68" t="str">
            <v>шт</v>
          </cell>
          <cell r="C68">
            <v>979</v>
          </cell>
          <cell r="D68">
            <v>68</v>
          </cell>
          <cell r="E68">
            <v>236</v>
          </cell>
          <cell r="F68">
            <v>537</v>
          </cell>
          <cell r="G68">
            <v>0</v>
          </cell>
          <cell r="H68">
            <v>180</v>
          </cell>
          <cell r="I68" t="str">
            <v>дубль</v>
          </cell>
        </row>
        <row r="69">
          <cell r="A69" t="str">
            <v>ХБИ Мини-шарики с курочкой и сыром ТМ Зареченские продукты ВЕС  ПОКОМ</v>
          </cell>
          <cell r="B69" t="str">
            <v>кг</v>
          </cell>
          <cell r="C69">
            <v>62.9</v>
          </cell>
          <cell r="D69">
            <v>318.10000000000002</v>
          </cell>
          <cell r="E69">
            <v>72</v>
          </cell>
          <cell r="F69">
            <v>255</v>
          </cell>
          <cell r="G69">
            <v>0</v>
          </cell>
          <cell r="H69">
            <v>180</v>
          </cell>
          <cell r="I69" t="str">
            <v>дубль</v>
          </cell>
        </row>
        <row r="70">
          <cell r="A70" t="str">
            <v>ХБИ Снеки «Готовые круггетсы с сырным соусом» Фикс.вес 0,2 ТМ «Горячая штучка» ПОКОМ</v>
          </cell>
          <cell r="B70" t="str">
            <v>шт</v>
          </cell>
          <cell r="D70">
            <v>1182</v>
          </cell>
          <cell r="E70">
            <v>186</v>
          </cell>
          <cell r="F70">
            <v>818</v>
          </cell>
          <cell r="G70">
            <v>0</v>
          </cell>
          <cell r="H70">
            <v>180</v>
          </cell>
          <cell r="I70" t="str">
            <v>дубль</v>
          </cell>
        </row>
        <row r="71">
          <cell r="A71" t="str">
            <v>Хотстеры Васаби-чили ТМ Горячая штучка ТС Хотстеры 0,23кг жареные ПОКОМ</v>
          </cell>
          <cell r="B71" t="str">
            <v>шт</v>
          </cell>
          <cell r="C71">
            <v>237</v>
          </cell>
          <cell r="D71">
            <v>987</v>
          </cell>
          <cell r="E71">
            <v>272</v>
          </cell>
          <cell r="F71">
            <v>179</v>
          </cell>
          <cell r="G71">
            <v>0.23</v>
          </cell>
          <cell r="H71">
            <v>180</v>
          </cell>
          <cell r="I71" t="str">
            <v>P005182</v>
          </cell>
        </row>
        <row r="72">
          <cell r="A72" t="str">
            <v>Хотстеры ТМ Горячая штучка ТС Хотстеры 0,25 кг зам  ПОКОМ</v>
          </cell>
          <cell r="B72" t="str">
            <v>шт</v>
          </cell>
          <cell r="C72">
            <v>-30</v>
          </cell>
          <cell r="D72">
            <v>344</v>
          </cell>
          <cell r="E72">
            <v>958</v>
          </cell>
          <cell r="F72">
            <v>612</v>
          </cell>
          <cell r="G72">
            <v>0.25</v>
          </cell>
          <cell r="H72">
            <v>180</v>
          </cell>
          <cell r="I72" t="str">
            <v>P004489</v>
          </cell>
        </row>
        <row r="73">
          <cell r="A73" t="str">
            <v>Хотстеры с сыром ТМ Горячая штучка ТС Хотстеры 0,25кг.  Поком</v>
          </cell>
          <cell r="B73" t="str">
            <v>шт</v>
          </cell>
          <cell r="C73">
            <v>-6</v>
          </cell>
          <cell r="D73">
            <v>217</v>
          </cell>
          <cell r="E73">
            <v>513</v>
          </cell>
          <cell r="F73">
            <v>383</v>
          </cell>
          <cell r="G73">
            <v>0.25</v>
          </cell>
          <cell r="H73">
            <v>180</v>
          </cell>
          <cell r="I73" t="str">
            <v>P005058</v>
          </cell>
        </row>
        <row r="74">
          <cell r="A74" t="str">
            <v>Хрустипай апельсин имбирь ТМ Горячая штучка 0,18 кг  ПОКОМ</v>
          </cell>
          <cell r="B74" t="str">
            <v>шт</v>
          </cell>
          <cell r="C74">
            <v>4</v>
          </cell>
          <cell r="D74">
            <v>166</v>
          </cell>
          <cell r="E74">
            <v>49</v>
          </cell>
          <cell r="F74">
            <v>102</v>
          </cell>
          <cell r="G74">
            <v>0</v>
          </cell>
          <cell r="H74">
            <v>180</v>
          </cell>
          <cell r="I74" t="str">
            <v>вывод</v>
          </cell>
        </row>
        <row r="75">
          <cell r="A75" t="str">
            <v>Хрустипай манго маракуйя ТМ Горячая штучка 0,18 кг  ПОКОМ</v>
          </cell>
          <cell r="B75" t="str">
            <v>шт</v>
          </cell>
          <cell r="C75">
            <v>72</v>
          </cell>
          <cell r="D75">
            <v>1078</v>
          </cell>
          <cell r="E75">
            <v>57</v>
          </cell>
          <cell r="F75">
            <v>1083</v>
          </cell>
          <cell r="G75">
            <v>0.18</v>
          </cell>
          <cell r="H75">
            <v>180</v>
          </cell>
          <cell r="I75" t="str">
            <v>P005199</v>
          </cell>
        </row>
        <row r="76">
          <cell r="A76" t="str">
            <v>Хрустипай манго чили ТМ Горячая штучка 0,18кг с начинкой ПОКОМ</v>
          </cell>
          <cell r="B76" t="str">
            <v>шт</v>
          </cell>
          <cell r="C76">
            <v>27</v>
          </cell>
          <cell r="E76">
            <v>1</v>
          </cell>
          <cell r="F76">
            <v>23</v>
          </cell>
          <cell r="G76">
            <v>0</v>
          </cell>
          <cell r="H76">
            <v>180</v>
          </cell>
          <cell r="I76" t="str">
            <v>вывод</v>
          </cell>
        </row>
        <row r="77">
          <cell r="A77" t="str">
            <v>Хрустящие крылышки ТМ Горячая штучка 0,3 кг зам  ПОКОМ</v>
          </cell>
          <cell r="B77" t="str">
            <v>шт</v>
          </cell>
          <cell r="C77">
            <v>926</v>
          </cell>
          <cell r="D77">
            <v>1426</v>
          </cell>
          <cell r="E77">
            <v>870</v>
          </cell>
          <cell r="F77">
            <v>394</v>
          </cell>
          <cell r="G77">
            <v>0.3</v>
          </cell>
          <cell r="H77">
            <v>180</v>
          </cell>
          <cell r="I77" t="str">
            <v>P004588</v>
          </cell>
        </row>
        <row r="78">
          <cell r="A78" t="str">
            <v>Хрустящие крылышки острые к пиву ТМ Горячая штучка 0,3кг зам  ПОКОМ</v>
          </cell>
          <cell r="B78" t="str">
            <v>шт</v>
          </cell>
          <cell r="C78">
            <v>243</v>
          </cell>
          <cell r="D78">
            <v>842</v>
          </cell>
          <cell r="E78">
            <v>444</v>
          </cell>
          <cell r="F78">
            <v>146</v>
          </cell>
          <cell r="G78">
            <v>0.3</v>
          </cell>
          <cell r="H78">
            <v>180</v>
          </cell>
          <cell r="I78" t="str">
            <v>P004589</v>
          </cell>
        </row>
        <row r="79">
          <cell r="A79" t="str">
            <v>Чебупели Курочка гриль Базовый ассортимент Фикс.вес 0,3 Пакет Горячая штучка  Поком</v>
          </cell>
          <cell r="B79" t="str">
            <v>шт</v>
          </cell>
          <cell r="C79">
            <v>-14</v>
          </cell>
          <cell r="D79">
            <v>332</v>
          </cell>
          <cell r="E79">
            <v>468</v>
          </cell>
          <cell r="F79">
            <v>537</v>
          </cell>
          <cell r="G79">
            <v>0.3</v>
          </cell>
          <cell r="H79">
            <v>180</v>
          </cell>
          <cell r="I79" t="str">
            <v>P004113</v>
          </cell>
        </row>
        <row r="80">
          <cell r="A80" t="str">
            <v>Чебупели со вкусом Фо бо ТМ Горячая штучка 0,22 кг  ПОКОМ</v>
          </cell>
          <cell r="B80" t="str">
            <v>шт</v>
          </cell>
          <cell r="C80">
            <v>98</v>
          </cell>
          <cell r="D80">
            <v>10</v>
          </cell>
          <cell r="E80">
            <v>91</v>
          </cell>
          <cell r="G80">
            <v>0.22</v>
          </cell>
          <cell r="I80" t="str">
            <v>матрица</v>
          </cell>
        </row>
        <row r="81">
          <cell r="A81" t="str">
            <v>Чебупицца Пепперони ТМ Горячая штучка ТС Чебупицца 0.25кг зам  ПОКОМ</v>
          </cell>
          <cell r="B81" t="str">
            <v>шт</v>
          </cell>
          <cell r="C81">
            <v>1226</v>
          </cell>
          <cell r="D81">
            <v>4801</v>
          </cell>
          <cell r="E81">
            <v>2092</v>
          </cell>
          <cell r="F81">
            <v>1165</v>
          </cell>
          <cell r="G81">
            <v>0.25</v>
          </cell>
          <cell r="H81">
            <v>180</v>
          </cell>
          <cell r="I81" t="str">
            <v>P004486</v>
          </cell>
        </row>
        <row r="82">
          <cell r="A82" t="str">
            <v>Чебупицца курочка по-итальянски Горячая штучка 0,25 кг зам  ПОКОМ</v>
          </cell>
          <cell r="B82" t="str">
            <v>шт</v>
          </cell>
          <cell r="C82">
            <v>6</v>
          </cell>
          <cell r="D82">
            <v>3345</v>
          </cell>
          <cell r="E82">
            <v>1071</v>
          </cell>
          <cell r="F82">
            <v>1701</v>
          </cell>
          <cell r="G82">
            <v>0.25</v>
          </cell>
          <cell r="H82">
            <v>180</v>
          </cell>
          <cell r="I82" t="str">
            <v>P004484</v>
          </cell>
        </row>
        <row r="83">
          <cell r="A83" t="str">
            <v>Чебупицца со вкусом 4 сыра 0,2кг ТМ Горячая штучка ТС Foodgital  ПОКОМ</v>
          </cell>
          <cell r="B83" t="str">
            <v>шт</v>
          </cell>
          <cell r="C83">
            <v>153</v>
          </cell>
          <cell r="D83">
            <v>996</v>
          </cell>
          <cell r="E83">
            <v>353</v>
          </cell>
          <cell r="F83">
            <v>230</v>
          </cell>
          <cell r="G83">
            <v>0.2</v>
          </cell>
          <cell r="H83">
            <v>365</v>
          </cell>
          <cell r="I83" t="str">
            <v>P004818</v>
          </cell>
        </row>
        <row r="84">
          <cell r="A84" t="str">
            <v>Чебупицца со вкусом Том ям ТМ Горячая штучка ТС Чебупицца 0,23кг жареные ПОКОМ</v>
          </cell>
          <cell r="B84" t="str">
            <v>шт</v>
          </cell>
          <cell r="C84">
            <v>320</v>
          </cell>
          <cell r="D84">
            <v>2436</v>
          </cell>
          <cell r="E84">
            <v>625</v>
          </cell>
          <cell r="F84">
            <v>669</v>
          </cell>
          <cell r="G84">
            <v>0.23</v>
          </cell>
          <cell r="H84">
            <v>180</v>
          </cell>
          <cell r="I84" t="str">
            <v>P005180</v>
          </cell>
        </row>
        <row r="85">
          <cell r="A85" t="str">
            <v>Чебупицца со вкусом Утка по-пекински ТМ Горячая штучка ТС Чебупицца 0,23 кг.  ПОКОМ</v>
          </cell>
          <cell r="B85" t="str">
            <v>шт</v>
          </cell>
          <cell r="C85">
            <v>228</v>
          </cell>
          <cell r="D85">
            <v>166</v>
          </cell>
          <cell r="E85">
            <v>182</v>
          </cell>
          <cell r="F85">
            <v>204</v>
          </cell>
          <cell r="G85">
            <v>0.23</v>
          </cell>
          <cell r="I85" t="str">
            <v>матрица</v>
          </cell>
        </row>
        <row r="86">
          <cell r="A86" t="str">
            <v>Чебуреки Мясные вес 2,7 кг ТМ Зареченские ТС Зареченские продукты   Поком</v>
          </cell>
          <cell r="B86" t="str">
            <v>кг</v>
          </cell>
          <cell r="C86">
            <v>32.4</v>
          </cell>
          <cell r="D86">
            <v>2.7</v>
          </cell>
          <cell r="E86">
            <v>27</v>
          </cell>
          <cell r="F86">
            <v>2.7</v>
          </cell>
          <cell r="G86">
            <v>1</v>
          </cell>
          <cell r="H86">
            <v>180</v>
          </cell>
          <cell r="I86" t="str">
            <v>P003478</v>
          </cell>
        </row>
        <row r="87">
          <cell r="A87" t="str">
            <v>Чебуреки сочные ТМ Зареченские ТС Зареченские продукты.  Поком</v>
          </cell>
          <cell r="B87" t="str">
            <v>кг</v>
          </cell>
          <cell r="C87">
            <v>-5</v>
          </cell>
          <cell r="D87">
            <v>1025</v>
          </cell>
          <cell r="E87">
            <v>420</v>
          </cell>
          <cell r="F87">
            <v>605</v>
          </cell>
          <cell r="G87">
            <v>1</v>
          </cell>
          <cell r="H87">
            <v>180</v>
          </cell>
          <cell r="I87" t="str">
            <v>P003476</v>
          </cell>
        </row>
        <row r="88">
          <cell r="A88" t="str">
            <v>Чебуреки сочные, ВЕС, куриные жарен. зам  ПОКОМ</v>
          </cell>
          <cell r="B88" t="str">
            <v>кг</v>
          </cell>
          <cell r="C88">
            <v>20</v>
          </cell>
          <cell r="D88">
            <v>10</v>
          </cell>
          <cell r="E88">
            <v>10</v>
          </cell>
          <cell r="G88">
            <v>0</v>
          </cell>
          <cell r="I88" t="str">
            <v>дубль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autoPageBreaks="0"/>
  </sheetPr>
  <dimension ref="A1:N93"/>
  <sheetViews>
    <sheetView workbookViewId="0">
      <selection activeCell="J15" sqref="J15:J84"/>
    </sheetView>
  </sheetViews>
  <sheetFormatPr defaultColWidth="10.6640625" defaultRowHeight="11.25" outlineLevelRow="3" x14ac:dyDescent="0.2"/>
  <cols>
    <col min="1" max="1" width="10.5" customWidth="1"/>
    <col min="2" max="2" width="4.1640625" customWidth="1"/>
    <col min="3" max="3" width="55.5" customWidth="1"/>
    <col min="4" max="4" width="7.83203125" customWidth="1"/>
    <col min="5" max="5" width="3" customWidth="1"/>
    <col min="6" max="6" width="15.6640625" customWidth="1"/>
    <col min="7" max="7" width="17.5" customWidth="1"/>
    <col min="8" max="8" width="18.1640625" customWidth="1"/>
    <col min="9" max="9" width="14" customWidth="1"/>
    <col min="10" max="10" width="24.83203125" customWidth="1"/>
    <col min="11" max="11" width="19" customWidth="1"/>
  </cols>
  <sheetData>
    <row r="1" spans="1:14" ht="9.9499999999999993" customHeight="1" x14ac:dyDescent="0.2"/>
    <row r="2" spans="1:14" ht="24" customHeight="1" x14ac:dyDescent="0.2">
      <c r="A2" s="1" t="s">
        <v>0</v>
      </c>
      <c r="B2" s="1"/>
      <c r="C2" s="1"/>
    </row>
    <row r="3" spans="1:14" ht="9.9499999999999993" customHeight="1" x14ac:dyDescent="0.2"/>
    <row r="4" spans="1:14" ht="12.75" customHeight="1" outlineLevel="1" x14ac:dyDescent="0.2">
      <c r="A4" s="2" t="s">
        <v>1</v>
      </c>
      <c r="B4" s="2"/>
      <c r="C4" s="2" t="s">
        <v>2</v>
      </c>
      <c r="D4" s="2"/>
      <c r="E4" s="2"/>
    </row>
    <row r="5" spans="1:14" ht="12.75" customHeight="1" outlineLevel="1" x14ac:dyDescent="0.2">
      <c r="C5" s="2" t="s">
        <v>3</v>
      </c>
      <c r="D5" s="2"/>
      <c r="E5" s="2"/>
    </row>
    <row r="6" spans="1:14" ht="24.75" customHeight="1" outlineLevel="1" x14ac:dyDescent="0.2">
      <c r="A6" s="2" t="s">
        <v>4</v>
      </c>
      <c r="B6" s="2"/>
      <c r="C6" s="40" t="s">
        <v>5</v>
      </c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 ht="9.9499999999999993" customHeight="1" x14ac:dyDescent="0.2"/>
    <row r="8" spans="1:14" ht="12.75" customHeight="1" x14ac:dyDescent="0.2">
      <c r="A8" s="41" t="s">
        <v>6</v>
      </c>
      <c r="B8" s="41"/>
      <c r="C8" s="41"/>
      <c r="D8" s="41"/>
      <c r="E8" s="42" t="s">
        <v>7</v>
      </c>
      <c r="F8" s="42"/>
      <c r="G8" s="42"/>
      <c r="H8" s="42"/>
      <c r="I8" s="55" t="s">
        <v>8</v>
      </c>
      <c r="J8" s="57" t="s">
        <v>9</v>
      </c>
    </row>
    <row r="9" spans="1:14" ht="24.75" hidden="1" customHeight="1" x14ac:dyDescent="0.2">
      <c r="A9" s="41" t="s">
        <v>10</v>
      </c>
      <c r="B9" s="41"/>
      <c r="C9" s="41"/>
      <c r="D9" s="41"/>
      <c r="E9" s="42" t="s">
        <v>11</v>
      </c>
      <c r="F9" s="42"/>
      <c r="G9" s="4" t="s">
        <v>12</v>
      </c>
      <c r="H9" s="3" t="s">
        <v>13</v>
      </c>
      <c r="I9" s="56"/>
      <c r="J9" s="58"/>
    </row>
    <row r="10" spans="1:14" ht="11.25" hidden="1" customHeight="1" x14ac:dyDescent="0.2">
      <c r="A10" s="43" t="s">
        <v>14</v>
      </c>
      <c r="B10" s="43"/>
      <c r="C10" s="43"/>
      <c r="D10" s="43"/>
      <c r="E10" s="44">
        <v>41586.199999999997</v>
      </c>
      <c r="F10" s="44"/>
      <c r="G10" s="5"/>
      <c r="H10" s="5">
        <v>2889.98</v>
      </c>
      <c r="I10" s="6">
        <v>31589.33</v>
      </c>
      <c r="J10" s="7"/>
    </row>
    <row r="11" spans="1:14" ht="11.25" hidden="1" customHeight="1" outlineLevel="1" x14ac:dyDescent="0.2">
      <c r="A11" s="34" t="s">
        <v>15</v>
      </c>
      <c r="B11" s="34"/>
      <c r="C11" s="34"/>
      <c r="D11" s="34"/>
      <c r="E11" s="35">
        <v>40634.199999999997</v>
      </c>
      <c r="F11" s="35"/>
      <c r="G11" s="8"/>
      <c r="H11" s="8">
        <v>2889.98</v>
      </c>
      <c r="I11" s="9">
        <v>15405.33</v>
      </c>
      <c r="J11" s="7"/>
    </row>
    <row r="12" spans="1:14" ht="11.25" hidden="1" customHeight="1" outlineLevel="2" x14ac:dyDescent="0.2">
      <c r="A12" s="36" t="s">
        <v>16</v>
      </c>
      <c r="B12" s="36"/>
      <c r="C12" s="36"/>
      <c r="D12" s="36"/>
      <c r="E12" s="37">
        <v>861.8</v>
      </c>
      <c r="F12" s="37"/>
      <c r="G12" s="10"/>
      <c r="H12" s="10">
        <v>94</v>
      </c>
      <c r="I12" s="11">
        <v>799.5</v>
      </c>
      <c r="J12" s="7"/>
    </row>
    <row r="13" spans="1:14" ht="11.25" hidden="1" customHeight="1" outlineLevel="3" x14ac:dyDescent="0.2">
      <c r="A13" s="38" t="s">
        <v>17</v>
      </c>
      <c r="B13" s="38"/>
      <c r="C13" s="38"/>
      <c r="D13" s="38"/>
      <c r="E13" s="39">
        <v>770.3</v>
      </c>
      <c r="F13" s="39"/>
      <c r="G13" s="13">
        <v>29.6</v>
      </c>
      <c r="H13" s="12">
        <v>29.6</v>
      </c>
      <c r="I13" s="14">
        <v>740.7</v>
      </c>
      <c r="J13" s="15"/>
    </row>
    <row r="14" spans="1:14" ht="11.25" hidden="1" customHeight="1" outlineLevel="3" x14ac:dyDescent="0.2">
      <c r="A14" s="38" t="s">
        <v>18</v>
      </c>
      <c r="B14" s="38"/>
      <c r="C14" s="38"/>
      <c r="D14" s="38"/>
      <c r="E14" s="39">
        <v>3</v>
      </c>
      <c r="F14" s="39"/>
      <c r="G14" s="13">
        <v>15</v>
      </c>
      <c r="H14" s="12">
        <v>18</v>
      </c>
      <c r="I14" s="14">
        <v>-9</v>
      </c>
      <c r="J14" s="15"/>
    </row>
    <row r="15" spans="1:14" ht="11.25" customHeight="1" outlineLevel="3" x14ac:dyDescent="0.2">
      <c r="A15" s="38" t="s">
        <v>19</v>
      </c>
      <c r="B15" s="38"/>
      <c r="C15" s="38"/>
      <c r="D15" s="38"/>
      <c r="E15" s="39">
        <v>-2</v>
      </c>
      <c r="F15" s="39"/>
      <c r="G15" s="16">
        <v>18</v>
      </c>
      <c r="H15" s="17"/>
      <c r="I15" s="18"/>
      <c r="J15" s="19">
        <f>G15-H15</f>
        <v>18</v>
      </c>
    </row>
    <row r="16" spans="1:14" ht="11.25" hidden="1" customHeight="1" outlineLevel="3" x14ac:dyDescent="0.2">
      <c r="A16" s="38" t="s">
        <v>20</v>
      </c>
      <c r="B16" s="38"/>
      <c r="C16" s="38"/>
      <c r="D16" s="38"/>
      <c r="E16" s="39">
        <v>-3.7</v>
      </c>
      <c r="F16" s="39"/>
      <c r="G16" s="13">
        <v>3.7</v>
      </c>
      <c r="H16" s="12">
        <v>3.7</v>
      </c>
      <c r="I16" s="14">
        <v>-3.7</v>
      </c>
      <c r="J16" s="15"/>
    </row>
    <row r="17" spans="1:10" ht="21.75" hidden="1" customHeight="1" outlineLevel="3" x14ac:dyDescent="0.2">
      <c r="A17" s="38" t="s">
        <v>21</v>
      </c>
      <c r="B17" s="38"/>
      <c r="C17" s="38"/>
      <c r="D17" s="38"/>
      <c r="E17" s="39">
        <v>70.2</v>
      </c>
      <c r="F17" s="39"/>
      <c r="G17" s="13">
        <v>2.7</v>
      </c>
      <c r="H17" s="12">
        <v>2.7</v>
      </c>
      <c r="I17" s="14">
        <v>67.5</v>
      </c>
      <c r="J17" s="15"/>
    </row>
    <row r="18" spans="1:10" ht="11.25" customHeight="1" outlineLevel="3" x14ac:dyDescent="0.2">
      <c r="A18" s="38" t="s">
        <v>22</v>
      </c>
      <c r="B18" s="38"/>
      <c r="C18" s="38"/>
      <c r="D18" s="38"/>
      <c r="E18" s="39">
        <v>24</v>
      </c>
      <c r="F18" s="39"/>
      <c r="G18" s="16">
        <v>115</v>
      </c>
      <c r="H18" s="20">
        <v>40</v>
      </c>
      <c r="I18" s="14">
        <v>4</v>
      </c>
      <c r="J18" s="19">
        <f>G18-H18</f>
        <v>75</v>
      </c>
    </row>
    <row r="19" spans="1:10" ht="11.25" hidden="1" customHeight="1" outlineLevel="2" x14ac:dyDescent="0.2">
      <c r="A19" s="45" t="s">
        <v>23</v>
      </c>
      <c r="B19" s="45"/>
      <c r="C19" s="45"/>
      <c r="D19" s="45"/>
      <c r="E19" s="46">
        <v>39772.400000000001</v>
      </c>
      <c r="F19" s="46"/>
      <c r="G19" s="22"/>
      <c r="H19" s="21"/>
      <c r="I19" s="23">
        <v>14605.83</v>
      </c>
      <c r="J19" s="24"/>
    </row>
    <row r="20" spans="1:10" ht="21.75" hidden="1" customHeight="1" outlineLevel="3" x14ac:dyDescent="0.2">
      <c r="A20" s="38" t="s">
        <v>24</v>
      </c>
      <c r="B20" s="38"/>
      <c r="C20" s="38"/>
      <c r="D20" s="38"/>
      <c r="E20" s="39">
        <v>24</v>
      </c>
      <c r="F20" s="39"/>
      <c r="G20" s="13">
        <v>7.92</v>
      </c>
      <c r="H20" s="12">
        <v>7.92</v>
      </c>
      <c r="I20" s="14">
        <v>-1.92</v>
      </c>
      <c r="J20" s="24"/>
    </row>
    <row r="21" spans="1:10" ht="21.75" hidden="1" customHeight="1" outlineLevel="3" x14ac:dyDescent="0.2">
      <c r="A21" s="38" t="s">
        <v>25</v>
      </c>
      <c r="B21" s="38"/>
      <c r="C21" s="38"/>
      <c r="D21" s="38"/>
      <c r="E21" s="39">
        <v>113</v>
      </c>
      <c r="F21" s="39"/>
      <c r="G21" s="13">
        <v>5.25</v>
      </c>
      <c r="H21" s="12">
        <v>5</v>
      </c>
      <c r="I21" s="14">
        <v>23.5</v>
      </c>
      <c r="J21" s="24"/>
    </row>
    <row r="22" spans="1:10" ht="21.75" hidden="1" customHeight="1" outlineLevel="3" x14ac:dyDescent="0.2">
      <c r="A22" s="38" t="s">
        <v>26</v>
      </c>
      <c r="B22" s="38"/>
      <c r="C22" s="38"/>
      <c r="D22" s="38"/>
      <c r="E22" s="39">
        <v>227</v>
      </c>
      <c r="F22" s="39"/>
      <c r="G22" s="13">
        <v>7.2</v>
      </c>
      <c r="H22" s="12">
        <v>9</v>
      </c>
      <c r="I22" s="14">
        <v>128.4</v>
      </c>
      <c r="J22" s="24"/>
    </row>
    <row r="23" spans="1:10" ht="21.75" hidden="1" customHeight="1" outlineLevel="3" x14ac:dyDescent="0.2">
      <c r="A23" s="38" t="s">
        <v>27</v>
      </c>
      <c r="B23" s="38"/>
      <c r="C23" s="38"/>
      <c r="D23" s="38"/>
      <c r="E23" s="47">
        <v>2417</v>
      </c>
      <c r="F23" s="47"/>
      <c r="G23" s="13">
        <v>37.5</v>
      </c>
      <c r="H23" s="12">
        <v>107</v>
      </c>
      <c r="I23" s="14">
        <v>570.5</v>
      </c>
      <c r="J23" s="24"/>
    </row>
    <row r="24" spans="1:10" ht="11.25" hidden="1" customHeight="1" outlineLevel="3" x14ac:dyDescent="0.2">
      <c r="A24" s="38" t="s">
        <v>28</v>
      </c>
      <c r="B24" s="38"/>
      <c r="C24" s="38"/>
      <c r="D24" s="38"/>
      <c r="E24" s="39">
        <v>-72</v>
      </c>
      <c r="F24" s="39"/>
      <c r="G24" s="13">
        <v>21.3</v>
      </c>
      <c r="H24" s="12">
        <v>21.3</v>
      </c>
      <c r="I24" s="14">
        <v>-21.3</v>
      </c>
      <c r="J24" s="24"/>
    </row>
    <row r="25" spans="1:10" ht="11.25" hidden="1" customHeight="1" outlineLevel="3" x14ac:dyDescent="0.2">
      <c r="A25" s="38" t="s">
        <v>29</v>
      </c>
      <c r="B25" s="38"/>
      <c r="C25" s="38"/>
      <c r="D25" s="38"/>
      <c r="E25" s="39">
        <v>902</v>
      </c>
      <c r="F25" s="39"/>
      <c r="G25" s="13">
        <v>9.4</v>
      </c>
      <c r="H25" s="12">
        <v>16</v>
      </c>
      <c r="I25" s="14">
        <v>177</v>
      </c>
      <c r="J25" s="24"/>
    </row>
    <row r="26" spans="1:10" ht="21.75" hidden="1" customHeight="1" outlineLevel="3" x14ac:dyDescent="0.2">
      <c r="A26" s="38" t="s">
        <v>30</v>
      </c>
      <c r="B26" s="38"/>
      <c r="C26" s="38"/>
      <c r="D26" s="38"/>
      <c r="E26" s="39">
        <v>713</v>
      </c>
      <c r="F26" s="39"/>
      <c r="G26" s="13">
        <v>14.5</v>
      </c>
      <c r="H26" s="12">
        <v>37</v>
      </c>
      <c r="I26" s="14">
        <v>142.5</v>
      </c>
      <c r="J26" s="24"/>
    </row>
    <row r="27" spans="1:10" ht="21.75" hidden="1" customHeight="1" outlineLevel="3" x14ac:dyDescent="0.2">
      <c r="A27" s="38" t="s">
        <v>31</v>
      </c>
      <c r="B27" s="38"/>
      <c r="C27" s="38"/>
      <c r="D27" s="38"/>
      <c r="E27" s="39">
        <v>814</v>
      </c>
      <c r="F27" s="39"/>
      <c r="G27" s="13">
        <v>16.5</v>
      </c>
      <c r="H27" s="12">
        <v>33.25</v>
      </c>
      <c r="I27" s="14">
        <v>193.25</v>
      </c>
      <c r="J27" s="24"/>
    </row>
    <row r="28" spans="1:10" ht="21.75" customHeight="1" outlineLevel="3" x14ac:dyDescent="0.2">
      <c r="A28" s="38" t="s">
        <v>32</v>
      </c>
      <c r="B28" s="38"/>
      <c r="C28" s="38"/>
      <c r="D28" s="38"/>
      <c r="E28" s="39">
        <v>6</v>
      </c>
      <c r="F28" s="39"/>
      <c r="G28" s="16">
        <v>31.25</v>
      </c>
      <c r="H28" s="20">
        <v>3</v>
      </c>
      <c r="I28" s="14">
        <v>11</v>
      </c>
      <c r="J28" s="19">
        <f>G28-H28</f>
        <v>28.25</v>
      </c>
    </row>
    <row r="29" spans="1:10" ht="11.25" hidden="1" customHeight="1" outlineLevel="3" x14ac:dyDescent="0.2">
      <c r="A29" s="38" t="s">
        <v>33</v>
      </c>
      <c r="B29" s="38"/>
      <c r="C29" s="38"/>
      <c r="D29" s="38"/>
      <c r="E29" s="39">
        <v>-4</v>
      </c>
      <c r="F29" s="39"/>
      <c r="G29" s="13">
        <v>9.52</v>
      </c>
      <c r="H29" s="12">
        <v>9.8000000000000007</v>
      </c>
      <c r="I29" s="14">
        <v>-9.8000000000000007</v>
      </c>
      <c r="J29" s="24"/>
    </row>
    <row r="30" spans="1:10" ht="21.75" hidden="1" customHeight="1" outlineLevel="3" x14ac:dyDescent="0.2">
      <c r="A30" s="38" t="s">
        <v>34</v>
      </c>
      <c r="B30" s="38"/>
      <c r="C30" s="38"/>
      <c r="D30" s="38"/>
      <c r="E30" s="39">
        <v>638</v>
      </c>
      <c r="F30" s="39"/>
      <c r="G30" s="13">
        <v>15.36</v>
      </c>
      <c r="H30" s="12">
        <v>15.36</v>
      </c>
      <c r="I30" s="14">
        <v>147.84</v>
      </c>
      <c r="J30" s="24"/>
    </row>
    <row r="31" spans="1:10" ht="21.75" hidden="1" customHeight="1" outlineLevel="3" x14ac:dyDescent="0.2">
      <c r="A31" s="38" t="s">
        <v>35</v>
      </c>
      <c r="B31" s="38"/>
      <c r="C31" s="38"/>
      <c r="D31" s="38"/>
      <c r="E31" s="47">
        <v>1461</v>
      </c>
      <c r="F31" s="47"/>
      <c r="G31" s="13">
        <v>30.48</v>
      </c>
      <c r="H31" s="12">
        <v>30.48</v>
      </c>
      <c r="I31" s="14">
        <v>330.72</v>
      </c>
      <c r="J31" s="24"/>
    </row>
    <row r="32" spans="1:10" ht="21.75" hidden="1" customHeight="1" outlineLevel="3" x14ac:dyDescent="0.2">
      <c r="A32" s="38" t="s">
        <v>36</v>
      </c>
      <c r="B32" s="38"/>
      <c r="C32" s="38"/>
      <c r="D32" s="38"/>
      <c r="E32" s="18"/>
      <c r="F32" s="25"/>
      <c r="G32" s="13">
        <v>12.96</v>
      </c>
      <c r="H32" s="12">
        <v>12.96</v>
      </c>
      <c r="I32" s="14">
        <v>-12.96</v>
      </c>
      <c r="J32" s="24"/>
    </row>
    <row r="33" spans="1:10" ht="11.25" hidden="1" customHeight="1" outlineLevel="3" x14ac:dyDescent="0.2">
      <c r="A33" s="38" t="s">
        <v>37</v>
      </c>
      <c r="B33" s="38"/>
      <c r="C33" s="38"/>
      <c r="D33" s="38"/>
      <c r="E33" s="47">
        <v>1168</v>
      </c>
      <c r="F33" s="47"/>
      <c r="G33" s="13">
        <v>30</v>
      </c>
      <c r="H33" s="12">
        <v>30</v>
      </c>
      <c r="I33" s="14">
        <v>250.8</v>
      </c>
      <c r="J33" s="24"/>
    </row>
    <row r="34" spans="1:10" ht="21.75" hidden="1" customHeight="1" outlineLevel="3" x14ac:dyDescent="0.2">
      <c r="A34" s="38" t="s">
        <v>38</v>
      </c>
      <c r="B34" s="38"/>
      <c r="C34" s="38"/>
      <c r="D34" s="38"/>
      <c r="E34" s="39">
        <v>431</v>
      </c>
      <c r="F34" s="39"/>
      <c r="G34" s="13">
        <v>12</v>
      </c>
      <c r="H34" s="12">
        <v>12</v>
      </c>
      <c r="I34" s="14">
        <v>102.48</v>
      </c>
      <c r="J34" s="24"/>
    </row>
    <row r="35" spans="1:10" ht="21.75" hidden="1" customHeight="1" outlineLevel="3" x14ac:dyDescent="0.2">
      <c r="A35" s="38" t="s">
        <v>39</v>
      </c>
      <c r="B35" s="38"/>
      <c r="C35" s="38"/>
      <c r="D35" s="38"/>
      <c r="E35" s="39">
        <v>181</v>
      </c>
      <c r="F35" s="39"/>
      <c r="G35" s="13">
        <v>2.4</v>
      </c>
      <c r="H35" s="12">
        <v>2.4</v>
      </c>
      <c r="I35" s="14">
        <v>85.44</v>
      </c>
      <c r="J35" s="24"/>
    </row>
    <row r="36" spans="1:10" ht="21.75" hidden="1" customHeight="1" outlineLevel="3" x14ac:dyDescent="0.2">
      <c r="A36" s="38" t="s">
        <v>40</v>
      </c>
      <c r="B36" s="38"/>
      <c r="C36" s="38"/>
      <c r="D36" s="38"/>
      <c r="E36" s="18"/>
      <c r="F36" s="25"/>
      <c r="G36" s="13">
        <v>14.16</v>
      </c>
      <c r="H36" s="12">
        <v>14.16</v>
      </c>
      <c r="I36" s="14">
        <v>-14.16</v>
      </c>
      <c r="J36" s="24"/>
    </row>
    <row r="37" spans="1:10" ht="11.25" hidden="1" customHeight="1" outlineLevel="3" x14ac:dyDescent="0.2">
      <c r="A37" s="38" t="s">
        <v>41</v>
      </c>
      <c r="B37" s="38"/>
      <c r="C37" s="38"/>
      <c r="D37" s="38"/>
      <c r="E37" s="47">
        <v>1874</v>
      </c>
      <c r="F37" s="47"/>
      <c r="G37" s="13">
        <v>1.08</v>
      </c>
      <c r="H37" s="12">
        <v>1.08</v>
      </c>
      <c r="I37" s="14">
        <v>169.56</v>
      </c>
      <c r="J37" s="24"/>
    </row>
    <row r="38" spans="1:10" ht="21.75" customHeight="1" outlineLevel="3" x14ac:dyDescent="0.2">
      <c r="A38" s="38" t="s">
        <v>42</v>
      </c>
      <c r="B38" s="38"/>
      <c r="C38" s="38"/>
      <c r="D38" s="38"/>
      <c r="E38" s="39">
        <v>-1</v>
      </c>
      <c r="F38" s="39"/>
      <c r="G38" s="16">
        <v>11.52</v>
      </c>
      <c r="H38" s="17"/>
      <c r="I38" s="14">
        <v>-0.36</v>
      </c>
      <c r="J38" s="19">
        <f>G38-H38</f>
        <v>11.52</v>
      </c>
    </row>
    <row r="39" spans="1:10" ht="21.75" hidden="1" customHeight="1" outlineLevel="3" x14ac:dyDescent="0.2">
      <c r="A39" s="38" t="s">
        <v>43</v>
      </c>
      <c r="B39" s="38"/>
      <c r="C39" s="38"/>
      <c r="D39" s="38"/>
      <c r="E39" s="39">
        <v>190</v>
      </c>
      <c r="F39" s="39"/>
      <c r="G39" s="13">
        <v>4.5999999999999996</v>
      </c>
      <c r="H39" s="12">
        <v>4.5999999999999996</v>
      </c>
      <c r="I39" s="14">
        <v>35</v>
      </c>
      <c r="J39" s="24"/>
    </row>
    <row r="40" spans="1:10" ht="21.75" hidden="1" customHeight="1" outlineLevel="3" x14ac:dyDescent="0.2">
      <c r="A40" s="38" t="s">
        <v>44</v>
      </c>
      <c r="B40" s="38"/>
      <c r="C40" s="38"/>
      <c r="D40" s="38"/>
      <c r="E40" s="39">
        <v>-17</v>
      </c>
      <c r="F40" s="39"/>
      <c r="G40" s="13">
        <v>9.8000000000000007</v>
      </c>
      <c r="H40" s="12">
        <v>9.8000000000000007</v>
      </c>
      <c r="I40" s="14">
        <v>-9.8000000000000007</v>
      </c>
      <c r="J40" s="24"/>
    </row>
    <row r="41" spans="1:10" ht="21.75" hidden="1" customHeight="1" outlineLevel="3" x14ac:dyDescent="0.2">
      <c r="A41" s="38" t="s">
        <v>45</v>
      </c>
      <c r="B41" s="38"/>
      <c r="C41" s="38"/>
      <c r="D41" s="38"/>
      <c r="E41" s="39">
        <v>-16</v>
      </c>
      <c r="F41" s="39"/>
      <c r="G41" s="13">
        <v>14.8</v>
      </c>
      <c r="H41" s="12">
        <v>14.8</v>
      </c>
      <c r="I41" s="14">
        <v>-14.8</v>
      </c>
      <c r="J41" s="24"/>
    </row>
    <row r="42" spans="1:10" ht="21.75" hidden="1" customHeight="1" outlineLevel="3" x14ac:dyDescent="0.2">
      <c r="A42" s="38" t="s">
        <v>46</v>
      </c>
      <c r="B42" s="38"/>
      <c r="C42" s="38"/>
      <c r="D42" s="38"/>
      <c r="E42" s="39">
        <v>269.5</v>
      </c>
      <c r="F42" s="39"/>
      <c r="G42" s="13">
        <v>16.5</v>
      </c>
      <c r="H42" s="12">
        <v>16.5</v>
      </c>
      <c r="I42" s="14">
        <v>264</v>
      </c>
      <c r="J42" s="24"/>
    </row>
    <row r="43" spans="1:10" ht="11.25" hidden="1" customHeight="1" outlineLevel="3" x14ac:dyDescent="0.2">
      <c r="A43" s="38" t="s">
        <v>47</v>
      </c>
      <c r="B43" s="38"/>
      <c r="C43" s="38"/>
      <c r="D43" s="38"/>
      <c r="E43" s="47">
        <v>1731</v>
      </c>
      <c r="F43" s="47"/>
      <c r="G43" s="13">
        <v>49.25</v>
      </c>
      <c r="H43" s="12">
        <v>49.25</v>
      </c>
      <c r="I43" s="14">
        <v>399</v>
      </c>
      <c r="J43" s="24"/>
    </row>
    <row r="44" spans="1:10" ht="21.75" hidden="1" customHeight="1" outlineLevel="3" x14ac:dyDescent="0.2">
      <c r="A44" s="38" t="s">
        <v>48</v>
      </c>
      <c r="B44" s="38"/>
      <c r="C44" s="38"/>
      <c r="D44" s="38"/>
      <c r="E44" s="39">
        <v>767</v>
      </c>
      <c r="F44" s="39"/>
      <c r="G44" s="13">
        <v>12.25</v>
      </c>
      <c r="H44" s="12">
        <v>12</v>
      </c>
      <c r="I44" s="14">
        <v>192</v>
      </c>
      <c r="J44" s="24"/>
    </row>
    <row r="45" spans="1:10" ht="11.25" hidden="1" customHeight="1" outlineLevel="3" x14ac:dyDescent="0.2">
      <c r="A45" s="38" t="s">
        <v>49</v>
      </c>
      <c r="B45" s="38"/>
      <c r="C45" s="38"/>
      <c r="D45" s="38"/>
      <c r="E45" s="39">
        <v>893</v>
      </c>
      <c r="F45" s="39"/>
      <c r="G45" s="13">
        <v>17.5</v>
      </c>
      <c r="H45" s="12">
        <v>17.25</v>
      </c>
      <c r="I45" s="14">
        <v>222.25</v>
      </c>
      <c r="J45" s="24"/>
    </row>
    <row r="46" spans="1:10" ht="11.25" customHeight="1" outlineLevel="3" x14ac:dyDescent="0.2">
      <c r="A46" s="38" t="s">
        <v>50</v>
      </c>
      <c r="B46" s="38"/>
      <c r="C46" s="38"/>
      <c r="D46" s="38"/>
      <c r="E46" s="47">
        <v>1117</v>
      </c>
      <c r="F46" s="47"/>
      <c r="G46" s="13">
        <v>159.25</v>
      </c>
      <c r="H46" s="12">
        <v>153</v>
      </c>
      <c r="I46" s="14">
        <v>140.25</v>
      </c>
      <c r="J46" s="24">
        <f>G46-H46</f>
        <v>6.25</v>
      </c>
    </row>
    <row r="47" spans="1:10" ht="21.75" hidden="1" customHeight="1" outlineLevel="3" x14ac:dyDescent="0.2">
      <c r="A47" s="38" t="s">
        <v>51</v>
      </c>
      <c r="B47" s="38"/>
      <c r="C47" s="38"/>
      <c r="D47" s="38"/>
      <c r="E47" s="47">
        <v>1200</v>
      </c>
      <c r="F47" s="47"/>
      <c r="G47" s="13">
        <v>17.25</v>
      </c>
      <c r="H47" s="12">
        <v>16.75</v>
      </c>
      <c r="I47" s="14">
        <v>286.75</v>
      </c>
      <c r="J47" s="24"/>
    </row>
    <row r="48" spans="1:10" ht="11.25" hidden="1" customHeight="1" outlineLevel="3" x14ac:dyDescent="0.2">
      <c r="A48" s="38" t="s">
        <v>52</v>
      </c>
      <c r="B48" s="38"/>
      <c r="C48" s="38"/>
      <c r="D48" s="38"/>
      <c r="E48" s="39">
        <v>278</v>
      </c>
      <c r="F48" s="39"/>
      <c r="G48" s="13">
        <v>2.99</v>
      </c>
      <c r="H48" s="12">
        <v>2.99</v>
      </c>
      <c r="I48" s="14">
        <v>61.18</v>
      </c>
      <c r="J48" s="24"/>
    </row>
    <row r="49" spans="1:10" ht="11.25" hidden="1" customHeight="1" outlineLevel="3" x14ac:dyDescent="0.2">
      <c r="A49" s="38" t="s">
        <v>53</v>
      </c>
      <c r="B49" s="38"/>
      <c r="C49" s="38"/>
      <c r="D49" s="38"/>
      <c r="E49" s="47">
        <v>2086</v>
      </c>
      <c r="F49" s="47"/>
      <c r="G49" s="13">
        <v>232</v>
      </c>
      <c r="H49" s="12">
        <v>309</v>
      </c>
      <c r="I49" s="26">
        <v>1851</v>
      </c>
      <c r="J49" s="24"/>
    </row>
    <row r="50" spans="1:10" ht="11.25" hidden="1" customHeight="1" outlineLevel="3" x14ac:dyDescent="0.2">
      <c r="A50" s="38" t="s">
        <v>54</v>
      </c>
      <c r="B50" s="38"/>
      <c r="C50" s="38"/>
      <c r="D50" s="38"/>
      <c r="E50" s="47">
        <v>1884</v>
      </c>
      <c r="F50" s="47"/>
      <c r="G50" s="13">
        <v>23.23</v>
      </c>
      <c r="H50" s="12">
        <v>23.23</v>
      </c>
      <c r="I50" s="14">
        <v>416.3</v>
      </c>
      <c r="J50" s="24"/>
    </row>
    <row r="51" spans="1:10" ht="21.75" hidden="1" customHeight="1" outlineLevel="3" x14ac:dyDescent="0.2">
      <c r="A51" s="38" t="s">
        <v>55</v>
      </c>
      <c r="B51" s="38"/>
      <c r="C51" s="38"/>
      <c r="D51" s="38"/>
      <c r="E51" s="39">
        <v>-107</v>
      </c>
      <c r="F51" s="39"/>
      <c r="G51" s="13">
        <v>6.5</v>
      </c>
      <c r="H51" s="12">
        <v>6.5</v>
      </c>
      <c r="I51" s="14">
        <v>-5.5</v>
      </c>
      <c r="J51" s="24"/>
    </row>
    <row r="52" spans="1:10" ht="21.75" hidden="1" customHeight="1" outlineLevel="3" x14ac:dyDescent="0.2">
      <c r="A52" s="38" t="s">
        <v>56</v>
      </c>
      <c r="B52" s="38"/>
      <c r="C52" s="38"/>
      <c r="D52" s="38"/>
      <c r="E52" s="39">
        <v>261</v>
      </c>
      <c r="F52" s="39"/>
      <c r="G52" s="13">
        <v>53.9</v>
      </c>
      <c r="H52" s="12">
        <v>53.9</v>
      </c>
      <c r="I52" s="14">
        <v>132.30000000000001</v>
      </c>
      <c r="J52" s="24"/>
    </row>
    <row r="53" spans="1:10" ht="21.75" hidden="1" customHeight="1" outlineLevel="3" x14ac:dyDescent="0.2">
      <c r="A53" s="38" t="s">
        <v>57</v>
      </c>
      <c r="B53" s="38"/>
      <c r="C53" s="38"/>
      <c r="D53" s="38"/>
      <c r="E53" s="39">
        <v>397</v>
      </c>
      <c r="F53" s="39"/>
      <c r="G53" s="13">
        <v>33.6</v>
      </c>
      <c r="H53" s="12">
        <v>33.6</v>
      </c>
      <c r="I53" s="14">
        <v>276.5</v>
      </c>
      <c r="J53" s="24"/>
    </row>
    <row r="54" spans="1:10" ht="21.75" customHeight="1" outlineLevel="3" x14ac:dyDescent="0.2">
      <c r="A54" s="48" t="s">
        <v>58</v>
      </c>
      <c r="B54" s="49"/>
      <c r="C54" s="49"/>
      <c r="D54" s="50"/>
      <c r="E54" s="51"/>
      <c r="F54" s="52"/>
      <c r="G54" s="16">
        <v>9.8000000000000007</v>
      </c>
      <c r="H54" s="20"/>
      <c r="I54" s="14"/>
      <c r="J54" s="19">
        <f>G54-H54</f>
        <v>9.8000000000000007</v>
      </c>
    </row>
    <row r="55" spans="1:10" ht="21.75" hidden="1" customHeight="1" outlineLevel="3" x14ac:dyDescent="0.2">
      <c r="A55" s="38" t="s">
        <v>59</v>
      </c>
      <c r="B55" s="38"/>
      <c r="C55" s="38"/>
      <c r="D55" s="38"/>
      <c r="E55" s="39">
        <v>359</v>
      </c>
      <c r="F55" s="39"/>
      <c r="G55" s="13">
        <v>91</v>
      </c>
      <c r="H55" s="12">
        <v>91</v>
      </c>
      <c r="I55" s="14">
        <v>167.3</v>
      </c>
      <c r="J55" s="24"/>
    </row>
    <row r="56" spans="1:10" ht="21.75" hidden="1" customHeight="1" outlineLevel="3" x14ac:dyDescent="0.2">
      <c r="A56" s="38" t="s">
        <v>60</v>
      </c>
      <c r="B56" s="38"/>
      <c r="C56" s="38"/>
      <c r="D56" s="38"/>
      <c r="E56" s="39">
        <v>409</v>
      </c>
      <c r="F56" s="39"/>
      <c r="G56" s="13">
        <v>10.5</v>
      </c>
      <c r="H56" s="12">
        <v>10.5</v>
      </c>
      <c r="I56" s="14">
        <v>310.8</v>
      </c>
      <c r="J56" s="24"/>
    </row>
    <row r="57" spans="1:10" ht="21.75" hidden="1" customHeight="1" outlineLevel="3" x14ac:dyDescent="0.2">
      <c r="A57" s="38" t="s">
        <v>61</v>
      </c>
      <c r="B57" s="38"/>
      <c r="C57" s="38"/>
      <c r="D57" s="38"/>
      <c r="E57" s="39">
        <v>71</v>
      </c>
      <c r="F57" s="39"/>
      <c r="G57" s="13">
        <v>2.4</v>
      </c>
      <c r="H57" s="12">
        <v>2.4</v>
      </c>
      <c r="I57" s="14">
        <v>42.8</v>
      </c>
      <c r="J57" s="24"/>
    </row>
    <row r="58" spans="1:10" ht="21.75" hidden="1" customHeight="1" outlineLevel="3" x14ac:dyDescent="0.2">
      <c r="A58" s="38" t="s">
        <v>62</v>
      </c>
      <c r="B58" s="38"/>
      <c r="C58" s="38"/>
      <c r="D58" s="38"/>
      <c r="E58" s="39">
        <v>502</v>
      </c>
      <c r="F58" s="39"/>
      <c r="G58" s="13">
        <v>79.8</v>
      </c>
      <c r="H58" s="12">
        <v>81.2</v>
      </c>
      <c r="I58" s="14">
        <v>313.60000000000002</v>
      </c>
      <c r="J58" s="24"/>
    </row>
    <row r="59" spans="1:10" ht="21.75" hidden="1" customHeight="1" outlineLevel="3" x14ac:dyDescent="0.2">
      <c r="A59" s="38" t="s">
        <v>63</v>
      </c>
      <c r="B59" s="38"/>
      <c r="C59" s="38"/>
      <c r="D59" s="38"/>
      <c r="E59" s="47">
        <v>1211</v>
      </c>
      <c r="F59" s="47"/>
      <c r="G59" s="13">
        <v>228.9</v>
      </c>
      <c r="H59" s="12">
        <v>228.9</v>
      </c>
      <c r="I59" s="14">
        <v>663.6</v>
      </c>
      <c r="J59" s="24"/>
    </row>
    <row r="60" spans="1:10" ht="21.75" hidden="1" customHeight="1" outlineLevel="3" x14ac:dyDescent="0.2">
      <c r="A60" s="38" t="s">
        <v>64</v>
      </c>
      <c r="B60" s="38"/>
      <c r="C60" s="38"/>
      <c r="D60" s="38"/>
      <c r="E60" s="39">
        <v>320</v>
      </c>
      <c r="F60" s="39"/>
      <c r="G60" s="13">
        <v>115</v>
      </c>
      <c r="H60" s="12">
        <v>115</v>
      </c>
      <c r="I60" s="14">
        <v>215</v>
      </c>
      <c r="J60" s="24"/>
    </row>
    <row r="61" spans="1:10" ht="21.75" hidden="1" customHeight="1" outlineLevel="3" x14ac:dyDescent="0.2">
      <c r="A61" s="38" t="s">
        <v>65</v>
      </c>
      <c r="B61" s="38"/>
      <c r="C61" s="38"/>
      <c r="D61" s="38"/>
      <c r="E61" s="39">
        <v>83</v>
      </c>
      <c r="F61" s="39"/>
      <c r="G61" s="13">
        <v>61.6</v>
      </c>
      <c r="H61" s="12">
        <v>61.6</v>
      </c>
      <c r="I61" s="14">
        <v>-18.8</v>
      </c>
      <c r="J61" s="24"/>
    </row>
    <row r="62" spans="1:10" ht="21.75" hidden="1" customHeight="1" outlineLevel="3" x14ac:dyDescent="0.2">
      <c r="A62" s="38" t="s">
        <v>66</v>
      </c>
      <c r="B62" s="38"/>
      <c r="C62" s="38"/>
      <c r="D62" s="38"/>
      <c r="E62" s="47">
        <v>1666</v>
      </c>
      <c r="F62" s="47"/>
      <c r="G62" s="13">
        <v>182.7</v>
      </c>
      <c r="H62" s="12">
        <v>182.7</v>
      </c>
      <c r="I62" s="26">
        <v>1014.3</v>
      </c>
      <c r="J62" s="24"/>
    </row>
    <row r="63" spans="1:10" ht="21.75" hidden="1" customHeight="1" outlineLevel="3" x14ac:dyDescent="0.2">
      <c r="A63" s="38" t="s">
        <v>67</v>
      </c>
      <c r="B63" s="38"/>
      <c r="C63" s="38"/>
      <c r="D63" s="38"/>
      <c r="E63" s="39">
        <v>164</v>
      </c>
      <c r="F63" s="39"/>
      <c r="G63" s="13">
        <v>55.2</v>
      </c>
      <c r="H63" s="12">
        <v>39.200000000000003</v>
      </c>
      <c r="I63" s="14">
        <v>38.4</v>
      </c>
      <c r="J63" s="24"/>
    </row>
    <row r="64" spans="1:10" ht="21.75" hidden="1" customHeight="1" outlineLevel="3" x14ac:dyDescent="0.2">
      <c r="A64" s="38" t="s">
        <v>68</v>
      </c>
      <c r="B64" s="38"/>
      <c r="C64" s="38"/>
      <c r="D64" s="38"/>
      <c r="E64" s="47">
        <v>1468</v>
      </c>
      <c r="F64" s="47"/>
      <c r="G64" s="13">
        <v>130.9</v>
      </c>
      <c r="H64" s="12">
        <v>130.9</v>
      </c>
      <c r="I64" s="14">
        <v>930.3</v>
      </c>
      <c r="J64" s="24"/>
    </row>
    <row r="65" spans="1:10" ht="21.75" hidden="1" customHeight="1" outlineLevel="3" x14ac:dyDescent="0.2">
      <c r="A65" s="38" t="s">
        <v>69</v>
      </c>
      <c r="B65" s="38"/>
      <c r="C65" s="38"/>
      <c r="D65" s="38"/>
      <c r="E65" s="39">
        <v>359</v>
      </c>
      <c r="F65" s="39"/>
      <c r="G65" s="13">
        <v>36</v>
      </c>
      <c r="H65" s="12">
        <v>36</v>
      </c>
      <c r="I65" s="14">
        <v>254.4</v>
      </c>
      <c r="J65" s="24"/>
    </row>
    <row r="66" spans="1:10" ht="21.75" hidden="1" customHeight="1" outlineLevel="3" x14ac:dyDescent="0.2">
      <c r="A66" s="38" t="s">
        <v>70</v>
      </c>
      <c r="B66" s="38"/>
      <c r="C66" s="38"/>
      <c r="D66" s="38"/>
      <c r="E66" s="39">
        <v>173</v>
      </c>
      <c r="F66" s="39"/>
      <c r="G66" s="13">
        <v>0.8</v>
      </c>
      <c r="H66" s="12">
        <v>0.8</v>
      </c>
      <c r="I66" s="14">
        <v>68.400000000000006</v>
      </c>
      <c r="J66" s="24"/>
    </row>
    <row r="67" spans="1:10" ht="21.75" hidden="1" customHeight="1" outlineLevel="3" x14ac:dyDescent="0.2">
      <c r="A67" s="38" t="s">
        <v>71</v>
      </c>
      <c r="B67" s="38"/>
      <c r="C67" s="38"/>
      <c r="D67" s="38"/>
      <c r="E67" s="39">
        <v>71</v>
      </c>
      <c r="F67" s="39"/>
      <c r="G67" s="13">
        <v>5.6</v>
      </c>
      <c r="H67" s="12">
        <v>5.6</v>
      </c>
      <c r="I67" s="14">
        <v>52</v>
      </c>
      <c r="J67" s="24"/>
    </row>
    <row r="68" spans="1:10" ht="21.75" hidden="1" customHeight="1" outlineLevel="3" x14ac:dyDescent="0.2">
      <c r="A68" s="38" t="s">
        <v>72</v>
      </c>
      <c r="B68" s="38"/>
      <c r="C68" s="38"/>
      <c r="D68" s="38"/>
      <c r="E68" s="47">
        <v>1292</v>
      </c>
      <c r="F68" s="47"/>
      <c r="G68" s="13">
        <v>139</v>
      </c>
      <c r="H68" s="12">
        <v>141</v>
      </c>
      <c r="I68" s="26">
        <v>1167</v>
      </c>
      <c r="J68" s="24"/>
    </row>
    <row r="69" spans="1:10" ht="21.75" hidden="1" customHeight="1" outlineLevel="3" x14ac:dyDescent="0.2">
      <c r="A69" s="38" t="s">
        <v>73</v>
      </c>
      <c r="B69" s="38"/>
      <c r="C69" s="38"/>
      <c r="D69" s="38"/>
      <c r="E69" s="39">
        <v>71</v>
      </c>
      <c r="F69" s="39"/>
      <c r="G69" s="13">
        <v>18.899999999999999</v>
      </c>
      <c r="H69" s="12">
        <v>6.3</v>
      </c>
      <c r="I69" s="14">
        <v>59.4</v>
      </c>
      <c r="J69" s="24"/>
    </row>
    <row r="70" spans="1:10" ht="21.75" hidden="1" customHeight="1" outlineLevel="3" x14ac:dyDescent="0.2">
      <c r="A70" s="38" t="s">
        <v>74</v>
      </c>
      <c r="B70" s="38"/>
      <c r="C70" s="38"/>
      <c r="D70" s="38"/>
      <c r="E70" s="39">
        <v>205</v>
      </c>
      <c r="F70" s="39"/>
      <c r="G70" s="13">
        <v>25</v>
      </c>
      <c r="H70" s="12">
        <v>25</v>
      </c>
      <c r="I70" s="14">
        <v>180</v>
      </c>
      <c r="J70" s="24"/>
    </row>
    <row r="71" spans="1:10" ht="11.25" hidden="1" customHeight="1" outlineLevel="3" x14ac:dyDescent="0.2">
      <c r="A71" s="38" t="s">
        <v>75</v>
      </c>
      <c r="B71" s="38"/>
      <c r="C71" s="38"/>
      <c r="D71" s="38"/>
      <c r="E71" s="39">
        <v>556</v>
      </c>
      <c r="F71" s="39"/>
      <c r="G71" s="13">
        <v>43</v>
      </c>
      <c r="H71" s="12">
        <v>43</v>
      </c>
      <c r="I71" s="14">
        <v>515</v>
      </c>
      <c r="J71" s="24"/>
    </row>
    <row r="72" spans="1:10" ht="21.75" hidden="1" customHeight="1" outlineLevel="3" x14ac:dyDescent="0.2">
      <c r="A72" s="38" t="s">
        <v>76</v>
      </c>
      <c r="B72" s="38"/>
      <c r="C72" s="38"/>
      <c r="D72" s="38"/>
      <c r="E72" s="39">
        <v>150.9</v>
      </c>
      <c r="F72" s="39"/>
      <c r="G72" s="13">
        <v>14.8</v>
      </c>
      <c r="H72" s="12">
        <v>18.5</v>
      </c>
      <c r="I72" s="14">
        <v>132.4</v>
      </c>
      <c r="J72" s="24"/>
    </row>
    <row r="73" spans="1:10" ht="11.25" hidden="1" customHeight="1" outlineLevel="3" x14ac:dyDescent="0.2">
      <c r="A73" s="38" t="s">
        <v>77</v>
      </c>
      <c r="B73" s="38"/>
      <c r="C73" s="38"/>
      <c r="D73" s="38"/>
      <c r="E73" s="39">
        <v>878</v>
      </c>
      <c r="F73" s="39"/>
      <c r="G73" s="13">
        <v>4.8</v>
      </c>
      <c r="H73" s="12">
        <v>19.2</v>
      </c>
      <c r="I73" s="14">
        <v>244.5</v>
      </c>
      <c r="J73" s="24"/>
    </row>
    <row r="74" spans="1:10" ht="21.75" hidden="1" customHeight="1" outlineLevel="3" x14ac:dyDescent="0.2">
      <c r="A74" s="38" t="s">
        <v>78</v>
      </c>
      <c r="B74" s="38"/>
      <c r="C74" s="38"/>
      <c r="D74" s="38"/>
      <c r="E74" s="39">
        <v>558</v>
      </c>
      <c r="F74" s="39"/>
      <c r="G74" s="13">
        <v>4.76</v>
      </c>
      <c r="H74" s="12">
        <v>26.32</v>
      </c>
      <c r="I74" s="14">
        <v>150.08000000000001</v>
      </c>
      <c r="J74" s="24"/>
    </row>
    <row r="75" spans="1:10" ht="21.75" hidden="1" customHeight="1" outlineLevel="3" x14ac:dyDescent="0.2">
      <c r="A75" s="38" t="s">
        <v>79</v>
      </c>
      <c r="B75" s="38"/>
      <c r="C75" s="38"/>
      <c r="D75" s="38"/>
      <c r="E75" s="39">
        <v>50</v>
      </c>
      <c r="F75" s="39"/>
      <c r="G75" s="13">
        <v>4.8</v>
      </c>
      <c r="H75" s="12">
        <v>3.3</v>
      </c>
      <c r="I75" s="14">
        <v>24</v>
      </c>
      <c r="J75" s="24"/>
    </row>
    <row r="76" spans="1:10" ht="21.75" hidden="1" customHeight="1" outlineLevel="3" x14ac:dyDescent="0.2">
      <c r="A76" s="38" t="s">
        <v>80</v>
      </c>
      <c r="B76" s="38"/>
      <c r="C76" s="38"/>
      <c r="D76" s="38"/>
      <c r="E76" s="39">
        <v>117</v>
      </c>
      <c r="F76" s="39"/>
      <c r="G76" s="13">
        <v>8</v>
      </c>
      <c r="H76" s="12">
        <v>9</v>
      </c>
      <c r="I76" s="14">
        <v>108</v>
      </c>
      <c r="J76" s="24"/>
    </row>
    <row r="77" spans="1:10" ht="21.75" hidden="1" customHeight="1" outlineLevel="3" x14ac:dyDescent="0.2">
      <c r="A77" s="38" t="s">
        <v>81</v>
      </c>
      <c r="B77" s="38"/>
      <c r="C77" s="38"/>
      <c r="D77" s="38"/>
      <c r="E77" s="39">
        <v>849</v>
      </c>
      <c r="F77" s="39"/>
      <c r="G77" s="13">
        <v>19.2</v>
      </c>
      <c r="H77" s="12">
        <v>25.8</v>
      </c>
      <c r="I77" s="14">
        <v>153.19999999999999</v>
      </c>
      <c r="J77" s="24"/>
    </row>
    <row r="78" spans="1:10" ht="21.75" hidden="1" customHeight="1" outlineLevel="3" x14ac:dyDescent="0.2">
      <c r="A78" s="38" t="s">
        <v>82</v>
      </c>
      <c r="B78" s="38"/>
      <c r="C78" s="38"/>
      <c r="D78" s="38"/>
      <c r="E78" s="47">
        <v>1849</v>
      </c>
      <c r="F78" s="47"/>
      <c r="G78" s="13">
        <v>76.25</v>
      </c>
      <c r="H78" s="12">
        <v>136.75</v>
      </c>
      <c r="I78" s="14">
        <v>326.5</v>
      </c>
      <c r="J78" s="24"/>
    </row>
    <row r="79" spans="1:10" ht="11.25" hidden="1" customHeight="1" outlineLevel="3" x14ac:dyDescent="0.2">
      <c r="A79" s="38" t="s">
        <v>83</v>
      </c>
      <c r="B79" s="38"/>
      <c r="C79" s="38"/>
      <c r="D79" s="38"/>
      <c r="E79" s="39">
        <v>262</v>
      </c>
      <c r="F79" s="39"/>
      <c r="G79" s="13">
        <v>13.34</v>
      </c>
      <c r="H79" s="12">
        <v>13.34</v>
      </c>
      <c r="I79" s="14">
        <v>49.68</v>
      </c>
      <c r="J79" s="24"/>
    </row>
    <row r="80" spans="1:10" ht="11.25" hidden="1" customHeight="1" outlineLevel="3" x14ac:dyDescent="0.2">
      <c r="A80" s="38" t="s">
        <v>84</v>
      </c>
      <c r="B80" s="38"/>
      <c r="C80" s="38"/>
      <c r="D80" s="38"/>
      <c r="E80" s="39">
        <v>-10</v>
      </c>
      <c r="F80" s="39"/>
      <c r="G80" s="13"/>
      <c r="H80" s="27"/>
      <c r="I80" s="18"/>
      <c r="J80" s="24"/>
    </row>
    <row r="81" spans="1:10" ht="11.25" customHeight="1" outlineLevel="3" x14ac:dyDescent="0.2">
      <c r="A81" s="38" t="s">
        <v>85</v>
      </c>
      <c r="B81" s="38"/>
      <c r="C81" s="38"/>
      <c r="D81" s="38"/>
      <c r="E81" s="18"/>
      <c r="F81" s="25"/>
      <c r="G81" s="16">
        <v>3.75</v>
      </c>
      <c r="H81" s="17"/>
      <c r="I81" s="14">
        <v>3</v>
      </c>
      <c r="J81" s="19">
        <f>G81-H81</f>
        <v>3.75</v>
      </c>
    </row>
    <row r="82" spans="1:10" ht="11.25" hidden="1" customHeight="1" outlineLevel="3" x14ac:dyDescent="0.2">
      <c r="A82" s="38" t="s">
        <v>86</v>
      </c>
      <c r="B82" s="38"/>
      <c r="C82" s="38"/>
      <c r="D82" s="38"/>
      <c r="E82" s="39">
        <v>50</v>
      </c>
      <c r="F82" s="39"/>
      <c r="G82" s="13">
        <v>2.34</v>
      </c>
      <c r="H82" s="12">
        <v>2.34</v>
      </c>
      <c r="I82" s="14">
        <v>7.38</v>
      </c>
      <c r="J82" s="24"/>
    </row>
    <row r="83" spans="1:10" ht="11.25" hidden="1" customHeight="1" outlineLevel="3" x14ac:dyDescent="0.2">
      <c r="A83" s="38" t="s">
        <v>87</v>
      </c>
      <c r="B83" s="38"/>
      <c r="C83" s="38"/>
      <c r="D83" s="38"/>
      <c r="E83" s="47">
        <v>1122</v>
      </c>
      <c r="F83" s="47"/>
      <c r="G83" s="13">
        <v>5.58</v>
      </c>
      <c r="H83" s="12">
        <v>5.58</v>
      </c>
      <c r="I83" s="14">
        <v>196.74</v>
      </c>
      <c r="J83" s="24"/>
    </row>
    <row r="84" spans="1:10" ht="11.25" customHeight="1" outlineLevel="3" x14ac:dyDescent="0.2">
      <c r="A84" s="38" t="s">
        <v>88</v>
      </c>
      <c r="B84" s="38"/>
      <c r="C84" s="38"/>
      <c r="D84" s="38"/>
      <c r="E84" s="39">
        <v>18</v>
      </c>
      <c r="F84" s="39"/>
      <c r="G84" s="16">
        <v>4.5</v>
      </c>
      <c r="H84" s="20">
        <v>3.06</v>
      </c>
      <c r="I84" s="14">
        <v>0.18</v>
      </c>
      <c r="J84" s="19">
        <f>G84-H84</f>
        <v>1.44</v>
      </c>
    </row>
    <row r="85" spans="1:10" ht="11.25" hidden="1" customHeight="1" outlineLevel="3" x14ac:dyDescent="0.2">
      <c r="A85" s="38" t="s">
        <v>89</v>
      </c>
      <c r="B85" s="38"/>
      <c r="C85" s="38"/>
      <c r="D85" s="38"/>
      <c r="E85" s="39">
        <v>622</v>
      </c>
      <c r="F85" s="39"/>
      <c r="G85" s="13">
        <v>14.4</v>
      </c>
      <c r="H85" s="12">
        <v>14.4</v>
      </c>
      <c r="I85" s="14">
        <v>180.9</v>
      </c>
      <c r="J85" s="24"/>
    </row>
    <row r="86" spans="1:10" ht="11.25" hidden="1" customHeight="1" outlineLevel="3" x14ac:dyDescent="0.2">
      <c r="A86" s="38" t="s">
        <v>90</v>
      </c>
      <c r="B86" s="38"/>
      <c r="C86" s="38"/>
      <c r="D86" s="38"/>
      <c r="E86" s="47">
        <v>1298</v>
      </c>
      <c r="F86" s="47"/>
      <c r="G86" s="13">
        <v>59.4</v>
      </c>
      <c r="H86" s="12">
        <v>59.4</v>
      </c>
      <c r="I86" s="14">
        <v>340.2</v>
      </c>
      <c r="J86" s="24"/>
    </row>
    <row r="87" spans="1:10" ht="11.25" hidden="1" customHeight="1" outlineLevel="3" x14ac:dyDescent="0.2">
      <c r="A87" s="38" t="s">
        <v>91</v>
      </c>
      <c r="B87" s="38"/>
      <c r="C87" s="38"/>
      <c r="D87" s="38"/>
      <c r="E87" s="39">
        <v>148</v>
      </c>
      <c r="F87" s="39"/>
      <c r="G87" s="13">
        <v>5.5</v>
      </c>
      <c r="H87" s="12">
        <v>5.5</v>
      </c>
      <c r="I87" s="14">
        <v>27.06</v>
      </c>
      <c r="J87" s="24"/>
    </row>
    <row r="88" spans="1:10" ht="11.25" hidden="1" customHeight="1" outlineLevel="3" x14ac:dyDescent="0.2">
      <c r="A88" s="38" t="s">
        <v>92</v>
      </c>
      <c r="B88" s="38"/>
      <c r="C88" s="38"/>
      <c r="D88" s="38"/>
      <c r="E88" s="39">
        <v>-74</v>
      </c>
      <c r="F88" s="39"/>
      <c r="G88" s="13">
        <v>19</v>
      </c>
      <c r="H88" s="12">
        <v>19</v>
      </c>
      <c r="I88" s="14">
        <v>-19</v>
      </c>
      <c r="J88" s="24"/>
    </row>
    <row r="89" spans="1:10" ht="11.25" hidden="1" customHeight="1" outlineLevel="3" x14ac:dyDescent="0.2">
      <c r="A89" s="38" t="s">
        <v>93</v>
      </c>
      <c r="B89" s="38"/>
      <c r="C89" s="38"/>
      <c r="D89" s="38"/>
      <c r="E89" s="39">
        <v>-288</v>
      </c>
      <c r="F89" s="39"/>
      <c r="G89" s="13">
        <v>65.5</v>
      </c>
      <c r="H89" s="12">
        <v>76</v>
      </c>
      <c r="I89" s="14">
        <v>-63.25</v>
      </c>
      <c r="J89" s="24"/>
    </row>
    <row r="90" spans="1:10" ht="21.75" hidden="1" customHeight="1" outlineLevel="3" x14ac:dyDescent="0.2">
      <c r="A90" s="38" t="s">
        <v>94</v>
      </c>
      <c r="B90" s="38"/>
      <c r="C90" s="38"/>
      <c r="D90" s="38"/>
      <c r="E90" s="39">
        <v>385</v>
      </c>
      <c r="F90" s="39"/>
      <c r="G90" s="13">
        <v>7.4</v>
      </c>
      <c r="H90" s="12">
        <v>7.4</v>
      </c>
      <c r="I90" s="14">
        <v>75.2</v>
      </c>
      <c r="J90" s="24"/>
    </row>
    <row r="91" spans="1:10" ht="21.75" hidden="1" customHeight="1" outlineLevel="3" x14ac:dyDescent="0.2">
      <c r="A91" s="38" t="s">
        <v>95</v>
      </c>
      <c r="B91" s="38"/>
      <c r="C91" s="38"/>
      <c r="D91" s="38"/>
      <c r="E91" s="39">
        <v>786</v>
      </c>
      <c r="F91" s="39"/>
      <c r="G91" s="13">
        <v>34.04</v>
      </c>
      <c r="H91" s="12">
        <v>34.04</v>
      </c>
      <c r="I91" s="14">
        <v>155.94</v>
      </c>
      <c r="J91" s="24"/>
    </row>
    <row r="92" spans="1:10" ht="12.75" hidden="1" customHeight="1" x14ac:dyDescent="0.2">
      <c r="A92" s="38" t="s">
        <v>96</v>
      </c>
      <c r="B92" s="38"/>
      <c r="C92" s="38"/>
      <c r="D92" s="38"/>
      <c r="E92" s="39">
        <v>196</v>
      </c>
      <c r="F92" s="39"/>
      <c r="G92" s="13">
        <v>25.99</v>
      </c>
      <c r="H92" s="12">
        <v>25.07</v>
      </c>
      <c r="I92" s="14">
        <v>20.7</v>
      </c>
      <c r="J92" s="24"/>
    </row>
    <row r="93" spans="1:10" ht="12.75" x14ac:dyDescent="0.2">
      <c r="A93" s="53" t="s">
        <v>97</v>
      </c>
      <c r="B93" s="53"/>
      <c r="C93" s="53"/>
      <c r="D93" s="53"/>
      <c r="E93" s="54">
        <v>41586.199999999997</v>
      </c>
      <c r="F93" s="54"/>
      <c r="G93" s="29">
        <f>SUM(G10:G92)</f>
        <v>2757.170000000001</v>
      </c>
      <c r="H93" s="28">
        <v>2889.98</v>
      </c>
      <c r="I93" s="30">
        <v>31589.33</v>
      </c>
      <c r="J93" s="29">
        <f>SUM(J10:J92)</f>
        <v>154.01000000000002</v>
      </c>
    </row>
  </sheetData>
  <autoFilter ref="A8:J93" xr:uid="{00000000-0001-0000-0000-000000000000}">
    <filterColumn colId="0" showButton="0"/>
    <filterColumn colId="1" showButton="0"/>
    <filterColumn colId="2" showButton="0"/>
    <filterColumn colId="4" showButton="0"/>
    <filterColumn colId="5" showButton="0"/>
    <filterColumn colId="6" showButton="0"/>
    <filterColumn colId="9">
      <customFilters>
        <customFilter operator="notEqual" val=" "/>
      </customFilters>
    </filterColumn>
  </autoFilter>
  <mergeCells count="172">
    <mergeCell ref="A92:D92"/>
    <mergeCell ref="E92:F92"/>
    <mergeCell ref="A93:D93"/>
    <mergeCell ref="E93:F93"/>
    <mergeCell ref="I8:I9"/>
    <mergeCell ref="J8:J9"/>
    <mergeCell ref="A89:D89"/>
    <mergeCell ref="E89:F89"/>
    <mergeCell ref="A90:D90"/>
    <mergeCell ref="E90:F90"/>
    <mergeCell ref="A91:D91"/>
    <mergeCell ref="E91:F91"/>
    <mergeCell ref="A86:D86"/>
    <mergeCell ref="E86:F86"/>
    <mergeCell ref="A87:D87"/>
    <mergeCell ref="E87:F87"/>
    <mergeCell ref="A88:D88"/>
    <mergeCell ref="E88:F88"/>
    <mergeCell ref="A83:D83"/>
    <mergeCell ref="E83:F83"/>
    <mergeCell ref="A84:D84"/>
    <mergeCell ref="E84:F84"/>
    <mergeCell ref="A85:D85"/>
    <mergeCell ref="E85:F85"/>
    <mergeCell ref="A79:D79"/>
    <mergeCell ref="E79:F79"/>
    <mergeCell ref="A80:D80"/>
    <mergeCell ref="E80:F80"/>
    <mergeCell ref="A81:D81"/>
    <mergeCell ref="A82:D82"/>
    <mergeCell ref="E82:F82"/>
    <mergeCell ref="A76:D76"/>
    <mergeCell ref="E76:F76"/>
    <mergeCell ref="A77:D77"/>
    <mergeCell ref="E77:F77"/>
    <mergeCell ref="A78:D78"/>
    <mergeCell ref="E78:F78"/>
    <mergeCell ref="A73:D73"/>
    <mergeCell ref="E73:F73"/>
    <mergeCell ref="A74:D74"/>
    <mergeCell ref="E74:F74"/>
    <mergeCell ref="A75:D75"/>
    <mergeCell ref="E75:F75"/>
    <mergeCell ref="A70:D70"/>
    <mergeCell ref="E70:F70"/>
    <mergeCell ref="A71:D71"/>
    <mergeCell ref="E71:F71"/>
    <mergeCell ref="A72:D72"/>
    <mergeCell ref="E72:F72"/>
    <mergeCell ref="A67:D67"/>
    <mergeCell ref="E67:F67"/>
    <mergeCell ref="A68:D68"/>
    <mergeCell ref="E68:F68"/>
    <mergeCell ref="A69:D69"/>
    <mergeCell ref="E69:F69"/>
    <mergeCell ref="A64:D64"/>
    <mergeCell ref="E64:F64"/>
    <mergeCell ref="A65:D65"/>
    <mergeCell ref="E65:F65"/>
    <mergeCell ref="A66:D66"/>
    <mergeCell ref="E66:F66"/>
    <mergeCell ref="A61:D61"/>
    <mergeCell ref="E61:F61"/>
    <mergeCell ref="A62:D62"/>
    <mergeCell ref="E62:F62"/>
    <mergeCell ref="A63:D63"/>
    <mergeCell ref="E63:F63"/>
    <mergeCell ref="A58:D58"/>
    <mergeCell ref="E58:F58"/>
    <mergeCell ref="A59:D59"/>
    <mergeCell ref="E59:F59"/>
    <mergeCell ref="A60:D60"/>
    <mergeCell ref="E60:F60"/>
    <mergeCell ref="A55:D55"/>
    <mergeCell ref="E55:F55"/>
    <mergeCell ref="A56:D56"/>
    <mergeCell ref="E56:F56"/>
    <mergeCell ref="A57:D57"/>
    <mergeCell ref="E57:F57"/>
    <mergeCell ref="A52:D52"/>
    <mergeCell ref="E52:F52"/>
    <mergeCell ref="A53:D53"/>
    <mergeCell ref="E53:F53"/>
    <mergeCell ref="A54:D54"/>
    <mergeCell ref="E54:F54"/>
    <mergeCell ref="A49:D49"/>
    <mergeCell ref="E49:F49"/>
    <mergeCell ref="A50:D50"/>
    <mergeCell ref="E50:F50"/>
    <mergeCell ref="A51:D51"/>
    <mergeCell ref="E51:F51"/>
    <mergeCell ref="A46:D46"/>
    <mergeCell ref="E46:F46"/>
    <mergeCell ref="A47:D47"/>
    <mergeCell ref="E47:F47"/>
    <mergeCell ref="A48:D48"/>
    <mergeCell ref="E48:F48"/>
    <mergeCell ref="A43:D43"/>
    <mergeCell ref="E43:F43"/>
    <mergeCell ref="A44:D44"/>
    <mergeCell ref="E44:F44"/>
    <mergeCell ref="A45:D45"/>
    <mergeCell ref="E45:F45"/>
    <mergeCell ref="A40:D40"/>
    <mergeCell ref="E40:F40"/>
    <mergeCell ref="A41:D41"/>
    <mergeCell ref="E41:F41"/>
    <mergeCell ref="A42:D42"/>
    <mergeCell ref="E42:F42"/>
    <mergeCell ref="A36:D36"/>
    <mergeCell ref="A37:D37"/>
    <mergeCell ref="E37:F37"/>
    <mergeCell ref="A38:D38"/>
    <mergeCell ref="E38:F38"/>
    <mergeCell ref="A39:D39"/>
    <mergeCell ref="E39:F39"/>
    <mergeCell ref="A32:D32"/>
    <mergeCell ref="A33:D33"/>
    <mergeCell ref="E33:F33"/>
    <mergeCell ref="A34:D34"/>
    <mergeCell ref="E34:F34"/>
    <mergeCell ref="A35:D35"/>
    <mergeCell ref="E35:F35"/>
    <mergeCell ref="A29:D29"/>
    <mergeCell ref="E29:F29"/>
    <mergeCell ref="A30:D30"/>
    <mergeCell ref="E30:F30"/>
    <mergeCell ref="A31:D31"/>
    <mergeCell ref="E31:F31"/>
    <mergeCell ref="A26:D26"/>
    <mergeCell ref="E26:F26"/>
    <mergeCell ref="A27:D27"/>
    <mergeCell ref="E27:F27"/>
    <mergeCell ref="A28:D28"/>
    <mergeCell ref="E28:F28"/>
    <mergeCell ref="A23:D23"/>
    <mergeCell ref="E23:F23"/>
    <mergeCell ref="A24:D24"/>
    <mergeCell ref="E24:F24"/>
    <mergeCell ref="A25:D25"/>
    <mergeCell ref="E25:F25"/>
    <mergeCell ref="A20:D20"/>
    <mergeCell ref="E20:F20"/>
    <mergeCell ref="A21:D21"/>
    <mergeCell ref="E21:F21"/>
    <mergeCell ref="A22:D22"/>
    <mergeCell ref="E22:F22"/>
    <mergeCell ref="A17:D17"/>
    <mergeCell ref="E17:F17"/>
    <mergeCell ref="A18:D18"/>
    <mergeCell ref="E18:F18"/>
    <mergeCell ref="A19:D19"/>
    <mergeCell ref="E19:F19"/>
    <mergeCell ref="A14:D14"/>
    <mergeCell ref="E14:F14"/>
    <mergeCell ref="A15:D15"/>
    <mergeCell ref="E15:F15"/>
    <mergeCell ref="A16:D16"/>
    <mergeCell ref="E16:F16"/>
    <mergeCell ref="A11:D11"/>
    <mergeCell ref="E11:F11"/>
    <mergeCell ref="A12:D12"/>
    <mergeCell ref="E12:F12"/>
    <mergeCell ref="A13:D13"/>
    <mergeCell ref="E13:F13"/>
    <mergeCell ref="C6:N6"/>
    <mergeCell ref="A8:D8"/>
    <mergeCell ref="E8:H8"/>
    <mergeCell ref="A9:D9"/>
    <mergeCell ref="E9:F9"/>
    <mergeCell ref="A10:D10"/>
    <mergeCell ref="E10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7B77E-B110-40A8-AF00-A0A08946D604}">
  <dimension ref="A1:E10"/>
  <sheetViews>
    <sheetView tabSelected="1" zoomScale="130" zoomScaleNormal="130" workbookViewId="0">
      <selection activeCell="G22" sqref="G22"/>
    </sheetView>
  </sheetViews>
  <sheetFormatPr defaultRowHeight="11.25" x14ac:dyDescent="0.2"/>
  <cols>
    <col min="1" max="1" width="88" customWidth="1"/>
    <col min="3" max="3" width="27" customWidth="1"/>
    <col min="5" max="5" width="67" bestFit="1" customWidth="1"/>
  </cols>
  <sheetData>
    <row r="1" spans="1:5" x14ac:dyDescent="0.2">
      <c r="A1" s="7" t="s">
        <v>114</v>
      </c>
      <c r="B1" s="7" t="s">
        <v>115</v>
      </c>
      <c r="C1" s="7"/>
      <c r="D1" s="7" t="s">
        <v>106</v>
      </c>
      <c r="E1" s="7"/>
    </row>
    <row r="2" spans="1:5" x14ac:dyDescent="0.2">
      <c r="A2" s="7" t="s">
        <v>98</v>
      </c>
      <c r="B2" s="32">
        <v>18</v>
      </c>
      <c r="C2" s="33" t="s">
        <v>108</v>
      </c>
      <c r="D2" s="7">
        <f>VLOOKUP(A2,[1]TDSheet!$A:$N,14,0)</f>
        <v>0</v>
      </c>
      <c r="E2" s="7" t="s">
        <v>109</v>
      </c>
    </row>
    <row r="3" spans="1:5" x14ac:dyDescent="0.2">
      <c r="A3" s="7" t="s">
        <v>99</v>
      </c>
      <c r="B3" s="32">
        <v>75</v>
      </c>
      <c r="C3" s="7" t="s">
        <v>105</v>
      </c>
      <c r="D3" s="7">
        <v>0</v>
      </c>
      <c r="E3" s="7" t="s">
        <v>110</v>
      </c>
    </row>
    <row r="4" spans="1:5" x14ac:dyDescent="0.2">
      <c r="A4" s="7" t="s">
        <v>100</v>
      </c>
      <c r="B4" s="32">
        <v>28.25</v>
      </c>
      <c r="C4" s="33" t="s">
        <v>112</v>
      </c>
      <c r="D4" s="7">
        <f>VLOOKUP(A4,[1]TDSheet!$A:$N,14,0)</f>
        <v>3.5</v>
      </c>
      <c r="E4" s="7" t="s">
        <v>113</v>
      </c>
    </row>
    <row r="5" spans="1:5" x14ac:dyDescent="0.2">
      <c r="A5" s="7" t="s">
        <v>101</v>
      </c>
      <c r="B5" s="32">
        <v>11.52</v>
      </c>
      <c r="C5" s="33" t="s">
        <v>111</v>
      </c>
      <c r="D5" s="7">
        <v>0</v>
      </c>
      <c r="E5" s="7"/>
    </row>
    <row r="6" spans="1:5" x14ac:dyDescent="0.2">
      <c r="A6" s="7" t="s">
        <v>102</v>
      </c>
      <c r="B6" s="32">
        <v>6.25</v>
      </c>
      <c r="C6" s="7" t="s">
        <v>105</v>
      </c>
      <c r="D6" s="7">
        <f>VLOOKUP(A6,[1]TDSheet!$A:$N,14,0)</f>
        <v>110.75</v>
      </c>
      <c r="E6" s="7"/>
    </row>
    <row r="7" spans="1:5" x14ac:dyDescent="0.2">
      <c r="A7" s="7" t="s">
        <v>58</v>
      </c>
      <c r="B7" s="32">
        <v>9.8000000000000007</v>
      </c>
      <c r="C7" s="33" t="s">
        <v>107</v>
      </c>
      <c r="D7" s="7"/>
      <c r="E7" s="7"/>
    </row>
    <row r="8" spans="1:5" x14ac:dyDescent="0.2">
      <c r="A8" s="7" t="s">
        <v>103</v>
      </c>
      <c r="B8" s="32">
        <v>3.75</v>
      </c>
      <c r="C8" s="7" t="s">
        <v>105</v>
      </c>
      <c r="D8" s="7">
        <v>0</v>
      </c>
      <c r="E8" s="7" t="s">
        <v>110</v>
      </c>
    </row>
    <row r="9" spans="1:5" x14ac:dyDescent="0.2">
      <c r="A9" s="7" t="s">
        <v>104</v>
      </c>
      <c r="B9" s="32">
        <v>1.44</v>
      </c>
      <c r="C9" s="33" t="str">
        <f>VLOOKUP(A9,[2]Sheet!$A:$I,9,0)</f>
        <v>вывод</v>
      </c>
      <c r="D9" s="7"/>
      <c r="E9" s="7"/>
    </row>
    <row r="10" spans="1:5" x14ac:dyDescent="0.2">
      <c r="B10" s="31">
        <f>SUM(B2:B9)</f>
        <v>154.01000000000002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TDSheet</vt:lpstr>
      <vt:lpstr>дефицит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cp:keywords/>
  <dc:description/>
  <cp:lastModifiedBy>User</cp:lastModifiedBy>
  <cp:revision>1</cp:revision>
  <cp:lastPrinted>2026-10-29T10:14:15Z</cp:lastPrinted>
  <dcterms:created xsi:type="dcterms:W3CDTF">2026-10-29T10:14:15Z</dcterms:created>
  <dcterms:modified xsi:type="dcterms:W3CDTF">2026-10-29T15:57:07Z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0C56AF23F0D1477CB3C2F81A96BE802E_12</vt:lpwstr>
  </property>
  <property fmtid="{D5CDD505-2E9C-101B-9397-08002B2CF9AE}" pid="3" name="KSOProductBuildVer">
    <vt:lpwstr>1049-12.1.0.29162</vt:lpwstr>
  </property>
  <property fmtid="{D5CDD505-2E9C-101B-9397-08002B2CF9AE}" pid="4" name="CalculationRule">
    <vt:r8>0</vt:r8>
  </property>
</Properties>
</file>