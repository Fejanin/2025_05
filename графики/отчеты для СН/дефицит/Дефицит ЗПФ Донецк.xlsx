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8_{D0EC73C7-6BB0-423E-B663-7B0A831E272C}" xr6:coauthVersionLast="45" xr6:coauthVersionMax="45" xr10:uidLastSave="{00000000-0000-0000-0000-000000000000}"/>
  <bookViews>
    <workbookView xWindow="-120" yWindow="-120" windowWidth="29040" windowHeight="1584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1" l="1"/>
  <c r="J18" i="1"/>
  <c r="J28" i="1"/>
  <c r="J38" i="1"/>
  <c r="J46" i="1"/>
  <c r="J54" i="1"/>
  <c r="J81" i="1"/>
  <c r="J84" i="1"/>
  <c r="G93" i="1"/>
  <c r="J93" i="1"/>
</calcChain>
</file>

<file path=xl/sharedStrings.xml><?xml version="1.0" encoding="utf-8"?>
<sst xmlns="http://schemas.openxmlformats.org/spreadsheetml/2006/main" count="98" uniqueCount="98">
  <si>
    <t>Ведомость по товарам на складах</t>
  </si>
  <si>
    <t>Параметры:</t>
  </si>
  <si>
    <t>Период: 28.10.2026 - 28.10.2026</t>
  </si>
  <si>
    <t>Количество товаров: В единицах хранения</t>
  </si>
  <si>
    <t>Отбор:</t>
  </si>
  <si>
    <t>Склад Равно "АСП Донецк Заморозка" И
Номенклатура В группе из списка "Авида; АО "КОНТИ-РУС"; Апрель ООО (Яшкино) ; Артеменко Т.С. ИП (Макаро...; Атяшево МК (11000); Байсад ЗАО; Белокаменка-Фиш ООО; Бизнес логистика ТК ООО; Бондюэль-кубань ООО; Варвикс МК;..."</t>
  </si>
  <si>
    <t>Склад</t>
  </si>
  <si>
    <t>Количество</t>
  </si>
  <si>
    <t>Конечный остаток на 29.10.26</t>
  </si>
  <si>
    <t>Дефицит</t>
  </si>
  <si>
    <t>Номенклатура, Артикул</t>
  </si>
  <si>
    <t>Нач.остаток на кг/шт 28.10.26</t>
  </si>
  <si>
    <t>Заказано кг на 29.10.26</t>
  </si>
  <si>
    <t>Расход кг на 29.10.26</t>
  </si>
  <si>
    <t>АСП Донецк Заморозка</t>
  </si>
  <si>
    <t xml:space="preserve">ПОКОМ Логистический Партнер , </t>
  </si>
  <si>
    <t xml:space="preserve">Заморозка Зареченские Логистический партнер (кг), </t>
  </si>
  <si>
    <t>Мини-сосиски в ароматном тесте ВЕС ТМ Зареченские продукты  ПОКОМ, SU004361</t>
  </si>
  <si>
    <t>Мини-шарики с курочкой и сыром ТМ Зареченские ВЕС ПОКОМ, SU003448</t>
  </si>
  <si>
    <t>Наггетсы Хрустящие ТМ Зареченские ТС Зареченские продукты. Поком, SU003020</t>
  </si>
  <si>
    <t>Пирожки с мясом 3,7кг ВЕС ТМ Зареченские  ПОКОМ, SU003439</t>
  </si>
  <si>
    <t>Чебуреки Мясные вес 2,7 кг ТМ Зареченские ТС Зареченские продукты   Поком, SU003012</t>
  </si>
  <si>
    <t>Чебуреки сочные ТМ Зареченские ТС Зареченские продукты.  Поком, SU002045</t>
  </si>
  <si>
    <t xml:space="preserve">ПОКОМ Логистический Партнер Заморозка, </t>
  </si>
  <si>
    <t>БОНУС_Готовые чебупели сочные с мясом ТМ Горячая штучка флоу-пак 0,24 кг  ПОКОМ, Б_SU003884</t>
  </si>
  <si>
    <t>БОНУС_Наггетсы Нагетосы Сочная курочка ТМ Горячая штучка 0,25 кг зам  ПОКОМ, Б_SU003598</t>
  </si>
  <si>
    <t>Вареники Медвежье ушко Премиум с картофелем и лесными грибами клас. форма флоу-пак 0,6 кг  ПОКОМ, SU004310</t>
  </si>
  <si>
    <t>Готовая чебупицца курочка по-итальянски 0,25кг ТМ Горячая штучка  ПОКОМ, SU004231</t>
  </si>
  <si>
    <t>Готовые бельмеши сочные с мясом ТМ Горячая штучка 0,3кг зам  ПОКОМ, SU002560</t>
  </si>
  <si>
    <t>Готовые круггетсы сочные ТМ Горячая штучка флоу пак 0,2кг  ПОКОМ, SU004219</t>
  </si>
  <si>
    <t>Готовые пекерсы с индейкой в сливочном соусе ТМ Горячая штучка флоу-пак 0,25кг  ПОКОМ, SU004223</t>
  </si>
  <si>
    <t>Готовые хотстеры с сыром ТМ Горячая штучка ТС Хотстеры флоу-пак 0,25 кг.  ПОКОМ, SU004230</t>
  </si>
  <si>
    <t>Готовые хотстеры ТМ Горячая штучка ТС Хотстеры флоу-пак 0,25 кг.  ПОКОМ, SU004226</t>
  </si>
  <si>
    <t>Готовые чебуманы с говядиной ТМ горячая штучка 0,28 кг.  Поком, SU002668</t>
  </si>
  <si>
    <t>Готовые чебупели острые с мясом ТМ Горячая штучка флоу-пак 0,24 кг  Поком, SU003887</t>
  </si>
  <si>
    <t>Готовые чебупели с ветчиной и сыром 0,24 кг НОВАЯ ТМ Горячая штучка  ПОКОМ, SU004207</t>
  </si>
  <si>
    <t>Готовые чебупели с ветчиной и сыром ТМ Горячая штучка флоу-пак 0,24 кг.  ПОКОМ, SU003889</t>
  </si>
  <si>
    <t>Готовые чебупели с мясом ТМ Горячая штучка 0,24 кг  ПОКОМ, SU004257</t>
  </si>
  <si>
    <t>Готовые чебупели сочные с мясом 0,24 кг НОВАЯ ТМ Горячая штучка флоу-пак  ПОКОМ, SU004210</t>
  </si>
  <si>
    <t>Готовые чебупели сочные с мясом 0,48 кг НОВАЯ ТМ Горячая штучка флоу-пак МЕГАпачка  ПОКОМ, SU004258</t>
  </si>
  <si>
    <t>Готовые чебупели сочные с мясом ТМ Горячая штучка флоу-пак 0,24 кг  ПОКОМ, SU003884</t>
  </si>
  <si>
    <t>Готовые чебуреки с мясом ТМ Горячая штучка 0,09 кг флоу-пак ПОКОМ, SU002573</t>
  </si>
  <si>
    <t>Готовые чебуреки со свининой и говядиной ТМ Горячая штучка ТС Базовый ассортимент 0,36 кг  ПОКОМ, SU002558</t>
  </si>
  <si>
    <t>Жареные вареники с картофелем и беконом ТМ Стародворье 0,2 кг  ПОКОМ, SU004012</t>
  </si>
  <si>
    <t>Круггетсы с сырным соусом ТМ Горячая штучка ТС Круггетсы флоу-пак 0,2 кг  ПОКОМ, SU003872</t>
  </si>
  <si>
    <t>Круггетсы сочные ТМ Горячая штучка ТС Круггетсы флоу-пак  0,2 кг.  ПОКОМ, SU003870</t>
  </si>
  <si>
    <t>Мини-чебуреки с мясом ТМ Зареченские ТС Зареченские продукты ПОКОМ, SU003434</t>
  </si>
  <si>
    <t>Наггетсы из печи 0,25кг ТМ Вязанка замор.  ПОКОМ, SU002514</t>
  </si>
  <si>
    <t>Наггетсы Нагетосы Сочная курочка со сметаной и зеленью ТМ Горячая штучка флоу-пак 0,25 кг  Поком, SU003600</t>
  </si>
  <si>
    <t>Наггетсы Нагетосы Сочная курочка ТМ Горячая штучка 0,25 кг зам  ПОКОМ, SU002763</t>
  </si>
  <si>
    <t>Наггетсы с индейкой 0,25кг ТМ Вязанка ТС Из печи Сливушки ПОКОМ, SU003800</t>
  </si>
  <si>
    <t>Наггетсы с куриным филе и сыром ТМ Вязанка ТС Из печи Сливушки 0,25 кг.  Поком, SU003001</t>
  </si>
  <si>
    <t>Наггетсы Сливушки в темпуре ТМ Вязанка флоу-пак 0,23 кг  ПОКОМ, SU004023</t>
  </si>
  <si>
    <t>Наггетсы Хрустящие НД2. ВЕС.  ПОКОМ, SU002644</t>
  </si>
  <si>
    <t>Наггетсы Хрустящие ТМ Стародворье с сочной курочкой 0,23 кг  ПОКОМ, SU003930</t>
  </si>
  <si>
    <t>Пекерсы с индейкой в сливочном соусе ТМ Горячая штучка 0,25 кг зам  ПОКОМ, SU002669</t>
  </si>
  <si>
    <t>Пельмени Grandmeni с говядиной и свининой ТМ Горячаяштучка флоу-па классическая форма 0,7 кг.  Поком, SU003828</t>
  </si>
  <si>
    <t>Пельмени Grandmeni с говядиной ТМ Горячаяштучка флоу-пак сфера 0,7 кг.  Поком, SU003826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</si>
  <si>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</si>
  <si>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Поком, SU003532</t>
  </si>
  <si>
    <t>Пельмени Бигбули с мясом ТМ Горячая штучка БУЛЬМЕНИ ТС Бигбули ГШ  флоу-пак сфера 0,7.   Поком, SU003529</t>
  </si>
  <si>
    <t>Пельмени Бигбули с мясом ТМ Горячая штучка. флоу-пак сфера 0,4 кг. ПОКОМ, SU003530</t>
  </si>
  <si>
    <t>Пельмени Бигбули со сливочным маслом  ТС Бигбули ГШ#МЕГАМАСЛИЩЕ флоу-пак сфера 0,7.  Поком, SU003385</t>
  </si>
  <si>
    <t>Пельмени Бульмени мини с мясом и оливковым маслом  ТС Бульмени ГШ флоу-пак сфера 0,7кг  Поком , SU003717</t>
  </si>
  <si>
    <t>Пельмени Бульмени с говядиной и свининой Наваристые Горячая штучка ВЕС  ПОКОМ, SU002595</t>
  </si>
  <si>
    <t>Пельмени Бульмени с говядиной и свининой ТМ Горячая штучка  флоу-пак сфера 0,4 кг  Поком, SU003527</t>
  </si>
  <si>
    <t>Пельмени Бульмени с говядиной и свининой ТМ Горячая штучка БУЛЬМЕНИ  флоу-пак сфера 0,7 кг.  Поком, SU003460</t>
  </si>
  <si>
    <t>Пельмени Бульмени со сливочным маслом ТМ Горячая штучка  флоу-пак сфера 0,4 кг .  Поком, SU003528</t>
  </si>
  <si>
    <t>Пельмени Бульмени со сливочным маслом ТМ Горячая штучка флоу-пак сфера 0,7 кг .  Поком, SU003459</t>
  </si>
  <si>
    <t>Пельмени Медвежье ушко Премиум Мясные ТМ Медвежье ушко классическая форма флоу-пак 0,8 кг. ПОКОМ, SU004022</t>
  </si>
  <si>
    <t>Пельмени Медвежье ушко Премиум со сливочным маслом 0,4 кг ТМ Медвежье ушко  ПОКОМ, SU004163</t>
  </si>
  <si>
    <t>Пельмени Медвежье ушко Премиум со сливочным маслом 0,8 кг ТМ Медвежье ушко  ПОКОМ, SU004162</t>
  </si>
  <si>
    <t>Пельмени Мясные с говядиной ТМ Стародворье сфера флоу-пак 1 кг  ПОКОМ, SU003935</t>
  </si>
  <si>
    <t>Пельмени Отборные из свинины и говядины 0,9 кг ТМ Стародворье ТС Медвежье ушко  ПОКОМ, SU002066</t>
  </si>
  <si>
    <t>Пельмени С говядиной и свининой, ВЕС, ТМ Славница сфера пуговки  ПОКОМ, SU000197</t>
  </si>
  <si>
    <t>Пельмени Со свининой и говядиной ТС Любимая ложка сфера флоу-пак 1 кг  ПОКОМ, SU004038</t>
  </si>
  <si>
    <t>Пирожки с мясом НД  ВЕС  ПОКОМ, SU003438</t>
  </si>
  <si>
    <t>ХБИ Готовые бельмеши сочные с мясом НД1 ТМ Горячая штучка 0,3кг зам  ПОКОМ, SU004205</t>
  </si>
  <si>
    <t>ХБИ Готовые чебуманы с говядиной 0,28кг ТМ Горячая штучка  ПОКОМ, SU004206</t>
  </si>
  <si>
    <t>ХБИ Готовые чебупели с курицей ТМ Горячая штучка (курочка гриль) флоу-пак 0,3 кг  ПОКОМ, SU004263</t>
  </si>
  <si>
    <t>ХБИ Мини-шарики с курочкой и сыром ТМ Зареченские продукты ВЕС  ПОКОМ, SU004375</t>
  </si>
  <si>
    <t>ХБИ Снеки «Готовые круггетсы с сырным соусом» Фикс.вес 0,2 ТМ «Горячая штучка» ПОКОМ, SU004216</t>
  </si>
  <si>
    <t>ХБИ Чебупицца Пепперони ТМ Горячая штучка ТС Чебупицца 0.25кг зам  ПОКОМ, SU004234</t>
  </si>
  <si>
    <t>Хотстеры Васаби-чили ТМ Горячая штучка ТС Хотстеры 0,23кг жареные ПОКОМ, SU004034</t>
  </si>
  <si>
    <t>Хотстеры с сыром ТМ Горячая штучка ТС Хотстеры 0,25кг.  Поком, SU003384</t>
  </si>
  <si>
    <t>Хотстеры ТМ Горячая штучка ТС Хотстеры 0,25 кг зам  ПОКОМ, SU002565</t>
  </si>
  <si>
    <t>Хрустипай апельсин имбирь ТМ Горячая штучка 0,18 кг  ПОКОМ, SU004071</t>
  </si>
  <si>
    <t>Хрустипай манго маракуйя ТМ Горячая штучка 0,18 кг  ПОКОМ, SU004069</t>
  </si>
  <si>
    <t>Хрустипай манго чили ТМ Горячая штучка 0,18кг с начинкой ПОКОМ, SU004070</t>
  </si>
  <si>
    <t>Хрустящие крылышки острые к пиву ТМ Горячая штучка 0,3кг зам  ПОКОМ, SU002564</t>
  </si>
  <si>
    <t>Хрустящие крылышки ТМ Горячая штучка 0,3 кг зам  ПОКОМ, SU002563</t>
  </si>
  <si>
    <t>Чебупели со вкусом Фо бо ТМ Горячая штучка 0,22 кг  ПОКОМ, SU004097</t>
  </si>
  <si>
    <t>Чебупицца курочка по-итальянски Горячая штучка 0,25 кг зам  ПОКОМ, SU002562</t>
  </si>
  <si>
    <t>Чебупицца Пепперони ТМ Горячая штучка ТС Чебупицца 0.25кг зам  ПОКОМ, SU002561</t>
  </si>
  <si>
    <t>Чебупицца со вкусом 4 сыра 0,2кг ТМ Горячая штучка ТС Foodgital  ПОКОМ, SU003676</t>
  </si>
  <si>
    <t>Чебупицца со вкусом Том ям ТМ Горячая штучка ТС Чебупицца 0,23кг жареные ПОКОМ, SU004032</t>
  </si>
  <si>
    <t>Чебупицца со вкусом Утка по-пекински ТМ Горячая штучка ТС Чебупицца 0,23 кг.  ПОКОМ, SU004031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</si>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</sst>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4" formatCode="#,##0.000;[Red]\-#,##0.000"/>
    <numFmt numFmtId="175" formatCode="0.000;[Red]\-0.000"/>
    <numFmt numFmtId="176" formatCode="0.000"/>
  </numFmts>
  <fonts count="6" x14ac:knownFonts="1">
    <font>
      <sz val="8"/>
      <name val="Arial"/>
      <family val="2"/>
      <charset val="204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60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174" fontId="4" fillId="2" borderId="1" xfId="0" applyNumberFormat="1" applyFont="1" applyFill="1" applyBorder="1" applyAlignment="1">
      <alignment horizontal="right" vertical="top"/>
    </xf>
    <xf numFmtId="174" fontId="4" fillId="2" borderId="5" xfId="0" applyNumberFormat="1" applyFont="1" applyFill="1" applyBorder="1" applyAlignment="1">
      <alignment horizontal="right" vertical="top"/>
    </xf>
    <xf numFmtId="0" fontId="0" fillId="0" borderId="6" xfId="0" applyBorder="1"/>
    <xf numFmtId="174" fontId="4" fillId="3" borderId="1" xfId="0" applyNumberFormat="1" applyFont="1" applyFill="1" applyBorder="1" applyAlignment="1">
      <alignment horizontal="right" vertical="top"/>
    </xf>
    <xf numFmtId="174" fontId="4" fillId="3" borderId="5" xfId="0" applyNumberFormat="1" applyFont="1" applyFill="1" applyBorder="1" applyAlignment="1">
      <alignment horizontal="right" vertical="top"/>
    </xf>
    <xf numFmtId="175" fontId="4" fillId="3" borderId="1" xfId="0" applyNumberFormat="1" applyFont="1" applyFill="1" applyBorder="1" applyAlignment="1">
      <alignment horizontal="right" vertical="top"/>
    </xf>
    <xf numFmtId="175" fontId="4" fillId="3" borderId="5" xfId="0" applyNumberFormat="1" applyFont="1" applyFill="1" applyBorder="1" applyAlignment="1">
      <alignment horizontal="right" vertical="top"/>
    </xf>
    <xf numFmtId="175" fontId="5" fillId="0" borderId="1" xfId="0" applyNumberFormat="1" applyFont="1" applyBorder="1" applyAlignment="1">
      <alignment horizontal="right" vertical="top"/>
    </xf>
    <xf numFmtId="176" fontId="5" fillId="0" borderId="7" xfId="0" applyNumberFormat="1" applyFont="1" applyBorder="1" applyAlignment="1">
      <alignment horizontal="right" vertical="top"/>
    </xf>
    <xf numFmtId="175" fontId="5" fillId="0" borderId="5" xfId="0" applyNumberFormat="1" applyFont="1" applyBorder="1" applyAlignment="1">
      <alignment horizontal="right" vertical="top"/>
    </xf>
    <xf numFmtId="0" fontId="5" fillId="0" borderId="6" xfId="0" applyFont="1" applyBorder="1"/>
    <xf numFmtId="176" fontId="5" fillId="5" borderId="7" xfId="0" applyNumberFormat="1" applyFont="1" applyFill="1" applyBorder="1" applyAlignment="1">
      <alignment horizontal="right" vertical="top"/>
    </xf>
    <xf numFmtId="0" fontId="5" fillId="5" borderId="1" xfId="0" applyNumberFormat="1" applyFont="1" applyFill="1" applyBorder="1" applyAlignment="1">
      <alignment horizontal="right" vertical="top"/>
    </xf>
    <xf numFmtId="0" fontId="5" fillId="0" borderId="5" xfId="0" applyNumberFormat="1" applyFont="1" applyBorder="1" applyAlignment="1">
      <alignment horizontal="right" vertical="top"/>
    </xf>
    <xf numFmtId="176" fontId="5" fillId="5" borderId="6" xfId="0" applyNumberFormat="1" applyFont="1" applyFill="1" applyBorder="1"/>
    <xf numFmtId="175" fontId="5" fillId="5" borderId="1" xfId="0" applyNumberFormat="1" applyFont="1" applyFill="1" applyBorder="1" applyAlignment="1">
      <alignment horizontal="right" vertical="top"/>
    </xf>
    <xf numFmtId="174" fontId="5" fillId="3" borderId="1" xfId="0" applyNumberFormat="1" applyFont="1" applyFill="1" applyBorder="1" applyAlignment="1">
      <alignment horizontal="right" vertical="top"/>
    </xf>
    <xf numFmtId="176" fontId="5" fillId="3" borderId="1" xfId="0" applyNumberFormat="1" applyFont="1" applyFill="1" applyBorder="1" applyAlignment="1">
      <alignment horizontal="right" vertical="top"/>
    </xf>
    <xf numFmtId="174" fontId="5" fillId="3" borderId="5" xfId="0" applyNumberFormat="1" applyFont="1" applyFill="1" applyBorder="1" applyAlignment="1">
      <alignment horizontal="right" vertical="top"/>
    </xf>
    <xf numFmtId="176" fontId="5" fillId="6" borderId="6" xfId="0" applyNumberFormat="1" applyFont="1" applyFill="1" applyBorder="1"/>
    <xf numFmtId="0" fontId="5" fillId="0" borderId="8" xfId="0" applyNumberFormat="1" applyFont="1" applyBorder="1" applyAlignment="1">
      <alignment horizontal="right" vertical="top"/>
    </xf>
    <xf numFmtId="174" fontId="5" fillId="0" borderId="5" xfId="0" applyNumberFormat="1" applyFont="1" applyBorder="1" applyAlignment="1">
      <alignment horizontal="right" vertical="top"/>
    </xf>
    <xf numFmtId="0" fontId="5" fillId="0" borderId="1" xfId="0" applyNumberFormat="1" applyFont="1" applyBorder="1" applyAlignment="1">
      <alignment horizontal="right" vertical="top"/>
    </xf>
    <xf numFmtId="174" fontId="3" fillId="4" borderId="1" xfId="0" applyNumberFormat="1" applyFont="1" applyFill="1" applyBorder="1" applyAlignment="1">
      <alignment horizontal="right" vertical="top"/>
    </xf>
    <xf numFmtId="0" fontId="5" fillId="5" borderId="6" xfId="0" applyFont="1" applyFill="1" applyBorder="1"/>
    <xf numFmtId="174" fontId="3" fillId="4" borderId="5" xfId="0" applyNumberFormat="1" applyFont="1" applyFill="1" applyBorder="1" applyAlignment="1">
      <alignment horizontal="right" vertical="top"/>
    </xf>
    <xf numFmtId="0" fontId="2" fillId="0" borderId="0" xfId="0" applyNumberFormat="1" applyFont="1" applyAlignment="1">
      <alignment vertical="top" wrapText="1"/>
    </xf>
    <xf numFmtId="0" fontId="2" fillId="4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/>
    </xf>
    <xf numFmtId="174" fontId="4" fillId="2" borderId="1" xfId="0" applyNumberFormat="1" applyFont="1" applyFill="1" applyBorder="1" applyAlignment="1">
      <alignment horizontal="right" vertical="top"/>
    </xf>
    <xf numFmtId="0" fontId="4" fillId="3" borderId="1" xfId="0" applyNumberFormat="1" applyFont="1" applyFill="1" applyBorder="1" applyAlignment="1">
      <alignment vertical="top" wrapText="1" indent="2"/>
    </xf>
    <xf numFmtId="174" fontId="4" fillId="3" borderId="1" xfId="0" applyNumberFormat="1" applyFont="1" applyFill="1" applyBorder="1" applyAlignment="1">
      <alignment horizontal="right" vertical="top"/>
    </xf>
    <xf numFmtId="0" fontId="4" fillId="3" borderId="1" xfId="0" applyNumberFormat="1" applyFont="1" applyFill="1" applyBorder="1" applyAlignment="1">
      <alignment vertical="top" wrapText="1" indent="4"/>
    </xf>
    <xf numFmtId="175" fontId="4" fillId="3" borderId="1" xfId="0" applyNumberFormat="1" applyFont="1" applyFill="1" applyBorder="1" applyAlignment="1">
      <alignment horizontal="right" vertical="top"/>
    </xf>
    <xf numFmtId="0" fontId="5" fillId="0" borderId="1" xfId="0" applyNumberFormat="1" applyFont="1" applyBorder="1" applyAlignment="1">
      <alignment vertical="top" wrapText="1" indent="6"/>
    </xf>
    <xf numFmtId="175" fontId="5" fillId="0" borderId="1" xfId="0" applyNumberFormat="1" applyFont="1" applyBorder="1" applyAlignment="1">
      <alignment horizontal="right" vertical="top"/>
    </xf>
    <xf numFmtId="0" fontId="5" fillId="3" borderId="1" xfId="0" applyNumberFormat="1" applyFont="1" applyFill="1" applyBorder="1" applyAlignment="1">
      <alignment vertical="top" wrapText="1" indent="4"/>
    </xf>
    <xf numFmtId="174" fontId="5" fillId="3" borderId="1" xfId="0" applyNumberFormat="1" applyFont="1" applyFill="1" applyBorder="1" applyAlignment="1">
      <alignment horizontal="right" vertical="top"/>
    </xf>
    <xf numFmtId="174" fontId="5" fillId="0" borderId="1" xfId="0" applyNumberFormat="1" applyFont="1" applyBorder="1" applyAlignment="1">
      <alignment horizontal="right" vertical="top"/>
    </xf>
    <xf numFmtId="0" fontId="5" fillId="0" borderId="5" xfId="0" applyNumberFormat="1" applyFont="1" applyBorder="1" applyAlignment="1">
      <alignment horizontal="center" vertical="top" wrapText="1"/>
    </xf>
    <xf numFmtId="0" fontId="5" fillId="0" borderId="9" xfId="0" applyNumberFormat="1" applyFont="1" applyBorder="1" applyAlignment="1">
      <alignment horizontal="center" vertical="top" wrapText="1"/>
    </xf>
    <xf numFmtId="0" fontId="5" fillId="0" borderId="8" xfId="0" applyNumberFormat="1" applyFont="1" applyBorder="1" applyAlignment="1">
      <alignment horizontal="center" vertical="top" wrapText="1"/>
    </xf>
    <xf numFmtId="175" fontId="5" fillId="0" borderId="5" xfId="0" applyNumberFormat="1" applyFont="1" applyBorder="1" applyAlignment="1">
      <alignment horizontal="center" vertical="top"/>
    </xf>
    <xf numFmtId="175" fontId="5" fillId="0" borderId="10" xfId="0" applyNumberFormat="1" applyFont="1" applyBorder="1" applyAlignment="1">
      <alignment horizontal="center" vertical="top"/>
    </xf>
    <xf numFmtId="0" fontId="3" fillId="4" borderId="1" xfId="0" applyNumberFormat="1" applyFont="1" applyFill="1" applyBorder="1" applyAlignment="1">
      <alignment vertical="top"/>
    </xf>
    <xf numFmtId="174" fontId="3" fillId="4" borderId="1" xfId="0" applyNumberFormat="1" applyFont="1" applyFill="1" applyBorder="1" applyAlignment="1">
      <alignment horizontal="right" vertical="top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BF9E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93"/>
  <sheetViews>
    <sheetView tabSelected="1" topLeftCell="A77" workbookViewId="0">
      <selection activeCell="L105" sqref="L105"/>
    </sheetView>
  </sheetViews>
  <sheetFormatPr defaultColWidth="10.6640625" defaultRowHeight="11.25" outlineLevelRow="3" x14ac:dyDescent="0.2"/>
  <cols>
    <col min="1" max="1" width="10.5" customWidth="1"/>
    <col min="2" max="2" width="4.1640625" customWidth="1"/>
    <col min="3" max="3" width="55.5" customWidth="1"/>
    <col min="4" max="4" width="7.83203125" customWidth="1"/>
    <col min="5" max="5" width="3" customWidth="1"/>
    <col min="6" max="6" width="15.6640625" customWidth="1"/>
    <col min="7" max="7" width="17.5" customWidth="1"/>
    <col min="8" max="8" width="18.1640625" customWidth="1"/>
    <col min="9" max="9" width="14" customWidth="1"/>
    <col min="10" max="10" width="24.83203125" customWidth="1"/>
    <col min="11" max="11" width="19" customWidth="1"/>
  </cols>
  <sheetData>
    <row r="1" spans="1:14" ht="9.9499999999999993" customHeight="1" x14ac:dyDescent="0.2"/>
    <row r="2" spans="1:14" ht="24" customHeight="1" x14ac:dyDescent="0.2">
      <c r="A2" s="1" t="s">
        <v>0</v>
      </c>
      <c r="B2" s="1"/>
      <c r="C2" s="1"/>
    </row>
    <row r="3" spans="1:14" ht="9.9499999999999993" customHeight="1" x14ac:dyDescent="0.2"/>
    <row r="4" spans="1:14" ht="12.75" customHeight="1" outlineLevel="1" x14ac:dyDescent="0.2">
      <c r="A4" s="2" t="s">
        <v>1</v>
      </c>
      <c r="B4" s="2"/>
      <c r="C4" s="2" t="s">
        <v>2</v>
      </c>
      <c r="D4" s="2"/>
      <c r="E4" s="2"/>
    </row>
    <row r="5" spans="1:14" ht="12.75" customHeight="1" outlineLevel="1" x14ac:dyDescent="0.2">
      <c r="C5" s="2" t="s">
        <v>3</v>
      </c>
      <c r="D5" s="2"/>
      <c r="E5" s="2"/>
    </row>
    <row r="6" spans="1:14" ht="24.75" customHeight="1" outlineLevel="1" x14ac:dyDescent="0.2">
      <c r="A6" s="2" t="s">
        <v>4</v>
      </c>
      <c r="B6" s="2"/>
      <c r="C6" s="31" t="s">
        <v>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ht="9.9499999999999993" customHeight="1" x14ac:dyDescent="0.2"/>
    <row r="8" spans="1:14" ht="12.75" customHeight="1" x14ac:dyDescent="0.2">
      <c r="A8" s="32" t="s">
        <v>6</v>
      </c>
      <c r="B8" s="32"/>
      <c r="C8" s="32"/>
      <c r="D8" s="32"/>
      <c r="E8" s="33" t="s">
        <v>7</v>
      </c>
      <c r="F8" s="33"/>
      <c r="G8" s="33"/>
      <c r="H8" s="33"/>
      <c r="I8" s="52" t="s">
        <v>8</v>
      </c>
      <c r="J8" s="54" t="s">
        <v>9</v>
      </c>
    </row>
    <row r="9" spans="1:14" ht="24.75" customHeight="1" x14ac:dyDescent="0.2">
      <c r="A9" s="32" t="s">
        <v>10</v>
      </c>
      <c r="B9" s="32"/>
      <c r="C9" s="32"/>
      <c r="D9" s="32"/>
      <c r="E9" s="33" t="s">
        <v>11</v>
      </c>
      <c r="F9" s="33"/>
      <c r="G9" s="4" t="s">
        <v>12</v>
      </c>
      <c r="H9" s="3" t="s">
        <v>13</v>
      </c>
      <c r="I9" s="53"/>
      <c r="J9" s="55"/>
    </row>
    <row r="10" spans="1:14" ht="11.25" customHeight="1" x14ac:dyDescent="0.2">
      <c r="A10" s="34" t="s">
        <v>14</v>
      </c>
      <c r="B10" s="34"/>
      <c r="C10" s="34"/>
      <c r="D10" s="34"/>
      <c r="E10" s="35">
        <v>41586.199999999997</v>
      </c>
      <c r="F10" s="35"/>
      <c r="G10" s="5"/>
      <c r="H10" s="5">
        <v>2889.98</v>
      </c>
      <c r="I10" s="6">
        <v>31589.33</v>
      </c>
      <c r="J10" s="7"/>
    </row>
    <row r="11" spans="1:14" ht="11.25" customHeight="1" outlineLevel="1" x14ac:dyDescent="0.2">
      <c r="A11" s="36" t="s">
        <v>15</v>
      </c>
      <c r="B11" s="36"/>
      <c r="C11" s="36"/>
      <c r="D11" s="36"/>
      <c r="E11" s="37">
        <v>40634.199999999997</v>
      </c>
      <c r="F11" s="37"/>
      <c r="G11" s="8"/>
      <c r="H11" s="8">
        <v>2889.98</v>
      </c>
      <c r="I11" s="9">
        <v>15405.33</v>
      </c>
      <c r="J11" s="7"/>
    </row>
    <row r="12" spans="1:14" ht="11.25" customHeight="1" outlineLevel="2" x14ac:dyDescent="0.2">
      <c r="A12" s="38" t="s">
        <v>16</v>
      </c>
      <c r="B12" s="38"/>
      <c r="C12" s="38"/>
      <c r="D12" s="38"/>
      <c r="E12" s="39">
        <v>861.8</v>
      </c>
      <c r="F12" s="39"/>
      <c r="G12" s="10"/>
      <c r="H12" s="10">
        <v>94</v>
      </c>
      <c r="I12" s="11">
        <v>799.5</v>
      </c>
      <c r="J12" s="7"/>
    </row>
    <row r="13" spans="1:14" ht="11.25" customHeight="1" outlineLevel="3" x14ac:dyDescent="0.2">
      <c r="A13" s="40" t="s">
        <v>17</v>
      </c>
      <c r="B13" s="40"/>
      <c r="C13" s="40"/>
      <c r="D13" s="40"/>
      <c r="E13" s="41">
        <v>770.3</v>
      </c>
      <c r="F13" s="41"/>
      <c r="G13" s="13">
        <v>29.6</v>
      </c>
      <c r="H13" s="12">
        <v>29.6</v>
      </c>
      <c r="I13" s="14">
        <v>740.7</v>
      </c>
      <c r="J13" s="15"/>
    </row>
    <row r="14" spans="1:14" ht="11.25" customHeight="1" outlineLevel="3" x14ac:dyDescent="0.2">
      <c r="A14" s="40" t="s">
        <v>18</v>
      </c>
      <c r="B14" s="40"/>
      <c r="C14" s="40"/>
      <c r="D14" s="40"/>
      <c r="E14" s="41">
        <v>3</v>
      </c>
      <c r="F14" s="41"/>
      <c r="G14" s="13">
        <v>15</v>
      </c>
      <c r="H14" s="12">
        <v>18</v>
      </c>
      <c r="I14" s="14">
        <v>-9</v>
      </c>
      <c r="J14" s="15"/>
    </row>
    <row r="15" spans="1:14" ht="11.25" customHeight="1" outlineLevel="3" x14ac:dyDescent="0.2">
      <c r="A15" s="40" t="s">
        <v>19</v>
      </c>
      <c r="B15" s="40"/>
      <c r="C15" s="40"/>
      <c r="D15" s="40"/>
      <c r="E15" s="41">
        <v>-2</v>
      </c>
      <c r="F15" s="41"/>
      <c r="G15" s="16">
        <v>18</v>
      </c>
      <c r="H15" s="17"/>
      <c r="I15" s="18"/>
      <c r="J15" s="19">
        <f>G15-H15</f>
        <v>18</v>
      </c>
    </row>
    <row r="16" spans="1:14" ht="11.25" customHeight="1" outlineLevel="3" x14ac:dyDescent="0.2">
      <c r="A16" s="40" t="s">
        <v>20</v>
      </c>
      <c r="B16" s="40"/>
      <c r="C16" s="40"/>
      <c r="D16" s="40"/>
      <c r="E16" s="41">
        <v>-3.7</v>
      </c>
      <c r="F16" s="41"/>
      <c r="G16" s="13">
        <v>3.7</v>
      </c>
      <c r="H16" s="12">
        <v>3.7</v>
      </c>
      <c r="I16" s="14">
        <v>-3.7</v>
      </c>
      <c r="J16" s="15"/>
    </row>
    <row r="17" spans="1:10" ht="21.75" customHeight="1" outlineLevel="3" x14ac:dyDescent="0.2">
      <c r="A17" s="40" t="s">
        <v>21</v>
      </c>
      <c r="B17" s="40"/>
      <c r="C17" s="40"/>
      <c r="D17" s="40"/>
      <c r="E17" s="41">
        <v>70.2</v>
      </c>
      <c r="F17" s="41"/>
      <c r="G17" s="13">
        <v>2.7</v>
      </c>
      <c r="H17" s="12">
        <v>2.7</v>
      </c>
      <c r="I17" s="14">
        <v>67.5</v>
      </c>
      <c r="J17" s="15"/>
    </row>
    <row r="18" spans="1:10" ht="11.25" customHeight="1" outlineLevel="3" x14ac:dyDescent="0.2">
      <c r="A18" s="40" t="s">
        <v>22</v>
      </c>
      <c r="B18" s="40"/>
      <c r="C18" s="40"/>
      <c r="D18" s="40"/>
      <c r="E18" s="41">
        <v>24</v>
      </c>
      <c r="F18" s="41"/>
      <c r="G18" s="16">
        <v>115</v>
      </c>
      <c r="H18" s="20">
        <v>40</v>
      </c>
      <c r="I18" s="14">
        <v>4</v>
      </c>
      <c r="J18" s="19">
        <f>G18-H18</f>
        <v>75</v>
      </c>
    </row>
    <row r="19" spans="1:10" ht="11.25" customHeight="1" outlineLevel="2" x14ac:dyDescent="0.2">
      <c r="A19" s="42" t="s">
        <v>23</v>
      </c>
      <c r="B19" s="42"/>
      <c r="C19" s="42"/>
      <c r="D19" s="42"/>
      <c r="E19" s="43">
        <v>39772.400000000001</v>
      </c>
      <c r="F19" s="43"/>
      <c r="G19" s="22"/>
      <c r="H19" s="21"/>
      <c r="I19" s="23">
        <v>14605.83</v>
      </c>
      <c r="J19" s="24"/>
    </row>
    <row r="20" spans="1:10" ht="21.75" customHeight="1" outlineLevel="3" x14ac:dyDescent="0.2">
      <c r="A20" s="40" t="s">
        <v>24</v>
      </c>
      <c r="B20" s="40"/>
      <c r="C20" s="40"/>
      <c r="D20" s="40"/>
      <c r="E20" s="41">
        <v>24</v>
      </c>
      <c r="F20" s="41"/>
      <c r="G20" s="13">
        <v>7.92</v>
      </c>
      <c r="H20" s="12">
        <v>7.92</v>
      </c>
      <c r="I20" s="14">
        <v>-1.92</v>
      </c>
      <c r="J20" s="24"/>
    </row>
    <row r="21" spans="1:10" ht="21.75" customHeight="1" outlineLevel="3" x14ac:dyDescent="0.2">
      <c r="A21" s="40" t="s">
        <v>25</v>
      </c>
      <c r="B21" s="40"/>
      <c r="C21" s="40"/>
      <c r="D21" s="40"/>
      <c r="E21" s="41">
        <v>113</v>
      </c>
      <c r="F21" s="41"/>
      <c r="G21" s="13">
        <v>5.25</v>
      </c>
      <c r="H21" s="12">
        <v>5</v>
      </c>
      <c r="I21" s="14">
        <v>23.5</v>
      </c>
      <c r="J21" s="24"/>
    </row>
    <row r="22" spans="1:10" ht="21.75" customHeight="1" outlineLevel="3" x14ac:dyDescent="0.2">
      <c r="A22" s="40" t="s">
        <v>26</v>
      </c>
      <c r="B22" s="40"/>
      <c r="C22" s="40"/>
      <c r="D22" s="40"/>
      <c r="E22" s="41">
        <v>227</v>
      </c>
      <c r="F22" s="41"/>
      <c r="G22" s="13">
        <v>7.2</v>
      </c>
      <c r="H22" s="12">
        <v>9</v>
      </c>
      <c r="I22" s="14">
        <v>128.4</v>
      </c>
      <c r="J22" s="24"/>
    </row>
    <row r="23" spans="1:10" ht="21.75" customHeight="1" outlineLevel="3" x14ac:dyDescent="0.2">
      <c r="A23" s="40" t="s">
        <v>27</v>
      </c>
      <c r="B23" s="40"/>
      <c r="C23" s="40"/>
      <c r="D23" s="40"/>
      <c r="E23" s="44">
        <v>2417</v>
      </c>
      <c r="F23" s="44"/>
      <c r="G23" s="13">
        <v>37.5</v>
      </c>
      <c r="H23" s="12">
        <v>107</v>
      </c>
      <c r="I23" s="14">
        <v>570.5</v>
      </c>
      <c r="J23" s="24"/>
    </row>
    <row r="24" spans="1:10" ht="11.25" customHeight="1" outlineLevel="3" x14ac:dyDescent="0.2">
      <c r="A24" s="40" t="s">
        <v>28</v>
      </c>
      <c r="B24" s="40"/>
      <c r="C24" s="40"/>
      <c r="D24" s="40"/>
      <c r="E24" s="41">
        <v>-72</v>
      </c>
      <c r="F24" s="41"/>
      <c r="G24" s="13">
        <v>21.3</v>
      </c>
      <c r="H24" s="12">
        <v>21.3</v>
      </c>
      <c r="I24" s="14">
        <v>-21.3</v>
      </c>
      <c r="J24" s="24"/>
    </row>
    <row r="25" spans="1:10" ht="11.25" customHeight="1" outlineLevel="3" x14ac:dyDescent="0.2">
      <c r="A25" s="40" t="s">
        <v>29</v>
      </c>
      <c r="B25" s="40"/>
      <c r="C25" s="40"/>
      <c r="D25" s="40"/>
      <c r="E25" s="41">
        <v>902</v>
      </c>
      <c r="F25" s="41"/>
      <c r="G25" s="13">
        <v>9.4</v>
      </c>
      <c r="H25" s="12">
        <v>16</v>
      </c>
      <c r="I25" s="14">
        <v>177</v>
      </c>
      <c r="J25" s="24"/>
    </row>
    <row r="26" spans="1:10" ht="21.75" customHeight="1" outlineLevel="3" x14ac:dyDescent="0.2">
      <c r="A26" s="40" t="s">
        <v>30</v>
      </c>
      <c r="B26" s="40"/>
      <c r="C26" s="40"/>
      <c r="D26" s="40"/>
      <c r="E26" s="41">
        <v>713</v>
      </c>
      <c r="F26" s="41"/>
      <c r="G26" s="13">
        <v>14.5</v>
      </c>
      <c r="H26" s="12">
        <v>37</v>
      </c>
      <c r="I26" s="14">
        <v>142.5</v>
      </c>
      <c r="J26" s="24"/>
    </row>
    <row r="27" spans="1:10" ht="21.75" customHeight="1" outlineLevel="3" x14ac:dyDescent="0.2">
      <c r="A27" s="40" t="s">
        <v>31</v>
      </c>
      <c r="B27" s="40"/>
      <c r="C27" s="40"/>
      <c r="D27" s="40"/>
      <c r="E27" s="41">
        <v>814</v>
      </c>
      <c r="F27" s="41"/>
      <c r="G27" s="13">
        <v>16.5</v>
      </c>
      <c r="H27" s="12">
        <v>33.25</v>
      </c>
      <c r="I27" s="14">
        <v>193.25</v>
      </c>
      <c r="J27" s="24"/>
    </row>
    <row r="28" spans="1:10" ht="21.75" customHeight="1" outlineLevel="3" x14ac:dyDescent="0.2">
      <c r="A28" s="40" t="s">
        <v>32</v>
      </c>
      <c r="B28" s="40"/>
      <c r="C28" s="40"/>
      <c r="D28" s="40"/>
      <c r="E28" s="41">
        <v>6</v>
      </c>
      <c r="F28" s="41"/>
      <c r="G28" s="16">
        <v>31.25</v>
      </c>
      <c r="H28" s="20">
        <v>3</v>
      </c>
      <c r="I28" s="14">
        <v>11</v>
      </c>
      <c r="J28" s="19">
        <f>G28-H28</f>
        <v>28.25</v>
      </c>
    </row>
    <row r="29" spans="1:10" ht="11.25" customHeight="1" outlineLevel="3" x14ac:dyDescent="0.2">
      <c r="A29" s="40" t="s">
        <v>33</v>
      </c>
      <c r="B29" s="40"/>
      <c r="C29" s="40"/>
      <c r="D29" s="40"/>
      <c r="E29" s="41">
        <v>-4</v>
      </c>
      <c r="F29" s="41"/>
      <c r="G29" s="13">
        <v>9.52</v>
      </c>
      <c r="H29" s="12">
        <v>9.8000000000000007</v>
      </c>
      <c r="I29" s="14">
        <v>-9.8000000000000007</v>
      </c>
      <c r="J29" s="24"/>
    </row>
    <row r="30" spans="1:10" ht="21.75" customHeight="1" outlineLevel="3" x14ac:dyDescent="0.2">
      <c r="A30" s="40" t="s">
        <v>34</v>
      </c>
      <c r="B30" s="40"/>
      <c r="C30" s="40"/>
      <c r="D30" s="40"/>
      <c r="E30" s="41">
        <v>638</v>
      </c>
      <c r="F30" s="41"/>
      <c r="G30" s="13">
        <v>15.36</v>
      </c>
      <c r="H30" s="12">
        <v>15.36</v>
      </c>
      <c r="I30" s="14">
        <v>147.84</v>
      </c>
      <c r="J30" s="24"/>
    </row>
    <row r="31" spans="1:10" ht="21.75" customHeight="1" outlineLevel="3" x14ac:dyDescent="0.2">
      <c r="A31" s="40" t="s">
        <v>35</v>
      </c>
      <c r="B31" s="40"/>
      <c r="C31" s="40"/>
      <c r="D31" s="40"/>
      <c r="E31" s="44">
        <v>1461</v>
      </c>
      <c r="F31" s="44"/>
      <c r="G31" s="13">
        <v>30.48</v>
      </c>
      <c r="H31" s="12">
        <v>30.48</v>
      </c>
      <c r="I31" s="14">
        <v>330.72</v>
      </c>
      <c r="J31" s="24"/>
    </row>
    <row r="32" spans="1:10" ht="21.75" customHeight="1" outlineLevel="3" x14ac:dyDescent="0.2">
      <c r="A32" s="40" t="s">
        <v>36</v>
      </c>
      <c r="B32" s="40"/>
      <c r="C32" s="40"/>
      <c r="D32" s="40"/>
      <c r="E32" s="18"/>
      <c r="F32" s="25"/>
      <c r="G32" s="13">
        <v>12.96</v>
      </c>
      <c r="H32" s="12">
        <v>12.96</v>
      </c>
      <c r="I32" s="14">
        <v>-12.96</v>
      </c>
      <c r="J32" s="24"/>
    </row>
    <row r="33" spans="1:10" ht="11.25" customHeight="1" outlineLevel="3" x14ac:dyDescent="0.2">
      <c r="A33" s="40" t="s">
        <v>37</v>
      </c>
      <c r="B33" s="40"/>
      <c r="C33" s="40"/>
      <c r="D33" s="40"/>
      <c r="E33" s="44">
        <v>1168</v>
      </c>
      <c r="F33" s="44"/>
      <c r="G33" s="13">
        <v>30</v>
      </c>
      <c r="H33" s="12">
        <v>30</v>
      </c>
      <c r="I33" s="14">
        <v>250.8</v>
      </c>
      <c r="J33" s="24"/>
    </row>
    <row r="34" spans="1:10" ht="21.75" customHeight="1" outlineLevel="3" x14ac:dyDescent="0.2">
      <c r="A34" s="40" t="s">
        <v>38</v>
      </c>
      <c r="B34" s="40"/>
      <c r="C34" s="40"/>
      <c r="D34" s="40"/>
      <c r="E34" s="41">
        <v>431</v>
      </c>
      <c r="F34" s="41"/>
      <c r="G34" s="13">
        <v>12</v>
      </c>
      <c r="H34" s="12">
        <v>12</v>
      </c>
      <c r="I34" s="14">
        <v>102.48</v>
      </c>
      <c r="J34" s="24"/>
    </row>
    <row r="35" spans="1:10" ht="21.75" customHeight="1" outlineLevel="3" x14ac:dyDescent="0.2">
      <c r="A35" s="40" t="s">
        <v>39</v>
      </c>
      <c r="B35" s="40"/>
      <c r="C35" s="40"/>
      <c r="D35" s="40"/>
      <c r="E35" s="41">
        <v>181</v>
      </c>
      <c r="F35" s="41"/>
      <c r="G35" s="13">
        <v>2.4</v>
      </c>
      <c r="H35" s="12">
        <v>2.4</v>
      </c>
      <c r="I35" s="14">
        <v>85.44</v>
      </c>
      <c r="J35" s="24"/>
    </row>
    <row r="36" spans="1:10" ht="21.75" customHeight="1" outlineLevel="3" x14ac:dyDescent="0.2">
      <c r="A36" s="40" t="s">
        <v>40</v>
      </c>
      <c r="B36" s="40"/>
      <c r="C36" s="40"/>
      <c r="D36" s="40"/>
      <c r="E36" s="18"/>
      <c r="F36" s="25"/>
      <c r="G36" s="13">
        <v>14.16</v>
      </c>
      <c r="H36" s="12">
        <v>14.16</v>
      </c>
      <c r="I36" s="14">
        <v>-14.16</v>
      </c>
      <c r="J36" s="24"/>
    </row>
    <row r="37" spans="1:10" ht="11.25" customHeight="1" outlineLevel="3" x14ac:dyDescent="0.2">
      <c r="A37" s="40" t="s">
        <v>41</v>
      </c>
      <c r="B37" s="40"/>
      <c r="C37" s="40"/>
      <c r="D37" s="40"/>
      <c r="E37" s="44">
        <v>1874</v>
      </c>
      <c r="F37" s="44"/>
      <c r="G37" s="13">
        <v>1.08</v>
      </c>
      <c r="H37" s="12">
        <v>1.08</v>
      </c>
      <c r="I37" s="14">
        <v>169.56</v>
      </c>
      <c r="J37" s="24"/>
    </row>
    <row r="38" spans="1:10" ht="21.75" customHeight="1" outlineLevel="3" x14ac:dyDescent="0.2">
      <c r="A38" s="40" t="s">
        <v>42</v>
      </c>
      <c r="B38" s="40"/>
      <c r="C38" s="40"/>
      <c r="D38" s="40"/>
      <c r="E38" s="41">
        <v>-1</v>
      </c>
      <c r="F38" s="41"/>
      <c r="G38" s="16">
        <v>11.52</v>
      </c>
      <c r="H38" s="17"/>
      <c r="I38" s="14">
        <v>-0.36</v>
      </c>
      <c r="J38" s="19">
        <f>G38-H38</f>
        <v>11.52</v>
      </c>
    </row>
    <row r="39" spans="1:10" ht="21.75" customHeight="1" outlineLevel="3" x14ac:dyDescent="0.2">
      <c r="A39" s="40" t="s">
        <v>43</v>
      </c>
      <c r="B39" s="40"/>
      <c r="C39" s="40"/>
      <c r="D39" s="40"/>
      <c r="E39" s="41">
        <v>190</v>
      </c>
      <c r="F39" s="41"/>
      <c r="G39" s="13">
        <v>4.5999999999999996</v>
      </c>
      <c r="H39" s="12">
        <v>4.5999999999999996</v>
      </c>
      <c r="I39" s="14">
        <v>35</v>
      </c>
      <c r="J39" s="24"/>
    </row>
    <row r="40" spans="1:10" ht="21.75" customHeight="1" outlineLevel="3" x14ac:dyDescent="0.2">
      <c r="A40" s="40" t="s">
        <v>44</v>
      </c>
      <c r="B40" s="40"/>
      <c r="C40" s="40"/>
      <c r="D40" s="40"/>
      <c r="E40" s="41">
        <v>-17</v>
      </c>
      <c r="F40" s="41"/>
      <c r="G40" s="13">
        <v>9.8000000000000007</v>
      </c>
      <c r="H40" s="12">
        <v>9.8000000000000007</v>
      </c>
      <c r="I40" s="14">
        <v>-9.8000000000000007</v>
      </c>
      <c r="J40" s="24"/>
    </row>
    <row r="41" spans="1:10" ht="21.75" customHeight="1" outlineLevel="3" x14ac:dyDescent="0.2">
      <c r="A41" s="40" t="s">
        <v>45</v>
      </c>
      <c r="B41" s="40"/>
      <c r="C41" s="40"/>
      <c r="D41" s="40"/>
      <c r="E41" s="41">
        <v>-16</v>
      </c>
      <c r="F41" s="41"/>
      <c r="G41" s="13">
        <v>14.8</v>
      </c>
      <c r="H41" s="12">
        <v>14.8</v>
      </c>
      <c r="I41" s="14">
        <v>-14.8</v>
      </c>
      <c r="J41" s="24"/>
    </row>
    <row r="42" spans="1:10" ht="21.75" customHeight="1" outlineLevel="3" x14ac:dyDescent="0.2">
      <c r="A42" s="40" t="s">
        <v>46</v>
      </c>
      <c r="B42" s="40"/>
      <c r="C42" s="40"/>
      <c r="D42" s="40"/>
      <c r="E42" s="41">
        <v>269.5</v>
      </c>
      <c r="F42" s="41"/>
      <c r="G42" s="13">
        <v>16.5</v>
      </c>
      <c r="H42" s="12">
        <v>16.5</v>
      </c>
      <c r="I42" s="14">
        <v>264</v>
      </c>
      <c r="J42" s="24"/>
    </row>
    <row r="43" spans="1:10" ht="11.25" customHeight="1" outlineLevel="3" x14ac:dyDescent="0.2">
      <c r="A43" s="40" t="s">
        <v>47</v>
      </c>
      <c r="B43" s="40"/>
      <c r="C43" s="40"/>
      <c r="D43" s="40"/>
      <c r="E43" s="44">
        <v>1731</v>
      </c>
      <c r="F43" s="44"/>
      <c r="G43" s="13">
        <v>49.25</v>
      </c>
      <c r="H43" s="12">
        <v>49.25</v>
      </c>
      <c r="I43" s="14">
        <v>399</v>
      </c>
      <c r="J43" s="24"/>
    </row>
    <row r="44" spans="1:10" ht="21.75" customHeight="1" outlineLevel="3" x14ac:dyDescent="0.2">
      <c r="A44" s="40" t="s">
        <v>48</v>
      </c>
      <c r="B44" s="40"/>
      <c r="C44" s="40"/>
      <c r="D44" s="40"/>
      <c r="E44" s="41">
        <v>767</v>
      </c>
      <c r="F44" s="41"/>
      <c r="G44" s="13">
        <v>12.25</v>
      </c>
      <c r="H44" s="12">
        <v>12</v>
      </c>
      <c r="I44" s="14">
        <v>192</v>
      </c>
      <c r="J44" s="24"/>
    </row>
    <row r="45" spans="1:10" ht="11.25" customHeight="1" outlineLevel="3" x14ac:dyDescent="0.2">
      <c r="A45" s="40" t="s">
        <v>49</v>
      </c>
      <c r="B45" s="40"/>
      <c r="C45" s="40"/>
      <c r="D45" s="40"/>
      <c r="E45" s="41">
        <v>893</v>
      </c>
      <c r="F45" s="41"/>
      <c r="G45" s="13">
        <v>17.5</v>
      </c>
      <c r="H45" s="12">
        <v>17.25</v>
      </c>
      <c r="I45" s="14">
        <v>222.25</v>
      </c>
      <c r="J45" s="24"/>
    </row>
    <row r="46" spans="1:10" ht="11.25" customHeight="1" outlineLevel="3" x14ac:dyDescent="0.2">
      <c r="A46" s="40" t="s">
        <v>50</v>
      </c>
      <c r="B46" s="40"/>
      <c r="C46" s="40"/>
      <c r="D46" s="40"/>
      <c r="E46" s="44">
        <v>1117</v>
      </c>
      <c r="F46" s="44"/>
      <c r="G46" s="13">
        <v>159.25</v>
      </c>
      <c r="H46" s="12">
        <v>153</v>
      </c>
      <c r="I46" s="14">
        <v>140.25</v>
      </c>
      <c r="J46" s="24">
        <f>G46-H46</f>
        <v>6.25</v>
      </c>
    </row>
    <row r="47" spans="1:10" ht="21.75" customHeight="1" outlineLevel="3" x14ac:dyDescent="0.2">
      <c r="A47" s="40" t="s">
        <v>51</v>
      </c>
      <c r="B47" s="40"/>
      <c r="C47" s="40"/>
      <c r="D47" s="40"/>
      <c r="E47" s="44">
        <v>1200</v>
      </c>
      <c r="F47" s="44"/>
      <c r="G47" s="13">
        <v>17.25</v>
      </c>
      <c r="H47" s="12">
        <v>16.75</v>
      </c>
      <c r="I47" s="14">
        <v>286.75</v>
      </c>
      <c r="J47" s="24"/>
    </row>
    <row r="48" spans="1:10" ht="11.25" customHeight="1" outlineLevel="3" x14ac:dyDescent="0.2">
      <c r="A48" s="40" t="s">
        <v>52</v>
      </c>
      <c r="B48" s="40"/>
      <c r="C48" s="40"/>
      <c r="D48" s="40"/>
      <c r="E48" s="41">
        <v>278</v>
      </c>
      <c r="F48" s="41"/>
      <c r="G48" s="13">
        <v>2.99</v>
      </c>
      <c r="H48" s="12">
        <v>2.99</v>
      </c>
      <c r="I48" s="14">
        <v>61.18</v>
      </c>
      <c r="J48" s="24"/>
    </row>
    <row r="49" spans="1:10" ht="11.25" customHeight="1" outlineLevel="3" x14ac:dyDescent="0.2">
      <c r="A49" s="40" t="s">
        <v>53</v>
      </c>
      <c r="B49" s="40"/>
      <c r="C49" s="40"/>
      <c r="D49" s="40"/>
      <c r="E49" s="44">
        <v>2086</v>
      </c>
      <c r="F49" s="44"/>
      <c r="G49" s="13">
        <v>232</v>
      </c>
      <c r="H49" s="12">
        <v>309</v>
      </c>
      <c r="I49" s="26">
        <v>1851</v>
      </c>
      <c r="J49" s="24"/>
    </row>
    <row r="50" spans="1:10" ht="11.25" customHeight="1" outlineLevel="3" x14ac:dyDescent="0.2">
      <c r="A50" s="40" t="s">
        <v>54</v>
      </c>
      <c r="B50" s="40"/>
      <c r="C50" s="40"/>
      <c r="D50" s="40"/>
      <c r="E50" s="44">
        <v>1884</v>
      </c>
      <c r="F50" s="44"/>
      <c r="G50" s="13">
        <v>23.23</v>
      </c>
      <c r="H50" s="12">
        <v>23.23</v>
      </c>
      <c r="I50" s="14">
        <v>416.3</v>
      </c>
      <c r="J50" s="24"/>
    </row>
    <row r="51" spans="1:10" ht="21.75" customHeight="1" outlineLevel="3" x14ac:dyDescent="0.2">
      <c r="A51" s="40" t="s">
        <v>55</v>
      </c>
      <c r="B51" s="40"/>
      <c r="C51" s="40"/>
      <c r="D51" s="40"/>
      <c r="E51" s="41">
        <v>-107</v>
      </c>
      <c r="F51" s="41"/>
      <c r="G51" s="13">
        <v>6.5</v>
      </c>
      <c r="H51" s="12">
        <v>6.5</v>
      </c>
      <c r="I51" s="14">
        <v>-5.5</v>
      </c>
      <c r="J51" s="24"/>
    </row>
    <row r="52" spans="1:10" ht="21.75" customHeight="1" outlineLevel="3" x14ac:dyDescent="0.2">
      <c r="A52" s="40" t="s">
        <v>56</v>
      </c>
      <c r="B52" s="40"/>
      <c r="C52" s="40"/>
      <c r="D52" s="40"/>
      <c r="E52" s="41">
        <v>261</v>
      </c>
      <c r="F52" s="41"/>
      <c r="G52" s="13">
        <v>53.9</v>
      </c>
      <c r="H52" s="12">
        <v>53.9</v>
      </c>
      <c r="I52" s="14">
        <v>132.30000000000001</v>
      </c>
      <c r="J52" s="24"/>
    </row>
    <row r="53" spans="1:10" ht="21.75" customHeight="1" outlineLevel="3" x14ac:dyDescent="0.2">
      <c r="A53" s="40" t="s">
        <v>57</v>
      </c>
      <c r="B53" s="40"/>
      <c r="C53" s="40"/>
      <c r="D53" s="40"/>
      <c r="E53" s="41">
        <v>397</v>
      </c>
      <c r="F53" s="41"/>
      <c r="G53" s="13">
        <v>33.6</v>
      </c>
      <c r="H53" s="12">
        <v>33.6</v>
      </c>
      <c r="I53" s="14">
        <v>276.5</v>
      </c>
      <c r="J53" s="24"/>
    </row>
    <row r="54" spans="1:10" ht="21.75" customHeight="1" outlineLevel="3" x14ac:dyDescent="0.2">
      <c r="A54" s="45" t="s">
        <v>58</v>
      </c>
      <c r="B54" s="46"/>
      <c r="C54" s="46"/>
      <c r="D54" s="47"/>
      <c r="E54" s="48"/>
      <c r="F54" s="49"/>
      <c r="G54" s="16">
        <v>9.8000000000000007</v>
      </c>
      <c r="H54" s="20"/>
      <c r="I54" s="14"/>
      <c r="J54" s="19">
        <f>G54-H54</f>
        <v>9.8000000000000007</v>
      </c>
    </row>
    <row r="55" spans="1:10" ht="21.75" customHeight="1" outlineLevel="3" x14ac:dyDescent="0.2">
      <c r="A55" s="40" t="s">
        <v>59</v>
      </c>
      <c r="B55" s="40"/>
      <c r="C55" s="40"/>
      <c r="D55" s="40"/>
      <c r="E55" s="41">
        <v>359</v>
      </c>
      <c r="F55" s="41"/>
      <c r="G55" s="13">
        <v>91</v>
      </c>
      <c r="H55" s="12">
        <v>91</v>
      </c>
      <c r="I55" s="14">
        <v>167.3</v>
      </c>
      <c r="J55" s="24"/>
    </row>
    <row r="56" spans="1:10" ht="21.75" customHeight="1" outlineLevel="3" x14ac:dyDescent="0.2">
      <c r="A56" s="40" t="s">
        <v>60</v>
      </c>
      <c r="B56" s="40"/>
      <c r="C56" s="40"/>
      <c r="D56" s="40"/>
      <c r="E56" s="41">
        <v>409</v>
      </c>
      <c r="F56" s="41"/>
      <c r="G56" s="13">
        <v>10.5</v>
      </c>
      <c r="H56" s="12">
        <v>10.5</v>
      </c>
      <c r="I56" s="14">
        <v>310.8</v>
      </c>
      <c r="J56" s="24"/>
    </row>
    <row r="57" spans="1:10" ht="21.75" customHeight="1" outlineLevel="3" x14ac:dyDescent="0.2">
      <c r="A57" s="40" t="s">
        <v>61</v>
      </c>
      <c r="B57" s="40"/>
      <c r="C57" s="40"/>
      <c r="D57" s="40"/>
      <c r="E57" s="41">
        <v>71</v>
      </c>
      <c r="F57" s="41"/>
      <c r="G57" s="13">
        <v>2.4</v>
      </c>
      <c r="H57" s="12">
        <v>2.4</v>
      </c>
      <c r="I57" s="14">
        <v>42.8</v>
      </c>
      <c r="J57" s="24"/>
    </row>
    <row r="58" spans="1:10" ht="21.75" customHeight="1" outlineLevel="3" x14ac:dyDescent="0.2">
      <c r="A58" s="40" t="s">
        <v>62</v>
      </c>
      <c r="B58" s="40"/>
      <c r="C58" s="40"/>
      <c r="D58" s="40"/>
      <c r="E58" s="41">
        <v>502</v>
      </c>
      <c r="F58" s="41"/>
      <c r="G58" s="13">
        <v>79.8</v>
      </c>
      <c r="H58" s="12">
        <v>81.2</v>
      </c>
      <c r="I58" s="14">
        <v>313.60000000000002</v>
      </c>
      <c r="J58" s="24"/>
    </row>
    <row r="59" spans="1:10" ht="21.75" customHeight="1" outlineLevel="3" x14ac:dyDescent="0.2">
      <c r="A59" s="40" t="s">
        <v>63</v>
      </c>
      <c r="B59" s="40"/>
      <c r="C59" s="40"/>
      <c r="D59" s="40"/>
      <c r="E59" s="44">
        <v>1211</v>
      </c>
      <c r="F59" s="44"/>
      <c r="G59" s="13">
        <v>228.9</v>
      </c>
      <c r="H59" s="12">
        <v>228.9</v>
      </c>
      <c r="I59" s="14">
        <v>663.6</v>
      </c>
      <c r="J59" s="24"/>
    </row>
    <row r="60" spans="1:10" ht="21.75" customHeight="1" outlineLevel="3" x14ac:dyDescent="0.2">
      <c r="A60" s="40" t="s">
        <v>64</v>
      </c>
      <c r="B60" s="40"/>
      <c r="C60" s="40"/>
      <c r="D60" s="40"/>
      <c r="E60" s="41">
        <v>320</v>
      </c>
      <c r="F60" s="41"/>
      <c r="G60" s="13">
        <v>115</v>
      </c>
      <c r="H60" s="12">
        <v>115</v>
      </c>
      <c r="I60" s="14">
        <v>215</v>
      </c>
      <c r="J60" s="24"/>
    </row>
    <row r="61" spans="1:10" ht="21.75" customHeight="1" outlineLevel="3" x14ac:dyDescent="0.2">
      <c r="A61" s="40" t="s">
        <v>65</v>
      </c>
      <c r="B61" s="40"/>
      <c r="C61" s="40"/>
      <c r="D61" s="40"/>
      <c r="E61" s="41">
        <v>83</v>
      </c>
      <c r="F61" s="41"/>
      <c r="G61" s="13">
        <v>61.6</v>
      </c>
      <c r="H61" s="12">
        <v>61.6</v>
      </c>
      <c r="I61" s="14">
        <v>-18.8</v>
      </c>
      <c r="J61" s="24"/>
    </row>
    <row r="62" spans="1:10" ht="21.75" customHeight="1" outlineLevel="3" x14ac:dyDescent="0.2">
      <c r="A62" s="40" t="s">
        <v>66</v>
      </c>
      <c r="B62" s="40"/>
      <c r="C62" s="40"/>
      <c r="D62" s="40"/>
      <c r="E62" s="44">
        <v>1666</v>
      </c>
      <c r="F62" s="44"/>
      <c r="G62" s="13">
        <v>182.7</v>
      </c>
      <c r="H62" s="12">
        <v>182.7</v>
      </c>
      <c r="I62" s="26">
        <v>1014.3</v>
      </c>
      <c r="J62" s="24"/>
    </row>
    <row r="63" spans="1:10" ht="21.75" customHeight="1" outlineLevel="3" x14ac:dyDescent="0.2">
      <c r="A63" s="40" t="s">
        <v>67</v>
      </c>
      <c r="B63" s="40"/>
      <c r="C63" s="40"/>
      <c r="D63" s="40"/>
      <c r="E63" s="41">
        <v>164</v>
      </c>
      <c r="F63" s="41"/>
      <c r="G63" s="13">
        <v>55.2</v>
      </c>
      <c r="H63" s="12">
        <v>39.200000000000003</v>
      </c>
      <c r="I63" s="14">
        <v>38.4</v>
      </c>
      <c r="J63" s="24"/>
    </row>
    <row r="64" spans="1:10" ht="21.75" customHeight="1" outlineLevel="3" x14ac:dyDescent="0.2">
      <c r="A64" s="40" t="s">
        <v>68</v>
      </c>
      <c r="B64" s="40"/>
      <c r="C64" s="40"/>
      <c r="D64" s="40"/>
      <c r="E64" s="44">
        <v>1468</v>
      </c>
      <c r="F64" s="44"/>
      <c r="G64" s="13">
        <v>130.9</v>
      </c>
      <c r="H64" s="12">
        <v>130.9</v>
      </c>
      <c r="I64" s="14">
        <v>930.3</v>
      </c>
      <c r="J64" s="24"/>
    </row>
    <row r="65" spans="1:10" ht="21.75" customHeight="1" outlineLevel="3" x14ac:dyDescent="0.2">
      <c r="A65" s="40" t="s">
        <v>69</v>
      </c>
      <c r="B65" s="40"/>
      <c r="C65" s="40"/>
      <c r="D65" s="40"/>
      <c r="E65" s="41">
        <v>359</v>
      </c>
      <c r="F65" s="41"/>
      <c r="G65" s="13">
        <v>36</v>
      </c>
      <c r="H65" s="12">
        <v>36</v>
      </c>
      <c r="I65" s="14">
        <v>254.4</v>
      </c>
      <c r="J65" s="24"/>
    </row>
    <row r="66" spans="1:10" ht="21.75" customHeight="1" outlineLevel="3" x14ac:dyDescent="0.2">
      <c r="A66" s="40" t="s">
        <v>70</v>
      </c>
      <c r="B66" s="40"/>
      <c r="C66" s="40"/>
      <c r="D66" s="40"/>
      <c r="E66" s="41">
        <v>173</v>
      </c>
      <c r="F66" s="41"/>
      <c r="G66" s="13">
        <v>0.8</v>
      </c>
      <c r="H66" s="12">
        <v>0.8</v>
      </c>
      <c r="I66" s="14">
        <v>68.400000000000006</v>
      </c>
      <c r="J66" s="24"/>
    </row>
    <row r="67" spans="1:10" ht="21.75" customHeight="1" outlineLevel="3" x14ac:dyDescent="0.2">
      <c r="A67" s="40" t="s">
        <v>71</v>
      </c>
      <c r="B67" s="40"/>
      <c r="C67" s="40"/>
      <c r="D67" s="40"/>
      <c r="E67" s="41">
        <v>71</v>
      </c>
      <c r="F67" s="41"/>
      <c r="G67" s="13">
        <v>5.6</v>
      </c>
      <c r="H67" s="12">
        <v>5.6</v>
      </c>
      <c r="I67" s="14">
        <v>52</v>
      </c>
      <c r="J67" s="24"/>
    </row>
    <row r="68" spans="1:10" ht="21.75" customHeight="1" outlineLevel="3" x14ac:dyDescent="0.2">
      <c r="A68" s="40" t="s">
        <v>72</v>
      </c>
      <c r="B68" s="40"/>
      <c r="C68" s="40"/>
      <c r="D68" s="40"/>
      <c r="E68" s="44">
        <v>1292</v>
      </c>
      <c r="F68" s="44"/>
      <c r="G68" s="13">
        <v>139</v>
      </c>
      <c r="H68" s="12">
        <v>141</v>
      </c>
      <c r="I68" s="26">
        <v>1167</v>
      </c>
      <c r="J68" s="24"/>
    </row>
    <row r="69" spans="1:10" ht="21.75" customHeight="1" outlineLevel="3" x14ac:dyDescent="0.2">
      <c r="A69" s="40" t="s">
        <v>73</v>
      </c>
      <c r="B69" s="40"/>
      <c r="C69" s="40"/>
      <c r="D69" s="40"/>
      <c r="E69" s="41">
        <v>71</v>
      </c>
      <c r="F69" s="41"/>
      <c r="G69" s="13">
        <v>18.899999999999999</v>
      </c>
      <c r="H69" s="12">
        <v>6.3</v>
      </c>
      <c r="I69" s="14">
        <v>59.4</v>
      </c>
      <c r="J69" s="24"/>
    </row>
    <row r="70" spans="1:10" ht="21.75" customHeight="1" outlineLevel="3" x14ac:dyDescent="0.2">
      <c r="A70" s="40" t="s">
        <v>74</v>
      </c>
      <c r="B70" s="40"/>
      <c r="C70" s="40"/>
      <c r="D70" s="40"/>
      <c r="E70" s="41">
        <v>205</v>
      </c>
      <c r="F70" s="41"/>
      <c r="G70" s="13">
        <v>25</v>
      </c>
      <c r="H70" s="12">
        <v>25</v>
      </c>
      <c r="I70" s="14">
        <v>180</v>
      </c>
      <c r="J70" s="24"/>
    </row>
    <row r="71" spans="1:10" ht="11.25" customHeight="1" outlineLevel="3" x14ac:dyDescent="0.2">
      <c r="A71" s="40" t="s">
        <v>75</v>
      </c>
      <c r="B71" s="40"/>
      <c r="C71" s="40"/>
      <c r="D71" s="40"/>
      <c r="E71" s="41">
        <v>556</v>
      </c>
      <c r="F71" s="41"/>
      <c r="G71" s="13">
        <v>43</v>
      </c>
      <c r="H71" s="12">
        <v>43</v>
      </c>
      <c r="I71" s="14">
        <v>515</v>
      </c>
      <c r="J71" s="24"/>
    </row>
    <row r="72" spans="1:10" ht="21.75" customHeight="1" outlineLevel="3" x14ac:dyDescent="0.2">
      <c r="A72" s="40" t="s">
        <v>76</v>
      </c>
      <c r="B72" s="40"/>
      <c r="C72" s="40"/>
      <c r="D72" s="40"/>
      <c r="E72" s="41">
        <v>150.9</v>
      </c>
      <c r="F72" s="41"/>
      <c r="G72" s="13">
        <v>14.8</v>
      </c>
      <c r="H72" s="12">
        <v>18.5</v>
      </c>
      <c r="I72" s="14">
        <v>132.4</v>
      </c>
      <c r="J72" s="24"/>
    </row>
    <row r="73" spans="1:10" ht="11.25" customHeight="1" outlineLevel="3" x14ac:dyDescent="0.2">
      <c r="A73" s="40" t="s">
        <v>77</v>
      </c>
      <c r="B73" s="40"/>
      <c r="C73" s="40"/>
      <c r="D73" s="40"/>
      <c r="E73" s="41">
        <v>878</v>
      </c>
      <c r="F73" s="41"/>
      <c r="G73" s="13">
        <v>4.8</v>
      </c>
      <c r="H73" s="12">
        <v>19.2</v>
      </c>
      <c r="I73" s="14">
        <v>244.5</v>
      </c>
      <c r="J73" s="24"/>
    </row>
    <row r="74" spans="1:10" ht="21.75" customHeight="1" outlineLevel="3" x14ac:dyDescent="0.2">
      <c r="A74" s="40" t="s">
        <v>78</v>
      </c>
      <c r="B74" s="40"/>
      <c r="C74" s="40"/>
      <c r="D74" s="40"/>
      <c r="E74" s="41">
        <v>558</v>
      </c>
      <c r="F74" s="41"/>
      <c r="G74" s="13">
        <v>4.76</v>
      </c>
      <c r="H74" s="12">
        <v>26.32</v>
      </c>
      <c r="I74" s="14">
        <v>150.08000000000001</v>
      </c>
      <c r="J74" s="24"/>
    </row>
    <row r="75" spans="1:10" ht="21.75" customHeight="1" outlineLevel="3" x14ac:dyDescent="0.2">
      <c r="A75" s="40" t="s">
        <v>79</v>
      </c>
      <c r="B75" s="40"/>
      <c r="C75" s="40"/>
      <c r="D75" s="40"/>
      <c r="E75" s="41">
        <v>50</v>
      </c>
      <c r="F75" s="41"/>
      <c r="G75" s="13">
        <v>4.8</v>
      </c>
      <c r="H75" s="12">
        <v>3.3</v>
      </c>
      <c r="I75" s="14">
        <v>24</v>
      </c>
      <c r="J75" s="24"/>
    </row>
    <row r="76" spans="1:10" ht="21.75" customHeight="1" outlineLevel="3" x14ac:dyDescent="0.2">
      <c r="A76" s="40" t="s">
        <v>80</v>
      </c>
      <c r="B76" s="40"/>
      <c r="C76" s="40"/>
      <c r="D76" s="40"/>
      <c r="E76" s="41">
        <v>117</v>
      </c>
      <c r="F76" s="41"/>
      <c r="G76" s="13">
        <v>8</v>
      </c>
      <c r="H76" s="12">
        <v>9</v>
      </c>
      <c r="I76" s="14">
        <v>108</v>
      </c>
      <c r="J76" s="24"/>
    </row>
    <row r="77" spans="1:10" ht="21.75" customHeight="1" outlineLevel="3" x14ac:dyDescent="0.2">
      <c r="A77" s="40" t="s">
        <v>81</v>
      </c>
      <c r="B77" s="40"/>
      <c r="C77" s="40"/>
      <c r="D77" s="40"/>
      <c r="E77" s="41">
        <v>849</v>
      </c>
      <c r="F77" s="41"/>
      <c r="G77" s="13">
        <v>19.2</v>
      </c>
      <c r="H77" s="12">
        <v>25.8</v>
      </c>
      <c r="I77" s="14">
        <v>153.19999999999999</v>
      </c>
      <c r="J77" s="24"/>
    </row>
    <row r="78" spans="1:10" ht="21.75" customHeight="1" outlineLevel="3" x14ac:dyDescent="0.2">
      <c r="A78" s="40" t="s">
        <v>82</v>
      </c>
      <c r="B78" s="40"/>
      <c r="C78" s="40"/>
      <c r="D78" s="40"/>
      <c r="E78" s="44">
        <v>1849</v>
      </c>
      <c r="F78" s="44"/>
      <c r="G78" s="13">
        <v>76.25</v>
      </c>
      <c r="H78" s="12">
        <v>136.75</v>
      </c>
      <c r="I78" s="14">
        <v>326.5</v>
      </c>
      <c r="J78" s="24"/>
    </row>
    <row r="79" spans="1:10" ht="11.25" customHeight="1" outlineLevel="3" x14ac:dyDescent="0.2">
      <c r="A79" s="40" t="s">
        <v>83</v>
      </c>
      <c r="B79" s="40"/>
      <c r="C79" s="40"/>
      <c r="D79" s="40"/>
      <c r="E79" s="41">
        <v>262</v>
      </c>
      <c r="F79" s="41"/>
      <c r="G79" s="13">
        <v>13.34</v>
      </c>
      <c r="H79" s="12">
        <v>13.34</v>
      </c>
      <c r="I79" s="14">
        <v>49.68</v>
      </c>
      <c r="J79" s="24"/>
    </row>
    <row r="80" spans="1:10" ht="11.25" customHeight="1" outlineLevel="3" x14ac:dyDescent="0.2">
      <c r="A80" s="40" t="s">
        <v>84</v>
      </c>
      <c r="B80" s="40"/>
      <c r="C80" s="40"/>
      <c r="D80" s="40"/>
      <c r="E80" s="41">
        <v>-10</v>
      </c>
      <c r="F80" s="41"/>
      <c r="G80" s="13"/>
      <c r="H80" s="27"/>
      <c r="I80" s="18"/>
      <c r="J80" s="24"/>
    </row>
    <row r="81" spans="1:10" ht="11.25" customHeight="1" outlineLevel="3" x14ac:dyDescent="0.2">
      <c r="A81" s="40" t="s">
        <v>85</v>
      </c>
      <c r="B81" s="40"/>
      <c r="C81" s="40"/>
      <c r="D81" s="40"/>
      <c r="E81" s="18"/>
      <c r="F81" s="25"/>
      <c r="G81" s="16">
        <v>3.75</v>
      </c>
      <c r="H81" s="17"/>
      <c r="I81" s="14">
        <v>3</v>
      </c>
      <c r="J81" s="19">
        <f>G81-H81</f>
        <v>3.75</v>
      </c>
    </row>
    <row r="82" spans="1:10" ht="11.25" customHeight="1" outlineLevel="3" x14ac:dyDescent="0.2">
      <c r="A82" s="40" t="s">
        <v>86</v>
      </c>
      <c r="B82" s="40"/>
      <c r="C82" s="40"/>
      <c r="D82" s="40"/>
      <c r="E82" s="41">
        <v>50</v>
      </c>
      <c r="F82" s="41"/>
      <c r="G82" s="13">
        <v>2.34</v>
      </c>
      <c r="H82" s="12">
        <v>2.34</v>
      </c>
      <c r="I82" s="14">
        <v>7.38</v>
      </c>
      <c r="J82" s="24"/>
    </row>
    <row r="83" spans="1:10" ht="11.25" customHeight="1" outlineLevel="3" x14ac:dyDescent="0.2">
      <c r="A83" s="40" t="s">
        <v>87</v>
      </c>
      <c r="B83" s="40"/>
      <c r="C83" s="40"/>
      <c r="D83" s="40"/>
      <c r="E83" s="44">
        <v>1122</v>
      </c>
      <c r="F83" s="44"/>
      <c r="G83" s="13">
        <v>5.58</v>
      </c>
      <c r="H83" s="12">
        <v>5.58</v>
      </c>
      <c r="I83" s="14">
        <v>196.74</v>
      </c>
      <c r="J83" s="24"/>
    </row>
    <row r="84" spans="1:10" ht="11.25" customHeight="1" outlineLevel="3" x14ac:dyDescent="0.2">
      <c r="A84" s="40" t="s">
        <v>88</v>
      </c>
      <c r="B84" s="40"/>
      <c r="C84" s="40"/>
      <c r="D84" s="40"/>
      <c r="E84" s="41">
        <v>18</v>
      </c>
      <c r="F84" s="41"/>
      <c r="G84" s="16">
        <v>4.5</v>
      </c>
      <c r="H84" s="20">
        <v>3.06</v>
      </c>
      <c r="I84" s="14">
        <v>0.18</v>
      </c>
      <c r="J84" s="19">
        <f>G84-H84</f>
        <v>1.44</v>
      </c>
    </row>
    <row r="85" spans="1:10" ht="11.25" customHeight="1" outlineLevel="3" x14ac:dyDescent="0.2">
      <c r="A85" s="40" t="s">
        <v>89</v>
      </c>
      <c r="B85" s="40"/>
      <c r="C85" s="40"/>
      <c r="D85" s="40"/>
      <c r="E85" s="41">
        <v>622</v>
      </c>
      <c r="F85" s="41"/>
      <c r="G85" s="13">
        <v>14.4</v>
      </c>
      <c r="H85" s="12">
        <v>14.4</v>
      </c>
      <c r="I85" s="14">
        <v>180.9</v>
      </c>
      <c r="J85" s="24"/>
    </row>
    <row r="86" spans="1:10" ht="11.25" customHeight="1" outlineLevel="3" x14ac:dyDescent="0.2">
      <c r="A86" s="40" t="s">
        <v>90</v>
      </c>
      <c r="B86" s="40"/>
      <c r="C86" s="40"/>
      <c r="D86" s="40"/>
      <c r="E86" s="44">
        <v>1298</v>
      </c>
      <c r="F86" s="44"/>
      <c r="G86" s="13">
        <v>59.4</v>
      </c>
      <c r="H86" s="12">
        <v>59.4</v>
      </c>
      <c r="I86" s="14">
        <v>340.2</v>
      </c>
      <c r="J86" s="24"/>
    </row>
    <row r="87" spans="1:10" ht="11.25" customHeight="1" outlineLevel="3" x14ac:dyDescent="0.2">
      <c r="A87" s="40" t="s">
        <v>91</v>
      </c>
      <c r="B87" s="40"/>
      <c r="C87" s="40"/>
      <c r="D87" s="40"/>
      <c r="E87" s="41">
        <v>148</v>
      </c>
      <c r="F87" s="41"/>
      <c r="G87" s="13">
        <v>5.5</v>
      </c>
      <c r="H87" s="12">
        <v>5.5</v>
      </c>
      <c r="I87" s="14">
        <v>27.06</v>
      </c>
      <c r="J87" s="24"/>
    </row>
    <row r="88" spans="1:10" ht="11.25" customHeight="1" outlineLevel="3" x14ac:dyDescent="0.2">
      <c r="A88" s="40" t="s">
        <v>92</v>
      </c>
      <c r="B88" s="40"/>
      <c r="C88" s="40"/>
      <c r="D88" s="40"/>
      <c r="E88" s="41">
        <v>-74</v>
      </c>
      <c r="F88" s="41"/>
      <c r="G88" s="13">
        <v>19</v>
      </c>
      <c r="H88" s="12">
        <v>19</v>
      </c>
      <c r="I88" s="14">
        <v>-19</v>
      </c>
      <c r="J88" s="24"/>
    </row>
    <row r="89" spans="1:10" ht="11.25" customHeight="1" outlineLevel="3" x14ac:dyDescent="0.2">
      <c r="A89" s="40" t="s">
        <v>93</v>
      </c>
      <c r="B89" s="40"/>
      <c r="C89" s="40"/>
      <c r="D89" s="40"/>
      <c r="E89" s="41">
        <v>-288</v>
      </c>
      <c r="F89" s="41"/>
      <c r="G89" s="13">
        <v>65.5</v>
      </c>
      <c r="H89" s="12">
        <v>76</v>
      </c>
      <c r="I89" s="14">
        <v>-63.25</v>
      </c>
      <c r="J89" s="24"/>
    </row>
    <row r="90" spans="1:10" ht="21.75" customHeight="1" outlineLevel="3" x14ac:dyDescent="0.2">
      <c r="A90" s="40" t="s">
        <v>94</v>
      </c>
      <c r="B90" s="40"/>
      <c r="C90" s="40"/>
      <c r="D90" s="40"/>
      <c r="E90" s="41">
        <v>385</v>
      </c>
      <c r="F90" s="41"/>
      <c r="G90" s="13">
        <v>7.4</v>
      </c>
      <c r="H90" s="12">
        <v>7.4</v>
      </c>
      <c r="I90" s="14">
        <v>75.2</v>
      </c>
      <c r="J90" s="24"/>
    </row>
    <row r="91" spans="1:10" ht="21.75" customHeight="1" outlineLevel="3" x14ac:dyDescent="0.2">
      <c r="A91" s="40" t="s">
        <v>95</v>
      </c>
      <c r="B91" s="40"/>
      <c r="C91" s="40"/>
      <c r="D91" s="40"/>
      <c r="E91" s="41">
        <v>786</v>
      </c>
      <c r="F91" s="41"/>
      <c r="G91" s="13">
        <v>34.04</v>
      </c>
      <c r="H91" s="12">
        <v>34.04</v>
      </c>
      <c r="I91" s="14">
        <v>155.94</v>
      </c>
      <c r="J91" s="24"/>
    </row>
    <row r="92" spans="1:10" ht="12.75" customHeight="1" x14ac:dyDescent="0.2">
      <c r="A92" s="40" t="s">
        <v>96</v>
      </c>
      <c r="B92" s="40"/>
      <c r="C92" s="40"/>
      <c r="D92" s="40"/>
      <c r="E92" s="41">
        <v>196</v>
      </c>
      <c r="F92" s="41"/>
      <c r="G92" s="13">
        <v>25.99</v>
      </c>
      <c r="H92" s="12">
        <v>25.07</v>
      </c>
      <c r="I92" s="14">
        <v>20.7</v>
      </c>
      <c r="J92" s="24"/>
    </row>
    <row r="93" spans="1:10" ht="12.75" x14ac:dyDescent="0.2">
      <c r="A93" s="50" t="s">
        <v>97</v>
      </c>
      <c r="B93" s="50"/>
      <c r="C93" s="50"/>
      <c r="D93" s="50"/>
      <c r="E93" s="51">
        <v>41586.199999999997</v>
      </c>
      <c r="F93" s="51"/>
      <c r="G93" s="29">
        <f>SUM(G10:G92)</f>
        <v>2757.170000000001</v>
      </c>
      <c r="H93" s="28">
        <v>2889.98</v>
      </c>
      <c r="I93" s="30">
        <v>31589.33</v>
      </c>
      <c r="J93" s="29">
        <f>SUM(J10:J92)</f>
        <v>154.01000000000002</v>
      </c>
    </row>
  </sheetData>
  <mergeCells count="172">
    <mergeCell ref="A92:D92"/>
    <mergeCell ref="E92:F92"/>
    <mergeCell ref="A93:D93"/>
    <mergeCell ref="E93:F93"/>
    <mergeCell ref="I8:I9"/>
    <mergeCell ref="J8:J9"/>
    <mergeCell ref="A89:D89"/>
    <mergeCell ref="E89:F89"/>
    <mergeCell ref="A90:D90"/>
    <mergeCell ref="E90:F90"/>
    <mergeCell ref="A91:D91"/>
    <mergeCell ref="E91:F91"/>
    <mergeCell ref="A86:D86"/>
    <mergeCell ref="E86:F86"/>
    <mergeCell ref="A87:D87"/>
    <mergeCell ref="E87:F87"/>
    <mergeCell ref="A88:D88"/>
    <mergeCell ref="E88:F88"/>
    <mergeCell ref="A83:D83"/>
    <mergeCell ref="E83:F83"/>
    <mergeCell ref="A84:D84"/>
    <mergeCell ref="E84:F84"/>
    <mergeCell ref="A85:D85"/>
    <mergeCell ref="E85:F85"/>
    <mergeCell ref="A79:D79"/>
    <mergeCell ref="E79:F79"/>
    <mergeCell ref="A80:D80"/>
    <mergeCell ref="E80:F80"/>
    <mergeCell ref="A81:D81"/>
    <mergeCell ref="A82:D82"/>
    <mergeCell ref="E82:F82"/>
    <mergeCell ref="A76:D76"/>
    <mergeCell ref="E76:F76"/>
    <mergeCell ref="A77:D77"/>
    <mergeCell ref="E77:F77"/>
    <mergeCell ref="A78:D78"/>
    <mergeCell ref="E78:F78"/>
    <mergeCell ref="A73:D73"/>
    <mergeCell ref="E73:F73"/>
    <mergeCell ref="A74:D74"/>
    <mergeCell ref="E74:F74"/>
    <mergeCell ref="A75:D75"/>
    <mergeCell ref="E75:F75"/>
    <mergeCell ref="A70:D70"/>
    <mergeCell ref="E70:F70"/>
    <mergeCell ref="A71:D71"/>
    <mergeCell ref="E71:F71"/>
    <mergeCell ref="A72:D72"/>
    <mergeCell ref="E72:F72"/>
    <mergeCell ref="A67:D67"/>
    <mergeCell ref="E67:F67"/>
    <mergeCell ref="A68:D68"/>
    <mergeCell ref="E68:F68"/>
    <mergeCell ref="A69:D69"/>
    <mergeCell ref="E69:F69"/>
    <mergeCell ref="A64:D64"/>
    <mergeCell ref="E64:F64"/>
    <mergeCell ref="A65:D65"/>
    <mergeCell ref="E65:F65"/>
    <mergeCell ref="A66:D66"/>
    <mergeCell ref="E66:F66"/>
    <mergeCell ref="A61:D61"/>
    <mergeCell ref="E61:F61"/>
    <mergeCell ref="A62:D62"/>
    <mergeCell ref="E62:F62"/>
    <mergeCell ref="A63:D63"/>
    <mergeCell ref="E63:F63"/>
    <mergeCell ref="A58:D58"/>
    <mergeCell ref="E58:F58"/>
    <mergeCell ref="A59:D59"/>
    <mergeCell ref="E59:F59"/>
    <mergeCell ref="A60:D60"/>
    <mergeCell ref="E60:F60"/>
    <mergeCell ref="A55:D55"/>
    <mergeCell ref="E55:F55"/>
    <mergeCell ref="A56:D56"/>
    <mergeCell ref="E56:F56"/>
    <mergeCell ref="A57:D57"/>
    <mergeCell ref="E57:F57"/>
    <mergeCell ref="A52:D52"/>
    <mergeCell ref="E52:F52"/>
    <mergeCell ref="A53:D53"/>
    <mergeCell ref="E53:F53"/>
    <mergeCell ref="A54:D54"/>
    <mergeCell ref="E54:F54"/>
    <mergeCell ref="A49:D49"/>
    <mergeCell ref="E49:F49"/>
    <mergeCell ref="A50:D50"/>
    <mergeCell ref="E50:F50"/>
    <mergeCell ref="A51:D51"/>
    <mergeCell ref="E51:F51"/>
    <mergeCell ref="A46:D46"/>
    <mergeCell ref="E46:F46"/>
    <mergeCell ref="A47:D47"/>
    <mergeCell ref="E47:F47"/>
    <mergeCell ref="A48:D48"/>
    <mergeCell ref="E48:F48"/>
    <mergeCell ref="A43:D43"/>
    <mergeCell ref="E43:F43"/>
    <mergeCell ref="A44:D44"/>
    <mergeCell ref="E44:F44"/>
    <mergeCell ref="A45:D45"/>
    <mergeCell ref="E45:F45"/>
    <mergeCell ref="A40:D40"/>
    <mergeCell ref="E40:F40"/>
    <mergeCell ref="A41:D41"/>
    <mergeCell ref="E41:F41"/>
    <mergeCell ref="A42:D42"/>
    <mergeCell ref="E42:F42"/>
    <mergeCell ref="A36:D36"/>
    <mergeCell ref="A37:D37"/>
    <mergeCell ref="E37:F37"/>
    <mergeCell ref="A38:D38"/>
    <mergeCell ref="E38:F38"/>
    <mergeCell ref="A39:D39"/>
    <mergeCell ref="E39:F39"/>
    <mergeCell ref="A32:D32"/>
    <mergeCell ref="A33:D33"/>
    <mergeCell ref="E33:F33"/>
    <mergeCell ref="A34:D34"/>
    <mergeCell ref="E34:F34"/>
    <mergeCell ref="A35:D35"/>
    <mergeCell ref="E35:F35"/>
    <mergeCell ref="A29:D29"/>
    <mergeCell ref="E29:F29"/>
    <mergeCell ref="A30:D30"/>
    <mergeCell ref="E30:F30"/>
    <mergeCell ref="A31:D31"/>
    <mergeCell ref="E31:F31"/>
    <mergeCell ref="A26:D26"/>
    <mergeCell ref="E26:F26"/>
    <mergeCell ref="A27:D27"/>
    <mergeCell ref="E27:F27"/>
    <mergeCell ref="A28:D28"/>
    <mergeCell ref="E28:F28"/>
    <mergeCell ref="A23:D23"/>
    <mergeCell ref="E23:F23"/>
    <mergeCell ref="A24:D24"/>
    <mergeCell ref="E24:F24"/>
    <mergeCell ref="A25:D25"/>
    <mergeCell ref="E25:F25"/>
    <mergeCell ref="A20:D20"/>
    <mergeCell ref="E20:F20"/>
    <mergeCell ref="A21:D21"/>
    <mergeCell ref="E21:F21"/>
    <mergeCell ref="A22:D22"/>
    <mergeCell ref="E22:F22"/>
    <mergeCell ref="A17:D17"/>
    <mergeCell ref="E17:F17"/>
    <mergeCell ref="A18:D18"/>
    <mergeCell ref="E18:F18"/>
    <mergeCell ref="A19:D19"/>
    <mergeCell ref="E19:F19"/>
    <mergeCell ref="A14:D14"/>
    <mergeCell ref="E14:F14"/>
    <mergeCell ref="A15:D15"/>
    <mergeCell ref="E15:F15"/>
    <mergeCell ref="A16:D16"/>
    <mergeCell ref="E16:F16"/>
    <mergeCell ref="A11:D11"/>
    <mergeCell ref="E11:F11"/>
    <mergeCell ref="A12:D12"/>
    <mergeCell ref="E12:F12"/>
    <mergeCell ref="A13:D13"/>
    <mergeCell ref="E13:F13"/>
    <mergeCell ref="C6:N6"/>
    <mergeCell ref="A8:D8"/>
    <mergeCell ref="E8:H8"/>
    <mergeCell ref="A9:D9"/>
    <mergeCell ref="E9:F9"/>
    <mergeCell ref="A10:D10"/>
    <mergeCell ref="E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cp:keywords/>
  <dc:description/>
  <cp:lastModifiedBy>Uaer4</cp:lastModifiedBy>
  <cp:revision>1</cp:revision>
  <cp:lastPrinted>2026-10-29T10:14:15Z</cp:lastPrinted>
  <dcterms:created xsi:type="dcterms:W3CDTF">2026-10-29T10:14:15Z</dcterms:created>
  <dcterms:modified xsi:type="dcterms:W3CDTF">2026-10-29T11:24:27Z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0C56AF23F0D1477CB3C2F81A96BE802E_12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r8>0</vt:r8>
  </property>
</Properties>
</file>