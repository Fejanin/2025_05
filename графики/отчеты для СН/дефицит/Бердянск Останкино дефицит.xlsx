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графики\отчеты для СН\дефицит\"/>
    </mc:Choice>
  </mc:AlternateContent>
  <xr:revisionPtr revIDLastSave="0" documentId="13_ncr:1_{E31603B8-91A3-4FFB-9F24-2586F59F130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23.10" sheetId="16" r:id="rId1"/>
    <sheet name="24.10" sheetId="17" r:id="rId2"/>
    <sheet name="27.10" sheetId="18" r:id="rId3"/>
    <sheet name="28.10" sheetId="19" r:id="rId4"/>
    <sheet name="29.10" sheetId="20" r:id="rId5"/>
    <sheet name="дефицит" sheetId="21" r:id="rId6"/>
  </sheets>
  <externalReferences>
    <externalReference r:id="rId7"/>
    <externalReference r:id="rId8"/>
  </externalReferences>
  <calcPr calcId="191029"/>
</workbook>
</file>

<file path=xl/calcChain.xml><?xml version="1.0" encoding="utf-8"?>
<calcChain xmlns="http://schemas.openxmlformats.org/spreadsheetml/2006/main">
  <c r="E8" i="21" l="1"/>
  <c r="E11" i="21"/>
  <c r="D4" i="21"/>
  <c r="D5" i="21"/>
  <c r="D6" i="21"/>
  <c r="D7" i="21"/>
  <c r="D8" i="21"/>
  <c r="D9" i="21"/>
  <c r="D10" i="21"/>
  <c r="D11" i="21"/>
  <c r="D12" i="21"/>
  <c r="D3" i="21"/>
  <c r="F4" i="21"/>
  <c r="F5" i="21"/>
  <c r="F7" i="21"/>
  <c r="F8" i="21"/>
  <c r="F9" i="21"/>
  <c r="F10" i="21"/>
  <c r="F11" i="21"/>
  <c r="F3" i="21"/>
  <c r="C13" i="21"/>
  <c r="J87" i="20" l="1"/>
  <c r="I51" i="20"/>
  <c r="G51" i="20"/>
  <c r="E51" i="20"/>
  <c r="C51" i="20"/>
  <c r="G44" i="20"/>
  <c r="G31" i="20"/>
  <c r="F31" i="20"/>
  <c r="L21" i="20"/>
  <c r="K21" i="20"/>
  <c r="H21" i="20"/>
  <c r="G21" i="20"/>
  <c r="J12" i="20"/>
  <c r="J11" i="20"/>
  <c r="J10" i="20"/>
  <c r="J9" i="20"/>
  <c r="J8" i="20"/>
  <c r="J87" i="19"/>
  <c r="I51" i="19"/>
  <c r="G51" i="19"/>
  <c r="E51" i="19"/>
  <c r="C51" i="19"/>
  <c r="G44" i="19"/>
  <c r="G31" i="19"/>
  <c r="F31" i="19"/>
  <c r="L21" i="19"/>
  <c r="K21" i="19"/>
  <c r="H21" i="19"/>
  <c r="G21" i="19"/>
  <c r="J12" i="19"/>
  <c r="J11" i="19"/>
  <c r="J10" i="19"/>
  <c r="J9" i="19"/>
  <c r="J8" i="19"/>
  <c r="J80" i="18"/>
  <c r="I51" i="18"/>
  <c r="G51" i="18"/>
  <c r="E51" i="18"/>
  <c r="C51" i="18"/>
  <c r="G44" i="18"/>
  <c r="G31" i="18"/>
  <c r="F31" i="18"/>
  <c r="L21" i="18"/>
  <c r="K21" i="18"/>
  <c r="H21" i="18"/>
  <c r="G21" i="18"/>
  <c r="J12" i="18"/>
  <c r="J11" i="18"/>
  <c r="J10" i="18"/>
  <c r="J9" i="18"/>
  <c r="J8" i="18"/>
  <c r="J80" i="17"/>
  <c r="J11" i="17" l="1"/>
  <c r="J12" i="17"/>
  <c r="J11" i="16"/>
  <c r="J12" i="16"/>
  <c r="I51" i="17"/>
  <c r="G51" i="17"/>
  <c r="E51" i="17"/>
  <c r="C51" i="17"/>
  <c r="G44" i="17"/>
  <c r="G31" i="17"/>
  <c r="F31" i="17"/>
  <c r="L21" i="17"/>
  <c r="K21" i="17"/>
  <c r="H21" i="17"/>
  <c r="G21" i="17"/>
  <c r="J10" i="17"/>
  <c r="J9" i="17"/>
  <c r="J8" i="17"/>
  <c r="J79" i="16" l="1"/>
  <c r="H21" i="16"/>
  <c r="I51" i="16"/>
  <c r="G51" i="16"/>
  <c r="E51" i="16"/>
  <c r="C51" i="16"/>
  <c r="G44" i="16"/>
  <c r="G31" i="16"/>
  <c r="F31" i="16"/>
  <c r="L21" i="16"/>
  <c r="K21" i="16"/>
  <c r="G21" i="16"/>
  <c r="J10" i="16"/>
  <c r="J9" i="16"/>
  <c r="J8" i="16"/>
</calcChain>
</file>

<file path=xl/sharedStrings.xml><?xml version="1.0" encoding="utf-8"?>
<sst xmlns="http://schemas.openxmlformats.org/spreadsheetml/2006/main" count="587" uniqueCount="123">
  <si>
    <t>Выезд Машин</t>
  </si>
  <si>
    <t>№ п/п</t>
  </si>
  <si>
    <t>Марка</t>
  </si>
  <si>
    <t>№ авто</t>
  </si>
  <si>
    <t>ФИО водителя</t>
  </si>
  <si>
    <t>Заполняет механник перед выездом машин</t>
  </si>
  <si>
    <t>Выехал (время)</t>
  </si>
  <si>
    <t>количество ТГ (АКБ)</t>
  </si>
  <si>
    <t>кг</t>
  </si>
  <si>
    <t>вернулся  (время)</t>
  </si>
  <si>
    <t>Не вывезено</t>
  </si>
  <si>
    <t>Исправность холодильного оборудования</t>
  </si>
  <si>
    <t>Неисправные</t>
  </si>
  <si>
    <t>сумма ремонта</t>
  </si>
  <si>
    <t>Дата поломки</t>
  </si>
  <si>
    <t>ИТОГО</t>
  </si>
  <si>
    <t>Сборка</t>
  </si>
  <si>
    <t>Заказано (день заказа)</t>
  </si>
  <si>
    <t>Собрано (факт.день сборки)</t>
  </si>
  <si>
    <t>Выехало (факт день выезда)</t>
  </si>
  <si>
    <t>Поком колбаса</t>
  </si>
  <si>
    <t>Поком заморозка</t>
  </si>
  <si>
    <t>Останкино</t>
  </si>
  <si>
    <t>Всего</t>
  </si>
  <si>
    <t>ВСЕГО МАШИН</t>
  </si>
  <si>
    <t>ИСПРАВНЫЕ АВТО</t>
  </si>
  <si>
    <t>НАЙМ АВТО</t>
  </si>
  <si>
    <t>Стоимость</t>
  </si>
  <si>
    <t>кол-во тт (АКБ)</t>
  </si>
  <si>
    <t>Вернулось (факт день выезда)</t>
  </si>
  <si>
    <t>Время на маршруте</t>
  </si>
  <si>
    <t>Вернулся  (время)</t>
  </si>
  <si>
    <t>Дефицит</t>
  </si>
  <si>
    <t>№</t>
  </si>
  <si>
    <t>Наименование позиций</t>
  </si>
  <si>
    <t>КГ</t>
  </si>
  <si>
    <t>Причина</t>
  </si>
  <si>
    <t>Ремонт одобрен +/-</t>
  </si>
  <si>
    <t>Дата окончания ремонта</t>
  </si>
  <si>
    <t>Дата постановки на ремонт</t>
  </si>
  <si>
    <t>Оплачено +/-</t>
  </si>
  <si>
    <t>БЕРДЯНСК</t>
  </si>
  <si>
    <t>Мерседес</t>
  </si>
  <si>
    <t xml:space="preserve">Н364РХ82 </t>
  </si>
  <si>
    <t>А185ВУ92</t>
  </si>
  <si>
    <t>Е791СР82</t>
  </si>
  <si>
    <t>Да</t>
  </si>
  <si>
    <t>Нет</t>
  </si>
  <si>
    <t>Н214ХХ82</t>
  </si>
  <si>
    <t>Замена двигателя</t>
  </si>
  <si>
    <t>Газель</t>
  </si>
  <si>
    <t>А863МР33</t>
  </si>
  <si>
    <t>КИА</t>
  </si>
  <si>
    <t xml:space="preserve">У383УН57 </t>
  </si>
  <si>
    <t>А883МР33</t>
  </si>
  <si>
    <t>200000 восстановление будки, 200000 замена рэфа, 100000 восстановление кабины, эвакуатор в Крым 180000</t>
  </si>
  <si>
    <t>+</t>
  </si>
  <si>
    <t>Плотников</t>
  </si>
  <si>
    <t>Муралев</t>
  </si>
  <si>
    <t>Наумкин</t>
  </si>
  <si>
    <t xml:space="preserve">Наумкин </t>
  </si>
  <si>
    <t xml:space="preserve">Яковенко </t>
  </si>
  <si>
    <t>06.10 попала под удар БПЛА</t>
  </si>
  <si>
    <t>Алтунин</t>
  </si>
  <si>
    <t>6713 СОЧНЫЙ ГРИЛЬ ПМ сос п/о мгс 0,41кг 8 шт.  ОСТАНКИНО</t>
  </si>
  <si>
    <t>двигатель не отправили</t>
  </si>
  <si>
    <t>Наггетсы Хрустящие НД2. ВЕС.  ПОКОМ</t>
  </si>
  <si>
    <t>Пельмени Бигбули со сливочным маслом  ТС Бигбули ГШ#МЕГАМАСЛИЩЕ флоу-пак сфера 0,7.  Поком</t>
  </si>
  <si>
    <t xml:space="preserve"> 340  Сосиски Сочинки Молочные ТМ Стародворье, ВЕС ПОКОМ</t>
  </si>
  <si>
    <t>Чебупицца Пепперони ТМ Горячая штучка ТС Чебупицца 0.25кг зам  ПОКОМ</t>
  </si>
  <si>
    <t>6697 СЕРВЕЛАТ ФИНСКИЙ ПМ в/к в/у 0,35кг 8шт  ОСТАНКИНО</t>
  </si>
  <si>
    <t>7485 РИЕТ МЯСНОЙ С ГРИБАМИ ПМ п/о 1/150  ОСТАНКИНО</t>
  </si>
  <si>
    <t>6948287 Майонез провансаль классич.Папа может 744гр с массовой долей жирн. 67% Останкино</t>
  </si>
  <si>
    <t>7539 ДОКТОРСКАЯ ГОСТ вар п/о 0,35кг ОСТАНКИНО</t>
  </si>
  <si>
    <t>7603 БАЛЫКОВАЯ в/к в/у 0.33кг 8шт. ОСТАНКИНО</t>
  </si>
  <si>
    <t xml:space="preserve"> 030  Сосиски Вязанка Молочные, Вязанка вискофан МГС, 0.45кг, ПОКОМ</t>
  </si>
  <si>
    <t xml:space="preserve"> 229  Колбаса Молочная Дугушка, в/у, ВЕС, ТМ Стародворье   ПОКОМ</t>
  </si>
  <si>
    <t>ремонт ходовой, ремонт кардана (плановый ремонт)</t>
  </si>
  <si>
    <t>А869КМ93</t>
  </si>
  <si>
    <t>7070 СОЧНЫЕ ПМ сос п/о 1,5*4_А_50с  Останкино</t>
  </si>
  <si>
    <t>7166 СЕРВЕЛАТ ОХОТНИЧИЙ ПМ в/к в/у_50с  Останкино</t>
  </si>
  <si>
    <t>Сыр полутвердый "Российский" с массовой долей жира 50%  Останкино</t>
  </si>
  <si>
    <t xml:space="preserve"> 341 Сосиски Сочинки Сливочные ТМ Стародворье ВЕС ПОКОМ  
</t>
  </si>
  <si>
    <t>6168 Блинчики с мясом пл. 1/350 зам. ОСТАНКИНО</t>
  </si>
  <si>
    <t>6475 Сосиски Папа может 400г С сыром  ОСТАНКИНО</t>
  </si>
  <si>
    <t>7157 СЕРВЕЛАТ ЗЕРНИСТЫЙ ПМ в/к в/у_50с  Останкино</t>
  </si>
  <si>
    <t>7490 СОЧНЫЙ ГРИЛЬ сос ц/о мгс 0.41кг_Даблпак  ОСТАНКИНО</t>
  </si>
  <si>
    <t>Готовые чебупели с ветчиной и сыром 0,24 кг НОВАЯ ТМ Горячая штучка  ПОКОМ</t>
  </si>
  <si>
    <t>Наггетсы из печи 0,25кг ТМ Вязанка замор.  ПОКОМ</t>
  </si>
  <si>
    <t>Пельмени Отборные из свинины и говядины 0,9 кг ТМ Стародворье ТС Медвежье ушко  ПОКОМ</t>
  </si>
  <si>
    <t>Хрустящие крылышки острые к пиву ТМ Горячая штучка 0,3кг зам  ПОКОМ</t>
  </si>
  <si>
    <t>Чебупицца курочка по-итальянски Горячая штучка 0,25 кг зам  ПОКОМ</t>
  </si>
  <si>
    <t>6279 КОРЕЙКА ПО-ОСТ.к/в в/с с/н в/у 1/150_45с  Останкино</t>
  </si>
  <si>
    <t>6948270 Майонез провансаль классич.Папа может 372гр с массовой долей жирн. 67% Останкино</t>
  </si>
  <si>
    <t>7232 БОЯNСКАЯ ПМ п/к в/у 0,28кг 8шт_209к  Останкино</t>
  </si>
  <si>
    <t>А_6829  МОЛОЧНЫЕ КЛАССИЧЕСКИЕ сос п/о мгс 2*4 С  Останккино</t>
  </si>
  <si>
    <t xml:space="preserve"> 225  Колбаса Дугушка со шпиком,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</si>
  <si>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</si>
  <si>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309  Сосиски Сочинки с сыром 0,4 кг ТМ Стародворье  ПОКОМ</t>
  </si>
  <si>
    <t xml:space="preserve"> 319  Колбаса вареная Филейская ТМ Вязанка ТС Классическая, 0,45 кг. ПОКОМ</t>
  </si>
  <si>
    <t xml:space="preserve"> 343 Сосиски Сочинки Сливочные ТМ Стародворье  0,4 кг ПОКОМ</t>
  </si>
  <si>
    <t>Чебуреки сочные ТМ Зареченские ТС Зареченские продукты.  Поком</t>
  </si>
  <si>
    <t>двигатель придет 17.11 в Мариуполь</t>
  </si>
  <si>
    <t>4063 МЯСНАЯ Папа может вар п/о_Л   ОСТАНКИНО</t>
  </si>
  <si>
    <t>6303 Мясные Папа может сос п/о мгс 1,5*3  Останкино</t>
  </si>
  <si>
    <t>7231 КЛАССИЧЕСКАЯ ПМ вар п/о 0,3кг 8 шт_209к  Останкино</t>
  </si>
  <si>
    <t>7255 МЯСНЫЕ С ГОВЯД.ПМ сос п/о мгс 0.4кг 6шт.  ОСТАНКИНО</t>
  </si>
  <si>
    <t>3323 Сыр Российский цилиндр 1/4 пленка ЮКМП м.д.ж. 50%  ОСТАНКИНО</t>
  </si>
  <si>
    <t>5755 БЛИНЧ.КРУГЛЫЕ С ТВОРОГОМ 4,5кг зам. ПМ ОСТАНКИНО</t>
  </si>
  <si>
    <t>6008 САЛО СОЛЕНОЕ С ЧЕРНЫМ ПЕРЦЕМ мл/к в/у ОСТАНКИНО</t>
  </si>
  <si>
    <t>6550 МЯСНЫЕ Папа может сар б/о мгс 1*3 О 45с  Останкино</t>
  </si>
  <si>
    <t>7075 МОЛОЧ.ПРЕМИУМ ПМ сос п/о мгс 1,5*4_О_50с  Останкино</t>
  </si>
  <si>
    <t>7169 СЕРВЕЛАТ ОХОТНИЧИЙ ПМ в/к в/у 0,35кг_50с  Останкино</t>
  </si>
  <si>
    <t>7224 МЯСНЫЕ ПРЕМИУМ пельм кор.0,4кг зам  ОСТАНКИНО</t>
  </si>
  <si>
    <t xml:space="preserve"> 342 Сосиски Сочинки Молочные ТМ Стародворье 0,4 кг ПОКОМ</t>
  </si>
  <si>
    <t xml:space="preserve"> 344  Колбаса Сочинка по-европейски с сочной грудинкой ТМ Стародворье, ВЕС ПОКОМ</t>
  </si>
  <si>
    <t>515  Колбаса Сервелат Мясорубский Делюкс 0,3кг ТМ Стародворье  ПОКОМ</t>
  </si>
  <si>
    <t>3287 САЛЯМИ ИТАЛЬЯНСКАЯ с/к в/у ОСТАНКИНО</t>
  </si>
  <si>
    <t>4117 ЭКСТРА Папа может с/к в/у_Л   ОСТАНКИНО</t>
  </si>
  <si>
    <t>5708 ПОСОЛЬСКАЯ Папа может с/к в/у ОСТАНКИНО</t>
  </si>
  <si>
    <t>7187 ГРУДИНКА ПРЕМИУМ к/в мл/к в/у 0,3кг_50с  Останкино</t>
  </si>
  <si>
    <t>3323 Сыр Российский цилиндр 1/4 пленка ЮКМП м.д.ж. 50%  ОСТАНКИНО (по нему рост продаж в 2,7 раза)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</si>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</sst>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\ _₽"/>
    <numFmt numFmtId="166" formatCode="[$-419]d\ mmm;@"/>
    <numFmt numFmtId="167" formatCode="0.0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28"/>
      <color theme="2" tint="-0.89999084444715716"/>
      <name val="Calibri"/>
      <family val="2"/>
      <scheme val="minor"/>
    </font>
    <font>
      <b/>
      <sz val="26"/>
      <color theme="2" tint="-0.89999084444715716"/>
      <name val="Calibri"/>
      <family val="2"/>
      <scheme val="minor"/>
    </font>
    <font>
      <b/>
      <sz val="22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8"/>
      <color theme="2" tint="-0.89999084444715716"/>
      <name val="Arial"/>
      <family val="2"/>
      <charset val="204"/>
    </font>
    <font>
      <b/>
      <sz val="11"/>
      <color theme="2" tint="-0.89989928891872917"/>
      <name val="Calibri"/>
      <family val="2"/>
      <scheme val="minor"/>
    </font>
    <font>
      <b/>
      <sz val="11"/>
      <color rgb="FF16161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3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sz val="12"/>
      <name val="Calibri"/>
      <family val="2"/>
      <charset val="204"/>
      <scheme val="minor"/>
    </font>
    <font>
      <b/>
      <sz val="12"/>
      <color indexed="63"/>
      <name val="Calibri"/>
      <family val="2"/>
      <charset val="204"/>
      <scheme val="minor"/>
    </font>
    <font>
      <b/>
      <sz val="12"/>
      <color theme="2" tint="-0.89999084444715716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161616"/>
      <name val="Calibri"/>
      <family val="2"/>
      <charset val="204"/>
      <scheme val="minor"/>
    </font>
    <font>
      <b/>
      <sz val="11"/>
      <color theme="2" tint="-0.89999084444715716"/>
      <name val="Calibri (Основной текст)"/>
      <charset val="204"/>
    </font>
    <font>
      <b/>
      <sz val="11"/>
      <name val="Calibri"/>
      <family val="2"/>
      <scheme val="minor"/>
    </font>
    <font>
      <b/>
      <sz val="8"/>
      <color theme="2" tint="-0.89999084444715716"/>
      <name val="Arial"/>
      <family val="2"/>
    </font>
    <font>
      <b/>
      <sz val="11"/>
      <color rgb="FF161616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BF9EC"/>
        <bgColor auto="1"/>
      </patternFill>
    </fill>
    <fill>
      <patternFill patternType="solid">
        <fgColor theme="5" tint="0.39997558519241921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77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165" fontId="11" fillId="0" borderId="18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20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165" fontId="11" fillId="0" borderId="18" xfId="0" applyNumberFormat="1" applyFont="1" applyBorder="1" applyAlignment="1">
      <alignment horizontal="center" vertical="center"/>
    </xf>
    <xf numFmtId="20" fontId="8" fillId="0" borderId="18" xfId="0" applyNumberFormat="1" applyFont="1" applyBorder="1" applyAlignment="1">
      <alignment horizontal="center" vertical="center"/>
    </xf>
    <xf numFmtId="20" fontId="8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165" fontId="11" fillId="0" borderId="0" xfId="0" applyNumberFormat="1" applyFont="1" applyAlignment="1">
      <alignment horizontal="center"/>
    </xf>
    <xf numFmtId="4" fontId="13" fillId="0" borderId="0" xfId="1" applyNumberFormat="1" applyFont="1"/>
    <xf numFmtId="0" fontId="11" fillId="0" borderId="0" xfId="0" applyFont="1" applyAlignment="1">
      <alignment horizontal="center"/>
    </xf>
    <xf numFmtId="0" fontId="14" fillId="0" borderId="0" xfId="0" applyFont="1"/>
    <xf numFmtId="0" fontId="8" fillId="3" borderId="16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16" fillId="2" borderId="25" xfId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5" fontId="11" fillId="0" borderId="50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165" fontId="17" fillId="0" borderId="43" xfId="0" applyNumberFormat="1" applyFont="1" applyBorder="1" applyAlignment="1">
      <alignment horizontal="center" vertical="center" wrapText="1"/>
    </xf>
    <xf numFmtId="0" fontId="18" fillId="4" borderId="25" xfId="3" applyFont="1" applyFill="1" applyBorder="1" applyAlignment="1">
      <alignment horizontal="left" vertical="center"/>
    </xf>
    <xf numFmtId="0" fontId="14" fillId="0" borderId="57" xfId="0" applyFont="1" applyBorder="1" applyAlignment="1">
      <alignment horizontal="center" vertical="center"/>
    </xf>
    <xf numFmtId="165" fontId="14" fillId="0" borderId="58" xfId="0" applyNumberFormat="1" applyFont="1" applyBorder="1" applyAlignment="1">
      <alignment horizontal="center" vertical="center"/>
    </xf>
    <xf numFmtId="164" fontId="19" fillId="2" borderId="59" xfId="0" applyNumberFormat="1" applyFont="1" applyFill="1" applyBorder="1" applyAlignment="1">
      <alignment horizontal="center" vertical="top"/>
    </xf>
    <xf numFmtId="167" fontId="19" fillId="2" borderId="59" xfId="0" applyNumberFormat="1" applyFont="1" applyFill="1" applyBorder="1" applyAlignment="1">
      <alignment horizontal="center" vertical="top"/>
    </xf>
    <xf numFmtId="2" fontId="19" fillId="2" borderId="59" xfId="0" applyNumberFormat="1" applyFont="1" applyFill="1" applyBorder="1" applyAlignment="1">
      <alignment horizontal="center" vertical="top"/>
    </xf>
    <xf numFmtId="1" fontId="19" fillId="2" borderId="59" xfId="0" applyNumberFormat="1" applyFont="1" applyFill="1" applyBorder="1" applyAlignment="1">
      <alignment horizontal="center" vertical="top"/>
    </xf>
    <xf numFmtId="0" fontId="20" fillId="0" borderId="25" xfId="0" applyFont="1" applyBorder="1" applyAlignment="1">
      <alignment horizontal="center" vertical="center"/>
    </xf>
    <xf numFmtId="0" fontId="21" fillId="4" borderId="25" xfId="3" applyFont="1" applyFill="1" applyBorder="1" applyAlignment="1">
      <alignment horizontal="left" vertical="center"/>
    </xf>
    <xf numFmtId="0" fontId="22" fillId="0" borderId="25" xfId="0" applyFont="1" applyBorder="1" applyAlignment="1">
      <alignment horizontal="center"/>
    </xf>
    <xf numFmtId="0" fontId="23" fillId="2" borderId="25" xfId="1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/>
    </xf>
    <xf numFmtId="0" fontId="24" fillId="0" borderId="36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0" fontId="16" fillId="2" borderId="25" xfId="0" applyFont="1" applyFill="1" applyBorder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25" fillId="0" borderId="46" xfId="0" applyFont="1" applyBorder="1" applyAlignment="1">
      <alignment horizontal="center" vertical="center"/>
    </xf>
    <xf numFmtId="20" fontId="20" fillId="2" borderId="25" xfId="0" applyNumberFormat="1" applyFont="1" applyFill="1" applyBorder="1" applyAlignment="1">
      <alignment horizontal="center" vertical="center"/>
    </xf>
    <xf numFmtId="1" fontId="20" fillId="2" borderId="25" xfId="0" applyNumberFormat="1" applyFont="1" applyFill="1" applyBorder="1" applyAlignment="1">
      <alignment horizontal="center" vertical="center"/>
    </xf>
    <xf numFmtId="3" fontId="20" fillId="2" borderId="25" xfId="1" applyNumberFormat="1" applyFont="1" applyFill="1" applyBorder="1" applyAlignment="1">
      <alignment horizontal="center" vertical="center"/>
    </xf>
    <xf numFmtId="20" fontId="20" fillId="0" borderId="25" xfId="0" applyNumberFormat="1" applyFont="1" applyBorder="1" applyAlignment="1">
      <alignment horizontal="center" vertical="center"/>
    </xf>
    <xf numFmtId="1" fontId="22" fillId="0" borderId="39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center" vertical="center" wrapText="1"/>
    </xf>
    <xf numFmtId="0" fontId="20" fillId="2" borderId="25" xfId="1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left" vertical="center" wrapText="1"/>
    </xf>
    <xf numFmtId="0" fontId="17" fillId="2" borderId="25" xfId="1" applyFont="1" applyFill="1" applyBorder="1" applyAlignment="1">
      <alignment horizontal="center" vertical="center" wrapText="1"/>
    </xf>
    <xf numFmtId="20" fontId="17" fillId="0" borderId="25" xfId="0" applyNumberFormat="1" applyFont="1" applyBorder="1" applyAlignment="1">
      <alignment horizontal="center" vertical="center"/>
    </xf>
    <xf numFmtId="1" fontId="17" fillId="2" borderId="25" xfId="0" applyNumberFormat="1" applyFont="1" applyFill="1" applyBorder="1" applyAlignment="1">
      <alignment horizontal="center" vertical="center"/>
    </xf>
    <xf numFmtId="3" fontId="17" fillId="2" borderId="25" xfId="1" applyNumberFormat="1" applyFont="1" applyFill="1" applyBorder="1" applyAlignment="1">
      <alignment horizontal="center" vertical="center"/>
    </xf>
    <xf numFmtId="20" fontId="26" fillId="0" borderId="25" xfId="0" applyNumberFormat="1" applyFont="1" applyBorder="1" applyAlignment="1">
      <alignment horizontal="center" vertical="center"/>
    </xf>
    <xf numFmtId="1" fontId="11" fillId="0" borderId="39" xfId="0" applyNumberFormat="1" applyFont="1" applyBorder="1" applyAlignment="1">
      <alignment horizontal="center" vertical="center"/>
    </xf>
    <xf numFmtId="3" fontId="17" fillId="2" borderId="39" xfId="1" applyNumberFormat="1" applyFont="1" applyFill="1" applyBorder="1" applyAlignment="1">
      <alignment horizontal="center" vertical="center"/>
    </xf>
    <xf numFmtId="0" fontId="27" fillId="0" borderId="0" xfId="1" applyFont="1" applyAlignment="1">
      <alignment vertical="top" wrapText="1"/>
    </xf>
    <xf numFmtId="164" fontId="27" fillId="0" borderId="0" xfId="2" applyNumberFormat="1" applyFont="1" applyAlignment="1">
      <alignment horizontal="center" vertical="top"/>
    </xf>
    <xf numFmtId="166" fontId="8" fillId="0" borderId="0" xfId="0" applyNumberFormat="1" applyFont="1"/>
    <xf numFmtId="20" fontId="17" fillId="2" borderId="25" xfId="0" applyNumberFormat="1" applyFont="1" applyFill="1" applyBorder="1" applyAlignment="1">
      <alignment horizontal="center" vertical="center"/>
    </xf>
    <xf numFmtId="20" fontId="11" fillId="2" borderId="25" xfId="0" applyNumberFormat="1" applyFont="1" applyFill="1" applyBorder="1" applyAlignment="1">
      <alignment horizontal="center" vertical="center" wrapText="1"/>
    </xf>
    <xf numFmtId="20" fontId="11" fillId="2" borderId="32" xfId="0" applyNumberFormat="1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/>
    </xf>
    <xf numFmtId="0" fontId="16" fillId="2" borderId="15" xfId="0" applyFont="1" applyFill="1" applyBorder="1" applyAlignment="1">
      <alignment horizontal="center" vertical="center" wrapText="1"/>
    </xf>
    <xf numFmtId="166" fontId="17" fillId="0" borderId="10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 wrapText="1"/>
    </xf>
    <xf numFmtId="0" fontId="16" fillId="0" borderId="43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166" fontId="17" fillId="0" borderId="27" xfId="0" applyNumberFormat="1" applyFont="1" applyBorder="1" applyAlignment="1">
      <alignment horizontal="center" vertical="center"/>
    </xf>
    <xf numFmtId="49" fontId="17" fillId="0" borderId="27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5" fontId="29" fillId="0" borderId="43" xfId="0" applyNumberFormat="1" applyFont="1" applyBorder="1" applyAlignment="1">
      <alignment horizontal="center"/>
    </xf>
    <xf numFmtId="20" fontId="29" fillId="0" borderId="43" xfId="0" applyNumberFormat="1" applyFont="1" applyBorder="1" applyAlignment="1">
      <alignment horizontal="center" vertical="center"/>
    </xf>
    <xf numFmtId="165" fontId="29" fillId="0" borderId="44" xfId="0" applyNumberFormat="1" applyFont="1" applyBorder="1" applyAlignment="1">
      <alignment horizontal="center"/>
    </xf>
    <xf numFmtId="0" fontId="22" fillId="0" borderId="3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" fontId="22" fillId="0" borderId="59" xfId="0" applyNumberFormat="1" applyFont="1" applyBorder="1" applyAlignment="1">
      <alignment horizontal="center" vertical="center"/>
    </xf>
    <xf numFmtId="4" fontId="22" fillId="0" borderId="59" xfId="0" applyNumberFormat="1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/>
    </xf>
    <xf numFmtId="14" fontId="22" fillId="0" borderId="59" xfId="0" applyNumberFormat="1" applyFont="1" applyBorder="1" applyAlignment="1">
      <alignment horizontal="left"/>
    </xf>
    <xf numFmtId="1" fontId="20" fillId="0" borderId="59" xfId="0" applyNumberFormat="1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14" fontId="22" fillId="0" borderId="59" xfId="0" applyNumberFormat="1" applyFont="1" applyBorder="1" applyAlignment="1">
      <alignment vertical="center"/>
    </xf>
    <xf numFmtId="14" fontId="22" fillId="0" borderId="59" xfId="0" applyNumberFormat="1" applyFont="1" applyBorder="1" applyAlignment="1">
      <alignment horizontal="left" vertical="top" wrapText="1"/>
    </xf>
    <xf numFmtId="0" fontId="20" fillId="0" borderId="59" xfId="0" applyFont="1" applyBorder="1" applyAlignment="1">
      <alignment horizontal="center" vertical="center"/>
    </xf>
    <xf numFmtId="0" fontId="23" fillId="2" borderId="59" xfId="0" applyFont="1" applyFill="1" applyBorder="1" applyAlignment="1">
      <alignment horizontal="center" vertical="center" wrapText="1"/>
    </xf>
    <xf numFmtId="166" fontId="20" fillId="0" borderId="59" xfId="0" applyNumberFormat="1" applyFont="1" applyBorder="1" applyAlignment="1">
      <alignment horizontal="left" vertical="top" wrapText="1"/>
    </xf>
    <xf numFmtId="49" fontId="20" fillId="0" borderId="59" xfId="0" applyNumberFormat="1" applyFont="1" applyBorder="1" applyAlignment="1">
      <alignment horizontal="center" vertical="center"/>
    </xf>
    <xf numFmtId="166" fontId="20" fillId="0" borderId="59" xfId="0" applyNumberFormat="1" applyFont="1" applyBorder="1" applyAlignment="1">
      <alignment horizontal="center" vertical="center"/>
    </xf>
    <xf numFmtId="2" fontId="20" fillId="0" borderId="59" xfId="0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3" fillId="4" borderId="59" xfId="3" applyFont="1" applyFill="1" applyBorder="1" applyAlignment="1">
      <alignment horizontal="center" vertical="center"/>
    </xf>
    <xf numFmtId="0" fontId="23" fillId="2" borderId="59" xfId="1" applyFont="1" applyFill="1" applyBorder="1" applyAlignment="1">
      <alignment horizontal="center" vertical="center" wrapText="1"/>
    </xf>
    <xf numFmtId="14" fontId="22" fillId="0" borderId="59" xfId="0" applyNumberFormat="1" applyFont="1" applyBorder="1" applyAlignment="1">
      <alignment horizontal="center" vertical="center"/>
    </xf>
    <xf numFmtId="16" fontId="22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left" vertical="center" wrapText="1"/>
    </xf>
    <xf numFmtId="0" fontId="16" fillId="2" borderId="59" xfId="0" applyFont="1" applyFill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166" fontId="17" fillId="0" borderId="59" xfId="0" applyNumberFormat="1" applyFont="1" applyBorder="1" applyAlignment="1">
      <alignment horizontal="center" vertical="center"/>
    </xf>
    <xf numFmtId="1" fontId="17" fillId="0" borderId="59" xfId="0" applyNumberFormat="1" applyFont="1" applyBorder="1" applyAlignment="1">
      <alignment horizontal="center" vertical="center" wrapText="1"/>
    </xf>
    <xf numFmtId="49" fontId="17" fillId="0" borderId="59" xfId="0" applyNumberFormat="1" applyFont="1" applyBorder="1" applyAlignment="1">
      <alignment horizontal="center" vertical="center"/>
    </xf>
    <xf numFmtId="0" fontId="28" fillId="0" borderId="40" xfId="0" applyFont="1" applyBorder="1" applyAlignment="1">
      <alignment horizontal="center"/>
    </xf>
    <xf numFmtId="0" fontId="19" fillId="2" borderId="4" xfId="0" applyFont="1" applyFill="1" applyBorder="1" applyAlignment="1">
      <alignment vertical="top" wrapText="1"/>
    </xf>
    <xf numFmtId="0" fontId="19" fillId="2" borderId="9" xfId="0" applyFont="1" applyFill="1" applyBorder="1" applyAlignment="1">
      <alignment vertical="top" wrapText="1"/>
    </xf>
    <xf numFmtId="0" fontId="8" fillId="3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167" fontId="19" fillId="5" borderId="59" xfId="0" applyNumberFormat="1" applyFont="1" applyFill="1" applyBorder="1" applyAlignment="1">
      <alignment horizontal="center" vertical="top"/>
    </xf>
    <xf numFmtId="2" fontId="19" fillId="5" borderId="59" xfId="0" applyNumberFormat="1" applyFont="1" applyFill="1" applyBorder="1" applyAlignment="1">
      <alignment horizontal="center" vertical="top"/>
    </xf>
    <xf numFmtId="164" fontId="19" fillId="5" borderId="59" xfId="0" applyNumberFormat="1" applyFont="1" applyFill="1" applyBorder="1" applyAlignment="1">
      <alignment horizontal="center" vertical="top"/>
    </xf>
    <xf numFmtId="1" fontId="19" fillId="5" borderId="59" xfId="0" applyNumberFormat="1" applyFont="1" applyFill="1" applyBorder="1" applyAlignment="1">
      <alignment horizontal="center" vertical="top"/>
    </xf>
    <xf numFmtId="0" fontId="23" fillId="4" borderId="25" xfId="3" applyFont="1" applyFill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19" fillId="2" borderId="61" xfId="0" applyFont="1" applyFill="1" applyBorder="1" applyAlignment="1">
      <alignment vertical="top" wrapText="1"/>
    </xf>
    <xf numFmtId="3" fontId="22" fillId="0" borderId="59" xfId="0" applyNumberFormat="1" applyFont="1" applyBorder="1" applyAlignment="1">
      <alignment horizontal="center" vertical="center"/>
    </xf>
    <xf numFmtId="3" fontId="20" fillId="0" borderId="59" xfId="0" applyNumberFormat="1" applyFont="1" applyBorder="1" applyAlignment="1">
      <alignment horizontal="center" vertical="center" wrapText="1"/>
    </xf>
    <xf numFmtId="167" fontId="19" fillId="2" borderId="59" xfId="0" applyNumberFormat="1" applyFont="1" applyFill="1" applyBorder="1" applyAlignment="1">
      <alignment horizontal="center" vertical="center"/>
    </xf>
    <xf numFmtId="2" fontId="19" fillId="2" borderId="59" xfId="0" applyNumberFormat="1" applyFont="1" applyFill="1" applyBorder="1" applyAlignment="1">
      <alignment horizontal="center" vertical="center"/>
    </xf>
    <xf numFmtId="164" fontId="19" fillId="2" borderId="59" xfId="0" applyNumberFormat="1" applyFont="1" applyFill="1" applyBorder="1" applyAlignment="1">
      <alignment horizontal="center" vertical="center"/>
    </xf>
    <xf numFmtId="1" fontId="19" fillId="2" borderId="59" xfId="0" applyNumberFormat="1" applyFont="1" applyFill="1" applyBorder="1" applyAlignment="1">
      <alignment horizontal="center" vertical="center"/>
    </xf>
    <xf numFmtId="3" fontId="8" fillId="0" borderId="0" xfId="0" applyNumberFormat="1" applyFont="1"/>
    <xf numFmtId="0" fontId="14" fillId="0" borderId="59" xfId="0" applyFont="1" applyBorder="1" applyAlignment="1">
      <alignment horizontal="center" vertical="center"/>
    </xf>
    <xf numFmtId="0" fontId="19" fillId="0" borderId="61" xfId="0" applyFont="1" applyBorder="1" applyAlignment="1">
      <alignment vertical="top" wrapText="1"/>
    </xf>
    <xf numFmtId="0" fontId="19" fillId="0" borderId="4" xfId="0" applyFont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167" fontId="19" fillId="0" borderId="59" xfId="0" applyNumberFormat="1" applyFont="1" applyBorder="1" applyAlignment="1">
      <alignment horizontal="center" vertical="top"/>
    </xf>
    <xf numFmtId="1" fontId="19" fillId="0" borderId="59" xfId="0" applyNumberFormat="1" applyFont="1" applyBorder="1" applyAlignment="1">
      <alignment horizontal="center" vertical="top"/>
    </xf>
    <xf numFmtId="0" fontId="14" fillId="0" borderId="12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9" fillId="2" borderId="59" xfId="0" applyFont="1" applyFill="1" applyBorder="1" applyAlignment="1">
      <alignment horizontal="left" vertical="top" wrapText="1" indent="2"/>
    </xf>
    <xf numFmtId="0" fontId="14" fillId="0" borderId="62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167" fontId="19" fillId="2" borderId="39" xfId="0" applyNumberFormat="1" applyFont="1" applyFill="1" applyBorder="1" applyAlignment="1">
      <alignment horizontal="center" vertical="center"/>
    </xf>
    <xf numFmtId="2" fontId="19" fillId="2" borderId="39" xfId="0" applyNumberFormat="1" applyFont="1" applyFill="1" applyBorder="1" applyAlignment="1">
      <alignment horizontal="center" vertical="center"/>
    </xf>
    <xf numFmtId="164" fontId="19" fillId="2" borderId="39" xfId="0" applyNumberFormat="1" applyFont="1" applyFill="1" applyBorder="1" applyAlignment="1">
      <alignment horizontal="center" vertical="center"/>
    </xf>
    <xf numFmtId="1" fontId="19" fillId="2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1" fontId="8" fillId="3" borderId="25" xfId="0" applyNumberFormat="1" applyFont="1" applyFill="1" applyBorder="1" applyAlignment="1">
      <alignment horizontal="center" vertical="center" wrapText="1"/>
    </xf>
    <xf numFmtId="4" fontId="8" fillId="3" borderId="25" xfId="0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29" fillId="0" borderId="40" xfId="0" applyFont="1" applyBorder="1" applyAlignment="1">
      <alignment horizontal="right" vertical="center"/>
    </xf>
    <xf numFmtId="0" fontId="29" fillId="0" borderId="41" xfId="0" applyFont="1" applyBorder="1" applyAlignment="1">
      <alignment horizontal="right" vertical="center"/>
    </xf>
    <xf numFmtId="0" fontId="29" fillId="0" borderId="42" xfId="0" applyFont="1" applyBorder="1" applyAlignment="1">
      <alignment horizontal="right" vertical="center"/>
    </xf>
    <xf numFmtId="0" fontId="8" fillId="0" borderId="40" xfId="0" applyFont="1" applyBorder="1" applyAlignment="1">
      <alignment horizontal="right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2" fillId="0" borderId="60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14" fontId="20" fillId="0" borderId="60" xfId="0" applyNumberFormat="1" applyFont="1" applyBorder="1" applyAlignment="1">
      <alignment horizontal="left" vertical="top" wrapText="1"/>
    </xf>
    <xf numFmtId="14" fontId="20" fillId="0" borderId="5" xfId="0" applyNumberFormat="1" applyFont="1" applyBorder="1" applyAlignment="1">
      <alignment horizontal="left" vertical="top" wrapText="1"/>
    </xf>
    <xf numFmtId="0" fontId="22" fillId="0" borderId="60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2" fillId="0" borderId="60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14" fontId="17" fillId="0" borderId="59" xfId="0" applyNumberFormat="1" applyFont="1" applyBorder="1" applyAlignment="1">
      <alignment horizontal="center" vertical="center"/>
    </xf>
    <xf numFmtId="14" fontId="17" fillId="0" borderId="39" xfId="0" applyNumberFormat="1" applyFont="1" applyBorder="1" applyAlignment="1">
      <alignment horizontal="center" vertical="center"/>
    </xf>
    <xf numFmtId="14" fontId="17" fillId="0" borderId="60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11" fillId="0" borderId="47" xfId="0" applyFont="1" applyBorder="1" applyAlignment="1">
      <alignment horizontal="right"/>
    </xf>
    <xf numFmtId="0" fontId="11" fillId="0" borderId="48" xfId="0" applyFont="1" applyBorder="1" applyAlignment="1">
      <alignment horizontal="right"/>
    </xf>
    <xf numFmtId="0" fontId="11" fillId="0" borderId="49" xfId="0" applyFont="1" applyBorder="1" applyAlignment="1">
      <alignment horizontal="right"/>
    </xf>
    <xf numFmtId="165" fontId="11" fillId="0" borderId="51" xfId="0" applyNumberFormat="1" applyFont="1" applyBorder="1" applyAlignment="1">
      <alignment horizontal="left"/>
    </xf>
    <xf numFmtId="165" fontId="11" fillId="0" borderId="48" xfId="0" applyNumberFormat="1" applyFont="1" applyBorder="1" applyAlignment="1">
      <alignment horizontal="left"/>
    </xf>
    <xf numFmtId="165" fontId="11" fillId="0" borderId="52" xfId="0" applyNumberFormat="1" applyFont="1" applyBorder="1" applyAlignment="1">
      <alignment horizontal="left"/>
    </xf>
    <xf numFmtId="0" fontId="16" fillId="0" borderId="25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1" fontId="16" fillId="2" borderId="8" xfId="0" applyNumberFormat="1" applyFont="1" applyFill="1" applyBorder="1" applyAlignment="1">
      <alignment horizontal="center" vertical="center"/>
    </xf>
    <xf numFmtId="1" fontId="16" fillId="2" borderId="9" xfId="0" applyNumberFormat="1" applyFont="1" applyFill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1" fontId="16" fillId="0" borderId="25" xfId="0" applyNumberFormat="1" applyFont="1" applyBorder="1" applyAlignment="1">
      <alignment horizontal="center" vertical="center" wrapText="1"/>
    </xf>
    <xf numFmtId="1" fontId="16" fillId="0" borderId="35" xfId="0" applyNumberFormat="1" applyFont="1" applyBorder="1" applyAlignment="1">
      <alignment horizontal="center" vertical="center" wrapText="1"/>
    </xf>
    <xf numFmtId="0" fontId="19" fillId="2" borderId="61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9" xfId="0" applyFont="1" applyFill="1" applyBorder="1" applyAlignment="1">
      <alignment horizontal="left" vertical="top" wrapText="1"/>
    </xf>
    <xf numFmtId="0" fontId="14" fillId="0" borderId="1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" fontId="16" fillId="2" borderId="25" xfId="0" applyNumberFormat="1" applyFont="1" applyFill="1" applyBorder="1" applyAlignment="1">
      <alignment horizontal="center" vertical="center"/>
    </xf>
    <xf numFmtId="1" fontId="16" fillId="2" borderId="35" xfId="0" applyNumberFormat="1" applyFont="1" applyFill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2" borderId="22" xfId="0" applyNumberFormat="1" applyFont="1" applyFill="1" applyBorder="1" applyAlignment="1">
      <alignment horizontal="center" vertical="center"/>
    </xf>
    <xf numFmtId="3" fontId="1" fillId="2" borderId="23" xfId="0" applyNumberFormat="1" applyFont="1" applyFill="1" applyBorder="1" applyAlignment="1">
      <alignment horizontal="center" vertical="center"/>
    </xf>
    <xf numFmtId="3" fontId="1" fillId="2" borderId="24" xfId="0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9" fillId="2" borderId="59" xfId="0" applyFont="1" applyFill="1" applyBorder="1" applyAlignment="1">
      <alignment horizontal="left" vertical="top" wrapText="1"/>
    </xf>
    <xf numFmtId="0" fontId="19" fillId="2" borderId="61" xfId="0" applyFont="1" applyFill="1" applyBorder="1" applyAlignment="1">
      <alignment vertical="top" wrapText="1"/>
    </xf>
    <xf numFmtId="0" fontId="19" fillId="2" borderId="4" xfId="0" applyFont="1" applyFill="1" applyBorder="1" applyAlignment="1">
      <alignment vertical="top" wrapText="1"/>
    </xf>
    <xf numFmtId="0" fontId="19" fillId="2" borderId="9" xfId="0" applyFont="1" applyFill="1" applyBorder="1" applyAlignment="1">
      <alignment vertical="top" wrapText="1"/>
    </xf>
    <xf numFmtId="0" fontId="14" fillId="0" borderId="51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9" fillId="2" borderId="61" xfId="0" applyFont="1" applyFill="1" applyBorder="1" applyAlignment="1">
      <alignment horizontal="center" vertical="top" wrapText="1"/>
    </xf>
    <xf numFmtId="0" fontId="19" fillId="2" borderId="4" xfId="0" applyFont="1" applyFill="1" applyBorder="1" applyAlignment="1">
      <alignment horizontal="center" vertical="top" wrapText="1"/>
    </xf>
    <xf numFmtId="0" fontId="19" fillId="2" borderId="9" xfId="0" applyFont="1" applyFill="1" applyBorder="1" applyAlignment="1">
      <alignment horizontal="center" vertical="top" wrapText="1"/>
    </xf>
    <xf numFmtId="0" fontId="19" fillId="5" borderId="61" xfId="0" applyFont="1" applyFill="1" applyBorder="1" applyAlignment="1">
      <alignment vertical="top" wrapText="1"/>
    </xf>
    <xf numFmtId="0" fontId="19" fillId="5" borderId="4" xfId="0" applyFont="1" applyFill="1" applyBorder="1" applyAlignment="1">
      <alignment vertical="top" wrapText="1"/>
    </xf>
    <xf numFmtId="0" fontId="19" fillId="5" borderId="9" xfId="0" applyFont="1" applyFill="1" applyBorder="1" applyAlignment="1">
      <alignment vertical="top" wrapText="1"/>
    </xf>
    <xf numFmtId="0" fontId="14" fillId="0" borderId="27" xfId="0" applyFon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19" fillId="2" borderId="59" xfId="0" applyFont="1" applyFill="1" applyBorder="1" applyAlignment="1">
      <alignment horizontal="left" vertical="top" wrapText="1" indent="2"/>
    </xf>
    <xf numFmtId="0" fontId="19" fillId="2" borderId="59" xfId="0" applyFont="1" applyFill="1" applyBorder="1" applyAlignment="1">
      <alignment vertical="top" wrapText="1"/>
    </xf>
    <xf numFmtId="0" fontId="19" fillId="0" borderId="59" xfId="0" applyFont="1" applyBorder="1" applyAlignment="1">
      <alignment horizontal="left" vertical="top" wrapText="1" indent="2"/>
    </xf>
    <xf numFmtId="0" fontId="19" fillId="2" borderId="61" xfId="0" applyFont="1" applyFill="1" applyBorder="1" applyAlignment="1">
      <alignment horizontal="left" vertical="top" wrapText="1" indent="2"/>
    </xf>
    <xf numFmtId="0" fontId="19" fillId="2" borderId="4" xfId="0" applyFont="1" applyFill="1" applyBorder="1" applyAlignment="1">
      <alignment horizontal="left" vertical="top" wrapText="1" indent="2"/>
    </xf>
    <xf numFmtId="0" fontId="19" fillId="2" borderId="9" xfId="0" applyFont="1" applyFill="1" applyBorder="1" applyAlignment="1">
      <alignment horizontal="left" vertical="top" wrapText="1" indent="2"/>
    </xf>
    <xf numFmtId="0" fontId="19" fillId="6" borderId="59" xfId="0" applyFont="1" applyFill="1" applyBorder="1" applyAlignment="1">
      <alignment horizontal="left" vertical="top" wrapText="1" indent="2"/>
    </xf>
  </cellXfs>
  <cellStyles count="4">
    <cellStyle name="Обычный" xfId="0" builtinId="0"/>
    <cellStyle name="Обычный 2" xfId="3" xr:uid="{00000000-0005-0000-0000-000001000000}"/>
    <cellStyle name="Обычный_список 2024г (3)" xfId="1" xr:uid="{00000000-0005-0000-0000-000002000000}"/>
    <cellStyle name="Обычный_список 2024г (3)_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86;&#1090;&#1095;&#1077;&#1090;&#1099;%20&#1076;&#1083;&#1103;%20&#1057;&#1053;\&#1074;&#1089;&#1103;&#1082;&#1080;&#1077;\10,26\27,10,26%20&#1076;&#1077;&#1092;&#1080;&#1094;&#1080;&#1090;%20&#1054;&#1089;&#1090;&#1072;&#1085;&#1082;&#1080;&#1085;&#1086;\&#1085;&#1077;&#1076;%20&#1086;&#1089;&#1090;%20&#1041;&#1077;&#1088;&#1076;&#1103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75;&#1088;&#1072;&#1092;&#1080;&#1082;&#1080;\&#1086;&#1090;&#1095;&#1077;&#1090;&#1099;%20&#1076;&#1083;&#1103;%20&#1057;&#1053;\&#1073;&#1088;&#1086;&#1089;&#1090;%20&#1086;&#1089;&#1090;&#1082;%20&#1082;&#1080;%2028,10,26-29,10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Документ.Склад.Подразделение</v>
          </cell>
          <cell r="B5" t="str">
            <v>Недогруз вес</v>
          </cell>
          <cell r="D5" t="str">
            <v>остаток, кг</v>
          </cell>
        </row>
        <row r="6">
          <cell r="A6" t="str">
            <v>Номенклатура</v>
          </cell>
        </row>
        <row r="7">
          <cell r="A7" t="str">
            <v>Партнер</v>
          </cell>
        </row>
        <row r="8">
          <cell r="A8" t="str">
            <v>Загоря Н.И. ИП (пгт.Розовка, ул.Ленина, д.112 а, маг.Шайхан)</v>
          </cell>
          <cell r="B8">
            <v>0.71199999999999997</v>
          </cell>
        </row>
        <row r="9">
          <cell r="A9" t="str">
            <v>ОП Бердянск</v>
          </cell>
          <cell r="B9">
            <v>157.69999999999999</v>
          </cell>
        </row>
        <row r="10">
          <cell r="A10" t="str">
            <v>341 (7) ИП Романенко А.В. Бердянский р-н г.Приморск ул.Шевченко 130 м-н"Овощная Лавка"\+79900246069</v>
          </cell>
          <cell r="B10">
            <v>0.55200000000000005</v>
          </cell>
        </row>
        <row r="11">
          <cell r="A11" t="str">
            <v>Б 719 (7) ИП Степаненко г.Приморск ул. Пушкина 63 маг.Анастасия</v>
          </cell>
          <cell r="B11">
            <v>0.35199999999999998</v>
          </cell>
        </row>
        <row r="12">
          <cell r="A12" t="str">
            <v>Баранов А.А. ИП (с.Конские Раздоры, ул.Мичурина, д.13)</v>
          </cell>
          <cell r="B12">
            <v>0.54</v>
          </cell>
        </row>
        <row r="13">
          <cell r="A13" t="str">
            <v>Тимец А.И. ИП (ул.Морозова, д.3А)</v>
          </cell>
          <cell r="B13">
            <v>0.32</v>
          </cell>
        </row>
        <row r="14">
          <cell r="A14" t="str">
            <v>4063 МЯСНАЯ Папа может вар п/о_Л   ОСТАНКИНО</v>
          </cell>
          <cell r="B14">
            <v>3.9</v>
          </cell>
          <cell r="C14" t="str">
            <v>матрица</v>
          </cell>
          <cell r="D14">
            <v>0</v>
          </cell>
          <cell r="E14" t="str">
            <v>139кг в уценку (21,10,26) / новая отгрузка данного скю с завода 27,10,26</v>
          </cell>
        </row>
        <row r="15">
          <cell r="A15" t="str">
            <v>МЯСО МАРКЕТ ООО (ул.Морская(Мазина), д.17/56, маг.Зеркальный)</v>
          </cell>
          <cell r="B15">
            <v>3.9</v>
          </cell>
          <cell r="C15" t="e">
            <v>#N/A</v>
          </cell>
        </row>
        <row r="16">
          <cell r="A16" t="str">
            <v>95 (11)ИП Прокопов г.Бердянск ул.Пролетарская 206А Меркурий</v>
          </cell>
          <cell r="B16">
            <v>0.9</v>
          </cell>
          <cell r="C16" t="e">
            <v>#N/A</v>
          </cell>
        </row>
        <row r="17">
          <cell r="A17" t="str">
            <v>Баришевский Г.И. ИП (ул.Парковая, д.85)</v>
          </cell>
          <cell r="B17">
            <v>0.6</v>
          </cell>
          <cell r="C17" t="e">
            <v>#N/A</v>
          </cell>
        </row>
        <row r="18">
          <cell r="A18" t="str">
            <v>6168 Блинчики с мясом пл. 1/350 зам. ОСТАНКИНО</v>
          </cell>
          <cell r="B18">
            <v>2.4500000000000002</v>
          </cell>
          <cell r="C18" t="str">
            <v>матрица</v>
          </cell>
          <cell r="D18">
            <v>3.5</v>
          </cell>
          <cell r="E18" t="str">
            <v>рост продаж в 5,2 раза</v>
          </cell>
        </row>
        <row r="19">
          <cell r="A19" t="str">
            <v>101(13) ИП Дудуналова ,г.Бердянск,ул.Победы 43,маг.Катрин,+380666288992</v>
          </cell>
          <cell r="B19">
            <v>0.7</v>
          </cell>
          <cell r="C19" t="e">
            <v>#N/A</v>
          </cell>
        </row>
        <row r="20">
          <cell r="A20" t="str">
            <v>95 (11)ИП Прокопов г.Бердянск ул.Пролетарская 206А Меркурий</v>
          </cell>
          <cell r="B20">
            <v>1.05</v>
          </cell>
          <cell r="C20" t="e">
            <v>#N/A</v>
          </cell>
        </row>
        <row r="21">
          <cell r="A21" t="str">
            <v>Б 338 (7) ИП Мельникова  г.Приморск ул.Вишневая маг Вишневый \ 0992969463</v>
          </cell>
          <cell r="B21">
            <v>0.7</v>
          </cell>
          <cell r="C21" t="e">
            <v>#N/A</v>
          </cell>
        </row>
        <row r="22">
          <cell r="A22" t="str">
            <v>Ганева Е.В. ИП (г.Бердянск, ул.Центральная, д.49)</v>
          </cell>
          <cell r="B22">
            <v>0.75</v>
          </cell>
          <cell r="C22" t="e">
            <v>#N/A</v>
          </cell>
        </row>
        <row r="23">
          <cell r="A23" t="str">
            <v>6303 Мясные Папа может сос п/о мгс 1,5*3  Останкино</v>
          </cell>
          <cell r="B23">
            <v>99.302000000000007</v>
          </cell>
          <cell r="C23" t="str">
            <v>матрица</v>
          </cell>
          <cell r="D23">
            <v>0</v>
          </cell>
          <cell r="E23" t="str">
            <v>рост продаж в 1,8 раза</v>
          </cell>
        </row>
        <row r="24">
          <cell r="A24" t="str">
            <v>1721 (13) ИП Встреча г.Бердянск ул.Приморская 2 кафе Встреча тел+79900257217</v>
          </cell>
          <cell r="B24">
            <v>15</v>
          </cell>
          <cell r="C24" t="e">
            <v>#N/A</v>
          </cell>
        </row>
        <row r="25">
          <cell r="A25" t="str">
            <v>301(11)ИП Шаповалов Т.М. г.Бердянск. ул.Петровский Путь 63 А  +79900240972 Денис</v>
          </cell>
          <cell r="B25">
            <v>73.302000000000007</v>
          </cell>
          <cell r="C25" t="e">
            <v>#N/A</v>
          </cell>
        </row>
        <row r="26">
          <cell r="A26" t="str">
            <v>Загубин М.Г. ИП (г.Бердянск, ул.Дачная, д.72, маг.Чайка)</v>
          </cell>
          <cell r="B26">
            <v>3</v>
          </cell>
          <cell r="C26" t="e">
            <v>#N/A</v>
          </cell>
        </row>
        <row r="27">
          <cell r="A27" t="str">
            <v>М-ТРЕЙД ООО (ул.Центральная, д.29, маг.Грация)</v>
          </cell>
          <cell r="B27">
            <v>5</v>
          </cell>
          <cell r="C27" t="e">
            <v>#N/A</v>
          </cell>
        </row>
        <row r="28">
          <cell r="A28" t="str">
            <v>Шевелева Н.Л. ИП (ул.Греческая, д.86)</v>
          </cell>
          <cell r="B28">
            <v>1.5</v>
          </cell>
          <cell r="C28" t="e">
            <v>#N/A</v>
          </cell>
        </row>
        <row r="29">
          <cell r="A29" t="str">
            <v>Шепель В.Я. ИП (г.Пологи, ул.Восточная, д.15 А)</v>
          </cell>
          <cell r="B29">
            <v>1.5</v>
          </cell>
          <cell r="C29" t="e">
            <v>#N/A</v>
          </cell>
        </row>
        <row r="30">
          <cell r="A30" t="str">
            <v>Ганева Е.В. ИП (г.Бердянск, ул.Центральная, д.49)</v>
          </cell>
          <cell r="B30">
            <v>0.5</v>
          </cell>
          <cell r="C30" t="e">
            <v>#N/A</v>
          </cell>
        </row>
        <row r="31">
          <cell r="A31" t="str">
            <v>6475 Сосиски Папа может 400г С сыром  ОСТАНКИНО</v>
          </cell>
          <cell r="B31">
            <v>4</v>
          </cell>
          <cell r="C31" t="str">
            <v>не в матрице</v>
          </cell>
        </row>
        <row r="32">
          <cell r="A32" t="str">
            <v>175(13) ИП Яцук Я.П  г Бердянск ул Центральная 3 " Карамелька" \ +79900280940 Наталья</v>
          </cell>
          <cell r="B32">
            <v>0.4</v>
          </cell>
          <cell r="C32" t="e">
            <v>#N/A</v>
          </cell>
        </row>
        <row r="33">
          <cell r="A33" t="str">
            <v>263(11) ИП Ткаченко И.К.Запорожская обл.,г.Бердянск, ул.Ленина,д. 2 маг."Зоря"</v>
          </cell>
          <cell r="B33">
            <v>0.4</v>
          </cell>
          <cell r="C33" t="e">
            <v>#N/A</v>
          </cell>
        </row>
        <row r="34">
          <cell r="A34" t="str">
            <v>295 (13)ИП Черемисина Л.А.,г.Бердянск,ул.Карла Маркса 11/12,(бывший бар Артём)+79900233051</v>
          </cell>
          <cell r="B34">
            <v>0.4</v>
          </cell>
          <cell r="C34" t="e">
            <v>#N/A</v>
          </cell>
        </row>
        <row r="35">
          <cell r="A35" t="str">
            <v>493 (18) ИП Николаенко О.А г.Пологи ул. Магистральная 125 (б) маг.Лидер тел +79900890322</v>
          </cell>
          <cell r="B35">
            <v>0.4</v>
          </cell>
          <cell r="C35" t="e">
            <v>#N/A</v>
          </cell>
        </row>
        <row r="36">
          <cell r="A36" t="str">
            <v>Ганева Е.В. ИП (г.Бердянск, ул.Центральная, д.49)</v>
          </cell>
          <cell r="B36">
            <v>2.4</v>
          </cell>
          <cell r="C36" t="e">
            <v>#N/A</v>
          </cell>
        </row>
        <row r="37">
          <cell r="A37" t="str">
            <v>Годин И.А. ИП (ул.Потийская, д.3А)</v>
          </cell>
          <cell r="B37">
            <v>0.35</v>
          </cell>
          <cell r="C37" t="e">
            <v>#N/A</v>
          </cell>
        </row>
        <row r="38">
          <cell r="A38" t="str">
            <v>7231 КЛАССИЧЕСКАЯ ПМ вар п/о 0,3кг 8 шт_209к  Останкино</v>
          </cell>
          <cell r="B38">
            <v>3.6</v>
          </cell>
          <cell r="C38" t="str">
            <v>матрица</v>
          </cell>
          <cell r="D38">
            <v>0</v>
          </cell>
          <cell r="E38" t="str">
            <v>рост продаж в 2,7 раза</v>
          </cell>
        </row>
        <row r="39">
          <cell r="A39" t="str">
            <v>101(13) ИП Дудуналова ,г.Бердянск,ул.Победы 43,маг.Катрин,+380666288992</v>
          </cell>
          <cell r="B39">
            <v>0.3</v>
          </cell>
          <cell r="C39" t="e">
            <v>#N/A</v>
          </cell>
          <cell r="D39" t="e">
            <v>#N/A</v>
          </cell>
        </row>
        <row r="40">
          <cell r="A40" t="str">
            <v>263(11) ИП Ткаченко И.К.Запорожская обл.,г.Бердянск, ул.Ленина,д. 2 маг."Зоря"</v>
          </cell>
          <cell r="B40">
            <v>0.3</v>
          </cell>
          <cell r="C40" t="e">
            <v>#N/A</v>
          </cell>
          <cell r="D40" t="e">
            <v>#N/A</v>
          </cell>
        </row>
        <row r="41">
          <cell r="A41" t="str">
            <v>265(22) ИП Дячук,Е,С, г.Бердянск ул.Военный городок 10 А "Городок"</v>
          </cell>
          <cell r="B41">
            <v>0.6</v>
          </cell>
          <cell r="C41" t="e">
            <v>#N/A</v>
          </cell>
          <cell r="D41" t="e">
            <v>#N/A</v>
          </cell>
        </row>
        <row r="42">
          <cell r="A42" t="str">
            <v>60(11)ИП Даниленко О.В. г Бердянск ул Труда 34 А " Санта Мария"\ 79900291582 Татьяна</v>
          </cell>
          <cell r="B42">
            <v>0.3</v>
          </cell>
          <cell r="C42" t="e">
            <v>#N/A</v>
          </cell>
          <cell r="D42" t="e">
            <v>#N/A</v>
          </cell>
        </row>
        <row r="43">
          <cell r="A43" t="str">
            <v>Демеха Е.Н. ИП (г.Бердянск, ул.Пролетарская, д.94, маг.Сосед)</v>
          </cell>
          <cell r="B43">
            <v>0.3</v>
          </cell>
          <cell r="C43" t="e">
            <v>#N/A</v>
          </cell>
          <cell r="D43" t="e">
            <v>#N/A</v>
          </cell>
        </row>
        <row r="44">
          <cell r="A44" t="str">
            <v>Перкова А.И. ИП (г.Бердянск, пр.Западный, д.4, 9 линия, синий ролет)</v>
          </cell>
          <cell r="B44">
            <v>0.6</v>
          </cell>
          <cell r="C44" t="e">
            <v>#N/A</v>
          </cell>
          <cell r="D44" t="e">
            <v>#N/A</v>
          </cell>
        </row>
        <row r="45">
          <cell r="A45" t="str">
            <v>ТАНДЕМ ЮГ ООО (ул.Химиков, д.6)</v>
          </cell>
          <cell r="B45">
            <v>0.6</v>
          </cell>
          <cell r="C45" t="e">
            <v>#N/A</v>
          </cell>
          <cell r="D45" t="e">
            <v>#N/A</v>
          </cell>
        </row>
        <row r="46">
          <cell r="A46" t="str">
            <v>Туз Л.А. ИП (г.Бердянск, б-р Гайдара, д.10В)</v>
          </cell>
          <cell r="B46">
            <v>0.3</v>
          </cell>
          <cell r="C46" t="e">
            <v>#N/A</v>
          </cell>
          <cell r="D46" t="e">
            <v>#N/A</v>
          </cell>
        </row>
        <row r="47">
          <cell r="A47" t="str">
            <v>Шевелева Н.Л. ИП (ул.Греческая, д.86)</v>
          </cell>
          <cell r="B47">
            <v>0.3</v>
          </cell>
          <cell r="C47" t="e">
            <v>#N/A</v>
          </cell>
          <cell r="D47" t="e">
            <v>#N/A</v>
          </cell>
        </row>
        <row r="48">
          <cell r="A48" t="str">
            <v>7232 БОЯNСКАЯ ПМ п/к в/у 0,28кг 8шт_209к  Останкино</v>
          </cell>
          <cell r="B48">
            <v>12.6</v>
          </cell>
          <cell r="C48" t="str">
            <v>матрица</v>
          </cell>
          <cell r="D48">
            <v>0.56000000000000005</v>
          </cell>
          <cell r="E48" t="str">
            <v>рост продаж в 5,5 раза</v>
          </cell>
        </row>
        <row r="49">
          <cell r="A49" t="str">
            <v>101(13) ИП Дудуналова ,г.Бердянск,ул.Победы 43,маг.Катрин,+380666288992</v>
          </cell>
          <cell r="B49">
            <v>0.28000000000000003</v>
          </cell>
          <cell r="C49" t="e">
            <v>#N/A</v>
          </cell>
          <cell r="D49" t="e">
            <v>#N/A</v>
          </cell>
        </row>
        <row r="50">
          <cell r="A50" t="str">
            <v>175(13) ИП Яцук Я.П  г Бердянск ул Центральная 3 " Карамелька" \ +79900280940 Наталья</v>
          </cell>
          <cell r="B50">
            <v>0.28000000000000003</v>
          </cell>
          <cell r="C50" t="e">
            <v>#N/A</v>
          </cell>
          <cell r="D50" t="e">
            <v>#N/A</v>
          </cell>
        </row>
        <row r="51">
          <cell r="A51" t="str">
            <v>265(22) ИП Дячук,Е,С, г.Бердянск ул.Военный городок 10 А "Городок"</v>
          </cell>
          <cell r="B51">
            <v>0.28000000000000003</v>
          </cell>
          <cell r="C51" t="e">
            <v>#N/A</v>
          </cell>
          <cell r="D51" t="e">
            <v>#N/A</v>
          </cell>
        </row>
        <row r="52">
          <cell r="A52" t="str">
            <v>324 (7) ИП Курцев О.Н г.Приморск  ул.Пушкина 70 маг. Рыбалка) тел 79900245350</v>
          </cell>
          <cell r="B52">
            <v>0.28000000000000003</v>
          </cell>
          <cell r="C52" t="e">
            <v>#N/A</v>
          </cell>
          <cell r="D52" t="e">
            <v>#N/A</v>
          </cell>
        </row>
        <row r="53">
          <cell r="A53" t="str">
            <v>341 (7) ИП Романенко А.В. Бердянский р-н г.Приморск ул.Шевченко 130 м-н"Овощная Лавка"\+79900246069</v>
          </cell>
          <cell r="B53">
            <v>0.84</v>
          </cell>
          <cell r="C53" t="e">
            <v>#N/A</v>
          </cell>
          <cell r="D53" t="e">
            <v>#N/A</v>
          </cell>
        </row>
        <row r="54">
          <cell r="A54" t="str">
            <v>60(11)ИП Даниленко О.В. г Бердянск ул Труда 34 А " Санта Мария"\ 79900291582 Татьяна</v>
          </cell>
          <cell r="B54">
            <v>0.28000000000000003</v>
          </cell>
          <cell r="C54" t="e">
            <v>#N/A</v>
          </cell>
          <cell r="D54" t="e">
            <v>#N/A</v>
          </cell>
        </row>
        <row r="55">
          <cell r="A55" t="str">
            <v>63 (12)ИП Дворникова Е.П г Бердянск ул Кирова 60 " Фирменные колбасы" \ 79900085646 Елена</v>
          </cell>
          <cell r="B55">
            <v>0.28000000000000003</v>
          </cell>
          <cell r="C55" t="e">
            <v>#N/A</v>
          </cell>
          <cell r="D55" t="e">
            <v>#N/A</v>
          </cell>
        </row>
        <row r="56">
          <cell r="A56" t="str">
            <v>643 (25) ИП Таиров г. Пологи ул. Горького 15 маг. Петрикивка  тел +79900236265 (до 16,00)</v>
          </cell>
          <cell r="B56">
            <v>0.84</v>
          </cell>
          <cell r="C56" t="e">
            <v>#N/A</v>
          </cell>
          <cell r="D56" t="e">
            <v>#N/A</v>
          </cell>
        </row>
        <row r="57">
          <cell r="A57" t="str">
            <v>75(12)ИП Грибова Е.Т г Бердянск ул Орджоникидзе 95А "  Азовец" \ 79900274310 Елена</v>
          </cell>
          <cell r="B57">
            <v>0.56000000000000005</v>
          </cell>
          <cell r="C57" t="e">
            <v>#N/A</v>
          </cell>
          <cell r="D57" t="e">
            <v>#N/A</v>
          </cell>
        </row>
        <row r="58">
          <cell r="A58" t="str">
            <v>Б 28 (12)ИП Братенькова Л.В г.Бердянск ул.Европейская 54 маг.Зирочка 1\ 79900575605 Виталий</v>
          </cell>
          <cell r="B58">
            <v>1.1200000000000001</v>
          </cell>
          <cell r="C58" t="e">
            <v>#N/A</v>
          </cell>
          <cell r="D58" t="e">
            <v>#N/A</v>
          </cell>
        </row>
        <row r="59">
          <cell r="A59" t="str">
            <v>Б 326 (7) ИП Быблин Приморск ул.Навицкого 52 маг Покупайка \ 79900251156</v>
          </cell>
          <cell r="B59">
            <v>0.28000000000000003</v>
          </cell>
          <cell r="C59" t="e">
            <v>#N/A</v>
          </cell>
          <cell r="D59" t="e">
            <v>#N/A</v>
          </cell>
        </row>
        <row r="60">
          <cell r="A60" t="str">
            <v>Б 338 (7) ИП Мельникова  г.Приморск ул.Вишневая маг Вишневый \ 0992969463</v>
          </cell>
          <cell r="B60">
            <v>0.28000000000000003</v>
          </cell>
          <cell r="C60" t="e">
            <v>#N/A</v>
          </cell>
          <cell r="D60" t="e">
            <v>#N/A</v>
          </cell>
        </row>
        <row r="61">
          <cell r="A61" t="str">
            <v>Б 357 (7) ИП Жилякова г Приморск ул Крылова 78 " Любимчик" \ 79900458136</v>
          </cell>
          <cell r="B61">
            <v>0.28000000000000003</v>
          </cell>
          <cell r="C61" t="e">
            <v>#N/A</v>
          </cell>
          <cell r="D61" t="e">
            <v>#N/A</v>
          </cell>
        </row>
        <row r="62">
          <cell r="A62" t="str">
            <v>Б 719 (7) ИП Степаненко г.Приморск ул. Пушкина 63 маг.Анастасия</v>
          </cell>
          <cell r="B62">
            <v>0.28000000000000003</v>
          </cell>
          <cell r="C62" t="e">
            <v>#N/A</v>
          </cell>
          <cell r="D62" t="e">
            <v>#N/A</v>
          </cell>
        </row>
        <row r="63">
          <cell r="A63" t="str">
            <v>Виноградов Г.Н. ИП (ул.Северная, д.1 Г)</v>
          </cell>
          <cell r="B63">
            <v>0.28000000000000003</v>
          </cell>
          <cell r="C63" t="e">
            <v>#N/A</v>
          </cell>
          <cell r="D63" t="e">
            <v>#N/A</v>
          </cell>
        </row>
        <row r="64">
          <cell r="A64" t="str">
            <v>Ганева Е.В. ИП (г.Бердянск, ул.Центральная, д.49)</v>
          </cell>
          <cell r="B64">
            <v>1.1200000000000001</v>
          </cell>
          <cell r="C64" t="e">
            <v>#N/A</v>
          </cell>
          <cell r="D64" t="e">
            <v>#N/A</v>
          </cell>
        </row>
        <row r="65">
          <cell r="A65" t="str">
            <v>Годин И.А. ИП (ул.Потийская, д.3А)</v>
          </cell>
          <cell r="B65">
            <v>0.28000000000000003</v>
          </cell>
          <cell r="C65" t="e">
            <v>#N/A</v>
          </cell>
          <cell r="D65" t="e">
            <v>#N/A</v>
          </cell>
        </row>
        <row r="66">
          <cell r="A66" t="str">
            <v>Демеха Е.Н. ИП (г.Бердянск, ул.Пролетарская, д.94, маг.Сосед)</v>
          </cell>
          <cell r="B66">
            <v>0.28000000000000003</v>
          </cell>
          <cell r="C66" t="e">
            <v>#N/A</v>
          </cell>
          <cell r="D66" t="e">
            <v>#N/A</v>
          </cell>
        </row>
        <row r="67">
          <cell r="A67" t="str">
            <v>Маркова О.С. ИП (ул. Морская, д. 54 м-н "Калина")</v>
          </cell>
          <cell r="B67">
            <v>1.4</v>
          </cell>
          <cell r="C67" t="e">
            <v>#N/A</v>
          </cell>
          <cell r="D67" t="e">
            <v>#N/A</v>
          </cell>
        </row>
        <row r="68">
          <cell r="A68" t="str">
            <v>Орлова Ж.Н. ИП (ул.Димитрова/Софиевская, д.99, маг.Копейка)</v>
          </cell>
          <cell r="B68">
            <v>0.28000000000000003</v>
          </cell>
          <cell r="C68" t="e">
            <v>#N/A</v>
          </cell>
          <cell r="D68" t="e">
            <v>#N/A</v>
          </cell>
        </row>
        <row r="69">
          <cell r="A69" t="str">
            <v>Перкова А.И. ИП (г.Бердянск, пр.Западный, д.4, 9 линия, синий ролет)</v>
          </cell>
          <cell r="B69">
            <v>0.56000000000000005</v>
          </cell>
          <cell r="C69" t="e">
            <v>#N/A</v>
          </cell>
          <cell r="D69" t="e">
            <v>#N/A</v>
          </cell>
        </row>
        <row r="70">
          <cell r="A70" t="str">
            <v>Попий С.Г. ИП (ул.Центральная, д.21)</v>
          </cell>
          <cell r="B70">
            <v>0.56000000000000005</v>
          </cell>
          <cell r="C70" t="e">
            <v>#N/A</v>
          </cell>
          <cell r="D70" t="e">
            <v>#N/A</v>
          </cell>
        </row>
        <row r="71">
          <cell r="A71" t="str">
            <v>ТАНДЕМ ЮГ ООО (ул.Химиков, д.6)</v>
          </cell>
          <cell r="B71">
            <v>0.56000000000000005</v>
          </cell>
          <cell r="C71" t="e">
            <v>#N/A</v>
          </cell>
          <cell r="D71" t="e">
            <v>#N/A</v>
          </cell>
        </row>
        <row r="72">
          <cell r="A72" t="str">
            <v>Тимец А.И. ИП (ул.Морозова, д.3А)</v>
          </cell>
          <cell r="B72">
            <v>0.84</v>
          </cell>
          <cell r="C72" t="e">
            <v>#N/A</v>
          </cell>
          <cell r="D72" t="e">
            <v>#N/A</v>
          </cell>
        </row>
        <row r="73">
          <cell r="A73" t="str">
            <v>Шевелева Н.Л. ИП (ул.Греческая, д.86)</v>
          </cell>
          <cell r="B73">
            <v>0.28000000000000003</v>
          </cell>
          <cell r="C73" t="e">
            <v>#N/A</v>
          </cell>
          <cell r="D73" t="e">
            <v>#N/A</v>
          </cell>
        </row>
        <row r="74">
          <cell r="A74" t="str">
            <v>Годин И.А. ИП (ул.Потийская, д.3А)</v>
          </cell>
          <cell r="B74">
            <v>0.28000000000000003</v>
          </cell>
          <cell r="C74" t="e">
            <v>#N/A</v>
          </cell>
          <cell r="D74" t="e">
            <v>#N/A</v>
          </cell>
        </row>
        <row r="75">
          <cell r="A75" t="str">
            <v>7255 МЯСНЫЕ С ГОВЯД.ПМ сос п/о мгс 0.4кг 6шт.  ОСТАНКИНО</v>
          </cell>
          <cell r="B75">
            <v>10.8</v>
          </cell>
          <cell r="C75" t="str">
            <v>матрица</v>
          </cell>
          <cell r="D75">
            <v>3.2</v>
          </cell>
          <cell r="E75" t="str">
            <v>рост продаж в 2,2 раза</v>
          </cell>
        </row>
        <row r="76">
          <cell r="A76" t="str">
            <v>173(11) ИП Масло Ю.Л.,г.Бердянск,ул. 12 Декабря 4б,маг. 555(район автовокзал),+7990</v>
          </cell>
          <cell r="B76">
            <v>1.2</v>
          </cell>
          <cell r="C76" t="e">
            <v>#N/A</v>
          </cell>
          <cell r="D76" t="e">
            <v>#N/A</v>
          </cell>
        </row>
        <row r="77">
          <cell r="A77" t="str">
            <v>1967 (12) ИП Мамонтова И.Ф.Запорожская обл.,г.Бердянск,ул.Северная,15 Б ,пав№67 маг."Водолей"</v>
          </cell>
          <cell r="B77">
            <v>0.8</v>
          </cell>
          <cell r="C77" t="e">
            <v>#N/A</v>
          </cell>
          <cell r="D77" t="e">
            <v>#N/A</v>
          </cell>
        </row>
        <row r="78">
          <cell r="A78" t="str">
            <v>216(11) ИП Перелыгина С.Л.,г.Бердянск,проспект Восточный 139,маг.Фрегат, +7990</v>
          </cell>
          <cell r="B78">
            <v>0.4</v>
          </cell>
          <cell r="C78" t="e">
            <v>#N/A</v>
          </cell>
          <cell r="D78" t="e">
            <v>#N/A</v>
          </cell>
        </row>
        <row r="79">
          <cell r="A79" t="str">
            <v>254(12) ИП Суббота г Бердянск ул Кирова 52в\ +79900237965 Алла</v>
          </cell>
          <cell r="B79">
            <v>0.4</v>
          </cell>
          <cell r="C79" t="e">
            <v>#N/A</v>
          </cell>
          <cell r="D79" t="e">
            <v>#N/A</v>
          </cell>
        </row>
        <row r="80">
          <cell r="A80" t="str">
            <v>346 (12) ИП Ткаченко  г Бердянск ул Гайдара 7</v>
          </cell>
          <cell r="B80">
            <v>0.4</v>
          </cell>
          <cell r="C80" t="e">
            <v>#N/A</v>
          </cell>
          <cell r="D80" t="e">
            <v>#N/A</v>
          </cell>
        </row>
        <row r="81">
          <cell r="A81" t="str">
            <v>60(11)ИП Даниленко О.В. г Бердянск ул Труда 34 А " Санта Мария"\ 79900291582 Татьяна</v>
          </cell>
          <cell r="B81">
            <v>0.8</v>
          </cell>
          <cell r="C81" t="e">
            <v>#N/A</v>
          </cell>
          <cell r="D81" t="e">
            <v>#N/A</v>
          </cell>
        </row>
        <row r="82">
          <cell r="A82" t="str">
            <v>713 (12) ИП Доронин Д.А.г.Бердянск ул.Пионерская 57 А маг.Лев +79900234635</v>
          </cell>
          <cell r="B82">
            <v>0.4</v>
          </cell>
          <cell r="C82" t="e">
            <v>#N/A</v>
          </cell>
          <cell r="D82" t="e">
            <v>#N/A</v>
          </cell>
        </row>
        <row r="83">
          <cell r="A83" t="str">
            <v>95 (11)ИП Прокопов г.Бердянск ул.Пролетарская 206А Меркурий</v>
          </cell>
          <cell r="B83">
            <v>0.8</v>
          </cell>
          <cell r="C83" t="e">
            <v>#N/A</v>
          </cell>
          <cell r="D83" t="e">
            <v>#N/A</v>
          </cell>
        </row>
        <row r="84">
          <cell r="A84" t="str">
            <v>96 (11) ИП Прокопов И.Н.г.Бердянск ул.Юбилейная 27А маг.Меркурий</v>
          </cell>
          <cell r="B84">
            <v>0.4</v>
          </cell>
          <cell r="C84" t="e">
            <v>#N/A</v>
          </cell>
          <cell r="D84" t="e">
            <v>#N/A</v>
          </cell>
        </row>
        <row r="85">
          <cell r="A85" t="str">
            <v>Ганева Е.В. ИП (г.Бердянск, ул.Центральная, д.49)</v>
          </cell>
          <cell r="B85">
            <v>2.4</v>
          </cell>
          <cell r="C85" t="e">
            <v>#N/A</v>
          </cell>
          <cell r="D85" t="e">
            <v>#N/A</v>
          </cell>
        </row>
        <row r="86">
          <cell r="A86" t="str">
            <v>Демеха Е.Н. ИП (г.Бердянск, ул.Пролетарская, д.94, маг.Сосед)</v>
          </cell>
          <cell r="B86">
            <v>0.4</v>
          </cell>
          <cell r="C86" t="e">
            <v>#N/A</v>
          </cell>
          <cell r="D86" t="e">
            <v>#N/A</v>
          </cell>
        </row>
        <row r="87">
          <cell r="A87" t="str">
            <v>Перкова А.И. ИП (г.Бердянск, пр.Западный, д.4, 9 линия, синий ролет)</v>
          </cell>
          <cell r="B87">
            <v>0.8</v>
          </cell>
          <cell r="C87" t="e">
            <v>#N/A</v>
          </cell>
          <cell r="D87" t="e">
            <v>#N/A</v>
          </cell>
        </row>
        <row r="88">
          <cell r="A88" t="str">
            <v>Тимец А.И. ИП (ул.Морозова, д.3А)</v>
          </cell>
          <cell r="B88">
            <v>0.8</v>
          </cell>
          <cell r="C88" t="e">
            <v>#N/A</v>
          </cell>
          <cell r="D88" t="e">
            <v>#N/A</v>
          </cell>
        </row>
        <row r="89">
          <cell r="A89" t="str">
            <v>Туз Л.А. ИП (г.Бердянск, б-р Гайдара, д.10В)</v>
          </cell>
          <cell r="B89">
            <v>0.4</v>
          </cell>
          <cell r="C89" t="e">
            <v>#N/A</v>
          </cell>
          <cell r="D89" t="e">
            <v>#N/A</v>
          </cell>
        </row>
        <row r="90">
          <cell r="A90" t="str">
            <v>Шевелева Н.Л. ИП (ул.Греческая, д.86)</v>
          </cell>
          <cell r="B90">
            <v>0.4</v>
          </cell>
          <cell r="C90" t="e">
            <v>#N/A</v>
          </cell>
          <cell r="D90" t="e">
            <v>#N/A</v>
          </cell>
        </row>
        <row r="91">
          <cell r="A91" t="str">
            <v>Годин И.А. ИП (ул.Потийская, д.3А)</v>
          </cell>
          <cell r="B91">
            <v>0.66</v>
          </cell>
          <cell r="C91" t="e">
            <v>#N/A</v>
          </cell>
          <cell r="D91" t="e">
            <v>#N/A</v>
          </cell>
        </row>
        <row r="92">
          <cell r="A92" t="str">
            <v>7485 РИЕТ МЯСНОЙ С ГРИБАМИ ПМ п/о 1/150  ОСТАНКИНО</v>
          </cell>
          <cell r="B92">
            <v>3.9</v>
          </cell>
          <cell r="C92" t="str">
            <v>матрица</v>
          </cell>
          <cell r="D92">
            <v>0</v>
          </cell>
          <cell r="E92" t="str">
            <v>рост продаж в 5,3 раза</v>
          </cell>
        </row>
        <row r="93">
          <cell r="A93" t="str">
            <v>2066 (18) Домбровская Л.И. Запорожская обл.Пологовский р-н,с .Пологи ул.Сигнальна 55.маг" Лидер"</v>
          </cell>
          <cell r="B93">
            <v>0.45</v>
          </cell>
          <cell r="C93" t="e">
            <v>#N/A</v>
          </cell>
          <cell r="D93" t="e">
            <v>#N/A</v>
          </cell>
        </row>
        <row r="94">
          <cell r="A94" t="str">
            <v>265(22) ИП Дячук,Е,С, г.Бердянск ул.Военный городок 10 А "Городок"</v>
          </cell>
          <cell r="B94">
            <v>0.45</v>
          </cell>
          <cell r="C94" t="e">
            <v>#N/A</v>
          </cell>
          <cell r="D94" t="e">
            <v>#N/A</v>
          </cell>
        </row>
        <row r="95">
          <cell r="A95" t="str">
            <v>324 (7) ИП Курцев О.Н г.Приморск  ул.Пушкина 70 маг. Рыбалка) тел 79900245350</v>
          </cell>
          <cell r="B95">
            <v>0.15</v>
          </cell>
          <cell r="C95" t="e">
            <v>#N/A</v>
          </cell>
          <cell r="D95" t="e">
            <v>#N/A</v>
          </cell>
        </row>
        <row r="96">
          <cell r="A96" t="str">
            <v>Ганева Е.В. ИП (г.Бердянск, ул.Центральная, д.49)</v>
          </cell>
          <cell r="B96">
            <v>2.25</v>
          </cell>
          <cell r="C96" t="e">
            <v>#N/A</v>
          </cell>
          <cell r="D96" t="e">
            <v>#N/A</v>
          </cell>
        </row>
        <row r="97">
          <cell r="A97" t="str">
            <v>Сычёва Э.А. ИП (г.Приморск, ул.Морская, д.60)</v>
          </cell>
          <cell r="B97">
            <v>0.15</v>
          </cell>
          <cell r="C97" t="e">
            <v>#N/A</v>
          </cell>
          <cell r="D97" t="e">
            <v>#N/A</v>
          </cell>
        </row>
        <row r="98">
          <cell r="A98" t="str">
            <v>Тимец А.И. ИП (ул.Морозова, д.3А)</v>
          </cell>
          <cell r="B98">
            <v>0.45</v>
          </cell>
          <cell r="C98" t="e">
            <v>#N/A</v>
          </cell>
          <cell r="D98" t="e">
            <v>#N/A</v>
          </cell>
        </row>
        <row r="99">
          <cell r="A99" t="str">
            <v>749 (25) ИП Перебейнос А.А г.Пологи ул.Горького 15А маг.Вкусно Сытно +79900709468</v>
          </cell>
          <cell r="B99">
            <v>0.56000000000000005</v>
          </cell>
          <cell r="C99" t="e">
            <v>#N/A</v>
          </cell>
          <cell r="D99" t="e">
            <v>#N/A</v>
          </cell>
        </row>
        <row r="100">
          <cell r="A100" t="str">
            <v>Ганева Е.В. ИП (г.Бердянск, ул.Центральная, д.49)</v>
          </cell>
          <cell r="B100">
            <v>1.4</v>
          </cell>
          <cell r="C100" t="e">
            <v>#N/A</v>
          </cell>
          <cell r="D100" t="e">
            <v>#N/A</v>
          </cell>
        </row>
        <row r="101">
          <cell r="A101" t="str">
            <v>7490 СОЧНЫЙ ГРИЛЬ сос ц/о мгс 0.41кг_Даблпак  ОСТАНКИНО</v>
          </cell>
          <cell r="B101">
            <v>13.94</v>
          </cell>
          <cell r="C101" t="str">
            <v>матрица</v>
          </cell>
          <cell r="D101">
            <v>3.28</v>
          </cell>
          <cell r="E101" t="str">
            <v>рост продаж в 6,8 раза</v>
          </cell>
        </row>
        <row r="102">
          <cell r="A102" t="str">
            <v>101(13) ИП Дудуналова ,г.Бердянск,ул.Победы 43,маг.Катрин,+380666288992</v>
          </cell>
          <cell r="B102">
            <v>0.41</v>
          </cell>
          <cell r="C102" t="e">
            <v>#N/A</v>
          </cell>
        </row>
        <row r="103">
          <cell r="A103" t="str">
            <v>139(12) ИП Пенкин О.В,г.Бердянск,ул.Софиевская 4,маг.Чайка,+79900449809</v>
          </cell>
          <cell r="B103">
            <v>0.41</v>
          </cell>
          <cell r="C103" t="e">
            <v>#N/A</v>
          </cell>
        </row>
        <row r="104">
          <cell r="A104" t="str">
            <v>1967 (12) ИП Мамонтова И.Ф.Запорожская обл.,г.Бердянск,ул.Северная,15 Б ,пав№67 маг."Водолей"</v>
          </cell>
          <cell r="B104">
            <v>0.82</v>
          </cell>
          <cell r="C104" t="e">
            <v>#N/A</v>
          </cell>
        </row>
        <row r="105">
          <cell r="A105" t="str">
            <v>216(11) ИП Перелыгина С.Л.,г.Бердянск,проспект Восточный 139,маг.Фрегат, +7990</v>
          </cell>
          <cell r="B105">
            <v>0.41</v>
          </cell>
          <cell r="C105" t="e">
            <v>#N/A</v>
          </cell>
        </row>
        <row r="106">
          <cell r="A106" t="str">
            <v>254(12) ИП Суббота г Бердянск ул Кирова 52в\ +79900237965 Алла</v>
          </cell>
          <cell r="B106">
            <v>0.41</v>
          </cell>
          <cell r="C106" t="e">
            <v>#N/A</v>
          </cell>
        </row>
        <row r="107">
          <cell r="A107" t="str">
            <v>263(11) ИП Ткаченко И.К.Запорожская обл.,г.Бердянск, ул.Ленина,д. 2 маг."Зоря"</v>
          </cell>
          <cell r="B107">
            <v>0.41</v>
          </cell>
          <cell r="C107" t="e">
            <v>#N/A</v>
          </cell>
        </row>
        <row r="108">
          <cell r="A108" t="str">
            <v>265(22) ИП Дячук,Е,С, г.Бердянск ул.Военный городок 10 А "Городок"</v>
          </cell>
          <cell r="B108">
            <v>0.41</v>
          </cell>
          <cell r="C108" t="e">
            <v>#N/A</v>
          </cell>
        </row>
        <row r="109">
          <cell r="A109" t="str">
            <v>295 (13)ИП Черемисина Л.А.,г.Бердянск,ул.Карла Маркса 11/12,(бывший бар Артём)+79900233051</v>
          </cell>
          <cell r="B109">
            <v>0.41</v>
          </cell>
          <cell r="C109" t="e">
            <v>#N/A</v>
          </cell>
        </row>
        <row r="110">
          <cell r="A110" t="str">
            <v>346 (12) ИП Ткаченко  г Бердянск ул Гайдара 7</v>
          </cell>
          <cell r="B110">
            <v>0.41</v>
          </cell>
          <cell r="C110" t="e">
            <v>#N/A</v>
          </cell>
        </row>
        <row r="111">
          <cell r="A111" t="str">
            <v>466 (25)ИП Шевченко А.С г.Пологи ул.Ломоносова 30 маг.Визит тел+79900583994</v>
          </cell>
          <cell r="B111">
            <v>0.41</v>
          </cell>
          <cell r="C111" t="e">
            <v>#N/A</v>
          </cell>
        </row>
        <row r="112">
          <cell r="A112" t="str">
            <v>60(11)ИП Даниленко О.В. г Бердянск ул Труда 34 А " Санта Мария"\ 79900291582 Татьяна</v>
          </cell>
          <cell r="B112">
            <v>0.82</v>
          </cell>
          <cell r="C112" t="e">
            <v>#N/A</v>
          </cell>
        </row>
        <row r="113">
          <cell r="A113" t="str">
            <v>713 (12) ИП Доронин Д.А.г.Бердянск ул.Пионерская 57 А маг.Лев +79900234635</v>
          </cell>
          <cell r="B113">
            <v>0.41</v>
          </cell>
          <cell r="C113" t="e">
            <v>#N/A</v>
          </cell>
        </row>
        <row r="114">
          <cell r="A114" t="str">
            <v>95 (11)ИП Прокопов г.Бердянск ул.Пролетарская 206А Меркурий</v>
          </cell>
          <cell r="B114">
            <v>0.82</v>
          </cell>
          <cell r="C114" t="e">
            <v>#N/A</v>
          </cell>
        </row>
        <row r="115">
          <cell r="A115" t="str">
            <v>96 (11) ИП Прокопов И.Н.г.Бердянск ул.Юбилейная 27А маг.Меркурий</v>
          </cell>
          <cell r="B115">
            <v>0.41</v>
          </cell>
          <cell r="C115" t="e">
            <v>#N/A</v>
          </cell>
        </row>
        <row r="116">
          <cell r="A116" t="str">
            <v>Виноградов Г.Н. ИП (ул.Северная, д.1 Г)</v>
          </cell>
          <cell r="B116">
            <v>0.41</v>
          </cell>
          <cell r="C116" t="e">
            <v>#N/A</v>
          </cell>
        </row>
        <row r="117">
          <cell r="A117" t="str">
            <v>Ганева Е.В. ИП (г.Бердянск, ул.Центральная, д.49)</v>
          </cell>
          <cell r="B117">
            <v>3.28</v>
          </cell>
          <cell r="C117" t="e">
            <v>#N/A</v>
          </cell>
        </row>
        <row r="118">
          <cell r="A118" t="str">
            <v>Демеха Е.Н. ИП (г.Бердянск, ул.Пролетарская, д.94, маг.Сосед)</v>
          </cell>
          <cell r="B118">
            <v>0.41</v>
          </cell>
          <cell r="C118" t="e">
            <v>#N/A</v>
          </cell>
        </row>
        <row r="119">
          <cell r="A119" t="str">
            <v>Маркова О.С. ИП (ул. Морская, д. 54 м-н "Калина")</v>
          </cell>
          <cell r="B119">
            <v>0.41</v>
          </cell>
          <cell r="C119" t="e">
            <v>#N/A</v>
          </cell>
        </row>
        <row r="120">
          <cell r="A120" t="str">
            <v>Перкова А.И. ИП (г.Бердянск, пр.Западный, д.4, 9 линия, синий ролет)</v>
          </cell>
          <cell r="B120">
            <v>0.82</v>
          </cell>
          <cell r="C120" t="e">
            <v>#N/A</v>
          </cell>
        </row>
        <row r="121">
          <cell r="A121" t="str">
            <v>Тимец А.И. ИП (ул.Морозова, д.3А)</v>
          </cell>
          <cell r="B121">
            <v>0.82</v>
          </cell>
          <cell r="C121" t="e">
            <v>#N/A</v>
          </cell>
        </row>
        <row r="122">
          <cell r="A122" t="str">
            <v>Туз Л.А. ИП (г.Бердянск, б-р Гайдара, д.10В)</v>
          </cell>
          <cell r="B122">
            <v>0.41</v>
          </cell>
          <cell r="C122" t="e">
            <v>#N/A</v>
          </cell>
        </row>
        <row r="123">
          <cell r="A123" t="str">
            <v>Шевелева Н.Л. ИП (ул.Греческая, д.86)</v>
          </cell>
          <cell r="B123">
            <v>0.41</v>
          </cell>
          <cell r="C123" t="e">
            <v>#N/A</v>
          </cell>
        </row>
        <row r="124">
          <cell r="A124" t="str">
            <v>Годин И.А. ИП (ул.Потийская, д.3А)</v>
          </cell>
          <cell r="B124">
            <v>0.3</v>
          </cell>
          <cell r="C124" t="e">
            <v>#N/A</v>
          </cell>
        </row>
        <row r="125">
          <cell r="A125" t="str">
            <v>175(13) ИП Яцук Я.П  г Бердянск ул Центральная 3 " Карамелька" \ +79900280940 Наталья</v>
          </cell>
          <cell r="B125">
            <v>1</v>
          </cell>
          <cell r="C125" t="e">
            <v>#N/A</v>
          </cell>
        </row>
        <row r="126">
          <cell r="A126" t="str">
            <v>Сыр полутвердый "Российский" с массовой долей жира 50%  Останкино</v>
          </cell>
          <cell r="B126">
            <v>3.2</v>
          </cell>
          <cell r="C126" t="str">
            <v>дубль</v>
          </cell>
          <cell r="E126" t="str">
            <v>3323 Сыр Российский цилиндр 1/4 пленка ЮКМП м.д.ж. 50%  ОСТАНКИНО - остаток 4,8кг (по нему рост продаж в 2,7 раза)</v>
          </cell>
        </row>
        <row r="127">
          <cell r="A127" t="str">
            <v>341 (7) ИП Романенко А.В. Бердянский р-н г.Приморск ул.Шевченко 130 м-н"Овощная Лавка"\+79900246069</v>
          </cell>
          <cell r="B127">
            <v>3.2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28.10.2026 - 29.10.2026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</row>
        <row r="8">
          <cell r="A8" t="str">
            <v>Номенклатура</v>
          </cell>
          <cell r="D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>0614 ПРАЗДНИЧНАЯ с/к в/с дек.спец.мгс  Останкино</v>
          </cell>
          <cell r="D10" t="str">
            <v>кг</v>
          </cell>
          <cell r="F10">
            <v>34.972000000000001</v>
          </cell>
          <cell r="I10">
            <v>3.839</v>
          </cell>
          <cell r="J10">
            <v>31.132999999999999</v>
          </cell>
          <cell r="K10">
            <v>34.972000000000001</v>
          </cell>
          <cell r="M10">
            <v>3.839</v>
          </cell>
          <cell r="N10">
            <v>31.132999999999999</v>
          </cell>
        </row>
        <row r="11">
          <cell r="A11" t="str">
            <v>3215 ВЕТЧ.МЯСНАЯ Папа может п/о 0.4кг 8шт.    ОСТАНКИНО</v>
          </cell>
          <cell r="D11" t="str">
            <v>шт</v>
          </cell>
          <cell r="F11">
            <v>141</v>
          </cell>
          <cell r="I11">
            <v>3</v>
          </cell>
          <cell r="J11">
            <v>138</v>
          </cell>
          <cell r="K11">
            <v>56.4</v>
          </cell>
          <cell r="M11">
            <v>1.2</v>
          </cell>
          <cell r="N11">
            <v>55.2</v>
          </cell>
        </row>
        <row r="12">
          <cell r="A12" t="str">
            <v>3287 САЛЯМИ ИТАЛЬЯНСКАЯ с/к в/у ОСТАНКИНО</v>
          </cell>
          <cell r="D12" t="str">
            <v>кг</v>
          </cell>
          <cell r="F12">
            <v>7.4059999999999997</v>
          </cell>
          <cell r="J12">
            <v>7.4059999999999997</v>
          </cell>
          <cell r="K12">
            <v>7.4059999999999997</v>
          </cell>
          <cell r="N12">
            <v>7.4059999999999997</v>
          </cell>
        </row>
        <row r="13">
          <cell r="A13" t="str">
            <v>3986 Ароматная с/к в/у 1/250 ОСТАНКИНО</v>
          </cell>
          <cell r="D13" t="str">
            <v>шт</v>
          </cell>
          <cell r="F13">
            <v>58</v>
          </cell>
          <cell r="I13">
            <v>2</v>
          </cell>
          <cell r="J13">
            <v>56</v>
          </cell>
          <cell r="K13">
            <v>14.5</v>
          </cell>
          <cell r="M13">
            <v>0.5</v>
          </cell>
          <cell r="N13">
            <v>14</v>
          </cell>
        </row>
        <row r="14">
          <cell r="A14" t="str">
            <v>4063 МЯСНАЯ Папа может вар п/о_Л   ОСТАНКИНО</v>
          </cell>
          <cell r="D14" t="str">
            <v>кг</v>
          </cell>
          <cell r="F14">
            <v>-1.337</v>
          </cell>
          <cell r="J14">
            <v>-1.337</v>
          </cell>
          <cell r="K14">
            <v>-1.337</v>
          </cell>
          <cell r="N14">
            <v>-1.337</v>
          </cell>
        </row>
        <row r="15">
          <cell r="A15" t="str">
            <v>4574 Мясная со шпиком Папа может вар п/о ОСТАНКИНО</v>
          </cell>
          <cell r="D15" t="str">
            <v>кг</v>
          </cell>
          <cell r="F15">
            <v>66.316999999999993</v>
          </cell>
          <cell r="I15">
            <v>6.79</v>
          </cell>
          <cell r="J15">
            <v>59.527000000000001</v>
          </cell>
          <cell r="K15">
            <v>66.316999999999993</v>
          </cell>
          <cell r="M15">
            <v>6.79</v>
          </cell>
          <cell r="N15">
            <v>59.527000000000001</v>
          </cell>
        </row>
        <row r="16">
          <cell r="A16" t="str">
            <v>4813 ФИЛЕЙНАЯ Папа может вар п/о_Л   ОСТАНКИНО</v>
          </cell>
          <cell r="D16" t="str">
            <v>кг</v>
          </cell>
          <cell r="F16">
            <v>91.141999999999996</v>
          </cell>
          <cell r="I16">
            <v>20.318000000000001</v>
          </cell>
          <cell r="J16">
            <v>70.823999999999998</v>
          </cell>
          <cell r="K16">
            <v>91.141999999999996</v>
          </cell>
          <cell r="M16">
            <v>20.318000000000001</v>
          </cell>
          <cell r="N16">
            <v>70.823999999999998</v>
          </cell>
        </row>
        <row r="17">
          <cell r="A17" t="str">
            <v>4993 САЛЯМИ ИТАЛЬЯНСКАЯ с/к в/у 1/250*8_120c ОСТАНКИНО</v>
          </cell>
          <cell r="D17" t="str">
            <v>шт</v>
          </cell>
          <cell r="F17">
            <v>132</v>
          </cell>
          <cell r="I17">
            <v>7</v>
          </cell>
          <cell r="J17">
            <v>125</v>
          </cell>
          <cell r="K17">
            <v>33</v>
          </cell>
          <cell r="M17">
            <v>1.75</v>
          </cell>
          <cell r="N17">
            <v>31.25</v>
          </cell>
        </row>
        <row r="18">
          <cell r="A18" t="str">
            <v>5452 ВЕТЧ.МЯСНАЯ Папа может п/о    ОСТАНКИНО</v>
          </cell>
          <cell r="D18" t="str">
            <v>кг</v>
          </cell>
          <cell r="F18">
            <v>119.70399999999999</v>
          </cell>
          <cell r="I18">
            <v>5.399</v>
          </cell>
          <cell r="J18">
            <v>114.30500000000001</v>
          </cell>
          <cell r="K18">
            <v>119.70399999999999</v>
          </cell>
          <cell r="M18">
            <v>5.399</v>
          </cell>
          <cell r="N18">
            <v>114.30500000000001</v>
          </cell>
        </row>
        <row r="19">
          <cell r="A19" t="str">
            <v>5483 ЭКСТРА Папа может с/к в/у 1/250 8шт.   ОСТАНКИНО</v>
          </cell>
          <cell r="D19" t="str">
            <v>шт</v>
          </cell>
          <cell r="F19">
            <v>4</v>
          </cell>
          <cell r="J19">
            <v>4</v>
          </cell>
          <cell r="K19">
            <v>1</v>
          </cell>
          <cell r="N19">
            <v>1</v>
          </cell>
        </row>
        <row r="20">
          <cell r="A20" t="str">
            <v>5495 ВЕТЧ.С ИНДЕЙКОЙ Папа может п/о 400*6  Останкино</v>
          </cell>
          <cell r="D20" t="str">
            <v>шт</v>
          </cell>
          <cell r="F20">
            <v>136</v>
          </cell>
          <cell r="I20">
            <v>3</v>
          </cell>
          <cell r="J20">
            <v>133</v>
          </cell>
          <cell r="K20">
            <v>54.4</v>
          </cell>
          <cell r="M20">
            <v>1.2</v>
          </cell>
          <cell r="N20">
            <v>53.2</v>
          </cell>
        </row>
        <row r="21">
          <cell r="A21" t="str">
            <v>5544 Сервелат Финский в/к в/у_45с НОВАЯ ОСТАНКИНО</v>
          </cell>
          <cell r="D21" t="str">
            <v>кг</v>
          </cell>
          <cell r="F21">
            <v>138.08799999999999</v>
          </cell>
          <cell r="I21">
            <v>46.399000000000001</v>
          </cell>
          <cell r="J21">
            <v>91.688999999999993</v>
          </cell>
          <cell r="K21">
            <v>138.08799999999999</v>
          </cell>
          <cell r="M21">
            <v>46.399000000000001</v>
          </cell>
          <cell r="N21">
            <v>91.688999999999993</v>
          </cell>
        </row>
        <row r="22">
          <cell r="A22" t="str">
            <v>5708 ПОСОЛЬСКАЯ Папа может с/к в/у ОСТАНКИНО</v>
          </cell>
          <cell r="D22" t="str">
            <v>кг</v>
          </cell>
          <cell r="F22">
            <v>4.0000000000000001E-3</v>
          </cell>
          <cell r="J22">
            <v>4.0000000000000001E-3</v>
          </cell>
          <cell r="K22">
            <v>4.0000000000000001E-3</v>
          </cell>
          <cell r="N22">
            <v>4.0000000000000001E-3</v>
          </cell>
        </row>
        <row r="23">
          <cell r="A23" t="str">
            <v>5819 Сосиски Папа может 400г Мясные  ОСТАНКИНО</v>
          </cell>
          <cell r="D23" t="str">
            <v>шт</v>
          </cell>
          <cell r="F23">
            <v>127</v>
          </cell>
          <cell r="I23">
            <v>1</v>
          </cell>
          <cell r="J23">
            <v>126</v>
          </cell>
          <cell r="K23">
            <v>50.8</v>
          </cell>
          <cell r="M23">
            <v>0.4</v>
          </cell>
          <cell r="N23">
            <v>50.4</v>
          </cell>
        </row>
        <row r="24">
          <cell r="A24" t="str">
            <v>5851 ЭКСТРА Папа может вар п/о   ОСТАНКИНО</v>
          </cell>
          <cell r="D24" t="str">
            <v>кг</v>
          </cell>
          <cell r="F24">
            <v>74.064999999999998</v>
          </cell>
          <cell r="I24">
            <v>16.332999999999998</v>
          </cell>
          <cell r="J24">
            <v>57.731999999999999</v>
          </cell>
          <cell r="K24">
            <v>74.064999999999998</v>
          </cell>
          <cell r="M24">
            <v>16.332999999999998</v>
          </cell>
          <cell r="N24">
            <v>57.731999999999999</v>
          </cell>
        </row>
        <row r="25">
          <cell r="A25" t="str">
            <v>5931 ОХОТНИЧЬЯ Папа может с/к в/у 1/220 8шт.   ОСТАНКИНО</v>
          </cell>
          <cell r="D25" t="str">
            <v>шт</v>
          </cell>
          <cell r="F25">
            <v>257</v>
          </cell>
          <cell r="H25">
            <v>1</v>
          </cell>
          <cell r="I25">
            <v>14</v>
          </cell>
          <cell r="J25">
            <v>244</v>
          </cell>
          <cell r="K25">
            <v>56.54</v>
          </cell>
          <cell r="L25">
            <v>0.22</v>
          </cell>
          <cell r="M25">
            <v>3.08</v>
          </cell>
          <cell r="N25">
            <v>53.68</v>
          </cell>
        </row>
        <row r="26">
          <cell r="A26" t="str">
            <v>6008 САЛО СОЛЕНОЕ С ЧЕРНЫМ ПЕРЦЕМ мл/к в/у ОСТАНКИНО</v>
          </cell>
          <cell r="D26" t="str">
            <v>кг</v>
          </cell>
          <cell r="F26">
            <v>0.04</v>
          </cell>
          <cell r="J26">
            <v>0.04</v>
          </cell>
          <cell r="K26">
            <v>0.04</v>
          </cell>
          <cell r="N26">
            <v>0.04</v>
          </cell>
        </row>
        <row r="27">
          <cell r="A27" t="str">
            <v>6220 ГОВЯЖЬЯ папа может вар п/о  Останкино</v>
          </cell>
          <cell r="D27" t="str">
            <v>кг</v>
          </cell>
          <cell r="F27">
            <v>12.452</v>
          </cell>
          <cell r="I27">
            <v>12.202999999999999</v>
          </cell>
          <cell r="J27">
            <v>0.249</v>
          </cell>
          <cell r="K27">
            <v>12.452</v>
          </cell>
          <cell r="M27">
            <v>12.202999999999999</v>
          </cell>
          <cell r="N27">
            <v>0.249</v>
          </cell>
        </row>
        <row r="28">
          <cell r="A28" t="str">
            <v>6221 НЕОПОЛИТАНСКИЙ ДУЭТ с/к с/н мгс 1/90  Останкино</v>
          </cell>
          <cell r="D28" t="str">
            <v>шт</v>
          </cell>
          <cell r="F28">
            <v>237</v>
          </cell>
          <cell r="H28">
            <v>1</v>
          </cell>
          <cell r="I28">
            <v>7</v>
          </cell>
          <cell r="J28">
            <v>231</v>
          </cell>
          <cell r="K28">
            <v>21.33</v>
          </cell>
          <cell r="L28">
            <v>0.09</v>
          </cell>
          <cell r="M28">
            <v>0.63</v>
          </cell>
          <cell r="N28">
            <v>20.79</v>
          </cell>
        </row>
        <row r="29">
          <cell r="A29" t="str">
            <v>6228 МЯСНОЕ АССОРТИ к/з с/н мгс 1/90 10шт  Останкино</v>
          </cell>
          <cell r="D29" t="str">
            <v>шт</v>
          </cell>
          <cell r="F29">
            <v>235</v>
          </cell>
          <cell r="I29">
            <v>2</v>
          </cell>
          <cell r="J29">
            <v>233</v>
          </cell>
          <cell r="K29">
            <v>21.15</v>
          </cell>
          <cell r="M29">
            <v>0.18</v>
          </cell>
          <cell r="N29">
            <v>20.97</v>
          </cell>
        </row>
        <row r="30">
          <cell r="A30" t="str">
            <v>6303 Мясные Папа может сос п/о мгс 1,5*3  Останкино</v>
          </cell>
          <cell r="D30" t="str">
            <v>кг</v>
          </cell>
          <cell r="F30">
            <v>-1.0669999999999999</v>
          </cell>
          <cell r="H30">
            <v>53.046999999999997</v>
          </cell>
          <cell r="I30">
            <v>53.046999999999997</v>
          </cell>
          <cell r="J30">
            <v>-1.0669999999999999</v>
          </cell>
          <cell r="K30">
            <v>-1.0669999999999999</v>
          </cell>
          <cell r="L30">
            <v>53.046999999999997</v>
          </cell>
          <cell r="M30">
            <v>53.046999999999997</v>
          </cell>
          <cell r="N30">
            <v>-1.0669999999999999</v>
          </cell>
        </row>
        <row r="31">
          <cell r="A31" t="str">
            <v>6325 ДОКТОРСКАЯ ПРЕМИУМ вар п/о 0.4кг 8шт.  ОСТАНКИНО</v>
          </cell>
          <cell r="D31" t="str">
            <v>шт</v>
          </cell>
          <cell r="F31">
            <v>72</v>
          </cell>
          <cell r="H31">
            <v>1</v>
          </cell>
          <cell r="I31">
            <v>8</v>
          </cell>
          <cell r="J31">
            <v>65</v>
          </cell>
          <cell r="K31">
            <v>28.8</v>
          </cell>
          <cell r="L31">
            <v>0.4</v>
          </cell>
          <cell r="M31">
            <v>3.2</v>
          </cell>
          <cell r="N31">
            <v>26</v>
          </cell>
        </row>
        <row r="32">
          <cell r="A32" t="str">
            <v>6333 МЯСНАЯ Папа может вар п/о 0.4кг 8шт.  ОСТАНКИНО</v>
          </cell>
          <cell r="D32" t="str">
            <v>шт</v>
          </cell>
          <cell r="F32">
            <v>204</v>
          </cell>
          <cell r="I32">
            <v>8</v>
          </cell>
          <cell r="J32">
            <v>196</v>
          </cell>
          <cell r="K32">
            <v>81.599999999999994</v>
          </cell>
          <cell r="M32">
            <v>3.2</v>
          </cell>
          <cell r="N32">
            <v>78.400000000000006</v>
          </cell>
        </row>
        <row r="33">
          <cell r="A33" t="str">
            <v>6364 СЕРВЕЛАТ ЗЕРНИСТЫЙ ПМ в/к в/у 0.35кг  ОСТАНКИНО</v>
          </cell>
          <cell r="D33" t="str">
            <v>шт</v>
          </cell>
          <cell r="F33">
            <v>-1</v>
          </cell>
          <cell r="J33">
            <v>-1</v>
          </cell>
          <cell r="K33">
            <v>-0.35</v>
          </cell>
          <cell r="N33">
            <v>-0.35</v>
          </cell>
        </row>
        <row r="34">
          <cell r="A34" t="str">
            <v>6392 ФИЛЕЙНАЯ Папа может вар п/о 0,4кг  ОСТАНКИНО</v>
          </cell>
          <cell r="D34" t="str">
            <v>шт</v>
          </cell>
          <cell r="F34">
            <v>264</v>
          </cell>
          <cell r="H34">
            <v>1</v>
          </cell>
          <cell r="I34">
            <v>6</v>
          </cell>
          <cell r="J34">
            <v>259</v>
          </cell>
          <cell r="K34">
            <v>105.6</v>
          </cell>
          <cell r="L34">
            <v>0.4</v>
          </cell>
          <cell r="M34">
            <v>2.4</v>
          </cell>
          <cell r="N34">
            <v>103.6</v>
          </cell>
        </row>
        <row r="35">
          <cell r="A35" t="str">
            <v>6498 МОЛОЧНАЯ Папа может вар п/о  ОСТАНКИНО</v>
          </cell>
          <cell r="D35" t="str">
            <v>кг</v>
          </cell>
          <cell r="F35">
            <v>35.911999999999999</v>
          </cell>
          <cell r="H35">
            <v>2.9820000000000002</v>
          </cell>
          <cell r="I35">
            <v>6.0350000000000001</v>
          </cell>
          <cell r="J35">
            <v>32.859000000000002</v>
          </cell>
          <cell r="K35">
            <v>35.911999999999999</v>
          </cell>
          <cell r="L35">
            <v>2.9820000000000002</v>
          </cell>
          <cell r="M35">
            <v>6.0350000000000001</v>
          </cell>
          <cell r="N35">
            <v>32.859000000000002</v>
          </cell>
        </row>
        <row r="36">
          <cell r="A36" t="str">
            <v>6527 ШПИКАЧКИ СОЧНЫЕ ПМ сар б/о мгс 1*3 45с ОСТАНКИНО</v>
          </cell>
          <cell r="D36" t="str">
            <v>кг</v>
          </cell>
          <cell r="F36">
            <v>67.790000000000006</v>
          </cell>
          <cell r="I36">
            <v>5.2530000000000001</v>
          </cell>
          <cell r="J36">
            <v>62.536999999999999</v>
          </cell>
          <cell r="K36">
            <v>67.790000000000006</v>
          </cell>
          <cell r="M36">
            <v>5.2530000000000001</v>
          </cell>
          <cell r="N36">
            <v>62.536999999999999</v>
          </cell>
        </row>
        <row r="37">
          <cell r="A37" t="str">
            <v>6550 МЯСНЫЕ Папа может сар б/о мгс 1*3 О 45с  Останкино</v>
          </cell>
          <cell r="D37" t="str">
            <v>кг</v>
          </cell>
          <cell r="F37">
            <v>-4.1859999999999999</v>
          </cell>
          <cell r="J37">
            <v>-4.1859999999999999</v>
          </cell>
          <cell r="K37">
            <v>-4.1859999999999999</v>
          </cell>
          <cell r="N37">
            <v>-4.1859999999999999</v>
          </cell>
        </row>
        <row r="38">
          <cell r="A38" t="str">
            <v>6608 С ГОВЯДИНОЙ ОРИГИН. сар б/о мгс 1*3_45с  ОСТАНКИНО</v>
          </cell>
          <cell r="D38" t="str">
            <v>кг</v>
          </cell>
          <cell r="F38">
            <v>18.132999999999999</v>
          </cell>
          <cell r="I38">
            <v>8.3480000000000008</v>
          </cell>
          <cell r="J38">
            <v>9.7850000000000001</v>
          </cell>
          <cell r="K38">
            <v>18.132999999999999</v>
          </cell>
          <cell r="M38">
            <v>8.3480000000000008</v>
          </cell>
          <cell r="N38">
            <v>9.7850000000000001</v>
          </cell>
        </row>
        <row r="39">
          <cell r="A39" t="str">
            <v>6616 МОЛОЧНЫЕ КЛАССИЧЕСКИЕ сос п/о в/у 0,3 кг  Останкино</v>
          </cell>
          <cell r="D39" t="str">
            <v>шт</v>
          </cell>
          <cell r="F39">
            <v>76</v>
          </cell>
          <cell r="H39">
            <v>2</v>
          </cell>
          <cell r="I39">
            <v>21</v>
          </cell>
          <cell r="J39">
            <v>57</v>
          </cell>
          <cell r="K39">
            <v>22.8</v>
          </cell>
          <cell r="L39">
            <v>0.6</v>
          </cell>
          <cell r="M39">
            <v>6.3</v>
          </cell>
          <cell r="N39">
            <v>17.100000000000001</v>
          </cell>
        </row>
        <row r="40">
          <cell r="A40" t="str">
            <v>6620 РЕБРЫШКИ к/в в/у_30с  Останкино</v>
          </cell>
          <cell r="D40" t="str">
            <v>кг</v>
          </cell>
          <cell r="F40">
            <v>82.403999999999996</v>
          </cell>
          <cell r="H40">
            <v>1.07</v>
          </cell>
          <cell r="I40">
            <v>31.052</v>
          </cell>
          <cell r="J40">
            <v>52.421999999999997</v>
          </cell>
          <cell r="K40">
            <v>82.403999999999996</v>
          </cell>
          <cell r="L40">
            <v>1.07</v>
          </cell>
          <cell r="M40">
            <v>31.052</v>
          </cell>
          <cell r="N40">
            <v>52.421999999999997</v>
          </cell>
        </row>
        <row r="41">
          <cell r="A41" t="str">
            <v>6661 СОЧНЫЙ ГРИЛЬ ПМ сос п/о мгс 1,5*4_Маяк Останкино</v>
          </cell>
          <cell r="D41" t="str">
            <v>кг</v>
          </cell>
          <cell r="F41">
            <v>12.443</v>
          </cell>
          <cell r="I41">
            <v>1.546</v>
          </cell>
          <cell r="J41">
            <v>10.897</v>
          </cell>
          <cell r="K41">
            <v>12.443</v>
          </cell>
          <cell r="M41">
            <v>1.546</v>
          </cell>
          <cell r="N41">
            <v>10.897</v>
          </cell>
        </row>
        <row r="42">
          <cell r="A42" t="str">
            <v>6697 СЕРВЕЛАТ ФИНСКИЙ ПМ в/к в/у 0,35кг 8шт  ОСТАНКИНО</v>
          </cell>
          <cell r="D42" t="str">
            <v>шт</v>
          </cell>
          <cell r="F42">
            <v>429</v>
          </cell>
          <cell r="I42">
            <v>34</v>
          </cell>
          <cell r="J42">
            <v>395</v>
          </cell>
          <cell r="K42">
            <v>150.15</v>
          </cell>
          <cell r="M42">
            <v>11.9</v>
          </cell>
          <cell r="N42">
            <v>138.25</v>
          </cell>
        </row>
        <row r="43">
          <cell r="A43" t="str">
            <v>6724 МОЛОЧНЫЕ ПМ сос п/о мгс 0,41кг 10шт  Останкино</v>
          </cell>
          <cell r="D43" t="str">
            <v>шт</v>
          </cell>
          <cell r="F43">
            <v>15</v>
          </cell>
          <cell r="I43">
            <v>12</v>
          </cell>
          <cell r="J43">
            <v>3</v>
          </cell>
          <cell r="K43">
            <v>6.15</v>
          </cell>
          <cell r="M43">
            <v>4.92</v>
          </cell>
          <cell r="N43">
            <v>1.23</v>
          </cell>
        </row>
        <row r="44">
          <cell r="A44" t="str">
            <v>6759 МОЛОЧНЫЕ ГОСТ сос ц/о мгс 0,4кг 7 шт  Останкино</v>
          </cell>
          <cell r="D44" t="str">
            <v>шт</v>
          </cell>
          <cell r="F44">
            <v>49</v>
          </cell>
          <cell r="J44">
            <v>49</v>
          </cell>
          <cell r="K44">
            <v>19.600000000000001</v>
          </cell>
          <cell r="N44">
            <v>19.600000000000001</v>
          </cell>
        </row>
        <row r="45">
          <cell r="A45" t="str">
            <v>6761 МОЛОЧНЫЕ ГОСТ сос ц/о мгс 1*4  Останкино</v>
          </cell>
          <cell r="D45" t="str">
            <v>кг</v>
          </cell>
          <cell r="F45">
            <v>16.449000000000002</v>
          </cell>
          <cell r="J45">
            <v>16.449000000000002</v>
          </cell>
          <cell r="K45">
            <v>16.449000000000002</v>
          </cell>
          <cell r="N45">
            <v>16.449000000000002</v>
          </cell>
        </row>
        <row r="46">
          <cell r="A46" t="str">
            <v>6764 СЛИИВОЧНЫЕ сос ц/о мгс 1*4  Останкино</v>
          </cell>
          <cell r="D46" t="str">
            <v>кг</v>
          </cell>
          <cell r="F46">
            <v>33.645000000000003</v>
          </cell>
          <cell r="I46">
            <v>6.1239999999999997</v>
          </cell>
          <cell r="J46">
            <v>27.521000000000001</v>
          </cell>
          <cell r="K46">
            <v>33.645000000000003</v>
          </cell>
          <cell r="M46">
            <v>6.1239999999999997</v>
          </cell>
          <cell r="N46">
            <v>27.521000000000001</v>
          </cell>
        </row>
        <row r="47">
          <cell r="A47" t="str">
            <v>6765 РУБЛЕНЫЕ сос ц/о мгс 0,36кг 6шт  Останкино</v>
          </cell>
          <cell r="D47" t="str">
            <v>шт</v>
          </cell>
          <cell r="F47">
            <v>12</v>
          </cell>
          <cell r="H47">
            <v>1</v>
          </cell>
          <cell r="I47">
            <v>2</v>
          </cell>
          <cell r="J47">
            <v>11</v>
          </cell>
          <cell r="K47">
            <v>4.32</v>
          </cell>
          <cell r="L47">
            <v>0.36</v>
          </cell>
          <cell r="M47">
            <v>0.72</v>
          </cell>
          <cell r="N47">
            <v>3.96</v>
          </cell>
        </row>
        <row r="48">
          <cell r="A48" t="str">
            <v>6787 СЕРВЕЛАТ КРЕМЛЕВСКИЙ в/к в/у 0,33кг 8шт  Останкино</v>
          </cell>
          <cell r="D48" t="str">
            <v>шт</v>
          </cell>
          <cell r="F48">
            <v>74</v>
          </cell>
          <cell r="H48">
            <v>1</v>
          </cell>
          <cell r="I48">
            <v>1</v>
          </cell>
          <cell r="J48">
            <v>74</v>
          </cell>
          <cell r="K48">
            <v>24.42</v>
          </cell>
          <cell r="L48">
            <v>0.33</v>
          </cell>
          <cell r="M48">
            <v>0.33</v>
          </cell>
          <cell r="N48">
            <v>24.42</v>
          </cell>
        </row>
        <row r="49">
          <cell r="A49" t="str">
            <v>6797 С ИНДЕЙКОЙ Папа может вар п/о 0,4кг 8шт. ОСТАНКИНО</v>
          </cell>
          <cell r="D49" t="str">
            <v>шт</v>
          </cell>
          <cell r="F49">
            <v>134</v>
          </cell>
          <cell r="I49">
            <v>5</v>
          </cell>
          <cell r="J49">
            <v>129</v>
          </cell>
          <cell r="K49">
            <v>53.6</v>
          </cell>
          <cell r="M49">
            <v>2</v>
          </cell>
          <cell r="N49">
            <v>51.6</v>
          </cell>
        </row>
        <row r="50">
          <cell r="A50" t="str">
            <v>6807 СЕРВЕЛАТ ЕВРОПЕЙСКИЙ в/к в/у 0,33кг 8шт  Останкино</v>
          </cell>
          <cell r="D50" t="str">
            <v>шт</v>
          </cell>
          <cell r="F50">
            <v>6</v>
          </cell>
          <cell r="J50">
            <v>6</v>
          </cell>
          <cell r="K50">
            <v>1.98</v>
          </cell>
          <cell r="N50">
            <v>1.98</v>
          </cell>
        </row>
        <row r="51">
          <cell r="A51" t="str">
            <v>6829  МОЛОЧНЫЕ КЛАССИЧЕСКИЕ сос п/о мгс 2*4 С  Останккино</v>
          </cell>
          <cell r="D51" t="str">
            <v>кг</v>
          </cell>
          <cell r="F51">
            <v>101.16500000000001</v>
          </cell>
          <cell r="H51">
            <v>2.0259999999999998</v>
          </cell>
          <cell r="I51">
            <v>42.661000000000001</v>
          </cell>
          <cell r="J51">
            <v>60.53</v>
          </cell>
          <cell r="K51">
            <v>101.16500000000001</v>
          </cell>
          <cell r="L51">
            <v>2.0259999999999998</v>
          </cell>
          <cell r="M51">
            <v>42.661000000000001</v>
          </cell>
          <cell r="N51">
            <v>60.53</v>
          </cell>
        </row>
        <row r="52">
          <cell r="A52" t="str">
            <v>6837 ФИЛЕЙНЫЕ Папа Может сос ц/о мгс 0,4кг  Останкино</v>
          </cell>
          <cell r="D52" t="str">
            <v>шт</v>
          </cell>
          <cell r="F52">
            <v>24</v>
          </cell>
          <cell r="I52">
            <v>8</v>
          </cell>
          <cell r="J52">
            <v>16</v>
          </cell>
          <cell r="K52">
            <v>9.6</v>
          </cell>
          <cell r="M52">
            <v>3.2</v>
          </cell>
          <cell r="N52">
            <v>6.4</v>
          </cell>
        </row>
        <row r="53">
          <cell r="A53" t="str">
            <v>6866 ВЕТЧ.НЕЖНАЯ Коровино п/о_Маяк  Останкино</v>
          </cell>
          <cell r="D53" t="str">
            <v>кг</v>
          </cell>
          <cell r="F53">
            <v>107.34</v>
          </cell>
          <cell r="I53">
            <v>9.16</v>
          </cell>
          <cell r="J53">
            <v>98.18</v>
          </cell>
          <cell r="K53">
            <v>107.34</v>
          </cell>
          <cell r="M53">
            <v>9.16</v>
          </cell>
          <cell r="N53">
            <v>98.18</v>
          </cell>
        </row>
        <row r="54">
          <cell r="A54" t="str">
            <v>6929 КАРБОНАД ДОМАШНИЙ ПМ к/в кр/к в/у  ОСТАНКИНО</v>
          </cell>
          <cell r="D54" t="str">
            <v>кг</v>
          </cell>
          <cell r="F54">
            <v>88.643000000000001</v>
          </cell>
          <cell r="I54">
            <v>9.2959999999999994</v>
          </cell>
          <cell r="J54">
            <v>79.346999999999994</v>
          </cell>
          <cell r="K54">
            <v>88.643000000000001</v>
          </cell>
          <cell r="M54">
            <v>9.2959999999999994</v>
          </cell>
          <cell r="N54">
            <v>79.346999999999994</v>
          </cell>
        </row>
        <row r="55">
          <cell r="A55" t="str">
            <v>6967 БУРГУНДИЯ Папа может с/к в/у 1/250 8шт  Останкино</v>
          </cell>
          <cell r="D55" t="str">
            <v>шт</v>
          </cell>
          <cell r="F55">
            <v>43</v>
          </cell>
          <cell r="I55">
            <v>2</v>
          </cell>
          <cell r="J55">
            <v>41</v>
          </cell>
          <cell r="K55">
            <v>10.75</v>
          </cell>
          <cell r="M55">
            <v>0.5</v>
          </cell>
          <cell r="N55">
            <v>10.25</v>
          </cell>
        </row>
        <row r="56">
          <cell r="A56" t="str">
            <v>7001 КЛАССИЧЕСКИЕ Папа может сар б/о мгс 1*3  Останкино</v>
          </cell>
          <cell r="D56" t="str">
            <v>кг</v>
          </cell>
          <cell r="F56">
            <v>8.9999999999999993E-3</v>
          </cell>
          <cell r="J56">
            <v>8.9999999999999993E-3</v>
          </cell>
          <cell r="K56">
            <v>8.9999999999999993E-3</v>
          </cell>
          <cell r="N56">
            <v>8.9999999999999993E-3</v>
          </cell>
        </row>
        <row r="57">
          <cell r="A57" t="str">
            <v>7040 С ИНДЕЙКОЙ ПМ сос ц/о в/у 1/270 8шт.  ОСТАНКИНО</v>
          </cell>
          <cell r="D57" t="str">
            <v>шт</v>
          </cell>
          <cell r="F57">
            <v>203</v>
          </cell>
          <cell r="H57">
            <v>2</v>
          </cell>
          <cell r="I57">
            <v>6</v>
          </cell>
          <cell r="J57">
            <v>199</v>
          </cell>
          <cell r="K57">
            <v>54.81</v>
          </cell>
          <cell r="L57">
            <v>0.54</v>
          </cell>
          <cell r="M57">
            <v>1.62</v>
          </cell>
          <cell r="N57">
            <v>53.73</v>
          </cell>
        </row>
        <row r="58">
          <cell r="A58" t="str">
            <v>7059 ШПИКАЧКИ СОЧНЫЕ С БЕК. п/о мгс 0,3кг 60с ОСТАНКИНО</v>
          </cell>
          <cell r="D58" t="str">
            <v>шт</v>
          </cell>
          <cell r="F58">
            <v>10</v>
          </cell>
          <cell r="I58">
            <v>13</v>
          </cell>
          <cell r="J58">
            <v>-3</v>
          </cell>
          <cell r="K58">
            <v>3</v>
          </cell>
          <cell r="M58">
            <v>3.9</v>
          </cell>
          <cell r="N58">
            <v>-0.9</v>
          </cell>
        </row>
        <row r="59">
          <cell r="A59" t="str">
            <v>7066 СОЧНЫЕ ПМ сос п/о мгс 0,41кг 10шт 50с  Останкино</v>
          </cell>
          <cell r="D59" t="str">
            <v>шт</v>
          </cell>
          <cell r="F59">
            <v>381</v>
          </cell>
          <cell r="H59">
            <v>1</v>
          </cell>
          <cell r="I59">
            <v>41</v>
          </cell>
          <cell r="J59">
            <v>341</v>
          </cell>
          <cell r="K59">
            <v>156.21</v>
          </cell>
          <cell r="L59">
            <v>0.41</v>
          </cell>
          <cell r="M59">
            <v>16.809999999999999</v>
          </cell>
          <cell r="N59">
            <v>139.81</v>
          </cell>
        </row>
        <row r="60">
          <cell r="A60" t="str">
            <v>7070 СОЧНЫЕ ПМ сос п/о 1,5*4_А_50с  Останкино</v>
          </cell>
          <cell r="D60" t="str">
            <v>кг</v>
          </cell>
          <cell r="F60">
            <v>4.63</v>
          </cell>
          <cell r="J60">
            <v>4.63</v>
          </cell>
          <cell r="K60">
            <v>4.63</v>
          </cell>
          <cell r="N60">
            <v>4.63</v>
          </cell>
        </row>
        <row r="61">
          <cell r="A61" t="str">
            <v>7073 МОЛОЧ.ПРЕМИУМ ПМ сос п/о в/у 1/350_50с  Останкино</v>
          </cell>
          <cell r="D61" t="str">
            <v>шт</v>
          </cell>
          <cell r="F61">
            <v>320</v>
          </cell>
          <cell r="I61">
            <v>4</v>
          </cell>
          <cell r="J61">
            <v>316</v>
          </cell>
          <cell r="K61">
            <v>112</v>
          </cell>
          <cell r="M61">
            <v>1.4</v>
          </cell>
          <cell r="N61">
            <v>110.6</v>
          </cell>
        </row>
        <row r="62">
          <cell r="A62" t="str">
            <v>7075 МОЛОЧ.ПРЕМИУМ ПМ сос п/о мгс 1,5*4_О_50с  Останкино</v>
          </cell>
          <cell r="D62" t="str">
            <v>кг</v>
          </cell>
          <cell r="F62">
            <v>5.6000000000000001E-2</v>
          </cell>
          <cell r="J62">
            <v>5.6000000000000001E-2</v>
          </cell>
          <cell r="K62">
            <v>5.6000000000000001E-2</v>
          </cell>
          <cell r="N62">
            <v>5.6000000000000001E-2</v>
          </cell>
        </row>
        <row r="63">
          <cell r="A63" t="str">
            <v>7080 СЛИВОЧНЫЕ ПМ сос п/о мгс 0,41кг 10шт 50с  Останкино</v>
          </cell>
          <cell r="D63" t="str">
            <v>шт</v>
          </cell>
          <cell r="F63">
            <v>163</v>
          </cell>
          <cell r="I63">
            <v>15</v>
          </cell>
          <cell r="J63">
            <v>148</v>
          </cell>
          <cell r="K63">
            <v>66.83</v>
          </cell>
          <cell r="M63">
            <v>6.15</v>
          </cell>
          <cell r="N63">
            <v>60.68</v>
          </cell>
        </row>
        <row r="64">
          <cell r="A64" t="str">
            <v>7083 СЛИВОЧНЫЕ ПМ сос п/о мгс 1.5*4_А_50с  ОСТАНКИНО</v>
          </cell>
          <cell r="D64" t="str">
            <v>кг</v>
          </cell>
          <cell r="F64">
            <v>73.584999999999994</v>
          </cell>
          <cell r="I64">
            <v>17.309999999999999</v>
          </cell>
          <cell r="J64">
            <v>56.274999999999999</v>
          </cell>
          <cell r="K64">
            <v>73.584999999999994</v>
          </cell>
          <cell r="M64">
            <v>17.309999999999999</v>
          </cell>
          <cell r="N64">
            <v>56.274999999999999</v>
          </cell>
        </row>
        <row r="65">
          <cell r="A65" t="str">
            <v>7090 СВИНИНА ПО-ДОМ.к/в мл/к в/у 0,3кг_50с  Останкино</v>
          </cell>
          <cell r="D65" t="str">
            <v>шт</v>
          </cell>
          <cell r="F65">
            <v>88</v>
          </cell>
          <cell r="I65">
            <v>20</v>
          </cell>
          <cell r="J65">
            <v>68</v>
          </cell>
          <cell r="K65">
            <v>26.4</v>
          </cell>
          <cell r="M65">
            <v>6</v>
          </cell>
          <cell r="N65">
            <v>20.399999999999999</v>
          </cell>
        </row>
        <row r="66">
          <cell r="A66" t="str">
            <v>7103 БЕКОН Останкино с/к с/н в/у 1/180_50с  Останкино</v>
          </cell>
          <cell r="D66" t="str">
            <v>шт</v>
          </cell>
          <cell r="F66">
            <v>71</v>
          </cell>
          <cell r="I66">
            <v>5</v>
          </cell>
          <cell r="J66">
            <v>66</v>
          </cell>
          <cell r="K66">
            <v>12.78</v>
          </cell>
          <cell r="M66">
            <v>0.9</v>
          </cell>
          <cell r="N66">
            <v>11.88</v>
          </cell>
        </row>
        <row r="67">
          <cell r="A67" t="str">
            <v>7143 БРАУНШВЕЙГСКАЯ ГОСТ с/к в/у 1/220 8шт.  ОСТАНКИНО</v>
          </cell>
          <cell r="D67" t="str">
            <v>шт</v>
          </cell>
          <cell r="F67">
            <v>40</v>
          </cell>
          <cell r="I67">
            <v>2</v>
          </cell>
          <cell r="J67">
            <v>38</v>
          </cell>
          <cell r="K67">
            <v>8.8000000000000007</v>
          </cell>
          <cell r="M67">
            <v>0.44</v>
          </cell>
          <cell r="N67">
            <v>8.36</v>
          </cell>
        </row>
        <row r="68">
          <cell r="A68" t="str">
            <v>7154 СЕРВЕЛАТ ЗЕРНИСТЫЙ ПМ в/к в/у 0,35кг_50с  Останкино</v>
          </cell>
          <cell r="D68" t="str">
            <v>шт</v>
          </cell>
          <cell r="F68">
            <v>70</v>
          </cell>
          <cell r="H68">
            <v>1</v>
          </cell>
          <cell r="I68">
            <v>20</v>
          </cell>
          <cell r="J68">
            <v>51</v>
          </cell>
          <cell r="K68">
            <v>24.5</v>
          </cell>
          <cell r="L68">
            <v>0.35</v>
          </cell>
          <cell r="M68">
            <v>7</v>
          </cell>
          <cell r="N68">
            <v>17.850000000000001</v>
          </cell>
        </row>
        <row r="69">
          <cell r="A69" t="str">
            <v>7157 СЕРВЕЛАТ ЗЕРНИСТЫЙ ПМ в/к в/у_50с  Останкино</v>
          </cell>
          <cell r="D69" t="str">
            <v>кг</v>
          </cell>
          <cell r="F69">
            <v>84.141999999999996</v>
          </cell>
          <cell r="I69">
            <v>33.542000000000002</v>
          </cell>
          <cell r="J69">
            <v>50.6</v>
          </cell>
          <cell r="K69">
            <v>84.141999999999996</v>
          </cell>
          <cell r="M69">
            <v>33.542000000000002</v>
          </cell>
          <cell r="N69">
            <v>50.6</v>
          </cell>
        </row>
        <row r="70">
          <cell r="A70" t="str">
            <v>7166 СЕРВЕЛАТ ОХОТНИЧИЙ ПМ в/к в/у_50с  Останкино</v>
          </cell>
          <cell r="D70" t="str">
            <v>кг</v>
          </cell>
          <cell r="F70">
            <v>202.476</v>
          </cell>
          <cell r="I70">
            <v>41.679000000000002</v>
          </cell>
          <cell r="J70">
            <v>160.797</v>
          </cell>
          <cell r="K70">
            <v>202.476</v>
          </cell>
          <cell r="M70">
            <v>41.679000000000002</v>
          </cell>
          <cell r="N70">
            <v>160.797</v>
          </cell>
        </row>
        <row r="71">
          <cell r="A71" t="str">
            <v>7169 СЕРВЕЛАТ ОХОТНИЧИЙ ПМ в/к в/у 0,35кг_50с  Останкино</v>
          </cell>
          <cell r="D71" t="str">
            <v>шт</v>
          </cell>
          <cell r="F71">
            <v>6</v>
          </cell>
          <cell r="J71">
            <v>6</v>
          </cell>
          <cell r="K71">
            <v>2.1</v>
          </cell>
          <cell r="N71">
            <v>2.1</v>
          </cell>
        </row>
        <row r="72">
          <cell r="A72" t="str">
            <v>7187 ГРУДИНКА ПРЕМИУМ к/в мл/к в/у 0,3кг_50с  Останкино</v>
          </cell>
          <cell r="D72" t="str">
            <v>шт</v>
          </cell>
          <cell r="F72">
            <v>5</v>
          </cell>
          <cell r="I72">
            <v>3</v>
          </cell>
          <cell r="J72">
            <v>2</v>
          </cell>
          <cell r="K72">
            <v>1.5</v>
          </cell>
          <cell r="M72">
            <v>0.9</v>
          </cell>
          <cell r="N72">
            <v>0.6</v>
          </cell>
        </row>
        <row r="73">
          <cell r="A73" t="str">
            <v>7232 БОЯNСКАЯ ПМ п/к в/у 0,28кг 8шт_209к  Останкино</v>
          </cell>
          <cell r="D73" t="str">
            <v>шт</v>
          </cell>
          <cell r="F73">
            <v>2</v>
          </cell>
          <cell r="J73">
            <v>2</v>
          </cell>
          <cell r="K73">
            <v>0.56000000000000005</v>
          </cell>
          <cell r="N73">
            <v>0.56000000000000005</v>
          </cell>
        </row>
        <row r="74">
          <cell r="A74" t="str">
            <v>7236 СЕРВЕЛАТ КАРЕЛЬСКИЙ в/к в/у 0,28кг_209к  Останкино</v>
          </cell>
          <cell r="D74" t="str">
            <v>шт</v>
          </cell>
          <cell r="F74">
            <v>49</v>
          </cell>
          <cell r="H74">
            <v>1</v>
          </cell>
          <cell r="I74">
            <v>22</v>
          </cell>
          <cell r="J74">
            <v>28</v>
          </cell>
          <cell r="K74">
            <v>13.72</v>
          </cell>
          <cell r="L74">
            <v>0.28000000000000003</v>
          </cell>
          <cell r="M74">
            <v>6.16</v>
          </cell>
          <cell r="N74">
            <v>7.84</v>
          </cell>
        </row>
        <row r="75">
          <cell r="A75" t="str">
            <v>7241 САЛЯМИ Папа может п/к в/у 0,28кг ОСТАНКИНО</v>
          </cell>
          <cell r="D75" t="str">
            <v>шт</v>
          </cell>
          <cell r="F75">
            <v>88</v>
          </cell>
          <cell r="H75">
            <v>1</v>
          </cell>
          <cell r="I75">
            <v>13</v>
          </cell>
          <cell r="J75">
            <v>76</v>
          </cell>
          <cell r="K75">
            <v>24.64</v>
          </cell>
          <cell r="L75">
            <v>0.28000000000000003</v>
          </cell>
          <cell r="M75">
            <v>3.64</v>
          </cell>
          <cell r="N75">
            <v>21.28</v>
          </cell>
        </row>
        <row r="76">
          <cell r="A76" t="str">
            <v>7255 МЯСНЫЕ С ГОВЯД.ПМ сос п/о мгс 0.4кг 6шт.  ОСТАНКИНО</v>
          </cell>
          <cell r="D76" t="str">
            <v>шт</v>
          </cell>
          <cell r="F76">
            <v>-1</v>
          </cell>
          <cell r="J76">
            <v>-1</v>
          </cell>
          <cell r="K76">
            <v>-0.4</v>
          </cell>
          <cell r="N76">
            <v>-0.4</v>
          </cell>
        </row>
        <row r="77">
          <cell r="A77" t="str">
            <v>7299 НАБОР ДЛЯ ПИЦЦЫ Папа Может с/к в/у  ОСТАНКИНО</v>
          </cell>
          <cell r="D77" t="str">
            <v>кг</v>
          </cell>
          <cell r="F77">
            <v>9.8800000000000008</v>
          </cell>
          <cell r="J77">
            <v>9.8800000000000008</v>
          </cell>
          <cell r="K77">
            <v>9.8800000000000008</v>
          </cell>
          <cell r="N77">
            <v>9.8800000000000008</v>
          </cell>
        </row>
        <row r="78">
          <cell r="A78" t="str">
            <v>7344 КОНСЕРВЫ МЯС.ГОВЯДИНА ТУШ. В/С 338г_ЧЗ  ОСТАНКИНО</v>
          </cell>
          <cell r="D78" t="str">
            <v>шт</v>
          </cell>
          <cell r="F78">
            <v>240</v>
          </cell>
          <cell r="J78">
            <v>240</v>
          </cell>
          <cell r="K78">
            <v>81.12</v>
          </cell>
          <cell r="N78">
            <v>81.12</v>
          </cell>
        </row>
        <row r="79">
          <cell r="A79" t="str">
            <v>7345 КОНСЕРВЫ МЯС.СВИНИНА ТУШ. В/С 325г_ЧЗ  ОСТАНКИНО</v>
          </cell>
          <cell r="D79" t="str">
            <v>шт</v>
          </cell>
          <cell r="F79">
            <v>321</v>
          </cell>
          <cell r="J79">
            <v>321</v>
          </cell>
          <cell r="K79">
            <v>104.325</v>
          </cell>
          <cell r="N79">
            <v>104.325</v>
          </cell>
        </row>
        <row r="80">
          <cell r="A80" t="str">
            <v>7382  САЛЯМИ МЕЛКОЗЕРНЕНАЯ с/к в/у1/120 8шт.  ОСТАНКИНО</v>
          </cell>
          <cell r="D80" t="str">
            <v>шт</v>
          </cell>
          <cell r="F80">
            <v>2</v>
          </cell>
          <cell r="J80">
            <v>2</v>
          </cell>
          <cell r="K80">
            <v>0.24</v>
          </cell>
          <cell r="N80">
            <v>0.24</v>
          </cell>
        </row>
        <row r="81">
          <cell r="A81" t="str">
            <v>7386 БАРСЕЛОНА ПМ с/к в/у 1/150  ОСТАНКИНО</v>
          </cell>
          <cell r="D81" t="str">
            <v>шт</v>
          </cell>
          <cell r="F81">
            <v>79</v>
          </cell>
          <cell r="H81">
            <v>1</v>
          </cell>
          <cell r="I81">
            <v>13</v>
          </cell>
          <cell r="J81">
            <v>67</v>
          </cell>
          <cell r="K81">
            <v>11.85</v>
          </cell>
          <cell r="L81">
            <v>0.15</v>
          </cell>
          <cell r="M81">
            <v>1.95</v>
          </cell>
          <cell r="N81">
            <v>10.050000000000001</v>
          </cell>
        </row>
        <row r="82">
          <cell r="A82" t="str">
            <v>7456 САЛЯМИ ФИНСКАЯ Папа может с/к в/у 1/150  ОСТАНКИНО</v>
          </cell>
          <cell r="D82" t="str">
            <v>шт</v>
          </cell>
          <cell r="F82">
            <v>263</v>
          </cell>
          <cell r="H82">
            <v>1</v>
          </cell>
          <cell r="I82">
            <v>13</v>
          </cell>
          <cell r="J82">
            <v>251</v>
          </cell>
          <cell r="K82">
            <v>39.450000000000003</v>
          </cell>
          <cell r="L82">
            <v>0.15</v>
          </cell>
          <cell r="M82">
            <v>1.95</v>
          </cell>
          <cell r="N82">
            <v>37.65</v>
          </cell>
        </row>
        <row r="83">
          <cell r="A83" t="str">
            <v>7461 ДЛЯ ДЕТЕЙ Папа Может сос п/о мгс 0,33кг ОСТАНКИНО</v>
          </cell>
          <cell r="D83" t="str">
            <v>шт</v>
          </cell>
          <cell r="F83">
            <v>100</v>
          </cell>
          <cell r="H83">
            <v>3</v>
          </cell>
          <cell r="I83">
            <v>7</v>
          </cell>
          <cell r="J83">
            <v>96</v>
          </cell>
          <cell r="K83">
            <v>33</v>
          </cell>
          <cell r="L83">
            <v>0.99</v>
          </cell>
          <cell r="M83">
            <v>2.31</v>
          </cell>
          <cell r="N83">
            <v>31.68</v>
          </cell>
        </row>
        <row r="84">
          <cell r="A84" t="str">
            <v>7485 РИЕТ МЯСНОЙ С ГРИБАМИ ПМ п/о 1/150  ОСТАНКИНО</v>
          </cell>
          <cell r="D84" t="str">
            <v>шт</v>
          </cell>
          <cell r="F84">
            <v>-1</v>
          </cell>
          <cell r="J84">
            <v>-1</v>
          </cell>
          <cell r="K84">
            <v>-0.15</v>
          </cell>
          <cell r="N84">
            <v>-0.15</v>
          </cell>
        </row>
        <row r="85">
          <cell r="A85" t="str">
            <v>7490 СОЧНЫЙ ГРИЛЬ сос ц/о мгс 0.41кг_Даблпак  ОСТАНКИНО</v>
          </cell>
          <cell r="D85" t="str">
            <v>шт</v>
          </cell>
          <cell r="F85">
            <v>8</v>
          </cell>
          <cell r="J85">
            <v>8</v>
          </cell>
          <cell r="K85">
            <v>3.28</v>
          </cell>
          <cell r="N85">
            <v>3.28</v>
          </cell>
        </row>
        <row r="86">
          <cell r="A86" t="str">
            <v>7513 ВОСКРЕСЕНСКАЯ ВЯЛЕНАЯ в/к в/у срез 1/260  ОСТАНКИНО</v>
          </cell>
          <cell r="D86" t="str">
            <v>шт</v>
          </cell>
          <cell r="F86">
            <v>159</v>
          </cell>
          <cell r="H86">
            <v>3</v>
          </cell>
          <cell r="I86">
            <v>8</v>
          </cell>
          <cell r="J86">
            <v>154</v>
          </cell>
          <cell r="K86">
            <v>41.34</v>
          </cell>
          <cell r="L86">
            <v>0.78</v>
          </cell>
          <cell r="M86">
            <v>2.08</v>
          </cell>
          <cell r="N86">
            <v>40.04</v>
          </cell>
        </row>
        <row r="87">
          <cell r="A87" t="str">
            <v>7514 ЛЮБИТЕЛЬСКАЯ ОСТАНКИНСКАЯ вар п/о в/у  ОСТАНКИНО</v>
          </cell>
          <cell r="D87" t="str">
            <v>кг</v>
          </cell>
          <cell r="F87">
            <v>4.4180000000000001</v>
          </cell>
          <cell r="H87">
            <v>3.2879999999999998</v>
          </cell>
          <cell r="I87">
            <v>1.631</v>
          </cell>
          <cell r="J87">
            <v>6.0750000000000002</v>
          </cell>
          <cell r="K87">
            <v>4.4180000000000001</v>
          </cell>
          <cell r="L87">
            <v>3.2879999999999998</v>
          </cell>
          <cell r="M87">
            <v>1.631</v>
          </cell>
          <cell r="N87">
            <v>6.0750000000000002</v>
          </cell>
        </row>
        <row r="88">
          <cell r="A88" t="str">
            <v>7516 НОВОМОСКОВСКАЯ в/к в/у срез 0.31кг  ОСТАНКИНО</v>
          </cell>
          <cell r="D88" t="str">
            <v>шт</v>
          </cell>
          <cell r="F88">
            <v>205</v>
          </cell>
          <cell r="H88">
            <v>1</v>
          </cell>
          <cell r="I88">
            <v>4</v>
          </cell>
          <cell r="J88">
            <v>202</v>
          </cell>
          <cell r="K88">
            <v>63.55</v>
          </cell>
          <cell r="L88">
            <v>0.31</v>
          </cell>
          <cell r="M88">
            <v>1.24</v>
          </cell>
          <cell r="N88">
            <v>62.62</v>
          </cell>
        </row>
        <row r="89">
          <cell r="A89" t="str">
            <v>7518 ТЕЛЯЧЬЯ ГОСТ Останкино вар п/о в/у  ОСТАНКИНО</v>
          </cell>
          <cell r="D89" t="str">
            <v>кг</v>
          </cell>
          <cell r="F89">
            <v>50.139000000000003</v>
          </cell>
          <cell r="H89">
            <v>4.4400000000000004</v>
          </cell>
          <cell r="I89">
            <v>6.7960000000000003</v>
          </cell>
          <cell r="J89">
            <v>47.783000000000001</v>
          </cell>
          <cell r="K89">
            <v>50.139000000000003</v>
          </cell>
          <cell r="L89">
            <v>4.4400000000000004</v>
          </cell>
          <cell r="M89">
            <v>6.7960000000000003</v>
          </cell>
          <cell r="N89">
            <v>47.783000000000001</v>
          </cell>
        </row>
        <row r="90">
          <cell r="A90" t="str">
            <v>7523 ГОВЯЖЬЯ Папа Может вар п/о 0,4кг 6шт. ОСТАНКИНО</v>
          </cell>
          <cell r="D90" t="str">
            <v>шт</v>
          </cell>
          <cell r="F90">
            <v>26</v>
          </cell>
          <cell r="I90">
            <v>7</v>
          </cell>
          <cell r="J90">
            <v>19</v>
          </cell>
          <cell r="K90">
            <v>10.4</v>
          </cell>
          <cell r="M90">
            <v>2.8</v>
          </cell>
          <cell r="N90">
            <v>7.6</v>
          </cell>
        </row>
        <row r="91">
          <cell r="A91" t="str">
            <v>7562 КРАКОВСКАЯ ГОСТ Останкино п/к н/о мгс  ОСТАНКИНО</v>
          </cell>
          <cell r="D91" t="str">
            <v>кг</v>
          </cell>
          <cell r="F91">
            <v>57.814999999999998</v>
          </cell>
          <cell r="I91">
            <v>8.8930000000000007</v>
          </cell>
          <cell r="J91">
            <v>48.921999999999997</v>
          </cell>
          <cell r="K91">
            <v>57.814999999999998</v>
          </cell>
          <cell r="M91">
            <v>8.8930000000000007</v>
          </cell>
          <cell r="N91">
            <v>48.921999999999997</v>
          </cell>
        </row>
        <row r="92">
          <cell r="A92" t="str">
            <v>7564 Балыковая в/к в/у Останкино Вес  ОСТАНКИНО</v>
          </cell>
          <cell r="D92" t="str">
            <v>кг</v>
          </cell>
          <cell r="F92">
            <v>32.893999999999998</v>
          </cell>
          <cell r="I92">
            <v>32.901000000000003</v>
          </cell>
          <cell r="J92">
            <v>-7.0000000000000001E-3</v>
          </cell>
          <cell r="K92">
            <v>32.893999999999998</v>
          </cell>
          <cell r="M92">
            <v>32.901000000000003</v>
          </cell>
          <cell r="N92">
            <v>-7.0000000000000001E-3</v>
          </cell>
        </row>
        <row r="93">
          <cell r="A93" t="str">
            <v>7603 БАЛЫКОВАЯ в/к в/у 0.33кг 8шт. ОСТАНКИНО</v>
          </cell>
          <cell r="D93" t="str">
            <v>шт</v>
          </cell>
          <cell r="F93">
            <v>1</v>
          </cell>
          <cell r="J93">
            <v>1</v>
          </cell>
          <cell r="K93">
            <v>0.33</v>
          </cell>
          <cell r="N93">
            <v>0.33</v>
          </cell>
        </row>
        <row r="94">
          <cell r="A94" t="str">
            <v>7613 АРОМАТНАЯ с/к с/н в/у 1/100 10шт_Л10  ОСТАНКИНО</v>
          </cell>
          <cell r="D94" t="str">
            <v>шт</v>
          </cell>
          <cell r="F94">
            <v>2</v>
          </cell>
          <cell r="J94">
            <v>2</v>
          </cell>
          <cell r="K94">
            <v>0.2</v>
          </cell>
          <cell r="N94">
            <v>0.2</v>
          </cell>
        </row>
        <row r="95">
          <cell r="A95" t="str">
            <v>7616 ЭКСТРА Папа может с/к с/н в/у 1/100_  ОСТАНКИНО</v>
          </cell>
          <cell r="D95" t="str">
            <v>шт</v>
          </cell>
          <cell r="F95">
            <v>229</v>
          </cell>
          <cell r="I95">
            <v>8</v>
          </cell>
          <cell r="J95">
            <v>221</v>
          </cell>
          <cell r="K95">
            <v>22.9</v>
          </cell>
          <cell r="M95">
            <v>0.8</v>
          </cell>
          <cell r="N95">
            <v>22.1</v>
          </cell>
        </row>
        <row r="96">
          <cell r="A96" t="str">
            <v>7632 ЭКСТРА Папа может вар п/о 0.4кг 8шт_195к  ОСТАНКИНО</v>
          </cell>
          <cell r="D96" t="str">
            <v>шт</v>
          </cell>
          <cell r="F96">
            <v>106</v>
          </cell>
          <cell r="I96">
            <v>7</v>
          </cell>
          <cell r="J96">
            <v>99</v>
          </cell>
          <cell r="K96">
            <v>42.4</v>
          </cell>
          <cell r="M96">
            <v>2.8</v>
          </cell>
          <cell r="N96">
            <v>39.6</v>
          </cell>
        </row>
        <row r="97">
          <cell r="A97" t="str">
            <v>7651 ХОЧУ ВЕТЧ.МРАМОР. ПМ с/н мгс 1/100_Л11  ОСТАНКИНО</v>
          </cell>
          <cell r="D97" t="str">
            <v>шт</v>
          </cell>
          <cell r="F97">
            <v>-1</v>
          </cell>
          <cell r="J97">
            <v>-1</v>
          </cell>
          <cell r="K97">
            <v>-0.1</v>
          </cell>
          <cell r="N97">
            <v>-0.1</v>
          </cell>
        </row>
        <row r="98">
          <cell r="A98" t="str">
            <v>7700 ЛИТОВСКАЯ с/к в/у  ОСТАНКИНО</v>
          </cell>
          <cell r="D98" t="str">
            <v>кг</v>
          </cell>
          <cell r="F98">
            <v>10.192</v>
          </cell>
          <cell r="J98">
            <v>10.192</v>
          </cell>
          <cell r="K98">
            <v>10.192</v>
          </cell>
          <cell r="N98">
            <v>10.192</v>
          </cell>
        </row>
        <row r="99">
          <cell r="A99" t="str">
            <v>7710 КРАКОВСКАЯ ГОСТ п/к н/о мгс 0.3кг  ОСТАНКИНО</v>
          </cell>
          <cell r="D99" t="str">
            <v>шт</v>
          </cell>
          <cell r="F99">
            <v>103</v>
          </cell>
          <cell r="H99">
            <v>2</v>
          </cell>
          <cell r="I99">
            <v>2</v>
          </cell>
          <cell r="J99">
            <v>103</v>
          </cell>
          <cell r="K99">
            <v>30.9</v>
          </cell>
          <cell r="L99">
            <v>0.6</v>
          </cell>
          <cell r="M99">
            <v>0.6</v>
          </cell>
          <cell r="N99">
            <v>30.9</v>
          </cell>
        </row>
        <row r="100">
          <cell r="A100" t="str">
            <v>7725 ВЕТ.МРАМОРНАЯ в/у срез 0.3кг 6шт_62  ОСТАНКИНО</v>
          </cell>
          <cell r="D100" t="str">
            <v>шт</v>
          </cell>
          <cell r="F100">
            <v>128</v>
          </cell>
          <cell r="H100">
            <v>3</v>
          </cell>
          <cell r="I100">
            <v>12</v>
          </cell>
          <cell r="J100">
            <v>119</v>
          </cell>
          <cell r="K100">
            <v>38.4</v>
          </cell>
          <cell r="L100">
            <v>0.9</v>
          </cell>
          <cell r="M100">
            <v>3.6</v>
          </cell>
          <cell r="N100">
            <v>35.700000000000003</v>
          </cell>
        </row>
        <row r="101">
          <cell r="A101" t="str">
            <v>7730 ХОЧУ ВЕТЧ.ИЗ СВ.ОТРУБА мгс 1/100_45с_Л11  ОСТАНКИНО</v>
          </cell>
          <cell r="D101" t="str">
            <v>шт</v>
          </cell>
          <cell r="F101">
            <v>44</v>
          </cell>
          <cell r="J101">
            <v>44</v>
          </cell>
          <cell r="K101">
            <v>4.4000000000000004</v>
          </cell>
          <cell r="N101">
            <v>4.4000000000000004</v>
          </cell>
        </row>
        <row r="102">
          <cell r="A102" t="str">
            <v>Итого</v>
          </cell>
          <cell r="K102">
            <v>3495.1849999999999</v>
          </cell>
          <cell r="L102">
            <v>74.992999999999995</v>
          </cell>
          <cell r="M102">
            <v>549.21500000000003</v>
          </cell>
          <cell r="N102">
            <v>3020.9630000000002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79"/>
  <sheetViews>
    <sheetView topLeftCell="A34" zoomScaleNormal="100" workbookViewId="0">
      <pane xSplit="3" topLeftCell="D1" activePane="topRight" state="frozen"/>
      <selection pane="topRight" activeCell="B65" sqref="B65:I65"/>
    </sheetView>
  </sheetViews>
  <sheetFormatPr defaultColWidth="9.140625" defaultRowHeight="15"/>
  <cols>
    <col min="1" max="1" width="5.7109375" style="3" customWidth="1"/>
    <col min="2" max="2" width="20.7109375" style="3" customWidth="1"/>
    <col min="3" max="3" width="10.7109375" style="3" customWidth="1"/>
    <col min="4" max="5" width="17.7109375" style="3" customWidth="1"/>
    <col min="6" max="6" width="11.7109375" style="9" customWidth="1"/>
    <col min="7" max="7" width="10.7109375" style="98" customWidth="1"/>
    <col min="8" max="8" width="10.7109375" style="3" customWidth="1"/>
    <col min="9" max="9" width="13.7109375" style="3" customWidth="1"/>
    <col min="10" max="10" width="12.28515625" style="3" customWidth="1"/>
    <col min="11" max="11" width="10.7109375" style="3" customWidth="1"/>
    <col min="12" max="12" width="13.85546875" style="59" customWidth="1"/>
    <col min="13" max="13" width="23.42578125" style="59" customWidth="1"/>
    <col min="14" max="14" width="13.140625" style="59" bestFit="1" customWidth="1"/>
    <col min="15" max="16384" width="9.140625" style="59"/>
  </cols>
  <sheetData>
    <row r="1" spans="1:12" ht="46.9" customHeight="1">
      <c r="A1" s="172" t="s">
        <v>41</v>
      </c>
      <c r="B1" s="172"/>
      <c r="C1" s="172"/>
      <c r="D1" s="1"/>
      <c r="E1" s="172" t="s">
        <v>24</v>
      </c>
      <c r="F1" s="172"/>
      <c r="G1" s="172"/>
      <c r="H1" s="172"/>
      <c r="I1" s="137"/>
      <c r="J1" s="173">
        <v>8</v>
      </c>
      <c r="K1" s="173"/>
    </row>
    <row r="2" spans="1:12" ht="28.5">
      <c r="A2" s="174">
        <v>46318</v>
      </c>
      <c r="B2" s="175"/>
      <c r="C2" s="175"/>
      <c r="D2" s="2"/>
      <c r="E2" s="2"/>
      <c r="F2" s="176"/>
      <c r="G2" s="176"/>
      <c r="H2" s="176"/>
      <c r="I2" s="138"/>
      <c r="J2" s="176"/>
      <c r="K2" s="176"/>
    </row>
    <row r="3" spans="1:12" ht="27" thickBot="1">
      <c r="A3" s="180" t="s">
        <v>0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</row>
    <row r="4" spans="1:12" ht="18" customHeight="1">
      <c r="A4" s="181" t="s">
        <v>25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3"/>
    </row>
    <row r="5" spans="1:12" s="60" customFormat="1" ht="18" customHeight="1">
      <c r="A5" s="28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10</v>
      </c>
      <c r="L5" s="29">
        <v>11</v>
      </c>
    </row>
    <row r="6" spans="1:12" ht="82.9" customHeight="1">
      <c r="A6" s="184" t="s">
        <v>1</v>
      </c>
      <c r="B6" s="185" t="s">
        <v>2</v>
      </c>
      <c r="C6" s="185" t="s">
        <v>3</v>
      </c>
      <c r="D6" s="185" t="s">
        <v>4</v>
      </c>
      <c r="E6" s="136" t="s">
        <v>5</v>
      </c>
      <c r="F6" s="185" t="s">
        <v>6</v>
      </c>
      <c r="G6" s="186" t="s">
        <v>7</v>
      </c>
      <c r="H6" s="187" t="s">
        <v>8</v>
      </c>
      <c r="I6" s="185" t="s">
        <v>9</v>
      </c>
      <c r="J6" s="188" t="s">
        <v>30</v>
      </c>
      <c r="K6" s="190" t="s">
        <v>10</v>
      </c>
      <c r="L6" s="191"/>
    </row>
    <row r="7" spans="1:12" s="60" customFormat="1" ht="63.6" customHeight="1">
      <c r="A7" s="184"/>
      <c r="B7" s="185"/>
      <c r="C7" s="185"/>
      <c r="D7" s="185"/>
      <c r="E7" s="136" t="s">
        <v>11</v>
      </c>
      <c r="F7" s="185"/>
      <c r="G7" s="186"/>
      <c r="H7" s="187"/>
      <c r="I7" s="185"/>
      <c r="J7" s="189"/>
      <c r="K7" s="136" t="s">
        <v>7</v>
      </c>
      <c r="L7" s="30" t="s">
        <v>8</v>
      </c>
    </row>
    <row r="8" spans="1:12" s="60" customFormat="1" ht="15.75">
      <c r="A8" s="61">
        <v>1</v>
      </c>
      <c r="B8" s="46" t="s">
        <v>42</v>
      </c>
      <c r="C8" s="141" t="s">
        <v>43</v>
      </c>
      <c r="D8" s="47" t="s">
        <v>61</v>
      </c>
      <c r="E8" s="48" t="s">
        <v>46</v>
      </c>
      <c r="F8" s="62">
        <v>0.30555555555555552</v>
      </c>
      <c r="G8" s="63">
        <v>17</v>
      </c>
      <c r="H8" s="64">
        <v>1055.1559999999999</v>
      </c>
      <c r="I8" s="65">
        <v>0.60416666666666663</v>
      </c>
      <c r="J8" s="65">
        <f>I8-F8</f>
        <v>0.2986111111111111</v>
      </c>
      <c r="K8" s="64"/>
      <c r="L8" s="66"/>
    </row>
    <row r="9" spans="1:12" ht="15.75">
      <c r="A9" s="61">
        <v>2</v>
      </c>
      <c r="B9" s="50" t="s">
        <v>50</v>
      </c>
      <c r="C9" s="141" t="s">
        <v>51</v>
      </c>
      <c r="D9" s="54" t="s">
        <v>59</v>
      </c>
      <c r="E9" s="49" t="s">
        <v>47</v>
      </c>
      <c r="F9" s="62">
        <v>0.28819444444444448</v>
      </c>
      <c r="G9" s="63">
        <v>27</v>
      </c>
      <c r="H9" s="64">
        <v>1175.989</v>
      </c>
      <c r="I9" s="65">
        <v>0.56944444444444442</v>
      </c>
      <c r="J9" s="65">
        <f t="shared" ref="J9:J12" si="0">I9-F9</f>
        <v>0.28124999999999994</v>
      </c>
      <c r="K9" s="64"/>
      <c r="L9" s="66"/>
    </row>
    <row r="10" spans="1:12" ht="15.75">
      <c r="A10" s="67">
        <v>3</v>
      </c>
      <c r="B10" s="48" t="s">
        <v>42</v>
      </c>
      <c r="C10" s="142" t="s">
        <v>45</v>
      </c>
      <c r="D10" s="47" t="s">
        <v>58</v>
      </c>
      <c r="E10" s="48" t="s">
        <v>47</v>
      </c>
      <c r="F10" s="62">
        <v>0.28125</v>
      </c>
      <c r="G10" s="63">
        <v>27</v>
      </c>
      <c r="H10" s="64">
        <v>957.73800000000006</v>
      </c>
      <c r="I10" s="65">
        <v>0.5625</v>
      </c>
      <c r="J10" s="65">
        <f t="shared" si="0"/>
        <v>0.28125</v>
      </c>
      <c r="K10" s="64"/>
      <c r="L10" s="66"/>
    </row>
    <row r="11" spans="1:12" ht="15.75">
      <c r="A11" s="61">
        <v>4</v>
      </c>
      <c r="B11" s="48" t="s">
        <v>42</v>
      </c>
      <c r="C11" s="142" t="s">
        <v>78</v>
      </c>
      <c r="D11" s="47" t="s">
        <v>63</v>
      </c>
      <c r="E11" s="51" t="s">
        <v>46</v>
      </c>
      <c r="F11" s="62">
        <v>0.30902777777777779</v>
      </c>
      <c r="G11" s="63">
        <v>23</v>
      </c>
      <c r="H11" s="64">
        <v>1158.192</v>
      </c>
      <c r="I11" s="65">
        <v>0.625</v>
      </c>
      <c r="J11" s="65">
        <f t="shared" si="0"/>
        <v>0.31597222222222221</v>
      </c>
      <c r="K11" s="64"/>
      <c r="L11" s="66"/>
    </row>
    <row r="12" spans="1:12" ht="15.75">
      <c r="A12" s="105">
        <v>5</v>
      </c>
      <c r="B12" s="52" t="s">
        <v>50</v>
      </c>
      <c r="C12" s="141" t="s">
        <v>54</v>
      </c>
      <c r="D12" s="53" t="s">
        <v>57</v>
      </c>
      <c r="E12" s="49" t="s">
        <v>47</v>
      </c>
      <c r="F12" s="65">
        <v>0.27777777777777779</v>
      </c>
      <c r="G12" s="63">
        <v>30</v>
      </c>
      <c r="H12" s="64">
        <v>945.71600000000001</v>
      </c>
      <c r="I12" s="65">
        <v>0.61458333333333337</v>
      </c>
      <c r="J12" s="65">
        <f t="shared" si="0"/>
        <v>0.33680555555555558</v>
      </c>
      <c r="K12" s="64"/>
      <c r="L12" s="66"/>
    </row>
    <row r="13" spans="1:12" ht="15.75">
      <c r="A13" s="68"/>
      <c r="B13" s="50"/>
      <c r="C13" s="46"/>
      <c r="D13" s="54"/>
      <c r="E13" s="51"/>
      <c r="F13" s="65"/>
      <c r="G13" s="63"/>
      <c r="H13" s="64"/>
      <c r="I13" s="65"/>
      <c r="J13" s="65"/>
      <c r="K13" s="64"/>
      <c r="L13" s="66"/>
    </row>
    <row r="14" spans="1:12" ht="15.75">
      <c r="A14" s="68"/>
      <c r="B14" s="69"/>
      <c r="C14" s="70"/>
      <c r="D14" s="47"/>
      <c r="E14" s="71"/>
      <c r="F14" s="65"/>
      <c r="G14" s="63"/>
      <c r="H14" s="64"/>
      <c r="I14" s="65"/>
      <c r="J14" s="65"/>
      <c r="K14" s="64"/>
      <c r="L14" s="66"/>
    </row>
    <row r="15" spans="1:12" ht="15.75">
      <c r="A15" s="68"/>
      <c r="B15" s="48"/>
      <c r="C15" s="50"/>
      <c r="D15" s="47"/>
      <c r="E15" s="48"/>
      <c r="F15" s="65"/>
      <c r="G15" s="63"/>
      <c r="H15" s="64"/>
      <c r="I15" s="65"/>
      <c r="J15" s="65"/>
      <c r="K15" s="64"/>
      <c r="L15" s="66"/>
    </row>
    <row r="16" spans="1:12">
      <c r="A16" s="68"/>
      <c r="B16" s="72"/>
      <c r="C16" s="140"/>
      <c r="D16" s="39"/>
      <c r="E16" s="73"/>
      <c r="F16" s="74"/>
      <c r="G16" s="75"/>
      <c r="H16" s="76"/>
      <c r="I16" s="74"/>
      <c r="J16" s="77"/>
      <c r="K16" s="76"/>
      <c r="L16" s="78"/>
    </row>
    <row r="17" spans="1:14">
      <c r="A17" s="68"/>
      <c r="B17" s="72"/>
      <c r="C17" s="140"/>
      <c r="D17" s="39"/>
      <c r="E17" s="73"/>
      <c r="F17" s="74"/>
      <c r="G17" s="75"/>
      <c r="H17" s="76"/>
      <c r="I17" s="74"/>
      <c r="J17" s="77"/>
      <c r="K17" s="76"/>
      <c r="L17" s="78"/>
    </row>
    <row r="18" spans="1:14">
      <c r="A18" s="68"/>
      <c r="B18" s="72"/>
      <c r="C18" s="140"/>
      <c r="D18" s="39"/>
      <c r="E18" s="73"/>
      <c r="F18" s="74"/>
      <c r="G18" s="75"/>
      <c r="H18" s="76"/>
      <c r="I18" s="74"/>
      <c r="J18" s="77"/>
      <c r="K18" s="76"/>
      <c r="L18" s="78"/>
    </row>
    <row r="19" spans="1:14">
      <c r="A19" s="68"/>
      <c r="B19" s="72"/>
      <c r="C19" s="140"/>
      <c r="D19" s="39"/>
      <c r="E19" s="73"/>
      <c r="F19" s="74"/>
      <c r="G19" s="75"/>
      <c r="H19" s="76"/>
      <c r="I19" s="74"/>
      <c r="J19" s="77"/>
      <c r="K19" s="24"/>
      <c r="L19" s="78"/>
    </row>
    <row r="20" spans="1:14">
      <c r="A20" s="68"/>
      <c r="B20" s="72"/>
      <c r="C20" s="140"/>
      <c r="D20" s="39"/>
      <c r="E20" s="73"/>
      <c r="F20" s="74"/>
      <c r="G20" s="75"/>
      <c r="H20" s="76"/>
      <c r="I20" s="74"/>
      <c r="J20" s="77"/>
      <c r="K20" s="24"/>
      <c r="L20" s="79"/>
    </row>
    <row r="21" spans="1:14" ht="16.5" thickBot="1">
      <c r="A21" s="192" t="s">
        <v>15</v>
      </c>
      <c r="B21" s="193"/>
      <c r="C21" s="193"/>
      <c r="D21" s="193"/>
      <c r="E21" s="193"/>
      <c r="F21" s="194"/>
      <c r="G21" s="102">
        <f>SUM(G8:G20)</f>
        <v>124</v>
      </c>
      <c r="H21" s="102">
        <f>SUM(H8:H19)</f>
        <v>5292.7910000000002</v>
      </c>
      <c r="I21" s="103"/>
      <c r="J21" s="103"/>
      <c r="K21" s="102">
        <f>SUM(K8:K20)</f>
        <v>0</v>
      </c>
      <c r="L21" s="104">
        <f>SUM(L8:L20)</f>
        <v>0</v>
      </c>
    </row>
    <row r="23" spans="1:14" ht="15.75" thickBot="1">
      <c r="D23" s="80"/>
      <c r="E23" s="8"/>
      <c r="G23" s="81"/>
      <c r="H23" s="8"/>
      <c r="I23" s="8"/>
      <c r="L23" s="60"/>
      <c r="N23" s="82"/>
    </row>
    <row r="24" spans="1:14" ht="18.75">
      <c r="A24" s="177" t="s">
        <v>26</v>
      </c>
      <c r="B24" s="178"/>
      <c r="C24" s="178"/>
      <c r="D24" s="178"/>
      <c r="E24" s="178"/>
      <c r="F24" s="178"/>
      <c r="G24" s="178"/>
      <c r="H24" s="178"/>
      <c r="I24" s="179"/>
      <c r="J24" s="60"/>
      <c r="K24" s="60"/>
      <c r="L24" s="60"/>
      <c r="N24" s="82"/>
    </row>
    <row r="25" spans="1:14">
      <c r="A25" s="12">
        <v>1</v>
      </c>
      <c r="B25" s="31">
        <v>2</v>
      </c>
      <c r="C25" s="31">
        <v>3</v>
      </c>
      <c r="D25" s="31">
        <v>4</v>
      </c>
      <c r="E25" s="31">
        <v>5</v>
      </c>
      <c r="F25" s="31">
        <v>6</v>
      </c>
      <c r="G25" s="31">
        <v>7</v>
      </c>
      <c r="H25" s="31">
        <v>8</v>
      </c>
      <c r="I25" s="13">
        <v>9</v>
      </c>
      <c r="J25" s="60"/>
      <c r="K25" s="60"/>
      <c r="N25" s="82"/>
    </row>
    <row r="26" spans="1:14" ht="30">
      <c r="A26" s="23" t="s">
        <v>1</v>
      </c>
      <c r="B26" s="136" t="s">
        <v>2</v>
      </c>
      <c r="C26" s="136" t="s">
        <v>3</v>
      </c>
      <c r="D26" s="136" t="s">
        <v>27</v>
      </c>
      <c r="E26" s="136" t="s">
        <v>6</v>
      </c>
      <c r="F26" s="136" t="s">
        <v>28</v>
      </c>
      <c r="G26" s="136" t="s">
        <v>8</v>
      </c>
      <c r="H26" s="136" t="s">
        <v>31</v>
      </c>
      <c r="I26" s="14" t="s">
        <v>30</v>
      </c>
      <c r="J26" s="60"/>
      <c r="K26" s="60"/>
      <c r="L26" s="60"/>
      <c r="N26" s="82"/>
    </row>
    <row r="27" spans="1:14">
      <c r="A27" s="26"/>
      <c r="B27" s="25"/>
      <c r="C27" s="24"/>
      <c r="D27" s="32"/>
      <c r="E27" s="83"/>
      <c r="F27" s="75"/>
      <c r="G27" s="76"/>
      <c r="H27" s="84"/>
      <c r="I27" s="85"/>
      <c r="J27" s="60"/>
      <c r="K27" s="60"/>
      <c r="L27" s="60"/>
    </row>
    <row r="28" spans="1:14">
      <c r="A28" s="24"/>
      <c r="B28" s="25"/>
      <c r="C28" s="24"/>
      <c r="D28" s="32"/>
      <c r="E28" s="83"/>
      <c r="F28" s="75"/>
      <c r="G28" s="76"/>
      <c r="H28" s="84"/>
      <c r="I28" s="85"/>
      <c r="J28" s="60"/>
      <c r="K28" s="60"/>
      <c r="L28" s="60"/>
    </row>
    <row r="29" spans="1:14">
      <c r="A29" s="24"/>
      <c r="B29" s="24"/>
      <c r="C29" s="24"/>
      <c r="D29" s="32"/>
      <c r="E29" s="83"/>
      <c r="F29" s="75"/>
      <c r="G29" s="76"/>
      <c r="H29" s="84"/>
      <c r="I29" s="85"/>
      <c r="J29" s="60"/>
      <c r="K29" s="60"/>
      <c r="L29" s="60"/>
    </row>
    <row r="30" spans="1:14">
      <c r="A30" s="27"/>
      <c r="B30" s="27"/>
      <c r="C30" s="27"/>
      <c r="D30" s="32"/>
      <c r="E30" s="83"/>
      <c r="F30" s="75"/>
      <c r="G30" s="76"/>
      <c r="H30" s="84"/>
      <c r="I30" s="85"/>
      <c r="J30" s="60"/>
      <c r="K30" s="60"/>
      <c r="L30" s="60"/>
    </row>
    <row r="31" spans="1:14" ht="15.75" thickBot="1">
      <c r="A31" s="195" t="s">
        <v>15</v>
      </c>
      <c r="B31" s="196"/>
      <c r="C31" s="197"/>
      <c r="D31" s="5"/>
      <c r="E31" s="15"/>
      <c r="F31" s="15">
        <f>SUM(F30:F30)</f>
        <v>0</v>
      </c>
      <c r="G31" s="15">
        <f>SUM(G30:G30)</f>
        <v>0</v>
      </c>
      <c r="H31" s="16"/>
      <c r="I31" s="17"/>
      <c r="J31" s="59"/>
      <c r="K31" s="59"/>
    </row>
    <row r="32" spans="1:14" ht="15.75" thickBot="1">
      <c r="D32" s="80"/>
      <c r="E32" s="8"/>
      <c r="G32" s="81"/>
      <c r="H32" s="8"/>
      <c r="I32" s="8"/>
      <c r="L32" s="60"/>
    </row>
    <row r="33" spans="1:13" ht="18.75">
      <c r="A33" s="177" t="s">
        <v>12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</row>
    <row r="34" spans="1:13" ht="15.75" thickBot="1">
      <c r="A34" s="34">
        <v>1</v>
      </c>
      <c r="B34" s="35">
        <v>2</v>
      </c>
      <c r="C34" s="35">
        <v>3</v>
      </c>
      <c r="D34" s="35">
        <v>4</v>
      </c>
      <c r="E34" s="35">
        <v>5</v>
      </c>
      <c r="F34" s="35">
        <v>6</v>
      </c>
      <c r="G34" s="35">
        <v>7</v>
      </c>
      <c r="H34" s="35">
        <v>8</v>
      </c>
      <c r="I34" s="35">
        <v>9</v>
      </c>
      <c r="J34" s="35">
        <v>10</v>
      </c>
      <c r="K34" s="35">
        <v>11</v>
      </c>
      <c r="L34" s="198">
        <v>12</v>
      </c>
      <c r="M34" s="199"/>
    </row>
    <row r="35" spans="1:13" ht="45">
      <c r="A35" s="200" t="s">
        <v>1</v>
      </c>
      <c r="B35" s="202" t="s">
        <v>2</v>
      </c>
      <c r="C35" s="202" t="s">
        <v>3</v>
      </c>
      <c r="D35" s="202" t="s">
        <v>4</v>
      </c>
      <c r="E35" s="37" t="s">
        <v>5</v>
      </c>
      <c r="F35" s="202" t="s">
        <v>14</v>
      </c>
      <c r="G35" s="202" t="s">
        <v>13</v>
      </c>
      <c r="H35" s="202" t="s">
        <v>37</v>
      </c>
      <c r="I35" s="202" t="s">
        <v>39</v>
      </c>
      <c r="J35" s="202" t="s">
        <v>38</v>
      </c>
      <c r="K35" s="202" t="s">
        <v>40</v>
      </c>
      <c r="L35" s="206" t="s">
        <v>36</v>
      </c>
      <c r="M35" s="207"/>
    </row>
    <row r="36" spans="1:13" ht="45">
      <c r="A36" s="201"/>
      <c r="B36" s="189"/>
      <c r="C36" s="189"/>
      <c r="D36" s="189"/>
      <c r="E36" s="139" t="s">
        <v>11</v>
      </c>
      <c r="F36" s="189"/>
      <c r="G36" s="189"/>
      <c r="H36" s="189"/>
      <c r="I36" s="189"/>
      <c r="J36" s="189"/>
      <c r="K36" s="189"/>
      <c r="L36" s="208"/>
      <c r="M36" s="209"/>
    </row>
    <row r="37" spans="1:13" s="22" customFormat="1" ht="46.5" customHeight="1">
      <c r="A37" s="55">
        <v>6</v>
      </c>
      <c r="B37" s="110" t="s">
        <v>42</v>
      </c>
      <c r="C37" s="109" t="s">
        <v>48</v>
      </c>
      <c r="D37" s="56" t="s">
        <v>59</v>
      </c>
      <c r="E37" s="110" t="s">
        <v>46</v>
      </c>
      <c r="F37" s="111">
        <v>46248</v>
      </c>
      <c r="G37" s="112">
        <v>240000</v>
      </c>
      <c r="H37" s="113" t="s">
        <v>56</v>
      </c>
      <c r="I37" s="114">
        <v>46248</v>
      </c>
      <c r="J37" s="115" t="s">
        <v>65</v>
      </c>
      <c r="K37" s="57"/>
      <c r="L37" s="210" t="s">
        <v>49</v>
      </c>
      <c r="M37" s="211"/>
    </row>
    <row r="38" spans="1:13" s="22" customFormat="1" ht="63">
      <c r="A38" s="55">
        <v>7</v>
      </c>
      <c r="B38" s="116" t="s">
        <v>52</v>
      </c>
      <c r="C38" s="116" t="s">
        <v>53</v>
      </c>
      <c r="D38" s="116" t="s">
        <v>58</v>
      </c>
      <c r="E38" s="117" t="s">
        <v>46</v>
      </c>
      <c r="F38" s="118" t="s">
        <v>62</v>
      </c>
      <c r="G38" s="112">
        <v>680000</v>
      </c>
      <c r="H38" s="119"/>
      <c r="I38" s="120"/>
      <c r="J38" s="120"/>
      <c r="K38" s="121"/>
      <c r="L38" s="212" t="s">
        <v>55</v>
      </c>
      <c r="M38" s="213"/>
    </row>
    <row r="39" spans="1:13" ht="34.5" customHeight="1">
      <c r="A39" s="122">
        <v>8</v>
      </c>
      <c r="B39" s="116" t="s">
        <v>42</v>
      </c>
      <c r="C39" s="116" t="s">
        <v>44</v>
      </c>
      <c r="D39" s="123" t="s">
        <v>60</v>
      </c>
      <c r="E39" s="124" t="s">
        <v>47</v>
      </c>
      <c r="F39" s="125">
        <v>46317</v>
      </c>
      <c r="G39" s="108"/>
      <c r="H39" s="113" t="s">
        <v>56</v>
      </c>
      <c r="I39" s="126">
        <v>46317</v>
      </c>
      <c r="J39" s="126">
        <v>46321</v>
      </c>
      <c r="K39" s="109"/>
      <c r="L39" s="214" t="s">
        <v>77</v>
      </c>
      <c r="M39" s="215"/>
    </row>
    <row r="40" spans="1:13" ht="15.75">
      <c r="A40" s="122"/>
      <c r="B40" s="106"/>
      <c r="C40" s="106"/>
      <c r="D40" s="106"/>
      <c r="E40" s="106"/>
      <c r="F40" s="107"/>
      <c r="G40" s="108"/>
      <c r="H40" s="109"/>
      <c r="I40" s="109"/>
      <c r="J40" s="109"/>
      <c r="K40" s="109"/>
      <c r="L40" s="216"/>
      <c r="M40" s="217"/>
    </row>
    <row r="41" spans="1:13">
      <c r="A41" s="86"/>
      <c r="B41" s="127"/>
      <c r="C41" s="128"/>
      <c r="D41" s="128"/>
      <c r="E41" s="129"/>
      <c r="F41" s="130"/>
      <c r="G41" s="131"/>
      <c r="H41" s="132"/>
      <c r="I41" s="130"/>
      <c r="J41" s="130"/>
      <c r="K41" s="132"/>
      <c r="L41" s="218"/>
      <c r="M41" s="219"/>
    </row>
    <row r="42" spans="1:13">
      <c r="A42" s="86"/>
      <c r="B42" s="127"/>
      <c r="C42" s="128"/>
      <c r="D42" s="87"/>
      <c r="E42" s="33"/>
      <c r="F42" s="88"/>
      <c r="G42" s="131"/>
      <c r="H42" s="89"/>
      <c r="I42" s="88"/>
      <c r="J42" s="88"/>
      <c r="K42" s="89"/>
      <c r="L42" s="220"/>
      <c r="M42" s="221"/>
    </row>
    <row r="43" spans="1:13" ht="15.75" thickBot="1">
      <c r="A43" s="133"/>
      <c r="B43" s="90"/>
      <c r="C43" s="91"/>
      <c r="D43" s="91"/>
      <c r="E43" s="92"/>
      <c r="F43" s="93"/>
      <c r="G43" s="38"/>
      <c r="H43" s="94"/>
      <c r="I43" s="93"/>
      <c r="J43" s="93"/>
      <c r="K43" s="94"/>
      <c r="L43" s="222"/>
      <c r="M43" s="223"/>
    </row>
    <row r="44" spans="1:13" ht="15.75" thickBot="1">
      <c r="A44" s="224" t="s">
        <v>15</v>
      </c>
      <c r="B44" s="225"/>
      <c r="C44" s="225"/>
      <c r="D44" s="225"/>
      <c r="E44" s="226"/>
      <c r="F44" s="36"/>
      <c r="G44" s="227">
        <f>SUM(G37:G43)</f>
        <v>920000</v>
      </c>
      <c r="H44" s="228"/>
      <c r="I44" s="228"/>
      <c r="J44" s="228"/>
      <c r="K44" s="228"/>
      <c r="L44" s="229"/>
    </row>
    <row r="45" spans="1:13" ht="15.75" thickBot="1">
      <c r="A45" s="18"/>
      <c r="B45" s="18"/>
      <c r="C45" s="18"/>
      <c r="D45" s="18"/>
      <c r="E45" s="19"/>
      <c r="F45" s="19"/>
      <c r="G45" s="20"/>
      <c r="H45" s="20"/>
      <c r="J45" s="4"/>
      <c r="K45" s="21"/>
    </row>
    <row r="46" spans="1:13" ht="18.75">
      <c r="A46" s="203" t="s">
        <v>16</v>
      </c>
      <c r="B46" s="204"/>
      <c r="C46" s="204"/>
      <c r="D46" s="204"/>
      <c r="E46" s="204"/>
      <c r="F46" s="204"/>
      <c r="G46" s="204"/>
      <c r="H46" s="204"/>
      <c r="I46" s="204"/>
      <c r="J46" s="205"/>
      <c r="K46" s="59"/>
    </row>
    <row r="47" spans="1:13" ht="30">
      <c r="A47" s="95"/>
      <c r="B47" s="140"/>
      <c r="C47" s="140"/>
      <c r="D47" s="140" t="s">
        <v>17</v>
      </c>
      <c r="E47" s="230" t="s">
        <v>18</v>
      </c>
      <c r="F47" s="230"/>
      <c r="G47" s="230" t="s">
        <v>19</v>
      </c>
      <c r="H47" s="230"/>
      <c r="I47" s="230" t="s">
        <v>29</v>
      </c>
      <c r="J47" s="231"/>
      <c r="K47" s="59"/>
    </row>
    <row r="48" spans="1:13">
      <c r="A48" s="95"/>
      <c r="B48" s="58" t="s">
        <v>20</v>
      </c>
      <c r="C48" s="232">
        <v>2979.27</v>
      </c>
      <c r="D48" s="233"/>
      <c r="E48" s="234">
        <v>2953.2730000000001</v>
      </c>
      <c r="F48" s="235"/>
      <c r="G48" s="234">
        <v>2953.2730000000001</v>
      </c>
      <c r="H48" s="235"/>
      <c r="I48" s="236"/>
      <c r="J48" s="237"/>
      <c r="K48" s="59"/>
    </row>
    <row r="49" spans="1:14">
      <c r="A49" s="96"/>
      <c r="B49" s="58" t="s">
        <v>21</v>
      </c>
      <c r="C49" s="232">
        <v>1574.08</v>
      </c>
      <c r="D49" s="233"/>
      <c r="E49" s="232">
        <v>1478.72</v>
      </c>
      <c r="F49" s="233"/>
      <c r="G49" s="232">
        <v>1478.72</v>
      </c>
      <c r="H49" s="233"/>
      <c r="I49" s="244"/>
      <c r="J49" s="245"/>
      <c r="K49" s="59"/>
    </row>
    <row r="50" spans="1:14" ht="15.75" thickBot="1">
      <c r="A50" s="96"/>
      <c r="B50" s="58" t="s">
        <v>22</v>
      </c>
      <c r="C50" s="232">
        <v>1005.35</v>
      </c>
      <c r="D50" s="233"/>
      <c r="E50" s="234">
        <v>860.8</v>
      </c>
      <c r="F50" s="235"/>
      <c r="G50" s="234">
        <v>860.8</v>
      </c>
      <c r="H50" s="235"/>
      <c r="I50" s="244">
        <v>19.399000000000001</v>
      </c>
      <c r="J50" s="245"/>
      <c r="K50" s="59"/>
    </row>
    <row r="51" spans="1:14" ht="15.75" thickBot="1">
      <c r="A51" s="6"/>
      <c r="B51" s="7" t="s">
        <v>23</v>
      </c>
      <c r="C51" s="246">
        <f>SUM(C48:D50)</f>
        <v>5558.7000000000007</v>
      </c>
      <c r="D51" s="247"/>
      <c r="E51" s="248">
        <f>SUM(E48:E50)</f>
        <v>5292.7930000000006</v>
      </c>
      <c r="F51" s="249"/>
      <c r="G51" s="248">
        <f>G48+G49+G50</f>
        <v>5292.7930000000006</v>
      </c>
      <c r="H51" s="249"/>
      <c r="I51" s="248">
        <f>SUM(I48:I50)</f>
        <v>19.399000000000001</v>
      </c>
      <c r="J51" s="250"/>
      <c r="K51" s="59"/>
    </row>
    <row r="53" spans="1:14" ht="15.75" thickBot="1">
      <c r="E53" s="97"/>
    </row>
    <row r="54" spans="1:14" ht="19.5" thickBot="1">
      <c r="A54" s="251" t="s">
        <v>32</v>
      </c>
      <c r="B54" s="252"/>
      <c r="C54" s="252"/>
      <c r="D54" s="252"/>
      <c r="E54" s="252"/>
      <c r="F54" s="252"/>
      <c r="G54" s="252"/>
      <c r="H54" s="252"/>
      <c r="I54" s="252"/>
      <c r="J54" s="253"/>
      <c r="K54" s="22"/>
      <c r="L54" s="22"/>
    </row>
    <row r="55" spans="1:14">
      <c r="A55" s="11" t="s">
        <v>33</v>
      </c>
      <c r="B55" s="241" t="s">
        <v>34</v>
      </c>
      <c r="C55" s="242"/>
      <c r="D55" s="242"/>
      <c r="E55" s="242"/>
      <c r="F55" s="242"/>
      <c r="G55" s="242"/>
      <c r="H55" s="242"/>
      <c r="I55" s="243"/>
      <c r="J55" s="101" t="s">
        <v>35</v>
      </c>
      <c r="K55" s="22"/>
      <c r="L55" s="22"/>
    </row>
    <row r="56" spans="1:14" ht="20.25" customHeight="1">
      <c r="A56" s="99">
        <v>1</v>
      </c>
      <c r="B56" s="254" t="s">
        <v>82</v>
      </c>
      <c r="C56" s="254"/>
      <c r="D56" s="254"/>
      <c r="E56" s="254"/>
      <c r="F56" s="254"/>
      <c r="G56" s="254"/>
      <c r="H56" s="254"/>
      <c r="I56" s="254"/>
      <c r="J56" s="45">
        <v>25</v>
      </c>
    </row>
    <row r="57" spans="1:14" ht="18" customHeight="1">
      <c r="A57" s="99">
        <v>2</v>
      </c>
      <c r="B57" s="238" t="s">
        <v>83</v>
      </c>
      <c r="C57" s="239"/>
      <c r="D57" s="239"/>
      <c r="E57" s="134"/>
      <c r="F57" s="134"/>
      <c r="G57" s="134"/>
      <c r="H57" s="134"/>
      <c r="I57" s="135"/>
      <c r="J57" s="45">
        <v>16.2</v>
      </c>
    </row>
    <row r="58" spans="1:14" ht="18" customHeight="1">
      <c r="A58" s="99">
        <v>3</v>
      </c>
      <c r="B58" s="238" t="s">
        <v>84</v>
      </c>
      <c r="C58" s="239"/>
      <c r="D58" s="239"/>
      <c r="E58" s="239"/>
      <c r="F58" s="239"/>
      <c r="G58" s="239"/>
      <c r="H58" s="239"/>
      <c r="I58" s="135"/>
      <c r="J58" s="45">
        <v>25.2</v>
      </c>
    </row>
    <row r="59" spans="1:14" ht="18" customHeight="1">
      <c r="A59" s="99">
        <v>4</v>
      </c>
      <c r="B59" s="254" t="s">
        <v>70</v>
      </c>
      <c r="C59" s="254"/>
      <c r="D59" s="254"/>
      <c r="E59" s="254"/>
      <c r="F59" s="254"/>
      <c r="G59" s="254"/>
      <c r="H59" s="254"/>
      <c r="I59" s="254"/>
      <c r="J59" s="45">
        <v>16</v>
      </c>
    </row>
    <row r="60" spans="1:14" ht="18" customHeight="1">
      <c r="A60" s="99">
        <v>5</v>
      </c>
      <c r="B60" s="254" t="s">
        <v>72</v>
      </c>
      <c r="C60" s="254"/>
      <c r="D60" s="254"/>
      <c r="E60" s="254"/>
      <c r="F60" s="254"/>
      <c r="G60" s="254"/>
      <c r="H60" s="254"/>
      <c r="I60" s="254"/>
      <c r="J60" s="45">
        <v>10</v>
      </c>
    </row>
    <row r="61" spans="1:14" ht="18" customHeight="1">
      <c r="A61" s="99">
        <v>6</v>
      </c>
      <c r="B61" s="254" t="s">
        <v>79</v>
      </c>
      <c r="C61" s="254"/>
      <c r="D61" s="254"/>
      <c r="E61" s="254"/>
      <c r="F61" s="254"/>
      <c r="G61" s="254"/>
      <c r="H61" s="254"/>
      <c r="I61" s="254"/>
      <c r="J61" s="45">
        <v>9.6720000000000006</v>
      </c>
    </row>
    <row r="62" spans="1:14" ht="18" customHeight="1">
      <c r="A62" s="99">
        <v>7</v>
      </c>
      <c r="B62" s="254" t="s">
        <v>85</v>
      </c>
      <c r="C62" s="254"/>
      <c r="D62" s="254"/>
      <c r="E62" s="254"/>
      <c r="F62" s="254"/>
      <c r="G62" s="254"/>
      <c r="H62" s="254"/>
      <c r="I62" s="254"/>
      <c r="J62" s="45">
        <v>10.5</v>
      </c>
    </row>
    <row r="63" spans="1:14" ht="18" customHeight="1">
      <c r="A63" s="99">
        <v>8</v>
      </c>
      <c r="B63" s="254" t="s">
        <v>80</v>
      </c>
      <c r="C63" s="254"/>
      <c r="D63" s="254"/>
      <c r="E63" s="254"/>
      <c r="F63" s="254"/>
      <c r="G63" s="254"/>
      <c r="H63" s="254"/>
      <c r="I63" s="254"/>
      <c r="J63" s="45">
        <v>10</v>
      </c>
    </row>
    <row r="64" spans="1:14" s="3" customFormat="1" ht="18" customHeight="1">
      <c r="A64" s="99">
        <v>9</v>
      </c>
      <c r="B64" s="254" t="s">
        <v>71</v>
      </c>
      <c r="C64" s="254"/>
      <c r="D64" s="254"/>
      <c r="E64" s="254"/>
      <c r="F64" s="254"/>
      <c r="G64" s="254"/>
      <c r="H64" s="254"/>
      <c r="I64" s="254"/>
      <c r="J64" s="45">
        <v>21.352</v>
      </c>
      <c r="L64" s="59"/>
      <c r="M64" s="59"/>
      <c r="N64" s="59"/>
    </row>
    <row r="65" spans="1:14" s="3" customFormat="1" ht="18" customHeight="1">
      <c r="A65" s="99">
        <v>10</v>
      </c>
      <c r="B65" s="254" t="s">
        <v>86</v>
      </c>
      <c r="C65" s="254"/>
      <c r="D65" s="254"/>
      <c r="E65" s="254"/>
      <c r="F65" s="254"/>
      <c r="G65" s="254"/>
      <c r="H65" s="254"/>
      <c r="I65" s="254"/>
      <c r="J65" s="45">
        <v>10</v>
      </c>
      <c r="L65" s="59"/>
      <c r="M65" s="59"/>
      <c r="N65" s="59"/>
    </row>
    <row r="66" spans="1:14" s="3" customFormat="1" ht="19.5" customHeight="1">
      <c r="A66" s="99">
        <v>11</v>
      </c>
      <c r="B66" s="254" t="s">
        <v>74</v>
      </c>
      <c r="C66" s="254"/>
      <c r="D66" s="254"/>
      <c r="E66" s="254"/>
      <c r="F66" s="254"/>
      <c r="G66" s="254"/>
      <c r="H66" s="254"/>
      <c r="I66" s="254"/>
      <c r="J66" s="45">
        <v>12.71</v>
      </c>
      <c r="L66" s="59"/>
      <c r="M66" s="59"/>
      <c r="N66" s="59"/>
    </row>
    <row r="67" spans="1:14" s="3" customFormat="1" ht="22.15" customHeight="1">
      <c r="A67" s="99">
        <v>12</v>
      </c>
      <c r="B67" s="238" t="s">
        <v>81</v>
      </c>
      <c r="C67" s="239"/>
      <c r="D67" s="239"/>
      <c r="E67" s="239"/>
      <c r="F67" s="239"/>
      <c r="G67" s="239"/>
      <c r="H67" s="239"/>
      <c r="I67" s="240"/>
      <c r="J67" s="45">
        <v>10</v>
      </c>
      <c r="L67" s="59"/>
      <c r="M67" s="59"/>
      <c r="N67" s="59"/>
    </row>
    <row r="68" spans="1:14" s="3" customFormat="1" ht="18" customHeight="1">
      <c r="A68" s="100">
        <v>13</v>
      </c>
      <c r="B68" s="238" t="s">
        <v>87</v>
      </c>
      <c r="C68" s="239"/>
      <c r="D68" s="239"/>
      <c r="E68" s="239"/>
      <c r="F68" s="239"/>
      <c r="G68" s="239"/>
      <c r="H68" s="239"/>
      <c r="I68" s="240"/>
      <c r="J68" s="45">
        <v>10</v>
      </c>
      <c r="L68" s="59"/>
      <c r="M68" s="59"/>
      <c r="N68" s="59"/>
    </row>
    <row r="69" spans="1:14" s="3" customFormat="1" ht="24.6" customHeight="1">
      <c r="A69" s="100">
        <v>14</v>
      </c>
      <c r="B69" s="238" t="s">
        <v>88</v>
      </c>
      <c r="C69" s="239"/>
      <c r="D69" s="239"/>
      <c r="E69" s="239"/>
      <c r="F69" s="239"/>
      <c r="G69" s="239"/>
      <c r="H69" s="239"/>
      <c r="I69" s="240"/>
      <c r="J69" s="45">
        <v>10</v>
      </c>
      <c r="L69" s="59"/>
      <c r="M69" s="59"/>
      <c r="N69" s="59"/>
    </row>
    <row r="70" spans="1:14" s="3" customFormat="1" ht="18" customHeight="1">
      <c r="A70" s="100">
        <v>15</v>
      </c>
      <c r="B70" s="238" t="s">
        <v>66</v>
      </c>
      <c r="C70" s="239"/>
      <c r="D70" s="239"/>
      <c r="E70" s="239"/>
      <c r="F70" s="239"/>
      <c r="G70" s="239"/>
      <c r="H70" s="239"/>
      <c r="I70" s="240"/>
      <c r="J70" s="45">
        <v>10</v>
      </c>
      <c r="L70" s="59"/>
      <c r="M70" s="59"/>
      <c r="N70" s="59"/>
    </row>
    <row r="71" spans="1:14" s="3" customFormat="1" ht="27" customHeight="1">
      <c r="A71" s="100">
        <v>16</v>
      </c>
      <c r="B71" s="238" t="s">
        <v>67</v>
      </c>
      <c r="C71" s="239"/>
      <c r="D71" s="239"/>
      <c r="E71" s="239"/>
      <c r="F71" s="239"/>
      <c r="G71" s="239"/>
      <c r="H71" s="239"/>
      <c r="I71" s="240"/>
      <c r="J71" s="45">
        <v>10</v>
      </c>
      <c r="L71" s="59"/>
      <c r="M71" s="59"/>
      <c r="N71" s="59"/>
    </row>
    <row r="72" spans="1:14" s="3" customFormat="1" ht="27.6" customHeight="1">
      <c r="A72" s="100">
        <v>17</v>
      </c>
      <c r="B72" s="255" t="s">
        <v>89</v>
      </c>
      <c r="C72" s="256"/>
      <c r="D72" s="256"/>
      <c r="E72" s="256"/>
      <c r="F72" s="256"/>
      <c r="G72" s="256"/>
      <c r="H72" s="256"/>
      <c r="I72" s="257"/>
      <c r="J72" s="45">
        <v>20.7</v>
      </c>
      <c r="L72" s="59"/>
      <c r="M72" s="59"/>
      <c r="N72" s="59"/>
    </row>
    <row r="73" spans="1:14" s="3" customFormat="1" ht="22.9" customHeight="1">
      <c r="A73" s="100">
        <v>18</v>
      </c>
      <c r="B73" s="238" t="s">
        <v>90</v>
      </c>
      <c r="C73" s="239"/>
      <c r="D73" s="239"/>
      <c r="E73" s="239"/>
      <c r="F73" s="239"/>
      <c r="G73" s="239"/>
      <c r="H73" s="239"/>
      <c r="I73" s="240"/>
      <c r="J73" s="45">
        <v>18</v>
      </c>
      <c r="L73" s="59"/>
      <c r="M73" s="59"/>
      <c r="N73" s="59"/>
    </row>
    <row r="74" spans="1:14" s="3" customFormat="1" ht="25.9" customHeight="1">
      <c r="A74" s="100">
        <v>19</v>
      </c>
      <c r="B74" s="238" t="s">
        <v>91</v>
      </c>
      <c r="C74" s="239"/>
      <c r="D74" s="239"/>
      <c r="E74" s="239"/>
      <c r="F74" s="239"/>
      <c r="G74" s="239"/>
      <c r="H74" s="239"/>
      <c r="I74" s="240"/>
      <c r="J74" s="45">
        <v>10.5</v>
      </c>
      <c r="L74" s="59"/>
      <c r="M74" s="59"/>
      <c r="N74" s="59"/>
    </row>
    <row r="75" spans="1:14" s="3" customFormat="1" ht="24.6" customHeight="1">
      <c r="A75" s="100">
        <v>20</v>
      </c>
      <c r="B75" s="261"/>
      <c r="C75" s="262"/>
      <c r="D75" s="262"/>
      <c r="E75" s="262"/>
      <c r="F75" s="262"/>
      <c r="G75" s="262"/>
      <c r="H75" s="262"/>
      <c r="I75" s="263"/>
      <c r="J75" s="43"/>
      <c r="L75" s="59"/>
      <c r="M75" s="59"/>
      <c r="N75" s="59"/>
    </row>
    <row r="76" spans="1:14" s="3" customFormat="1" ht="26.45" customHeight="1">
      <c r="A76" s="100">
        <v>21</v>
      </c>
      <c r="B76" s="261"/>
      <c r="C76" s="262"/>
      <c r="D76" s="262"/>
      <c r="E76" s="262"/>
      <c r="F76" s="262"/>
      <c r="G76" s="262"/>
      <c r="H76" s="262"/>
      <c r="I76" s="263"/>
      <c r="J76" s="45"/>
      <c r="L76" s="59"/>
      <c r="M76" s="59"/>
      <c r="N76" s="59"/>
    </row>
    <row r="77" spans="1:14" s="3" customFormat="1">
      <c r="A77" s="100">
        <v>22</v>
      </c>
      <c r="B77" s="261"/>
      <c r="C77" s="262"/>
      <c r="D77" s="262"/>
      <c r="E77" s="262"/>
      <c r="F77" s="262"/>
      <c r="G77" s="262"/>
      <c r="H77" s="262"/>
      <c r="I77" s="263"/>
      <c r="J77" s="43"/>
      <c r="L77" s="59"/>
      <c r="M77" s="59"/>
      <c r="N77" s="59"/>
    </row>
    <row r="78" spans="1:14" s="3" customFormat="1">
      <c r="A78" s="100">
        <v>23</v>
      </c>
      <c r="B78" s="261"/>
      <c r="C78" s="262"/>
      <c r="D78" s="262"/>
      <c r="E78" s="262"/>
      <c r="F78" s="262"/>
      <c r="G78" s="262"/>
      <c r="H78" s="262"/>
      <c r="I78" s="263"/>
      <c r="J78" s="43"/>
      <c r="L78" s="59"/>
      <c r="M78" s="59"/>
      <c r="N78" s="59"/>
    </row>
    <row r="79" spans="1:14" s="3" customFormat="1" ht="15.75" thickBot="1">
      <c r="A79" s="40"/>
      <c r="B79" s="258" t="s">
        <v>15</v>
      </c>
      <c r="C79" s="259"/>
      <c r="D79" s="259"/>
      <c r="E79" s="259"/>
      <c r="F79" s="259"/>
      <c r="G79" s="259"/>
      <c r="H79" s="259"/>
      <c r="I79" s="260"/>
      <c r="J79" s="41">
        <f>SUM(J56:J78)</f>
        <v>265.834</v>
      </c>
      <c r="L79" s="59"/>
      <c r="M79" s="59"/>
      <c r="N79" s="59"/>
    </row>
  </sheetData>
  <mergeCells count="89">
    <mergeCell ref="B70:I70"/>
    <mergeCell ref="B71:I71"/>
    <mergeCell ref="B72:I72"/>
    <mergeCell ref="B79:I79"/>
    <mergeCell ref="B75:I75"/>
    <mergeCell ref="B76:I76"/>
    <mergeCell ref="B77:I77"/>
    <mergeCell ref="B78:I78"/>
    <mergeCell ref="B73:I73"/>
    <mergeCell ref="B74:I74"/>
    <mergeCell ref="B67:I67"/>
    <mergeCell ref="B56:I56"/>
    <mergeCell ref="B59:I59"/>
    <mergeCell ref="B60:I60"/>
    <mergeCell ref="B61:I61"/>
    <mergeCell ref="B62:I62"/>
    <mergeCell ref="B63:I63"/>
    <mergeCell ref="B64:I64"/>
    <mergeCell ref="B65:I65"/>
    <mergeCell ref="B66:I66"/>
    <mergeCell ref="B57:D57"/>
    <mergeCell ref="B58:H58"/>
    <mergeCell ref="B68:I68"/>
    <mergeCell ref="B69:I69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A54:J54"/>
    <mergeCell ref="E47:F47"/>
    <mergeCell ref="G47:H47"/>
    <mergeCell ref="I47:J47"/>
    <mergeCell ref="C48:D48"/>
    <mergeCell ref="E48:F48"/>
    <mergeCell ref="G48:H48"/>
    <mergeCell ref="I48:J48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A1:C1"/>
    <mergeCell ref="E1:H1"/>
    <mergeCell ref="J1:K1"/>
    <mergeCell ref="A2:C2"/>
    <mergeCell ref="F2:H2"/>
    <mergeCell ref="J2:K2"/>
  </mergeCells>
  <pageMargins left="0" right="0" top="0.59055118110236204" bottom="0" header="0" footer="0"/>
  <pageSetup paperSize="8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80"/>
  <sheetViews>
    <sheetView topLeftCell="A49" zoomScaleNormal="100" workbookViewId="0">
      <pane xSplit="3" topLeftCell="D1" activePane="topRight" state="frozen"/>
      <selection pane="topRight" activeCell="I48" sqref="I48:J50"/>
    </sheetView>
  </sheetViews>
  <sheetFormatPr defaultColWidth="9.140625" defaultRowHeight="15"/>
  <cols>
    <col min="1" max="1" width="5.7109375" style="3" customWidth="1"/>
    <col min="2" max="2" width="20.7109375" style="3" customWidth="1"/>
    <col min="3" max="3" width="10.7109375" style="3" customWidth="1"/>
    <col min="4" max="5" width="17.7109375" style="3" customWidth="1"/>
    <col min="6" max="6" width="11.7109375" style="9" customWidth="1"/>
    <col min="7" max="7" width="10.7109375" style="98" customWidth="1"/>
    <col min="8" max="8" width="10.7109375" style="3" customWidth="1"/>
    <col min="9" max="9" width="13.7109375" style="3" customWidth="1"/>
    <col min="10" max="10" width="12.28515625" style="3" customWidth="1"/>
    <col min="11" max="11" width="10.7109375" style="3" customWidth="1"/>
    <col min="12" max="12" width="13.85546875" style="59" customWidth="1"/>
    <col min="13" max="13" width="23.42578125" style="59" customWidth="1"/>
    <col min="14" max="14" width="13.140625" style="59" bestFit="1" customWidth="1"/>
    <col min="15" max="16384" width="9.140625" style="59"/>
  </cols>
  <sheetData>
    <row r="1" spans="1:12" ht="46.9" customHeight="1">
      <c r="A1" s="172" t="s">
        <v>41</v>
      </c>
      <c r="B1" s="172"/>
      <c r="C1" s="172"/>
      <c r="D1" s="1"/>
      <c r="E1" s="172" t="s">
        <v>24</v>
      </c>
      <c r="F1" s="172"/>
      <c r="G1" s="172"/>
      <c r="H1" s="172"/>
      <c r="I1" s="137"/>
      <c r="J1" s="173">
        <v>8</v>
      </c>
      <c r="K1" s="173"/>
    </row>
    <row r="2" spans="1:12" ht="28.5">
      <c r="A2" s="174">
        <v>46319</v>
      </c>
      <c r="B2" s="175"/>
      <c r="C2" s="175"/>
      <c r="D2" s="2"/>
      <c r="E2" s="2"/>
      <c r="F2" s="176"/>
      <c r="G2" s="176"/>
      <c r="H2" s="176"/>
      <c r="I2" s="138"/>
      <c r="J2" s="176"/>
      <c r="K2" s="176"/>
    </row>
    <row r="3" spans="1:12" ht="27" thickBot="1">
      <c r="A3" s="180" t="s">
        <v>0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</row>
    <row r="4" spans="1:12" ht="18" customHeight="1">
      <c r="A4" s="181" t="s">
        <v>25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3"/>
    </row>
    <row r="5" spans="1:12" s="60" customFormat="1" ht="18" customHeight="1">
      <c r="A5" s="28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10</v>
      </c>
      <c r="L5" s="29">
        <v>11</v>
      </c>
    </row>
    <row r="6" spans="1:12" ht="82.9" customHeight="1">
      <c r="A6" s="184" t="s">
        <v>1</v>
      </c>
      <c r="B6" s="185" t="s">
        <v>2</v>
      </c>
      <c r="C6" s="185" t="s">
        <v>3</v>
      </c>
      <c r="D6" s="185" t="s">
        <v>4</v>
      </c>
      <c r="E6" s="136" t="s">
        <v>5</v>
      </c>
      <c r="F6" s="185" t="s">
        <v>6</v>
      </c>
      <c r="G6" s="186" t="s">
        <v>7</v>
      </c>
      <c r="H6" s="187" t="s">
        <v>8</v>
      </c>
      <c r="I6" s="185" t="s">
        <v>9</v>
      </c>
      <c r="J6" s="188" t="s">
        <v>30</v>
      </c>
      <c r="K6" s="190" t="s">
        <v>10</v>
      </c>
      <c r="L6" s="191"/>
    </row>
    <row r="7" spans="1:12" s="60" customFormat="1" ht="63.6" customHeight="1">
      <c r="A7" s="184"/>
      <c r="B7" s="185"/>
      <c r="C7" s="185"/>
      <c r="D7" s="185"/>
      <c r="E7" s="136" t="s">
        <v>11</v>
      </c>
      <c r="F7" s="185"/>
      <c r="G7" s="186"/>
      <c r="H7" s="187"/>
      <c r="I7" s="185"/>
      <c r="J7" s="189"/>
      <c r="K7" s="136" t="s">
        <v>7</v>
      </c>
      <c r="L7" s="30" t="s">
        <v>8</v>
      </c>
    </row>
    <row r="8" spans="1:12" s="60" customFormat="1" ht="15.75">
      <c r="A8" s="61">
        <v>1</v>
      </c>
      <c r="B8" s="46" t="s">
        <v>42</v>
      </c>
      <c r="C8" s="141" t="s">
        <v>43</v>
      </c>
      <c r="D8" s="47" t="s">
        <v>61</v>
      </c>
      <c r="E8" s="48" t="s">
        <v>46</v>
      </c>
      <c r="F8" s="62"/>
      <c r="G8" s="63"/>
      <c r="H8" s="64"/>
      <c r="I8" s="65"/>
      <c r="J8" s="65">
        <f>I8-F8</f>
        <v>0</v>
      </c>
      <c r="K8" s="64"/>
      <c r="L8" s="66"/>
    </row>
    <row r="9" spans="1:12" ht="15.75">
      <c r="A9" s="61">
        <v>2</v>
      </c>
      <c r="B9" s="50" t="s">
        <v>50</v>
      </c>
      <c r="C9" s="141" t="s">
        <v>51</v>
      </c>
      <c r="D9" s="54" t="s">
        <v>59</v>
      </c>
      <c r="E9" s="49" t="s">
        <v>47</v>
      </c>
      <c r="F9" s="62">
        <v>0.28819444444444448</v>
      </c>
      <c r="G9" s="63">
        <v>23</v>
      </c>
      <c r="H9" s="64">
        <v>871.20699999999999</v>
      </c>
      <c r="I9" s="65">
        <v>0.57986111111111105</v>
      </c>
      <c r="J9" s="65">
        <f t="shared" ref="J9:J12" si="0">I9-F9</f>
        <v>0.29166666666666657</v>
      </c>
      <c r="K9" s="64"/>
      <c r="L9" s="66"/>
    </row>
    <row r="10" spans="1:12" ht="15.75">
      <c r="A10" s="67">
        <v>3</v>
      </c>
      <c r="B10" s="48" t="s">
        <v>42</v>
      </c>
      <c r="C10" s="142" t="s">
        <v>45</v>
      </c>
      <c r="D10" s="47" t="s">
        <v>58</v>
      </c>
      <c r="E10" s="48" t="s">
        <v>47</v>
      </c>
      <c r="F10" s="62">
        <v>0.2673611111111111</v>
      </c>
      <c r="G10" s="63">
        <v>24</v>
      </c>
      <c r="H10" s="64">
        <v>849.19600000000003</v>
      </c>
      <c r="I10" s="65">
        <v>0.58333333333333337</v>
      </c>
      <c r="J10" s="65">
        <f t="shared" si="0"/>
        <v>0.31597222222222227</v>
      </c>
      <c r="K10" s="64"/>
      <c r="L10" s="66"/>
    </row>
    <row r="11" spans="1:12" ht="15.75">
      <c r="A11" s="61">
        <v>4</v>
      </c>
      <c r="B11" s="48" t="s">
        <v>42</v>
      </c>
      <c r="C11" s="142" t="s">
        <v>78</v>
      </c>
      <c r="D11" s="47" t="s">
        <v>63</v>
      </c>
      <c r="E11" s="51" t="s">
        <v>46</v>
      </c>
      <c r="F11" s="62">
        <v>0.29166666666666669</v>
      </c>
      <c r="G11" s="63">
        <v>18</v>
      </c>
      <c r="H11" s="64">
        <v>669.25699999999995</v>
      </c>
      <c r="I11" s="65">
        <v>0.60416666666666663</v>
      </c>
      <c r="J11" s="65">
        <f t="shared" si="0"/>
        <v>0.31249999999999994</v>
      </c>
      <c r="K11" s="64"/>
      <c r="L11" s="66"/>
    </row>
    <row r="12" spans="1:12" ht="15.75">
      <c r="A12" s="105">
        <v>5</v>
      </c>
      <c r="B12" s="52" t="s">
        <v>50</v>
      </c>
      <c r="C12" s="141" t="s">
        <v>54</v>
      </c>
      <c r="D12" s="53" t="s">
        <v>57</v>
      </c>
      <c r="E12" s="49" t="s">
        <v>47</v>
      </c>
      <c r="F12" s="65">
        <v>0.27083333333333331</v>
      </c>
      <c r="G12" s="63">
        <v>23</v>
      </c>
      <c r="H12" s="64">
        <v>775.22400000000005</v>
      </c>
      <c r="I12" s="65">
        <v>0.57638888888888895</v>
      </c>
      <c r="J12" s="65">
        <f t="shared" si="0"/>
        <v>0.30555555555555564</v>
      </c>
      <c r="K12" s="64"/>
      <c r="L12" s="66"/>
    </row>
    <row r="13" spans="1:12" ht="15.75">
      <c r="A13" s="68"/>
      <c r="B13" s="50"/>
      <c r="C13" s="46"/>
      <c r="D13" s="54"/>
      <c r="E13" s="51"/>
      <c r="F13" s="65"/>
      <c r="G13" s="63"/>
      <c r="H13" s="64"/>
      <c r="I13" s="65"/>
      <c r="J13" s="65"/>
      <c r="K13" s="64"/>
      <c r="L13" s="66"/>
    </row>
    <row r="14" spans="1:12" ht="15.75">
      <c r="A14" s="68"/>
      <c r="B14" s="69"/>
      <c r="C14" s="70"/>
      <c r="D14" s="47"/>
      <c r="E14" s="71"/>
      <c r="F14" s="65"/>
      <c r="G14" s="63"/>
      <c r="H14" s="64"/>
      <c r="I14" s="65"/>
      <c r="J14" s="65"/>
      <c r="K14" s="64"/>
      <c r="L14" s="66"/>
    </row>
    <row r="15" spans="1:12" ht="15.75">
      <c r="A15" s="68"/>
      <c r="B15" s="48"/>
      <c r="C15" s="50"/>
      <c r="D15" s="47"/>
      <c r="E15" s="48"/>
      <c r="F15" s="65"/>
      <c r="G15" s="63"/>
      <c r="H15" s="64"/>
      <c r="I15" s="65"/>
      <c r="J15" s="65"/>
      <c r="K15" s="64"/>
      <c r="L15" s="66"/>
    </row>
    <row r="16" spans="1:12">
      <c r="A16" s="68"/>
      <c r="B16" s="72"/>
      <c r="C16" s="140"/>
      <c r="D16" s="39"/>
      <c r="E16" s="73"/>
      <c r="F16" s="74"/>
      <c r="G16" s="75"/>
      <c r="H16" s="76"/>
      <c r="I16" s="74"/>
      <c r="J16" s="77"/>
      <c r="K16" s="76"/>
      <c r="L16" s="78"/>
    </row>
    <row r="17" spans="1:14">
      <c r="A17" s="68"/>
      <c r="B17" s="72"/>
      <c r="C17" s="140"/>
      <c r="D17" s="39"/>
      <c r="E17" s="73"/>
      <c r="F17" s="74"/>
      <c r="G17" s="75"/>
      <c r="H17" s="76"/>
      <c r="I17" s="74"/>
      <c r="J17" s="77"/>
      <c r="K17" s="76"/>
      <c r="L17" s="78"/>
    </row>
    <row r="18" spans="1:14">
      <c r="A18" s="68"/>
      <c r="B18" s="72"/>
      <c r="C18" s="140"/>
      <c r="D18" s="39"/>
      <c r="E18" s="73"/>
      <c r="F18" s="74"/>
      <c r="G18" s="75"/>
      <c r="H18" s="76"/>
      <c r="I18" s="74"/>
      <c r="J18" s="77"/>
      <c r="K18" s="76"/>
      <c r="L18" s="78"/>
    </row>
    <row r="19" spans="1:14">
      <c r="A19" s="68"/>
      <c r="B19" s="72"/>
      <c r="C19" s="140"/>
      <c r="D19" s="39"/>
      <c r="E19" s="73"/>
      <c r="F19" s="74"/>
      <c r="G19" s="75"/>
      <c r="H19" s="76"/>
      <c r="I19" s="74"/>
      <c r="J19" s="77"/>
      <c r="K19" s="24"/>
      <c r="L19" s="78"/>
    </row>
    <row r="20" spans="1:14">
      <c r="A20" s="68"/>
      <c r="B20" s="72"/>
      <c r="C20" s="140"/>
      <c r="D20" s="39"/>
      <c r="E20" s="73"/>
      <c r="F20" s="74"/>
      <c r="G20" s="75"/>
      <c r="H20" s="76"/>
      <c r="I20" s="74"/>
      <c r="J20" s="77"/>
      <c r="K20" s="24"/>
      <c r="L20" s="79"/>
    </row>
    <row r="21" spans="1:14" ht="16.5" thickBot="1">
      <c r="A21" s="192" t="s">
        <v>15</v>
      </c>
      <c r="B21" s="193"/>
      <c r="C21" s="193"/>
      <c r="D21" s="193"/>
      <c r="E21" s="193"/>
      <c r="F21" s="194"/>
      <c r="G21" s="102">
        <f>SUM(G8:G20)</f>
        <v>88</v>
      </c>
      <c r="H21" s="102">
        <f>SUM(H8:H19)</f>
        <v>3164.884</v>
      </c>
      <c r="I21" s="103"/>
      <c r="J21" s="103"/>
      <c r="K21" s="102">
        <f>SUM(K8:K20)</f>
        <v>0</v>
      </c>
      <c r="L21" s="104">
        <f>SUM(L8:L20)</f>
        <v>0</v>
      </c>
    </row>
    <row r="23" spans="1:14" ht="15.75" thickBot="1">
      <c r="D23" s="80"/>
      <c r="E23" s="8"/>
      <c r="G23" s="81"/>
      <c r="H23" s="8"/>
      <c r="I23" s="8"/>
      <c r="L23" s="60"/>
      <c r="N23" s="82"/>
    </row>
    <row r="24" spans="1:14" ht="18.75">
      <c r="A24" s="177" t="s">
        <v>26</v>
      </c>
      <c r="B24" s="178"/>
      <c r="C24" s="178"/>
      <c r="D24" s="178"/>
      <c r="E24" s="178"/>
      <c r="F24" s="178"/>
      <c r="G24" s="178"/>
      <c r="H24" s="178"/>
      <c r="I24" s="179"/>
      <c r="J24" s="60"/>
      <c r="K24" s="60"/>
      <c r="L24" s="60"/>
      <c r="N24" s="82"/>
    </row>
    <row r="25" spans="1:14">
      <c r="A25" s="12">
        <v>1</v>
      </c>
      <c r="B25" s="31">
        <v>2</v>
      </c>
      <c r="C25" s="31">
        <v>3</v>
      </c>
      <c r="D25" s="31">
        <v>4</v>
      </c>
      <c r="E25" s="31">
        <v>5</v>
      </c>
      <c r="F25" s="31">
        <v>6</v>
      </c>
      <c r="G25" s="31">
        <v>7</v>
      </c>
      <c r="H25" s="31">
        <v>8</v>
      </c>
      <c r="I25" s="13">
        <v>9</v>
      </c>
      <c r="J25" s="60"/>
      <c r="K25" s="60"/>
      <c r="N25" s="82"/>
    </row>
    <row r="26" spans="1:14" ht="30">
      <c r="A26" s="23" t="s">
        <v>1</v>
      </c>
      <c r="B26" s="136" t="s">
        <v>2</v>
      </c>
      <c r="C26" s="136" t="s">
        <v>3</v>
      </c>
      <c r="D26" s="136" t="s">
        <v>27</v>
      </c>
      <c r="E26" s="136" t="s">
        <v>6</v>
      </c>
      <c r="F26" s="136" t="s">
        <v>28</v>
      </c>
      <c r="G26" s="136" t="s">
        <v>8</v>
      </c>
      <c r="H26" s="136" t="s">
        <v>31</v>
      </c>
      <c r="I26" s="14" t="s">
        <v>30</v>
      </c>
      <c r="J26" s="60"/>
      <c r="K26" s="60"/>
      <c r="L26" s="60"/>
      <c r="N26" s="82"/>
    </row>
    <row r="27" spans="1:14">
      <c r="A27" s="26"/>
      <c r="B27" s="25"/>
      <c r="C27" s="24"/>
      <c r="D27" s="32"/>
      <c r="E27" s="83"/>
      <c r="F27" s="75"/>
      <c r="G27" s="76"/>
      <c r="H27" s="84"/>
      <c r="I27" s="85"/>
      <c r="J27" s="60"/>
      <c r="K27" s="60"/>
      <c r="L27" s="60"/>
    </row>
    <row r="28" spans="1:14">
      <c r="A28" s="24"/>
      <c r="B28" s="25"/>
      <c r="C28" s="24"/>
      <c r="D28" s="32"/>
      <c r="E28" s="83"/>
      <c r="F28" s="75"/>
      <c r="G28" s="76"/>
      <c r="H28" s="84"/>
      <c r="I28" s="85"/>
      <c r="J28" s="60"/>
      <c r="K28" s="60"/>
      <c r="L28" s="60"/>
    </row>
    <row r="29" spans="1:14">
      <c r="A29" s="24"/>
      <c r="B29" s="24"/>
      <c r="C29" s="24"/>
      <c r="D29" s="32"/>
      <c r="E29" s="83"/>
      <c r="F29" s="75"/>
      <c r="G29" s="76"/>
      <c r="H29" s="84"/>
      <c r="I29" s="85"/>
      <c r="J29" s="60"/>
      <c r="K29" s="60"/>
      <c r="L29" s="60"/>
    </row>
    <row r="30" spans="1:14">
      <c r="A30" s="27"/>
      <c r="B30" s="27"/>
      <c r="C30" s="27"/>
      <c r="D30" s="32"/>
      <c r="E30" s="83"/>
      <c r="F30" s="75"/>
      <c r="G30" s="76"/>
      <c r="H30" s="84"/>
      <c r="I30" s="85"/>
      <c r="J30" s="60"/>
      <c r="K30" s="60"/>
      <c r="L30" s="60"/>
    </row>
    <row r="31" spans="1:14" ht="15.75" thickBot="1">
      <c r="A31" s="195" t="s">
        <v>15</v>
      </c>
      <c r="B31" s="196"/>
      <c r="C31" s="197"/>
      <c r="D31" s="5"/>
      <c r="E31" s="15"/>
      <c r="F31" s="15">
        <f>SUM(F30:F30)</f>
        <v>0</v>
      </c>
      <c r="G31" s="15">
        <f>SUM(G30:G30)</f>
        <v>0</v>
      </c>
      <c r="H31" s="16"/>
      <c r="I31" s="17"/>
      <c r="J31" s="59"/>
      <c r="K31" s="59"/>
    </row>
    <row r="32" spans="1:14" ht="15.75" thickBot="1">
      <c r="D32" s="80"/>
      <c r="E32" s="8"/>
      <c r="G32" s="81"/>
      <c r="H32" s="8"/>
      <c r="I32" s="8"/>
      <c r="L32" s="60"/>
    </row>
    <row r="33" spans="1:13" ht="18.75">
      <c r="A33" s="177" t="s">
        <v>12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</row>
    <row r="34" spans="1:13" ht="15.75" thickBot="1">
      <c r="A34" s="34">
        <v>1</v>
      </c>
      <c r="B34" s="35">
        <v>2</v>
      </c>
      <c r="C34" s="35">
        <v>3</v>
      </c>
      <c r="D34" s="35">
        <v>4</v>
      </c>
      <c r="E34" s="35">
        <v>5</v>
      </c>
      <c r="F34" s="35">
        <v>6</v>
      </c>
      <c r="G34" s="35">
        <v>7</v>
      </c>
      <c r="H34" s="35">
        <v>8</v>
      </c>
      <c r="I34" s="35">
        <v>9</v>
      </c>
      <c r="J34" s="35">
        <v>10</v>
      </c>
      <c r="K34" s="35">
        <v>11</v>
      </c>
      <c r="L34" s="198">
        <v>12</v>
      </c>
      <c r="M34" s="199"/>
    </row>
    <row r="35" spans="1:13" ht="45">
      <c r="A35" s="200" t="s">
        <v>1</v>
      </c>
      <c r="B35" s="202" t="s">
        <v>2</v>
      </c>
      <c r="C35" s="202" t="s">
        <v>3</v>
      </c>
      <c r="D35" s="202" t="s">
        <v>4</v>
      </c>
      <c r="E35" s="37" t="s">
        <v>5</v>
      </c>
      <c r="F35" s="202" t="s">
        <v>14</v>
      </c>
      <c r="G35" s="202" t="s">
        <v>13</v>
      </c>
      <c r="H35" s="202" t="s">
        <v>37</v>
      </c>
      <c r="I35" s="202" t="s">
        <v>39</v>
      </c>
      <c r="J35" s="202" t="s">
        <v>38</v>
      </c>
      <c r="K35" s="202" t="s">
        <v>40</v>
      </c>
      <c r="L35" s="206" t="s">
        <v>36</v>
      </c>
      <c r="M35" s="207"/>
    </row>
    <row r="36" spans="1:13" ht="45">
      <c r="A36" s="201"/>
      <c r="B36" s="189"/>
      <c r="C36" s="189"/>
      <c r="D36" s="189"/>
      <c r="E36" s="139" t="s">
        <v>11</v>
      </c>
      <c r="F36" s="189"/>
      <c r="G36" s="189"/>
      <c r="H36" s="189"/>
      <c r="I36" s="189"/>
      <c r="J36" s="189"/>
      <c r="K36" s="189"/>
      <c r="L36" s="208"/>
      <c r="M36" s="209"/>
    </row>
    <row r="37" spans="1:13" s="22" customFormat="1" ht="46.5" customHeight="1">
      <c r="A37" s="55">
        <v>6</v>
      </c>
      <c r="B37" s="110" t="s">
        <v>42</v>
      </c>
      <c r="C37" s="109" t="s">
        <v>48</v>
      </c>
      <c r="D37" s="56" t="s">
        <v>59</v>
      </c>
      <c r="E37" s="110" t="s">
        <v>46</v>
      </c>
      <c r="F37" s="111">
        <v>46248</v>
      </c>
      <c r="G37" s="112">
        <v>240000</v>
      </c>
      <c r="H37" s="113" t="s">
        <v>56</v>
      </c>
      <c r="I37" s="114">
        <v>46248</v>
      </c>
      <c r="J37" s="115" t="s">
        <v>65</v>
      </c>
      <c r="K37" s="57"/>
      <c r="L37" s="210" t="s">
        <v>49</v>
      </c>
      <c r="M37" s="211"/>
    </row>
    <row r="38" spans="1:13" s="22" customFormat="1" ht="63">
      <c r="A38" s="55">
        <v>7</v>
      </c>
      <c r="B38" s="116" t="s">
        <v>52</v>
      </c>
      <c r="C38" s="116" t="s">
        <v>53</v>
      </c>
      <c r="D38" s="116" t="s">
        <v>58</v>
      </c>
      <c r="E38" s="117" t="s">
        <v>46</v>
      </c>
      <c r="F38" s="118" t="s">
        <v>62</v>
      </c>
      <c r="G38" s="112">
        <v>680000</v>
      </c>
      <c r="H38" s="119"/>
      <c r="I38" s="120"/>
      <c r="J38" s="120"/>
      <c r="K38" s="121"/>
      <c r="L38" s="212" t="s">
        <v>55</v>
      </c>
      <c r="M38" s="213"/>
    </row>
    <row r="39" spans="1:13" ht="34.5" customHeight="1">
      <c r="A39" s="122">
        <v>8</v>
      </c>
      <c r="B39" s="116" t="s">
        <v>42</v>
      </c>
      <c r="C39" s="116" t="s">
        <v>44</v>
      </c>
      <c r="D39" s="123" t="s">
        <v>60</v>
      </c>
      <c r="E39" s="124" t="s">
        <v>47</v>
      </c>
      <c r="F39" s="125">
        <v>46317</v>
      </c>
      <c r="G39" s="108"/>
      <c r="H39" s="113" t="s">
        <v>56</v>
      </c>
      <c r="I39" s="126">
        <v>46317</v>
      </c>
      <c r="J39" s="126">
        <v>46325</v>
      </c>
      <c r="K39" s="109"/>
      <c r="L39" s="214" t="s">
        <v>77</v>
      </c>
      <c r="M39" s="215"/>
    </row>
    <row r="40" spans="1:13" ht="15.75">
      <c r="A40" s="122"/>
      <c r="B40" s="106"/>
      <c r="C40" s="106"/>
      <c r="D40" s="106"/>
      <c r="E40" s="106"/>
      <c r="F40" s="107"/>
      <c r="G40" s="108"/>
      <c r="H40" s="109"/>
      <c r="I40" s="109"/>
      <c r="J40" s="109"/>
      <c r="K40" s="109"/>
      <c r="L40" s="216"/>
      <c r="M40" s="217"/>
    </row>
    <row r="41" spans="1:13">
      <c r="A41" s="86"/>
      <c r="B41" s="127"/>
      <c r="C41" s="128"/>
      <c r="D41" s="128"/>
      <c r="E41" s="129"/>
      <c r="F41" s="130"/>
      <c r="G41" s="131"/>
      <c r="H41" s="132"/>
      <c r="I41" s="130"/>
      <c r="J41" s="130"/>
      <c r="K41" s="132"/>
      <c r="L41" s="218"/>
      <c r="M41" s="219"/>
    </row>
    <row r="42" spans="1:13">
      <c r="A42" s="86"/>
      <c r="B42" s="127"/>
      <c r="C42" s="128"/>
      <c r="D42" s="87"/>
      <c r="E42" s="33"/>
      <c r="F42" s="88"/>
      <c r="G42" s="131"/>
      <c r="H42" s="89"/>
      <c r="I42" s="88"/>
      <c r="J42" s="88"/>
      <c r="K42" s="89"/>
      <c r="L42" s="220"/>
      <c r="M42" s="221"/>
    </row>
    <row r="43" spans="1:13" ht="15.75" thickBot="1">
      <c r="A43" s="133"/>
      <c r="B43" s="90"/>
      <c r="C43" s="91"/>
      <c r="D43" s="91"/>
      <c r="E43" s="92"/>
      <c r="F43" s="93"/>
      <c r="G43" s="38"/>
      <c r="H43" s="94"/>
      <c r="I43" s="93"/>
      <c r="J43" s="93"/>
      <c r="K43" s="94"/>
      <c r="L43" s="222"/>
      <c r="M43" s="223"/>
    </row>
    <row r="44" spans="1:13" ht="15.75" thickBot="1">
      <c r="A44" s="224" t="s">
        <v>15</v>
      </c>
      <c r="B44" s="225"/>
      <c r="C44" s="225"/>
      <c r="D44" s="225"/>
      <c r="E44" s="226"/>
      <c r="F44" s="36"/>
      <c r="G44" s="227">
        <f>SUM(G37:G43)</f>
        <v>920000</v>
      </c>
      <c r="H44" s="228"/>
      <c r="I44" s="228"/>
      <c r="J44" s="228"/>
      <c r="K44" s="228"/>
      <c r="L44" s="229"/>
    </row>
    <row r="45" spans="1:13" ht="15.75" thickBot="1">
      <c r="A45" s="18"/>
      <c r="B45" s="18"/>
      <c r="C45" s="18"/>
      <c r="D45" s="18"/>
      <c r="E45" s="19"/>
      <c r="F45" s="19"/>
      <c r="G45" s="20"/>
      <c r="H45" s="20"/>
      <c r="J45" s="4"/>
      <c r="K45" s="21"/>
    </row>
    <row r="46" spans="1:13" ht="18.75">
      <c r="A46" s="203" t="s">
        <v>16</v>
      </c>
      <c r="B46" s="204"/>
      <c r="C46" s="204"/>
      <c r="D46" s="204"/>
      <c r="E46" s="204"/>
      <c r="F46" s="204"/>
      <c r="G46" s="204"/>
      <c r="H46" s="204"/>
      <c r="I46" s="204"/>
      <c r="J46" s="205"/>
      <c r="K46" s="59"/>
    </row>
    <row r="47" spans="1:13" ht="30">
      <c r="A47" s="95"/>
      <c r="B47" s="140"/>
      <c r="C47" s="140"/>
      <c r="D47" s="140" t="s">
        <v>17</v>
      </c>
      <c r="E47" s="230" t="s">
        <v>18</v>
      </c>
      <c r="F47" s="230"/>
      <c r="G47" s="230" t="s">
        <v>19</v>
      </c>
      <c r="H47" s="230"/>
      <c r="I47" s="230" t="s">
        <v>29</v>
      </c>
      <c r="J47" s="231"/>
      <c r="K47" s="59"/>
    </row>
    <row r="48" spans="1:13">
      <c r="A48" s="95"/>
      <c r="B48" s="58" t="s">
        <v>20</v>
      </c>
      <c r="C48" s="232">
        <v>1463.41</v>
      </c>
      <c r="D48" s="233"/>
      <c r="E48" s="234">
        <v>1369</v>
      </c>
      <c r="F48" s="235"/>
      <c r="G48" s="234">
        <v>1369</v>
      </c>
      <c r="H48" s="235"/>
      <c r="I48" s="236">
        <v>20</v>
      </c>
      <c r="J48" s="237"/>
      <c r="K48" s="59"/>
    </row>
    <row r="49" spans="1:14">
      <c r="A49" s="96"/>
      <c r="B49" s="58" t="s">
        <v>21</v>
      </c>
      <c r="C49" s="232">
        <v>921</v>
      </c>
      <c r="D49" s="233"/>
      <c r="E49" s="232">
        <v>871</v>
      </c>
      <c r="F49" s="233"/>
      <c r="G49" s="232">
        <v>871</v>
      </c>
      <c r="H49" s="233"/>
      <c r="I49" s="244">
        <v>5</v>
      </c>
      <c r="J49" s="245"/>
      <c r="K49" s="59"/>
    </row>
    <row r="50" spans="1:14" ht="15.75" thickBot="1">
      <c r="A50" s="96"/>
      <c r="B50" s="58" t="s">
        <v>22</v>
      </c>
      <c r="C50" s="232">
        <v>1055.27</v>
      </c>
      <c r="D50" s="233"/>
      <c r="E50" s="234">
        <v>956</v>
      </c>
      <c r="F50" s="235"/>
      <c r="G50" s="234">
        <v>956</v>
      </c>
      <c r="H50" s="235"/>
      <c r="I50" s="244">
        <v>6.87</v>
      </c>
      <c r="J50" s="245"/>
      <c r="K50" s="59"/>
    </row>
    <row r="51" spans="1:14" ht="15.75" thickBot="1">
      <c r="A51" s="6"/>
      <c r="B51" s="7" t="s">
        <v>23</v>
      </c>
      <c r="C51" s="246">
        <f>SUM(C48:D50)</f>
        <v>3439.68</v>
      </c>
      <c r="D51" s="247"/>
      <c r="E51" s="248">
        <f>SUM(E48:E50)</f>
        <v>3196</v>
      </c>
      <c r="F51" s="249"/>
      <c r="G51" s="248">
        <f>G48+G49+G50</f>
        <v>3196</v>
      </c>
      <c r="H51" s="249"/>
      <c r="I51" s="248">
        <f>SUM(I48:I50)</f>
        <v>31.87</v>
      </c>
      <c r="J51" s="250"/>
      <c r="K51" s="59"/>
    </row>
    <row r="53" spans="1:14" ht="15.75" thickBot="1">
      <c r="E53" s="97"/>
    </row>
    <row r="54" spans="1:14" ht="19.5" thickBot="1">
      <c r="A54" s="251" t="s">
        <v>32</v>
      </c>
      <c r="B54" s="252"/>
      <c r="C54" s="252"/>
      <c r="D54" s="252"/>
      <c r="E54" s="252"/>
      <c r="F54" s="252"/>
      <c r="G54" s="252"/>
      <c r="H54" s="252"/>
      <c r="I54" s="252"/>
      <c r="J54" s="253"/>
      <c r="K54" s="22"/>
      <c r="L54" s="22"/>
    </row>
    <row r="55" spans="1:14">
      <c r="A55" s="11" t="s">
        <v>33</v>
      </c>
      <c r="B55" s="241" t="s">
        <v>34</v>
      </c>
      <c r="C55" s="242"/>
      <c r="D55" s="242"/>
      <c r="E55" s="242"/>
      <c r="F55" s="242"/>
      <c r="G55" s="242"/>
      <c r="H55" s="242"/>
      <c r="I55" s="243"/>
      <c r="J55" s="101" t="s">
        <v>35</v>
      </c>
      <c r="K55" s="22"/>
      <c r="L55" s="22"/>
    </row>
    <row r="56" spans="1:14" ht="15.75" customHeight="1">
      <c r="A56" s="99">
        <v>1</v>
      </c>
      <c r="B56" s="238" t="s">
        <v>83</v>
      </c>
      <c r="C56" s="239"/>
      <c r="D56" s="239"/>
      <c r="E56" s="239"/>
      <c r="F56" s="239"/>
      <c r="G56" s="239"/>
      <c r="H56" s="239"/>
      <c r="I56" s="239"/>
      <c r="J56" s="143">
        <v>5.6</v>
      </c>
    </row>
    <row r="57" spans="1:14" ht="15.75" customHeight="1">
      <c r="A57" s="99">
        <v>2</v>
      </c>
      <c r="B57" s="238" t="s">
        <v>92</v>
      </c>
      <c r="C57" s="239"/>
      <c r="D57" s="239"/>
      <c r="E57" s="239"/>
      <c r="F57" s="239"/>
      <c r="G57" s="239"/>
      <c r="H57" s="239"/>
      <c r="I57" s="239"/>
      <c r="J57" s="143">
        <v>9.3000000000000007</v>
      </c>
    </row>
    <row r="58" spans="1:14" ht="15.75" customHeight="1">
      <c r="A58" s="99">
        <v>3</v>
      </c>
      <c r="B58" s="238" t="s">
        <v>64</v>
      </c>
      <c r="C58" s="239"/>
      <c r="D58" s="239"/>
      <c r="E58" s="239"/>
      <c r="F58" s="239"/>
      <c r="G58" s="239"/>
      <c r="H58" s="239"/>
      <c r="I58" s="239"/>
      <c r="J58" s="144">
        <v>14.35</v>
      </c>
    </row>
    <row r="59" spans="1:14" ht="15.75" customHeight="1">
      <c r="A59" s="99">
        <v>4</v>
      </c>
      <c r="B59" s="238" t="s">
        <v>93</v>
      </c>
      <c r="C59" s="239"/>
      <c r="D59" s="239"/>
      <c r="E59" s="239"/>
      <c r="F59" s="239"/>
      <c r="G59" s="239"/>
      <c r="H59" s="239"/>
      <c r="I59" s="239"/>
      <c r="J59" s="145">
        <v>6.3239999999999998</v>
      </c>
    </row>
    <row r="60" spans="1:14" ht="15.75" customHeight="1">
      <c r="A60" s="99">
        <v>5</v>
      </c>
      <c r="B60" s="255" t="s">
        <v>94</v>
      </c>
      <c r="C60" s="256"/>
      <c r="D60" s="256"/>
      <c r="E60" s="256"/>
      <c r="F60" s="256"/>
      <c r="G60" s="256"/>
      <c r="H60" s="256"/>
      <c r="I60" s="256"/>
      <c r="J60" s="144">
        <v>7.56</v>
      </c>
    </row>
    <row r="61" spans="1:14" ht="15.75" customHeight="1">
      <c r="A61" s="99">
        <v>6</v>
      </c>
      <c r="B61" s="255" t="s">
        <v>71</v>
      </c>
      <c r="C61" s="256"/>
      <c r="D61" s="256"/>
      <c r="E61" s="256"/>
      <c r="F61" s="256"/>
      <c r="G61" s="256"/>
      <c r="H61" s="256"/>
      <c r="I61" s="256"/>
      <c r="J61" s="144">
        <v>10.65</v>
      </c>
    </row>
    <row r="62" spans="1:14" ht="15.75" customHeight="1">
      <c r="A62" s="99">
        <v>7</v>
      </c>
      <c r="B62" s="255" t="s">
        <v>86</v>
      </c>
      <c r="C62" s="256"/>
      <c r="D62" s="256"/>
      <c r="E62" s="256"/>
      <c r="F62" s="256"/>
      <c r="G62" s="256"/>
      <c r="H62" s="256"/>
      <c r="I62" s="256"/>
      <c r="J62" s="144">
        <v>17.22</v>
      </c>
    </row>
    <row r="63" spans="1:14" ht="15.75" customHeight="1">
      <c r="A63" s="99">
        <v>8</v>
      </c>
      <c r="B63" s="255" t="s">
        <v>73</v>
      </c>
      <c r="C63" s="256"/>
      <c r="D63" s="256"/>
      <c r="E63" s="256"/>
      <c r="F63" s="256"/>
      <c r="G63" s="256"/>
      <c r="H63" s="256"/>
      <c r="I63" s="256"/>
      <c r="J63" s="146">
        <v>7</v>
      </c>
    </row>
    <row r="64" spans="1:14" s="3" customFormat="1" ht="15.75" customHeight="1">
      <c r="A64" s="99">
        <v>9</v>
      </c>
      <c r="B64" s="255" t="s">
        <v>95</v>
      </c>
      <c r="C64" s="256"/>
      <c r="D64" s="256"/>
      <c r="E64" s="256"/>
      <c r="F64" s="256"/>
      <c r="G64" s="256"/>
      <c r="H64" s="256"/>
      <c r="I64" s="256"/>
      <c r="J64" s="146">
        <v>10</v>
      </c>
      <c r="L64" s="59"/>
      <c r="M64" s="59"/>
      <c r="N64" s="59"/>
    </row>
    <row r="65" spans="1:14" s="3" customFormat="1" ht="15.75" customHeight="1">
      <c r="A65" s="99">
        <v>10</v>
      </c>
      <c r="B65" s="255" t="s">
        <v>81</v>
      </c>
      <c r="C65" s="256"/>
      <c r="D65" s="256"/>
      <c r="E65" s="256"/>
      <c r="F65" s="256"/>
      <c r="G65" s="256"/>
      <c r="H65" s="256"/>
      <c r="I65" s="256"/>
      <c r="J65" s="143">
        <v>12.8</v>
      </c>
      <c r="L65" s="59"/>
      <c r="M65" s="59"/>
      <c r="N65" s="59"/>
    </row>
    <row r="66" spans="1:14" s="3" customFormat="1" ht="15.75" customHeight="1">
      <c r="A66" s="99">
        <v>11</v>
      </c>
      <c r="B66" s="264" t="s">
        <v>75</v>
      </c>
      <c r="C66" s="265"/>
      <c r="D66" s="265"/>
      <c r="E66" s="265"/>
      <c r="F66" s="265"/>
      <c r="G66" s="265"/>
      <c r="H66" s="265"/>
      <c r="I66" s="266"/>
      <c r="J66" s="144">
        <v>18.45</v>
      </c>
      <c r="L66" s="59"/>
      <c r="M66" s="59"/>
      <c r="N66" s="59"/>
    </row>
    <row r="67" spans="1:14" s="3" customFormat="1" ht="15.75" customHeight="1">
      <c r="A67" s="99">
        <v>12</v>
      </c>
      <c r="B67" s="264" t="s">
        <v>96</v>
      </c>
      <c r="C67" s="265"/>
      <c r="D67" s="265"/>
      <c r="E67" s="265"/>
      <c r="F67" s="265"/>
      <c r="G67" s="265"/>
      <c r="H67" s="265"/>
      <c r="I67" s="266"/>
      <c r="J67" s="145">
        <v>5.492</v>
      </c>
      <c r="L67" s="59"/>
      <c r="M67" s="59"/>
      <c r="N67" s="59"/>
    </row>
    <row r="68" spans="1:14" s="3" customFormat="1" ht="15.75" customHeight="1">
      <c r="A68" s="100">
        <v>13</v>
      </c>
      <c r="B68" s="264" t="s">
        <v>76</v>
      </c>
      <c r="C68" s="265"/>
      <c r="D68" s="265"/>
      <c r="E68" s="265"/>
      <c r="F68" s="265"/>
      <c r="G68" s="265"/>
      <c r="H68" s="265"/>
      <c r="I68" s="266"/>
      <c r="J68" s="145">
        <v>24.878</v>
      </c>
      <c r="L68" s="59"/>
      <c r="M68" s="59"/>
      <c r="N68" s="59"/>
    </row>
    <row r="69" spans="1:14" s="3" customFormat="1" ht="15.75" customHeight="1">
      <c r="A69" s="100">
        <v>14</v>
      </c>
      <c r="B69" s="264" t="s">
        <v>97</v>
      </c>
      <c r="C69" s="265"/>
      <c r="D69" s="265"/>
      <c r="E69" s="265"/>
      <c r="F69" s="265"/>
      <c r="G69" s="265"/>
      <c r="H69" s="265"/>
      <c r="I69" s="266"/>
      <c r="J69" s="145">
        <v>6.4029999999999996</v>
      </c>
      <c r="L69" s="59"/>
      <c r="M69" s="59"/>
      <c r="N69" s="59"/>
    </row>
    <row r="70" spans="1:14" s="3" customFormat="1" ht="15.75" customHeight="1">
      <c r="A70" s="100">
        <v>15</v>
      </c>
      <c r="B70" s="264" t="s">
        <v>98</v>
      </c>
      <c r="C70" s="265"/>
      <c r="D70" s="265"/>
      <c r="E70" s="265"/>
      <c r="F70" s="265"/>
      <c r="G70" s="265"/>
      <c r="H70" s="265"/>
      <c r="I70" s="266"/>
      <c r="J70" s="143">
        <v>15.2</v>
      </c>
      <c r="L70" s="59"/>
      <c r="M70" s="59"/>
      <c r="N70" s="59"/>
    </row>
    <row r="71" spans="1:14" s="3" customFormat="1" ht="15.75" customHeight="1">
      <c r="A71" s="100">
        <v>16</v>
      </c>
      <c r="B71" s="264" t="s">
        <v>99</v>
      </c>
      <c r="C71" s="265"/>
      <c r="D71" s="265"/>
      <c r="E71" s="265"/>
      <c r="F71" s="265"/>
      <c r="G71" s="265"/>
      <c r="H71" s="265"/>
      <c r="I71" s="266"/>
      <c r="J71" s="144">
        <v>9.4499999999999993</v>
      </c>
      <c r="L71" s="59"/>
      <c r="M71" s="59"/>
      <c r="N71" s="59"/>
    </row>
    <row r="72" spans="1:14" s="3" customFormat="1" ht="15.75" customHeight="1">
      <c r="A72" s="100">
        <v>17</v>
      </c>
      <c r="B72" s="264" t="s">
        <v>68</v>
      </c>
      <c r="C72" s="265"/>
      <c r="D72" s="265"/>
      <c r="E72" s="265"/>
      <c r="F72" s="265"/>
      <c r="G72" s="265"/>
      <c r="H72" s="265"/>
      <c r="I72" s="266"/>
      <c r="J72" s="143">
        <v>12.1</v>
      </c>
      <c r="L72" s="59"/>
      <c r="M72" s="59"/>
      <c r="N72" s="59"/>
    </row>
    <row r="73" spans="1:14" s="3" customFormat="1" ht="15.75" customHeight="1">
      <c r="A73" s="100">
        <v>18</v>
      </c>
      <c r="B73" s="264" t="s">
        <v>100</v>
      </c>
      <c r="C73" s="265"/>
      <c r="D73" s="265"/>
      <c r="E73" s="265"/>
      <c r="F73" s="265"/>
      <c r="G73" s="265"/>
      <c r="H73" s="265"/>
      <c r="I73" s="266"/>
      <c r="J73" s="143">
        <v>11.6</v>
      </c>
      <c r="L73" s="59"/>
      <c r="M73" s="59"/>
      <c r="N73" s="59"/>
    </row>
    <row r="74" spans="1:14" s="3" customFormat="1" ht="15.75" customHeight="1">
      <c r="A74" s="100">
        <v>19</v>
      </c>
      <c r="B74" s="264" t="s">
        <v>87</v>
      </c>
      <c r="C74" s="265"/>
      <c r="D74" s="265"/>
      <c r="E74" s="265"/>
      <c r="F74" s="265"/>
      <c r="G74" s="265"/>
      <c r="H74" s="265"/>
      <c r="I74" s="266"/>
      <c r="J74" s="144">
        <v>11.52</v>
      </c>
      <c r="L74" s="59"/>
      <c r="M74" s="59"/>
      <c r="N74" s="59"/>
    </row>
    <row r="75" spans="1:14" s="3" customFormat="1" ht="15.75" customHeight="1">
      <c r="A75" s="100">
        <v>20</v>
      </c>
      <c r="B75" s="264" t="s">
        <v>88</v>
      </c>
      <c r="C75" s="265"/>
      <c r="D75" s="265"/>
      <c r="E75" s="265"/>
      <c r="F75" s="265"/>
      <c r="G75" s="265"/>
      <c r="H75" s="265"/>
      <c r="I75" s="266"/>
      <c r="J75" s="146">
        <v>6</v>
      </c>
      <c r="L75" s="59"/>
      <c r="M75" s="59"/>
      <c r="N75" s="59"/>
    </row>
    <row r="76" spans="1:14" s="3" customFormat="1" ht="15.75" customHeight="1">
      <c r="A76" s="100">
        <v>21</v>
      </c>
      <c r="B76" s="264" t="s">
        <v>89</v>
      </c>
      <c r="C76" s="265"/>
      <c r="D76" s="265"/>
      <c r="E76" s="265"/>
      <c r="F76" s="265"/>
      <c r="G76" s="265"/>
      <c r="H76" s="265"/>
      <c r="I76" s="266"/>
      <c r="J76" s="143">
        <v>14.4</v>
      </c>
      <c r="L76" s="59"/>
      <c r="M76" s="59"/>
      <c r="N76" s="59"/>
    </row>
    <row r="77" spans="1:14" s="3" customFormat="1" ht="15.75" customHeight="1">
      <c r="A77" s="100">
        <v>22</v>
      </c>
      <c r="B77" s="264" t="s">
        <v>90</v>
      </c>
      <c r="C77" s="265"/>
      <c r="D77" s="265"/>
      <c r="E77" s="265"/>
      <c r="F77" s="265"/>
      <c r="G77" s="265"/>
      <c r="H77" s="265"/>
      <c r="I77" s="266"/>
      <c r="J77" s="143">
        <v>4.5</v>
      </c>
      <c r="L77" s="59"/>
      <c r="M77" s="59"/>
      <c r="N77" s="59"/>
    </row>
    <row r="78" spans="1:14" s="3" customFormat="1" ht="15.75" customHeight="1">
      <c r="A78" s="100">
        <v>23</v>
      </c>
      <c r="B78" s="264" t="s">
        <v>69</v>
      </c>
      <c r="C78" s="265"/>
      <c r="D78" s="265"/>
      <c r="E78" s="265"/>
      <c r="F78" s="265"/>
      <c r="G78" s="265"/>
      <c r="H78" s="265"/>
      <c r="I78" s="266"/>
      <c r="J78" s="144">
        <v>1.25</v>
      </c>
      <c r="L78" s="59"/>
      <c r="M78" s="59"/>
      <c r="N78" s="59"/>
    </row>
    <row r="79" spans="1:14" s="3" customFormat="1" ht="14.25" customHeight="1">
      <c r="A79" s="100">
        <v>24</v>
      </c>
      <c r="B79" s="264" t="s">
        <v>101</v>
      </c>
      <c r="C79" s="265"/>
      <c r="D79" s="265"/>
      <c r="E79" s="265"/>
      <c r="F79" s="265"/>
      <c r="G79" s="265"/>
      <c r="H79" s="265"/>
      <c r="I79" s="266"/>
      <c r="J79" s="146">
        <v>5</v>
      </c>
      <c r="L79" s="59"/>
      <c r="M79" s="59"/>
      <c r="N79" s="59"/>
    </row>
    <row r="80" spans="1:14" s="3" customFormat="1" ht="15.75" thickBot="1">
      <c r="A80" s="40"/>
      <c r="B80" s="267"/>
      <c r="C80" s="268"/>
      <c r="D80" s="268"/>
      <c r="E80" s="268"/>
      <c r="F80" s="268"/>
      <c r="G80" s="268"/>
      <c r="H80" s="268"/>
      <c r="I80" s="269"/>
      <c r="J80" s="41">
        <f>SUM(J56:J79)</f>
        <v>247.04699999999997</v>
      </c>
      <c r="L80" s="59"/>
      <c r="M80" s="59"/>
      <c r="N80" s="59"/>
    </row>
  </sheetData>
  <mergeCells count="90"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E47:F47"/>
    <mergeCell ref="G47:H47"/>
    <mergeCell ref="I47:J47"/>
    <mergeCell ref="C48:D48"/>
    <mergeCell ref="E48:F48"/>
    <mergeCell ref="G48:H48"/>
    <mergeCell ref="I48:J48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A54:J54"/>
    <mergeCell ref="B80:I80"/>
    <mergeCell ref="B67:I67"/>
    <mergeCell ref="B56:I56"/>
    <mergeCell ref="B59:I59"/>
    <mergeCell ref="B60:I60"/>
    <mergeCell ref="B61:I61"/>
    <mergeCell ref="B62:I62"/>
    <mergeCell ref="B63:I63"/>
    <mergeCell ref="B64:I64"/>
    <mergeCell ref="B65:I65"/>
    <mergeCell ref="B66:I66"/>
    <mergeCell ref="B57:I57"/>
    <mergeCell ref="B58:I58"/>
    <mergeCell ref="B68:I68"/>
    <mergeCell ref="B69:I69"/>
    <mergeCell ref="B70:I70"/>
    <mergeCell ref="B71:I71"/>
    <mergeCell ref="B72:I72"/>
    <mergeCell ref="B78:I78"/>
    <mergeCell ref="B79:I79"/>
    <mergeCell ref="B73:I73"/>
    <mergeCell ref="B74:I74"/>
    <mergeCell ref="B75:I75"/>
    <mergeCell ref="B76:I76"/>
    <mergeCell ref="B77:I77"/>
  </mergeCells>
  <pageMargins left="0" right="0" top="0.59055118110236204" bottom="0" header="0" footer="0"/>
  <pageSetup paperSize="8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N80"/>
  <sheetViews>
    <sheetView topLeftCell="A46" zoomScaleNormal="100" workbookViewId="0">
      <pane xSplit="3" topLeftCell="D1" activePane="topRight" state="frozen"/>
      <selection pane="topRight" activeCell="A54" sqref="A54:J80"/>
    </sheetView>
  </sheetViews>
  <sheetFormatPr defaultColWidth="9.140625" defaultRowHeight="15"/>
  <cols>
    <col min="1" max="1" width="5.7109375" style="3" customWidth="1"/>
    <col min="2" max="2" width="20.7109375" style="3" customWidth="1"/>
    <col min="3" max="3" width="12" style="3" customWidth="1"/>
    <col min="4" max="5" width="17.7109375" style="3" customWidth="1"/>
    <col min="6" max="6" width="11.7109375" style="9" customWidth="1"/>
    <col min="7" max="7" width="10.7109375" style="98" customWidth="1"/>
    <col min="8" max="8" width="10.7109375" style="3" customWidth="1"/>
    <col min="9" max="9" width="13.7109375" style="3" customWidth="1"/>
    <col min="10" max="10" width="14.5703125" style="3" customWidth="1"/>
    <col min="11" max="11" width="10.7109375" style="3" customWidth="1"/>
    <col min="12" max="12" width="13.85546875" style="59" customWidth="1"/>
    <col min="13" max="13" width="23.42578125" style="59" customWidth="1"/>
    <col min="14" max="14" width="13.140625" style="59" bestFit="1" customWidth="1"/>
    <col min="15" max="16384" width="9.140625" style="59"/>
  </cols>
  <sheetData>
    <row r="1" spans="1:12" ht="46.9" customHeight="1">
      <c r="A1" s="172" t="s">
        <v>41</v>
      </c>
      <c r="B1" s="172"/>
      <c r="C1" s="172"/>
      <c r="D1" s="1"/>
      <c r="E1" s="172" t="s">
        <v>24</v>
      </c>
      <c r="F1" s="172"/>
      <c r="G1" s="172"/>
      <c r="H1" s="172"/>
      <c r="I1" s="137"/>
      <c r="J1" s="173">
        <v>8</v>
      </c>
      <c r="K1" s="173"/>
    </row>
    <row r="2" spans="1:12" ht="28.5">
      <c r="A2" s="174">
        <v>46322</v>
      </c>
      <c r="B2" s="175"/>
      <c r="C2" s="175"/>
      <c r="D2" s="2"/>
      <c r="E2" s="2"/>
      <c r="F2" s="176"/>
      <c r="G2" s="176"/>
      <c r="H2" s="176"/>
      <c r="I2" s="138"/>
      <c r="J2" s="176"/>
      <c r="K2" s="176"/>
    </row>
    <row r="3" spans="1:12" ht="27" thickBot="1">
      <c r="A3" s="180" t="s">
        <v>0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</row>
    <row r="4" spans="1:12" ht="18" customHeight="1">
      <c r="A4" s="181" t="s">
        <v>25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3"/>
    </row>
    <row r="5" spans="1:12" s="60" customFormat="1" ht="18" customHeight="1">
      <c r="A5" s="28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10</v>
      </c>
      <c r="L5" s="29">
        <v>11</v>
      </c>
    </row>
    <row r="6" spans="1:12" ht="82.9" customHeight="1">
      <c r="A6" s="184" t="s">
        <v>1</v>
      </c>
      <c r="B6" s="185" t="s">
        <v>2</v>
      </c>
      <c r="C6" s="185" t="s">
        <v>3</v>
      </c>
      <c r="D6" s="185" t="s">
        <v>4</v>
      </c>
      <c r="E6" s="136" t="s">
        <v>5</v>
      </c>
      <c r="F6" s="185" t="s">
        <v>6</v>
      </c>
      <c r="G6" s="186" t="s">
        <v>7</v>
      </c>
      <c r="H6" s="187" t="s">
        <v>8</v>
      </c>
      <c r="I6" s="185" t="s">
        <v>9</v>
      </c>
      <c r="J6" s="188" t="s">
        <v>30</v>
      </c>
      <c r="K6" s="190" t="s">
        <v>10</v>
      </c>
      <c r="L6" s="191"/>
    </row>
    <row r="7" spans="1:12" s="60" customFormat="1" ht="63.6" customHeight="1">
      <c r="A7" s="184"/>
      <c r="B7" s="185"/>
      <c r="C7" s="185"/>
      <c r="D7" s="185"/>
      <c r="E7" s="136" t="s">
        <v>11</v>
      </c>
      <c r="F7" s="185"/>
      <c r="G7" s="186"/>
      <c r="H7" s="187"/>
      <c r="I7" s="185"/>
      <c r="J7" s="189"/>
      <c r="K7" s="136" t="s">
        <v>7</v>
      </c>
      <c r="L7" s="30" t="s">
        <v>8</v>
      </c>
    </row>
    <row r="8" spans="1:12" s="60" customFormat="1" ht="15.75">
      <c r="A8" s="61">
        <v>1</v>
      </c>
      <c r="B8" s="46" t="s">
        <v>42</v>
      </c>
      <c r="C8" s="141" t="s">
        <v>43</v>
      </c>
      <c r="D8" s="147" t="s">
        <v>61</v>
      </c>
      <c r="E8" s="48" t="s">
        <v>46</v>
      </c>
      <c r="F8" s="62">
        <v>0.2951388888888889</v>
      </c>
      <c r="G8" s="63">
        <v>12</v>
      </c>
      <c r="H8" s="64">
        <v>891.26800000000003</v>
      </c>
      <c r="I8" s="65">
        <v>0.54166666666666663</v>
      </c>
      <c r="J8" s="65">
        <f>I8-F8</f>
        <v>0.24652777777777773</v>
      </c>
      <c r="K8" s="64"/>
      <c r="L8" s="66"/>
    </row>
    <row r="9" spans="1:12" ht="15.75">
      <c r="A9" s="61">
        <v>2</v>
      </c>
      <c r="B9" s="50" t="s">
        <v>50</v>
      </c>
      <c r="C9" s="141" t="s">
        <v>51</v>
      </c>
      <c r="D9" s="148" t="s">
        <v>59</v>
      </c>
      <c r="E9" s="49" t="s">
        <v>47</v>
      </c>
      <c r="F9" s="62">
        <v>0.28819444444444448</v>
      </c>
      <c r="G9" s="63">
        <v>19</v>
      </c>
      <c r="H9" s="64">
        <v>746.31</v>
      </c>
      <c r="I9" s="65">
        <v>0.55208333333333337</v>
      </c>
      <c r="J9" s="65">
        <f t="shared" ref="J9:J12" si="0">I9-F9</f>
        <v>0.2638888888888889</v>
      </c>
      <c r="K9" s="64"/>
      <c r="L9" s="66"/>
    </row>
    <row r="10" spans="1:12" ht="15.75">
      <c r="A10" s="67">
        <v>3</v>
      </c>
      <c r="B10" s="48" t="s">
        <v>42</v>
      </c>
      <c r="C10" s="142" t="s">
        <v>45</v>
      </c>
      <c r="D10" s="147" t="s">
        <v>58</v>
      </c>
      <c r="E10" s="48" t="s">
        <v>47</v>
      </c>
      <c r="F10" s="62">
        <v>0.28819444444444448</v>
      </c>
      <c r="G10" s="63">
        <v>33</v>
      </c>
      <c r="H10" s="64">
        <v>858.34400000000005</v>
      </c>
      <c r="I10" s="65">
        <v>0.54166666666666663</v>
      </c>
      <c r="J10" s="65">
        <f t="shared" si="0"/>
        <v>0.25347222222222215</v>
      </c>
      <c r="K10" s="64"/>
      <c r="L10" s="66"/>
    </row>
    <row r="11" spans="1:12" ht="15.75">
      <c r="A11" s="61">
        <v>4</v>
      </c>
      <c r="B11" s="48" t="s">
        <v>42</v>
      </c>
      <c r="C11" s="142" t="s">
        <v>78</v>
      </c>
      <c r="D11" s="147" t="s">
        <v>63</v>
      </c>
      <c r="E11" s="51" t="s">
        <v>46</v>
      </c>
      <c r="F11" s="62">
        <v>0.29166666666666669</v>
      </c>
      <c r="G11" s="63">
        <v>19</v>
      </c>
      <c r="H11" s="64">
        <v>828.55799999999999</v>
      </c>
      <c r="I11" s="65">
        <v>0.58333333333333337</v>
      </c>
      <c r="J11" s="65">
        <f t="shared" si="0"/>
        <v>0.29166666666666669</v>
      </c>
      <c r="K11" s="64"/>
      <c r="L11" s="66"/>
    </row>
    <row r="12" spans="1:12" ht="15.75">
      <c r="A12" s="105">
        <v>5</v>
      </c>
      <c r="B12" s="52" t="s">
        <v>50</v>
      </c>
      <c r="C12" s="141" t="s">
        <v>54</v>
      </c>
      <c r="D12" s="53" t="s">
        <v>57</v>
      </c>
      <c r="E12" s="49" t="s">
        <v>47</v>
      </c>
      <c r="F12" s="65">
        <v>0.28472222222222221</v>
      </c>
      <c r="G12" s="63">
        <v>30</v>
      </c>
      <c r="H12" s="64">
        <v>989.56</v>
      </c>
      <c r="I12" s="65">
        <v>0.60416666666666663</v>
      </c>
      <c r="J12" s="65">
        <f t="shared" si="0"/>
        <v>0.31944444444444442</v>
      </c>
      <c r="K12" s="64"/>
      <c r="L12" s="66"/>
    </row>
    <row r="13" spans="1:12" ht="15.75">
      <c r="A13" s="68"/>
      <c r="B13" s="50"/>
      <c r="C13" s="46"/>
      <c r="D13" s="54"/>
      <c r="E13" s="51"/>
      <c r="F13" s="65"/>
      <c r="G13" s="63"/>
      <c r="H13" s="64"/>
      <c r="I13" s="65"/>
      <c r="J13" s="65"/>
      <c r="K13" s="64"/>
      <c r="L13" s="66"/>
    </row>
    <row r="14" spans="1:12" ht="15.75">
      <c r="A14" s="68"/>
      <c r="B14" s="69"/>
      <c r="C14" s="70"/>
      <c r="D14" s="47"/>
      <c r="E14" s="71"/>
      <c r="F14" s="65"/>
      <c r="G14" s="63"/>
      <c r="H14" s="64"/>
      <c r="I14" s="65"/>
      <c r="J14" s="65"/>
      <c r="K14" s="64"/>
      <c r="L14" s="66"/>
    </row>
    <row r="15" spans="1:12" ht="15.75">
      <c r="A15" s="68"/>
      <c r="B15" s="48"/>
      <c r="C15" s="50"/>
      <c r="D15" s="47"/>
      <c r="E15" s="48"/>
      <c r="F15" s="65"/>
      <c r="G15" s="63"/>
      <c r="H15" s="64"/>
      <c r="I15" s="65"/>
      <c r="J15" s="65"/>
      <c r="K15" s="64"/>
      <c r="L15" s="66"/>
    </row>
    <row r="16" spans="1:12">
      <c r="A16" s="68"/>
      <c r="B16" s="72"/>
      <c r="C16" s="140"/>
      <c r="D16" s="39"/>
      <c r="E16" s="73"/>
      <c r="F16" s="74"/>
      <c r="G16" s="75"/>
      <c r="H16" s="76"/>
      <c r="I16" s="74"/>
      <c r="J16" s="77"/>
      <c r="K16" s="76"/>
      <c r="L16" s="78"/>
    </row>
    <row r="17" spans="1:14">
      <c r="A17" s="68"/>
      <c r="B17" s="72"/>
      <c r="C17" s="140"/>
      <c r="D17" s="39"/>
      <c r="E17" s="73"/>
      <c r="F17" s="74"/>
      <c r="G17" s="75"/>
      <c r="H17" s="76"/>
      <c r="I17" s="74"/>
      <c r="J17" s="77"/>
      <c r="K17" s="76"/>
      <c r="L17" s="78"/>
    </row>
    <row r="18" spans="1:14">
      <c r="A18" s="68"/>
      <c r="B18" s="72"/>
      <c r="C18" s="140"/>
      <c r="D18" s="39"/>
      <c r="E18" s="73"/>
      <c r="F18" s="74"/>
      <c r="G18" s="75"/>
      <c r="H18" s="76"/>
      <c r="I18" s="74"/>
      <c r="J18" s="77"/>
      <c r="K18" s="76"/>
      <c r="L18" s="78"/>
    </row>
    <row r="19" spans="1:14">
      <c r="A19" s="68"/>
      <c r="B19" s="72"/>
      <c r="C19" s="140"/>
      <c r="D19" s="39"/>
      <c r="E19" s="73"/>
      <c r="F19" s="74"/>
      <c r="G19" s="75"/>
      <c r="H19" s="76"/>
      <c r="I19" s="74"/>
      <c r="J19" s="77"/>
      <c r="K19" s="24"/>
      <c r="L19" s="78"/>
    </row>
    <row r="20" spans="1:14">
      <c r="A20" s="68"/>
      <c r="B20" s="72"/>
      <c r="C20" s="140"/>
      <c r="D20" s="39"/>
      <c r="E20" s="73"/>
      <c r="F20" s="74"/>
      <c r="G20" s="75"/>
      <c r="H20" s="76"/>
      <c r="I20" s="74"/>
      <c r="J20" s="77"/>
      <c r="K20" s="24"/>
      <c r="L20" s="79"/>
    </row>
    <row r="21" spans="1:14" ht="16.5" thickBot="1">
      <c r="A21" s="192" t="s">
        <v>15</v>
      </c>
      <c r="B21" s="193"/>
      <c r="C21" s="193"/>
      <c r="D21" s="193"/>
      <c r="E21" s="193"/>
      <c r="F21" s="194"/>
      <c r="G21" s="102">
        <f>SUM(G8:G20)</f>
        <v>113</v>
      </c>
      <c r="H21" s="102">
        <f>SUM(H8:H19)</f>
        <v>4314.04</v>
      </c>
      <c r="I21" s="103"/>
      <c r="J21" s="103"/>
      <c r="K21" s="102">
        <f>SUM(K8:K20)</f>
        <v>0</v>
      </c>
      <c r="L21" s="104">
        <f>SUM(L8:L20)</f>
        <v>0</v>
      </c>
    </row>
    <row r="23" spans="1:14" ht="15.75" thickBot="1">
      <c r="D23" s="80"/>
      <c r="E23" s="8"/>
      <c r="G23" s="81"/>
      <c r="H23" s="8"/>
      <c r="I23" s="8"/>
      <c r="L23" s="60"/>
      <c r="N23" s="82"/>
    </row>
    <row r="24" spans="1:14" ht="18.75">
      <c r="A24" s="177" t="s">
        <v>26</v>
      </c>
      <c r="B24" s="178"/>
      <c r="C24" s="178"/>
      <c r="D24" s="178"/>
      <c r="E24" s="178"/>
      <c r="F24" s="178"/>
      <c r="G24" s="178"/>
      <c r="H24" s="178"/>
      <c r="I24" s="179"/>
      <c r="J24" s="60"/>
      <c r="K24" s="60"/>
      <c r="L24" s="60"/>
      <c r="N24" s="82"/>
    </row>
    <row r="25" spans="1:14">
      <c r="A25" s="12">
        <v>1</v>
      </c>
      <c r="B25" s="31">
        <v>2</v>
      </c>
      <c r="C25" s="31">
        <v>3</v>
      </c>
      <c r="D25" s="31">
        <v>4</v>
      </c>
      <c r="E25" s="31">
        <v>5</v>
      </c>
      <c r="F25" s="31">
        <v>6</v>
      </c>
      <c r="G25" s="31">
        <v>7</v>
      </c>
      <c r="H25" s="31">
        <v>8</v>
      </c>
      <c r="I25" s="13">
        <v>9</v>
      </c>
      <c r="J25" s="60"/>
      <c r="K25" s="60"/>
      <c r="N25" s="82"/>
    </row>
    <row r="26" spans="1:14" ht="30">
      <c r="A26" s="23" t="s">
        <v>1</v>
      </c>
      <c r="B26" s="136" t="s">
        <v>2</v>
      </c>
      <c r="C26" s="136" t="s">
        <v>3</v>
      </c>
      <c r="D26" s="136" t="s">
        <v>27</v>
      </c>
      <c r="E26" s="136" t="s">
        <v>6</v>
      </c>
      <c r="F26" s="136" t="s">
        <v>28</v>
      </c>
      <c r="G26" s="136" t="s">
        <v>8</v>
      </c>
      <c r="H26" s="136" t="s">
        <v>31</v>
      </c>
      <c r="I26" s="14" t="s">
        <v>30</v>
      </c>
      <c r="J26" s="60"/>
      <c r="K26" s="60"/>
      <c r="L26" s="60"/>
      <c r="N26" s="82"/>
    </row>
    <row r="27" spans="1:14">
      <c r="A27" s="26"/>
      <c r="B27" s="25"/>
      <c r="C27" s="24"/>
      <c r="D27" s="32"/>
      <c r="E27" s="83"/>
      <c r="F27" s="75"/>
      <c r="G27" s="76"/>
      <c r="H27" s="84"/>
      <c r="I27" s="85"/>
      <c r="J27" s="60"/>
      <c r="K27" s="60"/>
      <c r="L27" s="60"/>
    </row>
    <row r="28" spans="1:14">
      <c r="A28" s="24"/>
      <c r="B28" s="25"/>
      <c r="C28" s="24"/>
      <c r="D28" s="32"/>
      <c r="E28" s="83"/>
      <c r="F28" s="75"/>
      <c r="G28" s="76"/>
      <c r="H28" s="84"/>
      <c r="I28" s="85"/>
      <c r="J28" s="60"/>
      <c r="K28" s="60"/>
      <c r="L28" s="60"/>
    </row>
    <row r="29" spans="1:14">
      <c r="A29" s="24"/>
      <c r="B29" s="24"/>
      <c r="C29" s="24"/>
      <c r="D29" s="32"/>
      <c r="E29" s="83"/>
      <c r="F29" s="75"/>
      <c r="G29" s="76"/>
      <c r="H29" s="84"/>
      <c r="I29" s="85"/>
      <c r="J29" s="60"/>
      <c r="K29" s="60"/>
      <c r="L29" s="60"/>
    </row>
    <row r="30" spans="1:14">
      <c r="A30" s="27"/>
      <c r="B30" s="27"/>
      <c r="C30" s="27"/>
      <c r="D30" s="32"/>
      <c r="E30" s="83"/>
      <c r="F30" s="75"/>
      <c r="G30" s="76"/>
      <c r="H30" s="84"/>
      <c r="I30" s="85"/>
      <c r="J30" s="60"/>
      <c r="K30" s="60"/>
      <c r="L30" s="60"/>
    </row>
    <row r="31" spans="1:14" ht="15.75" thickBot="1">
      <c r="A31" s="195" t="s">
        <v>15</v>
      </c>
      <c r="B31" s="196"/>
      <c r="C31" s="197"/>
      <c r="D31" s="5"/>
      <c r="E31" s="15"/>
      <c r="F31" s="15">
        <f>SUM(F30:F30)</f>
        <v>0</v>
      </c>
      <c r="G31" s="15">
        <f>SUM(G30:G30)</f>
        <v>0</v>
      </c>
      <c r="H31" s="16"/>
      <c r="I31" s="17"/>
      <c r="J31" s="59"/>
      <c r="K31" s="59"/>
    </row>
    <row r="32" spans="1:14" ht="15.75" thickBot="1">
      <c r="D32" s="80"/>
      <c r="E32" s="8"/>
      <c r="G32" s="81"/>
      <c r="H32" s="8"/>
      <c r="I32" s="8"/>
      <c r="L32" s="60"/>
    </row>
    <row r="33" spans="1:13" ht="18.75">
      <c r="A33" s="177" t="s">
        <v>12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</row>
    <row r="34" spans="1:13" ht="15.75" thickBot="1">
      <c r="A34" s="34">
        <v>1</v>
      </c>
      <c r="B34" s="35">
        <v>2</v>
      </c>
      <c r="C34" s="35">
        <v>3</v>
      </c>
      <c r="D34" s="35">
        <v>4</v>
      </c>
      <c r="E34" s="35">
        <v>5</v>
      </c>
      <c r="F34" s="35">
        <v>6</v>
      </c>
      <c r="G34" s="35">
        <v>7</v>
      </c>
      <c r="H34" s="35">
        <v>8</v>
      </c>
      <c r="I34" s="35">
        <v>9</v>
      </c>
      <c r="J34" s="35">
        <v>10</v>
      </c>
      <c r="K34" s="35">
        <v>11</v>
      </c>
      <c r="L34" s="198">
        <v>12</v>
      </c>
      <c r="M34" s="199"/>
    </row>
    <row r="35" spans="1:13" ht="45">
      <c r="A35" s="200" t="s">
        <v>1</v>
      </c>
      <c r="B35" s="202" t="s">
        <v>2</v>
      </c>
      <c r="C35" s="202" t="s">
        <v>3</v>
      </c>
      <c r="D35" s="202" t="s">
        <v>4</v>
      </c>
      <c r="E35" s="37" t="s">
        <v>5</v>
      </c>
      <c r="F35" s="202" t="s">
        <v>14</v>
      </c>
      <c r="G35" s="202" t="s">
        <v>13</v>
      </c>
      <c r="H35" s="202" t="s">
        <v>37</v>
      </c>
      <c r="I35" s="202" t="s">
        <v>39</v>
      </c>
      <c r="J35" s="202" t="s">
        <v>38</v>
      </c>
      <c r="K35" s="202" t="s">
        <v>40</v>
      </c>
      <c r="L35" s="206" t="s">
        <v>36</v>
      </c>
      <c r="M35" s="207"/>
    </row>
    <row r="36" spans="1:13" ht="45">
      <c r="A36" s="201"/>
      <c r="B36" s="189"/>
      <c r="C36" s="189"/>
      <c r="D36" s="189"/>
      <c r="E36" s="139" t="s">
        <v>11</v>
      </c>
      <c r="F36" s="189"/>
      <c r="G36" s="189"/>
      <c r="H36" s="189"/>
      <c r="I36" s="189"/>
      <c r="J36" s="189"/>
      <c r="K36" s="189"/>
      <c r="L36" s="208"/>
      <c r="M36" s="209"/>
    </row>
    <row r="37" spans="1:13" s="22" customFormat="1" ht="46.5" customHeight="1">
      <c r="A37" s="55">
        <v>6</v>
      </c>
      <c r="B37" s="110" t="s">
        <v>42</v>
      </c>
      <c r="C37" s="109" t="s">
        <v>48</v>
      </c>
      <c r="D37" s="56" t="s">
        <v>59</v>
      </c>
      <c r="E37" s="110" t="s">
        <v>46</v>
      </c>
      <c r="F37" s="111">
        <v>46248</v>
      </c>
      <c r="G37" s="151">
        <v>240000</v>
      </c>
      <c r="H37" s="113" t="s">
        <v>56</v>
      </c>
      <c r="I37" s="114">
        <v>46248</v>
      </c>
      <c r="J37" s="115" t="s">
        <v>102</v>
      </c>
      <c r="K37" s="57"/>
      <c r="L37" s="210" t="s">
        <v>49</v>
      </c>
      <c r="M37" s="211"/>
    </row>
    <row r="38" spans="1:13" s="22" customFormat="1" ht="63">
      <c r="A38" s="55">
        <v>7</v>
      </c>
      <c r="B38" s="116" t="s">
        <v>52</v>
      </c>
      <c r="C38" s="116" t="s">
        <v>53</v>
      </c>
      <c r="D38" s="116" t="s">
        <v>58</v>
      </c>
      <c r="E38" s="117" t="s">
        <v>46</v>
      </c>
      <c r="F38" s="118" t="s">
        <v>62</v>
      </c>
      <c r="G38" s="151">
        <v>680000</v>
      </c>
      <c r="H38" s="119"/>
      <c r="I38" s="120"/>
      <c r="J38" s="120"/>
      <c r="K38" s="121"/>
      <c r="L38" s="212" t="s">
        <v>55</v>
      </c>
      <c r="M38" s="213"/>
    </row>
    <row r="39" spans="1:13" ht="34.5" customHeight="1">
      <c r="A39" s="122">
        <v>8</v>
      </c>
      <c r="B39" s="116" t="s">
        <v>42</v>
      </c>
      <c r="C39" s="116" t="s">
        <v>44</v>
      </c>
      <c r="D39" s="123" t="s">
        <v>60</v>
      </c>
      <c r="E39" s="124" t="s">
        <v>47</v>
      </c>
      <c r="F39" s="125">
        <v>46317</v>
      </c>
      <c r="G39" s="150">
        <v>4750</v>
      </c>
      <c r="H39" s="113" t="s">
        <v>56</v>
      </c>
      <c r="I39" s="126">
        <v>46317</v>
      </c>
      <c r="J39" s="126">
        <v>46325</v>
      </c>
      <c r="K39" s="109"/>
      <c r="L39" s="214" t="s">
        <v>77</v>
      </c>
      <c r="M39" s="215"/>
    </row>
    <row r="40" spans="1:13" ht="15.75">
      <c r="A40" s="122"/>
      <c r="B40" s="106"/>
      <c r="C40" s="106"/>
      <c r="D40" s="106"/>
      <c r="E40" s="106"/>
      <c r="F40" s="107"/>
      <c r="G40" s="108"/>
      <c r="H40" s="109"/>
      <c r="I40" s="109"/>
      <c r="J40" s="109"/>
      <c r="K40" s="109"/>
      <c r="L40" s="216"/>
      <c r="M40" s="217"/>
    </row>
    <row r="41" spans="1:13">
      <c r="A41" s="86"/>
      <c r="B41" s="127"/>
      <c r="C41" s="128"/>
      <c r="D41" s="128"/>
      <c r="E41" s="129"/>
      <c r="F41" s="130"/>
      <c r="G41" s="131"/>
      <c r="H41" s="132"/>
      <c r="I41" s="130"/>
      <c r="J41" s="130"/>
      <c r="K41" s="132"/>
      <c r="L41" s="218"/>
      <c r="M41" s="219"/>
    </row>
    <row r="42" spans="1:13">
      <c r="A42" s="86"/>
      <c r="B42" s="127"/>
      <c r="C42" s="128"/>
      <c r="D42" s="87"/>
      <c r="E42" s="33"/>
      <c r="F42" s="88"/>
      <c r="G42" s="131"/>
      <c r="H42" s="89"/>
      <c r="I42" s="88"/>
      <c r="J42" s="88"/>
      <c r="K42" s="89"/>
      <c r="L42" s="220"/>
      <c r="M42" s="221"/>
    </row>
    <row r="43" spans="1:13" ht="15.75" thickBot="1">
      <c r="A43" s="133"/>
      <c r="B43" s="90"/>
      <c r="C43" s="91"/>
      <c r="D43" s="91"/>
      <c r="E43" s="92"/>
      <c r="F43" s="93"/>
      <c r="G43" s="38"/>
      <c r="H43" s="94"/>
      <c r="I43" s="93"/>
      <c r="J43" s="93"/>
      <c r="K43" s="94"/>
      <c r="L43" s="222"/>
      <c r="M43" s="223"/>
    </row>
    <row r="44" spans="1:13" ht="15.75" thickBot="1">
      <c r="A44" s="224" t="s">
        <v>15</v>
      </c>
      <c r="B44" s="225"/>
      <c r="C44" s="225"/>
      <c r="D44" s="225"/>
      <c r="E44" s="226"/>
      <c r="F44" s="36"/>
      <c r="G44" s="227">
        <f>SUM(G37:G43)</f>
        <v>924750</v>
      </c>
      <c r="H44" s="228"/>
      <c r="I44" s="228"/>
      <c r="J44" s="228"/>
      <c r="K44" s="228"/>
      <c r="L44" s="229"/>
    </row>
    <row r="45" spans="1:13" ht="15.75" thickBot="1">
      <c r="A45" s="18"/>
      <c r="B45" s="18"/>
      <c r="C45" s="18"/>
      <c r="D45" s="18"/>
      <c r="E45" s="19"/>
      <c r="F45" s="19"/>
      <c r="G45" s="20"/>
      <c r="H45" s="20"/>
      <c r="J45" s="4"/>
      <c r="K45" s="21"/>
    </row>
    <row r="46" spans="1:13" ht="18.75">
      <c r="A46" s="203" t="s">
        <v>16</v>
      </c>
      <c r="B46" s="204"/>
      <c r="C46" s="204"/>
      <c r="D46" s="204"/>
      <c r="E46" s="204"/>
      <c r="F46" s="204"/>
      <c r="G46" s="204"/>
      <c r="H46" s="204"/>
      <c r="I46" s="204"/>
      <c r="J46" s="205"/>
      <c r="K46" s="59"/>
    </row>
    <row r="47" spans="1:13" ht="30">
      <c r="A47" s="95"/>
      <c r="B47" s="140"/>
      <c r="C47" s="140"/>
      <c r="D47" s="140" t="s">
        <v>17</v>
      </c>
      <c r="E47" s="230" t="s">
        <v>18</v>
      </c>
      <c r="F47" s="230"/>
      <c r="G47" s="230" t="s">
        <v>19</v>
      </c>
      <c r="H47" s="230"/>
      <c r="I47" s="230" t="s">
        <v>29</v>
      </c>
      <c r="J47" s="231"/>
      <c r="K47" s="59"/>
    </row>
    <row r="48" spans="1:13">
      <c r="A48" s="95"/>
      <c r="B48" s="58" t="s">
        <v>20</v>
      </c>
      <c r="C48" s="232">
        <v>2310</v>
      </c>
      <c r="D48" s="233"/>
      <c r="E48" s="234">
        <v>2317</v>
      </c>
      <c r="F48" s="235"/>
      <c r="G48" s="234">
        <v>2317</v>
      </c>
      <c r="H48" s="235"/>
      <c r="I48" s="236"/>
      <c r="J48" s="237"/>
      <c r="K48" s="59"/>
    </row>
    <row r="49" spans="1:14">
      <c r="A49" s="96"/>
      <c r="B49" s="58" t="s">
        <v>21</v>
      </c>
      <c r="C49" s="232">
        <v>738</v>
      </c>
      <c r="D49" s="233"/>
      <c r="E49" s="232">
        <v>720</v>
      </c>
      <c r="F49" s="233"/>
      <c r="G49" s="232">
        <v>720</v>
      </c>
      <c r="H49" s="233"/>
      <c r="I49" s="244">
        <v>2.4</v>
      </c>
      <c r="J49" s="245"/>
      <c r="K49" s="59"/>
    </row>
    <row r="50" spans="1:14" ht="15.75" thickBot="1">
      <c r="A50" s="96"/>
      <c r="B50" s="58" t="s">
        <v>22</v>
      </c>
      <c r="C50" s="232">
        <v>1444</v>
      </c>
      <c r="D50" s="233"/>
      <c r="E50" s="234">
        <v>1277</v>
      </c>
      <c r="F50" s="235"/>
      <c r="G50" s="234">
        <v>1277</v>
      </c>
      <c r="H50" s="235"/>
      <c r="I50" s="244">
        <v>13.965</v>
      </c>
      <c r="J50" s="245"/>
      <c r="K50" s="59"/>
    </row>
    <row r="51" spans="1:14" ht="15.75" thickBot="1">
      <c r="A51" s="6"/>
      <c r="B51" s="7" t="s">
        <v>23</v>
      </c>
      <c r="C51" s="246">
        <f>SUM(C48:D50)</f>
        <v>4492</v>
      </c>
      <c r="D51" s="247"/>
      <c r="E51" s="248">
        <f>SUM(E48:E50)</f>
        <v>4314</v>
      </c>
      <c r="F51" s="249"/>
      <c r="G51" s="248">
        <f>G48+G49+G50</f>
        <v>4314</v>
      </c>
      <c r="H51" s="249"/>
      <c r="I51" s="248">
        <f>SUM(I48:I50)</f>
        <v>16.364999999999998</v>
      </c>
      <c r="J51" s="250"/>
      <c r="K51" s="156"/>
    </row>
    <row r="53" spans="1:14" ht="15.75" thickBot="1">
      <c r="E53" s="97"/>
    </row>
    <row r="54" spans="1:14" ht="19.5" thickBot="1">
      <c r="A54" s="251" t="s">
        <v>32</v>
      </c>
      <c r="B54" s="252"/>
      <c r="C54" s="252"/>
      <c r="D54" s="252"/>
      <c r="E54" s="252"/>
      <c r="F54" s="252"/>
      <c r="G54" s="252"/>
      <c r="H54" s="252"/>
      <c r="I54" s="252"/>
      <c r="J54" s="253"/>
      <c r="K54" s="22"/>
      <c r="L54" s="22"/>
    </row>
    <row r="55" spans="1:14">
      <c r="A55" s="11" t="s">
        <v>33</v>
      </c>
      <c r="B55" s="241" t="s">
        <v>34</v>
      </c>
      <c r="C55" s="242"/>
      <c r="D55" s="242"/>
      <c r="E55" s="242"/>
      <c r="F55" s="242"/>
      <c r="G55" s="242"/>
      <c r="H55" s="242"/>
      <c r="I55" s="243"/>
      <c r="J55" s="101" t="s">
        <v>35</v>
      </c>
      <c r="K55" s="22"/>
      <c r="L55" s="22"/>
    </row>
    <row r="56" spans="1:14" ht="15.75" customHeight="1">
      <c r="A56" s="99">
        <v>1</v>
      </c>
      <c r="B56" s="270" t="s">
        <v>103</v>
      </c>
      <c r="C56" s="270"/>
      <c r="D56" s="270"/>
      <c r="E56" s="270"/>
      <c r="F56" s="270"/>
      <c r="G56" s="270"/>
      <c r="H56" s="270"/>
      <c r="I56" s="270"/>
      <c r="J56" s="152">
        <v>5</v>
      </c>
    </row>
    <row r="57" spans="1:14" ht="15.75" customHeight="1">
      <c r="A57" s="99">
        <v>2</v>
      </c>
      <c r="B57" s="270" t="s">
        <v>83</v>
      </c>
      <c r="C57" s="270"/>
      <c r="D57" s="270"/>
      <c r="E57" s="270"/>
      <c r="F57" s="270"/>
      <c r="G57" s="270"/>
      <c r="H57" s="270"/>
      <c r="I57" s="270"/>
      <c r="J57" s="153">
        <v>2.4500000000000002</v>
      </c>
    </row>
    <row r="58" spans="1:14" ht="15.75" customHeight="1">
      <c r="A58" s="99">
        <v>3</v>
      </c>
      <c r="B58" s="270" t="s">
        <v>104</v>
      </c>
      <c r="C58" s="270"/>
      <c r="D58" s="270"/>
      <c r="E58" s="270"/>
      <c r="F58" s="270"/>
      <c r="G58" s="270"/>
      <c r="H58" s="270"/>
      <c r="I58" s="270"/>
      <c r="J58" s="154">
        <v>99.302000000000007</v>
      </c>
    </row>
    <row r="59" spans="1:14" ht="15.75" customHeight="1">
      <c r="A59" s="99">
        <v>4</v>
      </c>
      <c r="B59" s="270" t="s">
        <v>84</v>
      </c>
      <c r="C59" s="270"/>
      <c r="D59" s="270"/>
      <c r="E59" s="270"/>
      <c r="F59" s="270"/>
      <c r="G59" s="270"/>
      <c r="H59" s="270"/>
      <c r="I59" s="270"/>
      <c r="J59" s="155">
        <v>4</v>
      </c>
    </row>
    <row r="60" spans="1:14" ht="15.75" customHeight="1">
      <c r="A60" s="99">
        <v>5</v>
      </c>
      <c r="B60" s="270" t="s">
        <v>105</v>
      </c>
      <c r="C60" s="270"/>
      <c r="D60" s="270"/>
      <c r="E60" s="270"/>
      <c r="F60" s="270"/>
      <c r="G60" s="270"/>
      <c r="H60" s="270"/>
      <c r="I60" s="270"/>
      <c r="J60" s="152">
        <v>3.6</v>
      </c>
    </row>
    <row r="61" spans="1:14" ht="15.75" customHeight="1">
      <c r="A61" s="99">
        <v>6</v>
      </c>
      <c r="B61" s="270" t="s">
        <v>94</v>
      </c>
      <c r="C61" s="270"/>
      <c r="D61" s="270"/>
      <c r="E61" s="270"/>
      <c r="F61" s="270"/>
      <c r="G61" s="270"/>
      <c r="H61" s="270"/>
      <c r="I61" s="270"/>
      <c r="J61" s="152">
        <v>12.6</v>
      </c>
    </row>
    <row r="62" spans="1:14" ht="15.75" customHeight="1">
      <c r="A62" s="99">
        <v>7</v>
      </c>
      <c r="B62" s="270" t="s">
        <v>106</v>
      </c>
      <c r="C62" s="270"/>
      <c r="D62" s="270"/>
      <c r="E62" s="270"/>
      <c r="F62" s="270"/>
      <c r="G62" s="270"/>
      <c r="H62" s="270"/>
      <c r="I62" s="270"/>
      <c r="J62" s="152">
        <v>10.8</v>
      </c>
    </row>
    <row r="63" spans="1:14" ht="15.75" customHeight="1">
      <c r="A63" s="99">
        <v>8</v>
      </c>
      <c r="B63" s="270" t="s">
        <v>71</v>
      </c>
      <c r="C63" s="270"/>
      <c r="D63" s="270"/>
      <c r="E63" s="270"/>
      <c r="F63" s="270"/>
      <c r="G63" s="270"/>
      <c r="H63" s="270"/>
      <c r="I63" s="270"/>
      <c r="J63" s="152">
        <v>3.9</v>
      </c>
    </row>
    <row r="64" spans="1:14" s="3" customFormat="1" ht="15.75" customHeight="1">
      <c r="A64" s="99">
        <v>9</v>
      </c>
      <c r="B64" s="270" t="s">
        <v>86</v>
      </c>
      <c r="C64" s="270"/>
      <c r="D64" s="270"/>
      <c r="E64" s="270"/>
      <c r="F64" s="270"/>
      <c r="G64" s="270"/>
      <c r="H64" s="270"/>
      <c r="I64" s="270"/>
      <c r="J64" s="153">
        <v>13.94</v>
      </c>
      <c r="L64" s="59"/>
      <c r="M64" s="59"/>
      <c r="N64" s="59"/>
    </row>
    <row r="65" spans="1:14" s="3" customFormat="1" ht="15.75" customHeight="1">
      <c r="A65" s="99">
        <v>10</v>
      </c>
      <c r="B65" s="270" t="s">
        <v>81</v>
      </c>
      <c r="C65" s="270"/>
      <c r="D65" s="270"/>
      <c r="E65" s="270"/>
      <c r="F65" s="270"/>
      <c r="G65" s="270"/>
      <c r="H65" s="270"/>
      <c r="I65" s="270"/>
      <c r="J65" s="152">
        <v>5</v>
      </c>
      <c r="L65" s="59"/>
      <c r="M65" s="59"/>
      <c r="N65" s="59"/>
    </row>
    <row r="66" spans="1:14" s="3" customFormat="1" ht="15.75" hidden="1" customHeight="1">
      <c r="A66" s="99">
        <v>11</v>
      </c>
      <c r="B66" s="270"/>
      <c r="C66" s="270"/>
      <c r="D66" s="270"/>
      <c r="E66" s="270"/>
      <c r="F66" s="270"/>
      <c r="G66" s="270"/>
      <c r="H66" s="270"/>
      <c r="I66" s="270"/>
      <c r="J66" s="155"/>
      <c r="L66" s="59"/>
      <c r="M66" s="59"/>
      <c r="N66" s="59"/>
    </row>
    <row r="67" spans="1:14" s="3" customFormat="1" ht="15.75" hidden="1" customHeight="1">
      <c r="A67" s="99">
        <v>12</v>
      </c>
      <c r="B67" s="270"/>
      <c r="C67" s="270"/>
      <c r="D67" s="270"/>
      <c r="E67" s="270"/>
      <c r="F67" s="270"/>
      <c r="G67" s="270"/>
      <c r="H67" s="270"/>
      <c r="I67" s="270"/>
      <c r="J67" s="152"/>
      <c r="L67" s="59"/>
      <c r="M67" s="59"/>
      <c r="N67" s="59"/>
    </row>
    <row r="68" spans="1:14" s="3" customFormat="1" ht="15.75" hidden="1" customHeight="1">
      <c r="A68" s="100">
        <v>13</v>
      </c>
      <c r="B68" s="271"/>
      <c r="C68" s="271"/>
      <c r="D68" s="271"/>
      <c r="E68" s="271"/>
      <c r="F68" s="271"/>
      <c r="G68" s="271"/>
      <c r="H68" s="271"/>
      <c r="I68" s="271"/>
      <c r="J68" s="42"/>
      <c r="L68" s="59"/>
      <c r="M68" s="59"/>
      <c r="N68" s="59"/>
    </row>
    <row r="69" spans="1:14" s="3" customFormat="1" ht="15.75" hidden="1" customHeight="1">
      <c r="A69" s="100">
        <v>14</v>
      </c>
      <c r="B69" s="149"/>
      <c r="C69" s="134"/>
      <c r="D69" s="134"/>
      <c r="E69" s="134"/>
      <c r="F69" s="134"/>
      <c r="G69" s="134"/>
      <c r="H69" s="134"/>
      <c r="I69" s="135"/>
      <c r="J69" s="42"/>
      <c r="L69" s="59"/>
      <c r="M69" s="59"/>
      <c r="N69" s="59"/>
    </row>
    <row r="70" spans="1:14" s="3" customFormat="1" ht="15.75" hidden="1" customHeight="1">
      <c r="A70" s="100">
        <v>15</v>
      </c>
      <c r="B70" s="149"/>
      <c r="C70" s="134"/>
      <c r="D70" s="134"/>
      <c r="E70" s="134"/>
      <c r="F70" s="134"/>
      <c r="G70" s="134"/>
      <c r="H70" s="134"/>
      <c r="I70" s="135"/>
      <c r="J70" s="43"/>
      <c r="L70" s="59"/>
      <c r="M70" s="59"/>
      <c r="N70" s="59"/>
    </row>
    <row r="71" spans="1:14" s="3" customFormat="1" ht="15.75" hidden="1" customHeight="1">
      <c r="A71" s="100">
        <v>16</v>
      </c>
      <c r="B71" s="149"/>
      <c r="C71" s="134"/>
      <c r="D71" s="134"/>
      <c r="E71" s="134"/>
      <c r="F71" s="134"/>
      <c r="G71" s="134"/>
      <c r="H71" s="134"/>
      <c r="I71" s="135"/>
      <c r="J71" s="44"/>
      <c r="L71" s="59"/>
      <c r="M71" s="59"/>
      <c r="N71" s="59"/>
    </row>
    <row r="72" spans="1:14" s="3" customFormat="1" ht="15.75" hidden="1" customHeight="1">
      <c r="A72" s="100">
        <v>17</v>
      </c>
      <c r="B72" s="149"/>
      <c r="C72" s="134"/>
      <c r="D72" s="134"/>
      <c r="E72" s="134"/>
      <c r="F72" s="134"/>
      <c r="G72" s="134"/>
      <c r="H72" s="134"/>
      <c r="I72" s="135"/>
      <c r="J72" s="43"/>
      <c r="L72" s="59"/>
      <c r="M72" s="59"/>
      <c r="N72" s="59"/>
    </row>
    <row r="73" spans="1:14" s="3" customFormat="1" ht="15.75" hidden="1" customHeight="1">
      <c r="A73" s="100">
        <v>18</v>
      </c>
      <c r="B73" s="149"/>
      <c r="C73" s="134"/>
      <c r="D73" s="134"/>
      <c r="E73" s="134"/>
      <c r="F73" s="134"/>
      <c r="G73" s="134"/>
      <c r="H73" s="134"/>
      <c r="I73" s="135"/>
      <c r="J73" s="43"/>
      <c r="L73" s="59"/>
      <c r="M73" s="59"/>
      <c r="N73" s="59"/>
    </row>
    <row r="74" spans="1:14" s="3" customFormat="1" ht="15.75" hidden="1" customHeight="1">
      <c r="A74" s="100">
        <v>19</v>
      </c>
      <c r="B74" s="149"/>
      <c r="C74" s="134"/>
      <c r="D74" s="134"/>
      <c r="E74" s="134"/>
      <c r="F74" s="134"/>
      <c r="G74" s="134"/>
      <c r="H74" s="134"/>
      <c r="I74" s="135"/>
      <c r="J74" s="44"/>
      <c r="L74" s="59"/>
      <c r="M74" s="59"/>
      <c r="N74" s="59"/>
    </row>
    <row r="75" spans="1:14" s="3" customFormat="1" ht="15.75" hidden="1" customHeight="1">
      <c r="A75" s="100">
        <v>20</v>
      </c>
      <c r="B75" s="149"/>
      <c r="C75" s="134"/>
      <c r="D75" s="134"/>
      <c r="E75" s="134"/>
      <c r="F75" s="134"/>
      <c r="G75" s="134"/>
      <c r="H75" s="134"/>
      <c r="I75" s="135"/>
      <c r="J75" s="45"/>
      <c r="L75" s="59"/>
      <c r="M75" s="59"/>
      <c r="N75" s="59"/>
    </row>
    <row r="76" spans="1:14" s="3" customFormat="1" ht="15.75" hidden="1" customHeight="1">
      <c r="A76" s="100">
        <v>21</v>
      </c>
      <c r="B76" s="149"/>
      <c r="C76" s="134"/>
      <c r="D76" s="134"/>
      <c r="E76" s="134"/>
      <c r="F76" s="134"/>
      <c r="G76" s="134"/>
      <c r="H76" s="134"/>
      <c r="I76" s="135"/>
      <c r="J76" s="43"/>
      <c r="L76" s="59"/>
      <c r="M76" s="59"/>
      <c r="N76" s="59"/>
    </row>
    <row r="77" spans="1:14" s="3" customFormat="1" ht="15.75" hidden="1" customHeight="1">
      <c r="A77" s="100">
        <v>22</v>
      </c>
      <c r="B77" s="149"/>
      <c r="C77" s="134"/>
      <c r="D77" s="134"/>
      <c r="E77" s="134"/>
      <c r="F77" s="134"/>
      <c r="G77" s="134"/>
      <c r="H77" s="134"/>
      <c r="I77" s="135"/>
      <c r="J77" s="43"/>
      <c r="L77" s="59"/>
      <c r="M77" s="59"/>
      <c r="N77" s="59"/>
    </row>
    <row r="78" spans="1:14" s="3" customFormat="1" ht="15.75" hidden="1" customHeight="1">
      <c r="A78" s="100">
        <v>23</v>
      </c>
      <c r="B78" s="149"/>
      <c r="C78" s="134"/>
      <c r="D78" s="134"/>
      <c r="E78" s="134"/>
      <c r="F78" s="134"/>
      <c r="G78" s="134"/>
      <c r="H78" s="134"/>
      <c r="I78" s="135"/>
      <c r="J78" s="44"/>
      <c r="L78" s="59"/>
      <c r="M78" s="59"/>
      <c r="N78" s="59"/>
    </row>
    <row r="79" spans="1:14" s="3" customFormat="1" ht="14.25" hidden="1" customHeight="1">
      <c r="A79" s="100">
        <v>24</v>
      </c>
      <c r="B79" s="149"/>
      <c r="C79" s="134"/>
      <c r="D79" s="134"/>
      <c r="E79" s="134"/>
      <c r="F79" s="134"/>
      <c r="G79" s="134"/>
      <c r="H79" s="134"/>
      <c r="I79" s="135"/>
      <c r="J79" s="45"/>
      <c r="L79" s="59"/>
      <c r="M79" s="59"/>
      <c r="N79" s="59"/>
    </row>
    <row r="80" spans="1:14" s="3" customFormat="1" ht="15.75" thickBot="1">
      <c r="A80" s="40"/>
      <c r="B80" s="267"/>
      <c r="C80" s="268"/>
      <c r="D80" s="268"/>
      <c r="E80" s="268"/>
      <c r="F80" s="268"/>
      <c r="G80" s="268"/>
      <c r="H80" s="268"/>
      <c r="I80" s="269"/>
      <c r="J80" s="41">
        <f>SUM(J56:J79)</f>
        <v>160.59200000000001</v>
      </c>
      <c r="L80" s="59"/>
      <c r="M80" s="59"/>
      <c r="N80" s="59"/>
    </row>
  </sheetData>
  <mergeCells count="79">
    <mergeCell ref="B80:I80"/>
    <mergeCell ref="B62:I62"/>
    <mergeCell ref="B63:I63"/>
    <mergeCell ref="B64:I64"/>
    <mergeCell ref="B65:I65"/>
    <mergeCell ref="B66:I66"/>
    <mergeCell ref="B67:I67"/>
    <mergeCell ref="B68:I68"/>
    <mergeCell ref="B61:I61"/>
    <mergeCell ref="C51:D51"/>
    <mergeCell ref="E51:F51"/>
    <mergeCell ref="G51:H51"/>
    <mergeCell ref="I51:J51"/>
    <mergeCell ref="A54:J54"/>
    <mergeCell ref="B55:I55"/>
    <mergeCell ref="B56:I56"/>
    <mergeCell ref="B57:I57"/>
    <mergeCell ref="B58:I58"/>
    <mergeCell ref="B59:I59"/>
    <mergeCell ref="B60:I60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A1:C1"/>
    <mergeCell ref="E1:H1"/>
    <mergeCell ref="J1:K1"/>
    <mergeCell ref="A2:C2"/>
    <mergeCell ref="F2:H2"/>
    <mergeCell ref="J2:K2"/>
  </mergeCells>
  <pageMargins left="0" right="0" top="0.59055118110236204" bottom="0" header="0" footer="0"/>
  <pageSetup paperSize="8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N87"/>
  <sheetViews>
    <sheetView topLeftCell="A64" zoomScaleNormal="100" workbookViewId="0">
      <pane xSplit="3" topLeftCell="D1" activePane="topRight" state="frozen"/>
      <selection pane="topRight" activeCell="M92" sqref="M92"/>
    </sheetView>
  </sheetViews>
  <sheetFormatPr defaultColWidth="9.140625" defaultRowHeight="15"/>
  <cols>
    <col min="1" max="1" width="5.7109375" style="3" customWidth="1"/>
    <col min="2" max="2" width="20.7109375" style="3" customWidth="1"/>
    <col min="3" max="3" width="12" style="3" customWidth="1"/>
    <col min="4" max="5" width="17.7109375" style="3" customWidth="1"/>
    <col min="6" max="6" width="11.7109375" style="9" customWidth="1"/>
    <col min="7" max="7" width="10.7109375" style="98" customWidth="1"/>
    <col min="8" max="8" width="10.7109375" style="3" customWidth="1"/>
    <col min="9" max="9" width="13.7109375" style="3" customWidth="1"/>
    <col min="10" max="10" width="14.5703125" style="3" customWidth="1"/>
    <col min="11" max="11" width="10.7109375" style="3" customWidth="1"/>
    <col min="12" max="12" width="13.85546875" style="59" customWidth="1"/>
    <col min="13" max="13" width="23.42578125" style="59" customWidth="1"/>
    <col min="14" max="14" width="13.140625" style="59" bestFit="1" customWidth="1"/>
    <col min="15" max="16384" width="9.140625" style="59"/>
  </cols>
  <sheetData>
    <row r="1" spans="1:12" ht="46.9" customHeight="1">
      <c r="A1" s="172" t="s">
        <v>41</v>
      </c>
      <c r="B1" s="172"/>
      <c r="C1" s="172"/>
      <c r="D1" s="1"/>
      <c r="E1" s="172" t="s">
        <v>24</v>
      </c>
      <c r="F1" s="172"/>
      <c r="G1" s="172"/>
      <c r="H1" s="172"/>
      <c r="I1" s="137"/>
      <c r="J1" s="173">
        <v>8</v>
      </c>
      <c r="K1" s="173"/>
    </row>
    <row r="2" spans="1:12" ht="28.5">
      <c r="A2" s="174">
        <v>46323</v>
      </c>
      <c r="B2" s="175"/>
      <c r="C2" s="175"/>
      <c r="D2" s="2"/>
      <c r="E2" s="2"/>
      <c r="F2" s="176"/>
      <c r="G2" s="176"/>
      <c r="H2" s="176"/>
      <c r="I2" s="138"/>
      <c r="J2" s="176"/>
      <c r="K2" s="176"/>
    </row>
    <row r="3" spans="1:12" ht="27" thickBot="1">
      <c r="A3" s="180" t="s">
        <v>0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</row>
    <row r="4" spans="1:12" ht="18" customHeight="1">
      <c r="A4" s="181" t="s">
        <v>25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3"/>
    </row>
    <row r="5" spans="1:12" s="60" customFormat="1" ht="18" customHeight="1">
      <c r="A5" s="28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10</v>
      </c>
      <c r="L5" s="29">
        <v>11</v>
      </c>
    </row>
    <row r="6" spans="1:12" ht="82.9" customHeight="1">
      <c r="A6" s="184" t="s">
        <v>1</v>
      </c>
      <c r="B6" s="185" t="s">
        <v>2</v>
      </c>
      <c r="C6" s="185" t="s">
        <v>3</v>
      </c>
      <c r="D6" s="185" t="s">
        <v>4</v>
      </c>
      <c r="E6" s="136" t="s">
        <v>5</v>
      </c>
      <c r="F6" s="185" t="s">
        <v>6</v>
      </c>
      <c r="G6" s="186" t="s">
        <v>7</v>
      </c>
      <c r="H6" s="187" t="s">
        <v>8</v>
      </c>
      <c r="I6" s="185" t="s">
        <v>9</v>
      </c>
      <c r="J6" s="188" t="s">
        <v>30</v>
      </c>
      <c r="K6" s="190" t="s">
        <v>10</v>
      </c>
      <c r="L6" s="191"/>
    </row>
    <row r="7" spans="1:12" s="60" customFormat="1" ht="63.6" customHeight="1">
      <c r="A7" s="184"/>
      <c r="B7" s="185"/>
      <c r="C7" s="185"/>
      <c r="D7" s="185"/>
      <c r="E7" s="136" t="s">
        <v>11</v>
      </c>
      <c r="F7" s="185"/>
      <c r="G7" s="186"/>
      <c r="H7" s="187"/>
      <c r="I7" s="185"/>
      <c r="J7" s="189"/>
      <c r="K7" s="136" t="s">
        <v>7</v>
      </c>
      <c r="L7" s="30" t="s">
        <v>8</v>
      </c>
    </row>
    <row r="8" spans="1:12" s="60" customFormat="1" ht="15.75">
      <c r="A8" s="61">
        <v>1</v>
      </c>
      <c r="B8" s="46" t="s">
        <v>42</v>
      </c>
      <c r="C8" s="141" t="s">
        <v>43</v>
      </c>
      <c r="D8" s="147" t="s">
        <v>61</v>
      </c>
      <c r="E8" s="48" t="s">
        <v>46</v>
      </c>
      <c r="F8" s="62">
        <v>0.29166666666666669</v>
      </c>
      <c r="G8" s="63">
        <v>9</v>
      </c>
      <c r="H8" s="64">
        <v>578.31700000000001</v>
      </c>
      <c r="I8" s="65">
        <v>0.54166666666666663</v>
      </c>
      <c r="J8" s="65">
        <f>I8-F8</f>
        <v>0.24999999999999994</v>
      </c>
      <c r="K8" s="64"/>
      <c r="L8" s="66"/>
    </row>
    <row r="9" spans="1:12" ht="15.75">
      <c r="A9" s="61">
        <v>2</v>
      </c>
      <c r="B9" s="50" t="s">
        <v>50</v>
      </c>
      <c r="C9" s="141" t="s">
        <v>51</v>
      </c>
      <c r="D9" s="148" t="s">
        <v>59</v>
      </c>
      <c r="E9" s="49" t="s">
        <v>47</v>
      </c>
      <c r="F9" s="62">
        <v>0.28125</v>
      </c>
      <c r="G9" s="63">
        <v>19</v>
      </c>
      <c r="H9" s="64">
        <v>907.49900000000002</v>
      </c>
      <c r="I9" s="65">
        <v>0.57638888888888895</v>
      </c>
      <c r="J9" s="65">
        <f t="shared" ref="J9:J12" si="0">I9-F9</f>
        <v>0.29513888888888895</v>
      </c>
      <c r="K9" s="64"/>
      <c r="L9" s="66"/>
    </row>
    <row r="10" spans="1:12" ht="15.75">
      <c r="A10" s="67">
        <v>3</v>
      </c>
      <c r="B10" s="48" t="s">
        <v>42</v>
      </c>
      <c r="C10" s="142" t="s">
        <v>45</v>
      </c>
      <c r="D10" s="147" t="s">
        <v>58</v>
      </c>
      <c r="E10" s="48" t="s">
        <v>47</v>
      </c>
      <c r="F10" s="62">
        <v>0.2673611111111111</v>
      </c>
      <c r="G10" s="63">
        <v>29</v>
      </c>
      <c r="H10" s="64">
        <v>841.59299999999996</v>
      </c>
      <c r="I10" s="65">
        <v>0.55208333333333337</v>
      </c>
      <c r="J10" s="65">
        <f t="shared" si="0"/>
        <v>0.28472222222222227</v>
      </c>
      <c r="K10" s="64"/>
      <c r="L10" s="66"/>
    </row>
    <row r="11" spans="1:12" ht="15.75">
      <c r="A11" s="61">
        <v>4</v>
      </c>
      <c r="B11" s="48" t="s">
        <v>42</v>
      </c>
      <c r="C11" s="142" t="s">
        <v>78</v>
      </c>
      <c r="D11" s="147" t="s">
        <v>63</v>
      </c>
      <c r="E11" s="51" t="s">
        <v>46</v>
      </c>
      <c r="F11" s="62">
        <v>0.2951388888888889</v>
      </c>
      <c r="G11" s="63">
        <v>29</v>
      </c>
      <c r="H11" s="64">
        <v>1035.2539999999999</v>
      </c>
      <c r="I11" s="65">
        <v>0.60416666666666663</v>
      </c>
      <c r="J11" s="65">
        <f t="shared" si="0"/>
        <v>0.30902777777777773</v>
      </c>
      <c r="K11" s="64"/>
      <c r="L11" s="66"/>
    </row>
    <row r="12" spans="1:12" ht="15.75">
      <c r="A12" s="105">
        <v>5</v>
      </c>
      <c r="B12" s="52" t="s">
        <v>50</v>
      </c>
      <c r="C12" s="141" t="s">
        <v>54</v>
      </c>
      <c r="D12" s="53" t="s">
        <v>57</v>
      </c>
      <c r="E12" s="49" t="s">
        <v>47</v>
      </c>
      <c r="F12" s="65">
        <v>0.28472222222222221</v>
      </c>
      <c r="G12" s="63">
        <v>18</v>
      </c>
      <c r="H12" s="64">
        <v>640.26800000000003</v>
      </c>
      <c r="I12" s="65">
        <v>0.5625</v>
      </c>
      <c r="J12" s="65">
        <f t="shared" si="0"/>
        <v>0.27777777777777779</v>
      </c>
      <c r="K12" s="64"/>
      <c r="L12" s="66"/>
    </row>
    <row r="13" spans="1:12" ht="15.75">
      <c r="A13" s="68"/>
      <c r="B13" s="50"/>
      <c r="C13" s="46"/>
      <c r="D13" s="54"/>
      <c r="E13" s="51"/>
      <c r="F13" s="65"/>
      <c r="G13" s="63"/>
      <c r="H13" s="64"/>
      <c r="I13" s="65"/>
      <c r="J13" s="65"/>
      <c r="K13" s="64"/>
      <c r="L13" s="66"/>
    </row>
    <row r="14" spans="1:12" ht="15.75">
      <c r="A14" s="68"/>
      <c r="B14" s="69"/>
      <c r="C14" s="70"/>
      <c r="D14" s="47"/>
      <c r="E14" s="71"/>
      <c r="F14" s="65"/>
      <c r="G14" s="63"/>
      <c r="H14" s="64"/>
      <c r="I14" s="65"/>
      <c r="J14" s="65"/>
      <c r="K14" s="64"/>
      <c r="L14" s="66"/>
    </row>
    <row r="15" spans="1:12" ht="15.75">
      <c r="A15" s="68"/>
      <c r="B15" s="48"/>
      <c r="C15" s="50"/>
      <c r="D15" s="47"/>
      <c r="E15" s="48"/>
      <c r="F15" s="65"/>
      <c r="G15" s="63"/>
      <c r="H15" s="64"/>
      <c r="I15" s="65"/>
      <c r="J15" s="65"/>
      <c r="K15" s="64"/>
      <c r="L15" s="66"/>
    </row>
    <row r="16" spans="1:12">
      <c r="A16" s="68"/>
      <c r="B16" s="72"/>
      <c r="C16" s="140"/>
      <c r="D16" s="39"/>
      <c r="E16" s="73"/>
      <c r="F16" s="74"/>
      <c r="G16" s="75"/>
      <c r="H16" s="76"/>
      <c r="I16" s="74"/>
      <c r="J16" s="77"/>
      <c r="K16" s="76"/>
      <c r="L16" s="78"/>
    </row>
    <row r="17" spans="1:14">
      <c r="A17" s="68"/>
      <c r="B17" s="72"/>
      <c r="C17" s="140"/>
      <c r="D17" s="39"/>
      <c r="E17" s="73"/>
      <c r="F17" s="74"/>
      <c r="G17" s="75"/>
      <c r="H17" s="76"/>
      <c r="I17" s="74"/>
      <c r="J17" s="77"/>
      <c r="K17" s="76"/>
      <c r="L17" s="78"/>
    </row>
    <row r="18" spans="1:14">
      <c r="A18" s="68"/>
      <c r="B18" s="72"/>
      <c r="C18" s="140"/>
      <c r="D18" s="39"/>
      <c r="E18" s="73"/>
      <c r="F18" s="74"/>
      <c r="G18" s="75"/>
      <c r="H18" s="76"/>
      <c r="I18" s="74"/>
      <c r="J18" s="77"/>
      <c r="K18" s="76"/>
      <c r="L18" s="78"/>
    </row>
    <row r="19" spans="1:14">
      <c r="A19" s="68"/>
      <c r="B19" s="72"/>
      <c r="C19" s="140"/>
      <c r="D19" s="39"/>
      <c r="E19" s="73"/>
      <c r="F19" s="74"/>
      <c r="G19" s="75"/>
      <c r="H19" s="76"/>
      <c r="I19" s="74"/>
      <c r="J19" s="77"/>
      <c r="K19" s="24"/>
      <c r="L19" s="78"/>
    </row>
    <row r="20" spans="1:14">
      <c r="A20" s="68"/>
      <c r="B20" s="72"/>
      <c r="C20" s="140"/>
      <c r="D20" s="39"/>
      <c r="E20" s="73"/>
      <c r="F20" s="74"/>
      <c r="G20" s="75"/>
      <c r="H20" s="76"/>
      <c r="I20" s="74"/>
      <c r="J20" s="77"/>
      <c r="K20" s="24"/>
      <c r="L20" s="79"/>
    </row>
    <row r="21" spans="1:14" ht="16.5" thickBot="1">
      <c r="A21" s="192" t="s">
        <v>15</v>
      </c>
      <c r="B21" s="193"/>
      <c r="C21" s="193"/>
      <c r="D21" s="193"/>
      <c r="E21" s="193"/>
      <c r="F21" s="194"/>
      <c r="G21" s="102">
        <f>SUM(G8:G20)</f>
        <v>104</v>
      </c>
      <c r="H21" s="102">
        <f>SUM(H8:H19)</f>
        <v>4002.931</v>
      </c>
      <c r="I21" s="103"/>
      <c r="J21" s="103"/>
      <c r="K21" s="102">
        <f>SUM(K8:K20)</f>
        <v>0</v>
      </c>
      <c r="L21" s="104">
        <f>SUM(L8:L20)</f>
        <v>0</v>
      </c>
    </row>
    <row r="23" spans="1:14" ht="15.75" thickBot="1">
      <c r="D23" s="80"/>
      <c r="E23" s="8"/>
      <c r="G23" s="81"/>
      <c r="H23" s="8"/>
      <c r="I23" s="8"/>
      <c r="L23" s="60"/>
      <c r="N23" s="82"/>
    </row>
    <row r="24" spans="1:14" ht="18.75">
      <c r="A24" s="177" t="s">
        <v>26</v>
      </c>
      <c r="B24" s="178"/>
      <c r="C24" s="178"/>
      <c r="D24" s="178"/>
      <c r="E24" s="178"/>
      <c r="F24" s="178"/>
      <c r="G24" s="178"/>
      <c r="H24" s="178"/>
      <c r="I24" s="179"/>
      <c r="J24" s="60"/>
      <c r="K24" s="60"/>
      <c r="L24" s="60"/>
      <c r="N24" s="82"/>
    </row>
    <row r="25" spans="1:14">
      <c r="A25" s="12">
        <v>1</v>
      </c>
      <c r="B25" s="31">
        <v>2</v>
      </c>
      <c r="C25" s="31">
        <v>3</v>
      </c>
      <c r="D25" s="31">
        <v>4</v>
      </c>
      <c r="E25" s="31">
        <v>5</v>
      </c>
      <c r="F25" s="31">
        <v>6</v>
      </c>
      <c r="G25" s="31">
        <v>7</v>
      </c>
      <c r="H25" s="31">
        <v>8</v>
      </c>
      <c r="I25" s="13">
        <v>9</v>
      </c>
      <c r="J25" s="60"/>
      <c r="K25" s="60"/>
      <c r="N25" s="82"/>
    </row>
    <row r="26" spans="1:14" ht="30">
      <c r="A26" s="23" t="s">
        <v>1</v>
      </c>
      <c r="B26" s="136" t="s">
        <v>2</v>
      </c>
      <c r="C26" s="136" t="s">
        <v>3</v>
      </c>
      <c r="D26" s="136" t="s">
        <v>27</v>
      </c>
      <c r="E26" s="136" t="s">
        <v>6</v>
      </c>
      <c r="F26" s="136" t="s">
        <v>28</v>
      </c>
      <c r="G26" s="136" t="s">
        <v>8</v>
      </c>
      <c r="H26" s="136" t="s">
        <v>31</v>
      </c>
      <c r="I26" s="14" t="s">
        <v>30</v>
      </c>
      <c r="J26" s="60"/>
      <c r="K26" s="60"/>
      <c r="L26" s="60"/>
      <c r="N26" s="82"/>
    </row>
    <row r="27" spans="1:14">
      <c r="A27" s="26"/>
      <c r="B27" s="25"/>
      <c r="C27" s="24"/>
      <c r="D27" s="32"/>
      <c r="E27" s="83"/>
      <c r="F27" s="75"/>
      <c r="G27" s="76"/>
      <c r="H27" s="84"/>
      <c r="I27" s="85"/>
      <c r="J27" s="60"/>
      <c r="K27" s="60"/>
      <c r="L27" s="60"/>
    </row>
    <row r="28" spans="1:14">
      <c r="A28" s="24"/>
      <c r="B28" s="25"/>
      <c r="C28" s="24"/>
      <c r="D28" s="32"/>
      <c r="E28" s="83"/>
      <c r="F28" s="75"/>
      <c r="G28" s="76"/>
      <c r="H28" s="84"/>
      <c r="I28" s="85"/>
      <c r="J28" s="60"/>
      <c r="K28" s="60"/>
      <c r="L28" s="60"/>
    </row>
    <row r="29" spans="1:14">
      <c r="A29" s="24"/>
      <c r="B29" s="24"/>
      <c r="C29" s="24"/>
      <c r="D29" s="32"/>
      <c r="E29" s="83"/>
      <c r="F29" s="75"/>
      <c r="G29" s="76"/>
      <c r="H29" s="84"/>
      <c r="I29" s="85"/>
      <c r="J29" s="60"/>
      <c r="K29" s="60"/>
      <c r="L29" s="60"/>
    </row>
    <row r="30" spans="1:14">
      <c r="A30" s="27"/>
      <c r="B30" s="27"/>
      <c r="C30" s="27"/>
      <c r="D30" s="32"/>
      <c r="E30" s="83"/>
      <c r="F30" s="75"/>
      <c r="G30" s="76"/>
      <c r="H30" s="84"/>
      <c r="I30" s="85"/>
      <c r="J30" s="60"/>
      <c r="K30" s="60"/>
      <c r="L30" s="60"/>
    </row>
    <row r="31" spans="1:14" ht="15.75" thickBot="1">
      <c r="A31" s="195" t="s">
        <v>15</v>
      </c>
      <c r="B31" s="196"/>
      <c r="C31" s="197"/>
      <c r="D31" s="5"/>
      <c r="E31" s="15"/>
      <c r="F31" s="15">
        <f>SUM(F30:F30)</f>
        <v>0</v>
      </c>
      <c r="G31" s="15">
        <f>SUM(G30:G30)</f>
        <v>0</v>
      </c>
      <c r="H31" s="16"/>
      <c r="I31" s="17"/>
      <c r="J31" s="59"/>
      <c r="K31" s="59"/>
    </row>
    <row r="32" spans="1:14" ht="15.75" thickBot="1">
      <c r="D32" s="80"/>
      <c r="E32" s="8"/>
      <c r="G32" s="81"/>
      <c r="H32" s="8"/>
      <c r="I32" s="8"/>
      <c r="L32" s="60"/>
    </row>
    <row r="33" spans="1:13" ht="18.75">
      <c r="A33" s="177" t="s">
        <v>12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</row>
    <row r="34" spans="1:13" ht="15.75" thickBot="1">
      <c r="A34" s="34">
        <v>1</v>
      </c>
      <c r="B34" s="35">
        <v>2</v>
      </c>
      <c r="C34" s="35">
        <v>3</v>
      </c>
      <c r="D34" s="35">
        <v>4</v>
      </c>
      <c r="E34" s="35">
        <v>5</v>
      </c>
      <c r="F34" s="35">
        <v>6</v>
      </c>
      <c r="G34" s="35">
        <v>7</v>
      </c>
      <c r="H34" s="35">
        <v>8</v>
      </c>
      <c r="I34" s="35">
        <v>9</v>
      </c>
      <c r="J34" s="35">
        <v>10</v>
      </c>
      <c r="K34" s="35">
        <v>11</v>
      </c>
      <c r="L34" s="198">
        <v>12</v>
      </c>
      <c r="M34" s="199"/>
    </row>
    <row r="35" spans="1:13" ht="45">
      <c r="A35" s="200" t="s">
        <v>1</v>
      </c>
      <c r="B35" s="202" t="s">
        <v>2</v>
      </c>
      <c r="C35" s="202" t="s">
        <v>3</v>
      </c>
      <c r="D35" s="202" t="s">
        <v>4</v>
      </c>
      <c r="E35" s="37" t="s">
        <v>5</v>
      </c>
      <c r="F35" s="202" t="s">
        <v>14</v>
      </c>
      <c r="G35" s="202" t="s">
        <v>13</v>
      </c>
      <c r="H35" s="202" t="s">
        <v>37</v>
      </c>
      <c r="I35" s="202" t="s">
        <v>39</v>
      </c>
      <c r="J35" s="202" t="s">
        <v>38</v>
      </c>
      <c r="K35" s="202" t="s">
        <v>40</v>
      </c>
      <c r="L35" s="206" t="s">
        <v>36</v>
      </c>
      <c r="M35" s="207"/>
    </row>
    <row r="36" spans="1:13" ht="45">
      <c r="A36" s="201"/>
      <c r="B36" s="189"/>
      <c r="C36" s="189"/>
      <c r="D36" s="189"/>
      <c r="E36" s="139" t="s">
        <v>11</v>
      </c>
      <c r="F36" s="189"/>
      <c r="G36" s="189"/>
      <c r="H36" s="189"/>
      <c r="I36" s="189"/>
      <c r="J36" s="189"/>
      <c r="K36" s="189"/>
      <c r="L36" s="208"/>
      <c r="M36" s="209"/>
    </row>
    <row r="37" spans="1:13" s="22" customFormat="1" ht="46.5" customHeight="1">
      <c r="A37" s="55">
        <v>6</v>
      </c>
      <c r="B37" s="110" t="s">
        <v>42</v>
      </c>
      <c r="C37" s="109" t="s">
        <v>48</v>
      </c>
      <c r="D37" s="56" t="s">
        <v>59</v>
      </c>
      <c r="E37" s="110" t="s">
        <v>46</v>
      </c>
      <c r="F37" s="111">
        <v>46248</v>
      </c>
      <c r="G37" s="151">
        <v>240000</v>
      </c>
      <c r="H37" s="113" t="s">
        <v>56</v>
      </c>
      <c r="I37" s="114">
        <v>46248</v>
      </c>
      <c r="J37" s="115" t="s">
        <v>102</v>
      </c>
      <c r="K37" s="57"/>
      <c r="L37" s="210" t="s">
        <v>49</v>
      </c>
      <c r="M37" s="211"/>
    </row>
    <row r="38" spans="1:13" s="22" customFormat="1" ht="63">
      <c r="A38" s="55">
        <v>7</v>
      </c>
      <c r="B38" s="116" t="s">
        <v>52</v>
      </c>
      <c r="C38" s="116" t="s">
        <v>53</v>
      </c>
      <c r="D38" s="116" t="s">
        <v>58</v>
      </c>
      <c r="E38" s="117" t="s">
        <v>46</v>
      </c>
      <c r="F38" s="118" t="s">
        <v>62</v>
      </c>
      <c r="G38" s="151">
        <v>680000</v>
      </c>
      <c r="H38" s="119"/>
      <c r="I38" s="120"/>
      <c r="J38" s="120"/>
      <c r="K38" s="121"/>
      <c r="L38" s="212" t="s">
        <v>55</v>
      </c>
      <c r="M38" s="213"/>
    </row>
    <row r="39" spans="1:13" ht="34.5" customHeight="1">
      <c r="A39" s="122">
        <v>8</v>
      </c>
      <c r="B39" s="116" t="s">
        <v>42</v>
      </c>
      <c r="C39" s="116" t="s">
        <v>44</v>
      </c>
      <c r="D39" s="123" t="s">
        <v>60</v>
      </c>
      <c r="E39" s="124" t="s">
        <v>47</v>
      </c>
      <c r="F39" s="125">
        <v>46317</v>
      </c>
      <c r="G39" s="150">
        <v>4750</v>
      </c>
      <c r="H39" s="113" t="s">
        <v>56</v>
      </c>
      <c r="I39" s="126">
        <v>46317</v>
      </c>
      <c r="J39" s="126">
        <v>46325</v>
      </c>
      <c r="K39" s="109"/>
      <c r="L39" s="214" t="s">
        <v>77</v>
      </c>
      <c r="M39" s="215"/>
    </row>
    <row r="40" spans="1:13" ht="15.75">
      <c r="A40" s="122"/>
      <c r="B40" s="106"/>
      <c r="C40" s="106"/>
      <c r="D40" s="106"/>
      <c r="E40" s="106"/>
      <c r="F40" s="107"/>
      <c r="G40" s="108"/>
      <c r="H40" s="109"/>
      <c r="I40" s="109"/>
      <c r="J40" s="109"/>
      <c r="K40" s="109"/>
      <c r="L40" s="216"/>
      <c r="M40" s="217"/>
    </row>
    <row r="41" spans="1:13">
      <c r="A41" s="86"/>
      <c r="B41" s="127"/>
      <c r="C41" s="128"/>
      <c r="D41" s="128"/>
      <c r="E41" s="129"/>
      <c r="F41" s="130"/>
      <c r="G41" s="131"/>
      <c r="H41" s="132"/>
      <c r="I41" s="130"/>
      <c r="J41" s="130"/>
      <c r="K41" s="132"/>
      <c r="L41" s="218"/>
      <c r="M41" s="219"/>
    </row>
    <row r="42" spans="1:13">
      <c r="A42" s="86"/>
      <c r="B42" s="127"/>
      <c r="C42" s="128"/>
      <c r="D42" s="87"/>
      <c r="E42" s="33"/>
      <c r="F42" s="88"/>
      <c r="G42" s="131"/>
      <c r="H42" s="89"/>
      <c r="I42" s="88"/>
      <c r="J42" s="88"/>
      <c r="K42" s="89"/>
      <c r="L42" s="220"/>
      <c r="M42" s="221"/>
    </row>
    <row r="43" spans="1:13" ht="15.75" thickBot="1">
      <c r="A43" s="133"/>
      <c r="B43" s="90"/>
      <c r="C43" s="91"/>
      <c r="D43" s="91"/>
      <c r="E43" s="92"/>
      <c r="F43" s="93"/>
      <c r="G43" s="38"/>
      <c r="H43" s="94"/>
      <c r="I43" s="93"/>
      <c r="J43" s="93"/>
      <c r="K43" s="94"/>
      <c r="L43" s="222"/>
      <c r="M43" s="223"/>
    </row>
    <row r="44" spans="1:13" ht="15.75" thickBot="1">
      <c r="A44" s="224" t="s">
        <v>15</v>
      </c>
      <c r="B44" s="225"/>
      <c r="C44" s="225"/>
      <c r="D44" s="225"/>
      <c r="E44" s="226"/>
      <c r="F44" s="36"/>
      <c r="G44" s="227">
        <f>SUM(G37:G43)</f>
        <v>924750</v>
      </c>
      <c r="H44" s="228"/>
      <c r="I44" s="228"/>
      <c r="J44" s="228"/>
      <c r="K44" s="228"/>
      <c r="L44" s="229"/>
    </row>
    <row r="45" spans="1:13" ht="15.75" thickBot="1">
      <c r="A45" s="18"/>
      <c r="B45" s="18"/>
      <c r="C45" s="18"/>
      <c r="D45" s="18"/>
      <c r="E45" s="19"/>
      <c r="F45" s="19"/>
      <c r="G45" s="20"/>
      <c r="H45" s="20"/>
      <c r="J45" s="4"/>
      <c r="K45" s="21"/>
    </row>
    <row r="46" spans="1:13" ht="18.75">
      <c r="A46" s="203" t="s">
        <v>16</v>
      </c>
      <c r="B46" s="204"/>
      <c r="C46" s="204"/>
      <c r="D46" s="204"/>
      <c r="E46" s="204"/>
      <c r="F46" s="204"/>
      <c r="G46" s="204"/>
      <c r="H46" s="204"/>
      <c r="I46" s="204"/>
      <c r="J46" s="205"/>
      <c r="K46" s="59"/>
    </row>
    <row r="47" spans="1:13" ht="30">
      <c r="A47" s="95"/>
      <c r="B47" s="140"/>
      <c r="C47" s="140"/>
      <c r="D47" s="140" t="s">
        <v>17</v>
      </c>
      <c r="E47" s="230" t="s">
        <v>18</v>
      </c>
      <c r="F47" s="230"/>
      <c r="G47" s="230" t="s">
        <v>19</v>
      </c>
      <c r="H47" s="230"/>
      <c r="I47" s="230" t="s">
        <v>29</v>
      </c>
      <c r="J47" s="231"/>
      <c r="K47" s="59"/>
    </row>
    <row r="48" spans="1:13">
      <c r="A48" s="95"/>
      <c r="B48" s="58" t="s">
        <v>20</v>
      </c>
      <c r="C48" s="232">
        <v>2399</v>
      </c>
      <c r="D48" s="233"/>
      <c r="E48" s="234">
        <v>2424</v>
      </c>
      <c r="F48" s="235"/>
      <c r="G48" s="234">
        <v>2424</v>
      </c>
      <c r="H48" s="235"/>
      <c r="I48" s="236"/>
      <c r="J48" s="237"/>
      <c r="K48" s="59"/>
    </row>
    <row r="49" spans="1:14">
      <c r="A49" s="96"/>
      <c r="B49" s="58" t="s">
        <v>21</v>
      </c>
      <c r="C49" s="232">
        <v>643</v>
      </c>
      <c r="D49" s="233"/>
      <c r="E49" s="232">
        <v>620</v>
      </c>
      <c r="F49" s="233"/>
      <c r="G49" s="232">
        <v>620</v>
      </c>
      <c r="H49" s="233"/>
      <c r="I49" s="244"/>
      <c r="J49" s="245"/>
      <c r="K49" s="59"/>
    </row>
    <row r="50" spans="1:14" ht="15.75" thickBot="1">
      <c r="A50" s="96"/>
      <c r="B50" s="58" t="s">
        <v>22</v>
      </c>
      <c r="C50" s="232">
        <v>1098</v>
      </c>
      <c r="D50" s="233"/>
      <c r="E50" s="234">
        <v>959</v>
      </c>
      <c r="F50" s="235"/>
      <c r="G50" s="234">
        <v>959</v>
      </c>
      <c r="H50" s="235"/>
      <c r="I50" s="244">
        <v>26.97</v>
      </c>
      <c r="J50" s="245"/>
      <c r="K50" s="59"/>
    </row>
    <row r="51" spans="1:14" ht="15.75" thickBot="1">
      <c r="A51" s="6"/>
      <c r="B51" s="7" t="s">
        <v>23</v>
      </c>
      <c r="C51" s="246">
        <f>SUM(C48:D50)</f>
        <v>4140</v>
      </c>
      <c r="D51" s="247"/>
      <c r="E51" s="248">
        <f>SUM(E48:E50)</f>
        <v>4003</v>
      </c>
      <c r="F51" s="249"/>
      <c r="G51" s="248">
        <f>G48+G49+G50</f>
        <v>4003</v>
      </c>
      <c r="H51" s="249"/>
      <c r="I51" s="248">
        <f>SUM(I48:I50)</f>
        <v>26.97</v>
      </c>
      <c r="J51" s="250"/>
      <c r="K51" s="156"/>
    </row>
    <row r="53" spans="1:14" ht="15.75" thickBot="1">
      <c r="E53" s="97"/>
    </row>
    <row r="54" spans="1:14" ht="19.5" thickBot="1">
      <c r="A54" s="251" t="s">
        <v>32</v>
      </c>
      <c r="B54" s="252"/>
      <c r="C54" s="252"/>
      <c r="D54" s="252"/>
      <c r="E54" s="252"/>
      <c r="F54" s="252"/>
      <c r="G54" s="252"/>
      <c r="H54" s="252"/>
      <c r="I54" s="252"/>
      <c r="J54" s="253"/>
      <c r="K54" s="22"/>
      <c r="L54" s="22"/>
    </row>
    <row r="55" spans="1:14">
      <c r="A55" s="11" t="s">
        <v>33</v>
      </c>
      <c r="B55" s="241" t="s">
        <v>34</v>
      </c>
      <c r="C55" s="242"/>
      <c r="D55" s="242"/>
      <c r="E55" s="242"/>
      <c r="F55" s="242"/>
      <c r="G55" s="242"/>
      <c r="H55" s="242"/>
      <c r="I55" s="243"/>
      <c r="J55" s="101" t="s">
        <v>35</v>
      </c>
      <c r="K55" s="22"/>
      <c r="L55" s="22"/>
    </row>
    <row r="56" spans="1:14" ht="15.75" customHeight="1">
      <c r="A56" s="99">
        <v>1</v>
      </c>
      <c r="B56" s="272" t="s">
        <v>107</v>
      </c>
      <c r="C56" s="272"/>
      <c r="D56" s="272"/>
      <c r="E56" s="272"/>
      <c r="F56" s="272"/>
      <c r="G56" s="272"/>
      <c r="H56" s="272"/>
      <c r="I56" s="272"/>
      <c r="J56" s="162">
        <v>13.906000000000001</v>
      </c>
    </row>
    <row r="57" spans="1:14" ht="15.75" customHeight="1">
      <c r="A57" s="99">
        <v>2</v>
      </c>
      <c r="B57" s="272" t="s">
        <v>103</v>
      </c>
      <c r="C57" s="272"/>
      <c r="D57" s="272"/>
      <c r="E57" s="272"/>
      <c r="F57" s="272"/>
      <c r="G57" s="272"/>
      <c r="H57" s="272"/>
      <c r="I57" s="272"/>
      <c r="J57" s="162">
        <v>8.1999999999999993</v>
      </c>
    </row>
    <row r="58" spans="1:14" ht="15.75" customHeight="1">
      <c r="A58" s="99">
        <v>3</v>
      </c>
      <c r="B58" s="272" t="s">
        <v>108</v>
      </c>
      <c r="C58" s="272"/>
      <c r="D58" s="272"/>
      <c r="E58" s="272"/>
      <c r="F58" s="272"/>
      <c r="G58" s="272"/>
      <c r="H58" s="272"/>
      <c r="I58" s="272"/>
      <c r="J58" s="162">
        <v>4.5</v>
      </c>
    </row>
    <row r="59" spans="1:14" ht="15.75" customHeight="1">
      <c r="A59" s="99">
        <v>4</v>
      </c>
      <c r="B59" s="272" t="s">
        <v>109</v>
      </c>
      <c r="C59" s="272"/>
      <c r="D59" s="272"/>
      <c r="E59" s="272"/>
      <c r="F59" s="272"/>
      <c r="G59" s="272"/>
      <c r="H59" s="272"/>
      <c r="I59" s="272"/>
      <c r="J59" s="162">
        <v>6.5</v>
      </c>
    </row>
    <row r="60" spans="1:14" ht="15.75" customHeight="1">
      <c r="A60" s="99">
        <v>5</v>
      </c>
      <c r="B60" s="272" t="s">
        <v>110</v>
      </c>
      <c r="C60" s="272"/>
      <c r="D60" s="272"/>
      <c r="E60" s="272"/>
      <c r="F60" s="272"/>
      <c r="G60" s="272"/>
      <c r="H60" s="272"/>
      <c r="I60" s="272"/>
      <c r="J60" s="162">
        <v>6.3</v>
      </c>
    </row>
    <row r="61" spans="1:14" ht="15.75" customHeight="1">
      <c r="A61" s="99">
        <v>6</v>
      </c>
      <c r="B61" s="272" t="s">
        <v>93</v>
      </c>
      <c r="C61" s="272"/>
      <c r="D61" s="272"/>
      <c r="E61" s="272"/>
      <c r="F61" s="272"/>
      <c r="G61" s="272"/>
      <c r="H61" s="272"/>
      <c r="I61" s="272"/>
      <c r="J61" s="162">
        <v>30</v>
      </c>
    </row>
    <row r="62" spans="1:14" ht="15.75" customHeight="1">
      <c r="A62" s="99">
        <v>7</v>
      </c>
      <c r="B62" s="272" t="s">
        <v>79</v>
      </c>
      <c r="C62" s="272"/>
      <c r="D62" s="272"/>
      <c r="E62" s="272"/>
      <c r="F62" s="272"/>
      <c r="G62" s="272"/>
      <c r="H62" s="272"/>
      <c r="I62" s="272"/>
      <c r="J62" s="162">
        <v>8.5</v>
      </c>
    </row>
    <row r="63" spans="1:14" ht="15.75" customHeight="1">
      <c r="A63" s="99">
        <v>8</v>
      </c>
      <c r="B63" s="272" t="s">
        <v>111</v>
      </c>
      <c r="C63" s="272"/>
      <c r="D63" s="272"/>
      <c r="E63" s="272"/>
      <c r="F63" s="272"/>
      <c r="G63" s="272"/>
      <c r="H63" s="272"/>
      <c r="I63" s="272"/>
      <c r="J63" s="162">
        <v>7.444</v>
      </c>
    </row>
    <row r="64" spans="1:14" s="3" customFormat="1" ht="15.75" customHeight="1">
      <c r="A64" s="99">
        <v>9</v>
      </c>
      <c r="B64" s="272" t="s">
        <v>112</v>
      </c>
      <c r="C64" s="272"/>
      <c r="D64" s="272"/>
      <c r="E64" s="272"/>
      <c r="F64" s="272"/>
      <c r="G64" s="272"/>
      <c r="H64" s="272"/>
      <c r="I64" s="272"/>
      <c r="J64" s="162">
        <v>7.35</v>
      </c>
      <c r="L64" s="59"/>
      <c r="M64" s="59"/>
      <c r="N64" s="59"/>
    </row>
    <row r="65" spans="1:14" s="3" customFormat="1" ht="15.75" customHeight="1">
      <c r="A65" s="99">
        <v>10</v>
      </c>
      <c r="B65" s="272" t="s">
        <v>113</v>
      </c>
      <c r="C65" s="272"/>
      <c r="D65" s="272"/>
      <c r="E65" s="272"/>
      <c r="F65" s="272"/>
      <c r="G65" s="272"/>
      <c r="H65" s="272"/>
      <c r="I65" s="272"/>
      <c r="J65" s="162">
        <v>5.6</v>
      </c>
      <c r="L65" s="59"/>
      <c r="M65" s="59"/>
      <c r="N65" s="59"/>
    </row>
    <row r="66" spans="1:14" s="3" customFormat="1" ht="15.75" customHeight="1">
      <c r="A66" s="99">
        <v>11</v>
      </c>
      <c r="B66" s="272" t="s">
        <v>94</v>
      </c>
      <c r="C66" s="272"/>
      <c r="D66" s="272"/>
      <c r="E66" s="272"/>
      <c r="F66" s="272"/>
      <c r="G66" s="272"/>
      <c r="H66" s="272"/>
      <c r="I66" s="272"/>
      <c r="J66" s="162">
        <v>13.16</v>
      </c>
      <c r="L66" s="59"/>
      <c r="M66" s="59"/>
      <c r="N66" s="59"/>
    </row>
    <row r="67" spans="1:14" s="3" customFormat="1" ht="15.75" customHeight="1">
      <c r="A67" s="99">
        <v>12</v>
      </c>
      <c r="B67" s="272" t="s">
        <v>106</v>
      </c>
      <c r="C67" s="272"/>
      <c r="D67" s="272"/>
      <c r="E67" s="272"/>
      <c r="F67" s="272"/>
      <c r="G67" s="272"/>
      <c r="H67" s="272"/>
      <c r="I67" s="272"/>
      <c r="J67" s="162">
        <v>9.6</v>
      </c>
      <c r="L67" s="59"/>
      <c r="M67" s="59"/>
      <c r="N67" s="59"/>
    </row>
    <row r="68" spans="1:14" s="3" customFormat="1" ht="15.75" customHeight="1">
      <c r="A68" s="100">
        <v>13</v>
      </c>
      <c r="B68" s="272" t="s">
        <v>71</v>
      </c>
      <c r="C68" s="272"/>
      <c r="D68" s="272"/>
      <c r="E68" s="272"/>
      <c r="F68" s="272"/>
      <c r="G68" s="272"/>
      <c r="H68" s="272"/>
      <c r="I68" s="272"/>
      <c r="J68" s="162">
        <v>5</v>
      </c>
      <c r="L68" s="59"/>
      <c r="M68" s="59"/>
      <c r="N68" s="59"/>
    </row>
    <row r="69" spans="1:14" s="3" customFormat="1" ht="15.75" customHeight="1">
      <c r="A69" s="100">
        <v>14</v>
      </c>
      <c r="B69" s="272" t="s">
        <v>86</v>
      </c>
      <c r="C69" s="272"/>
      <c r="D69" s="272"/>
      <c r="E69" s="272"/>
      <c r="F69" s="272"/>
      <c r="G69" s="272"/>
      <c r="H69" s="272"/>
      <c r="I69" s="272"/>
      <c r="J69" s="162">
        <v>5</v>
      </c>
      <c r="L69" s="59"/>
      <c r="M69" s="59"/>
      <c r="N69" s="59"/>
    </row>
    <row r="70" spans="1:14" s="3" customFormat="1" ht="15.75" customHeight="1">
      <c r="A70" s="100">
        <v>15</v>
      </c>
      <c r="B70" s="272" t="s">
        <v>73</v>
      </c>
      <c r="C70" s="272"/>
      <c r="D70" s="272"/>
      <c r="E70" s="272"/>
      <c r="F70" s="272"/>
      <c r="G70" s="272"/>
      <c r="H70" s="272"/>
      <c r="I70" s="272"/>
      <c r="J70" s="162">
        <v>11.55</v>
      </c>
      <c r="L70" s="59"/>
      <c r="M70" s="59"/>
      <c r="N70" s="59"/>
    </row>
    <row r="71" spans="1:14" s="3" customFormat="1" ht="15.75" hidden="1" customHeight="1">
      <c r="A71" s="100">
        <v>16</v>
      </c>
      <c r="B71" s="158"/>
      <c r="C71" s="159"/>
      <c r="D71" s="159"/>
      <c r="E71" s="159"/>
      <c r="F71" s="159"/>
      <c r="G71" s="159"/>
      <c r="H71" s="159"/>
      <c r="I71" s="160"/>
      <c r="J71" s="162"/>
      <c r="L71" s="59"/>
      <c r="M71" s="59"/>
      <c r="N71" s="59"/>
    </row>
    <row r="72" spans="1:14" s="3" customFormat="1" ht="15.75" hidden="1" customHeight="1">
      <c r="A72" s="100">
        <v>17</v>
      </c>
      <c r="B72" s="158"/>
      <c r="C72" s="159"/>
      <c r="D72" s="159"/>
      <c r="E72" s="159"/>
      <c r="F72" s="159"/>
      <c r="G72" s="159"/>
      <c r="H72" s="159"/>
      <c r="I72" s="160"/>
      <c r="J72" s="161"/>
      <c r="L72" s="59"/>
      <c r="M72" s="59"/>
      <c r="N72" s="59"/>
    </row>
    <row r="73" spans="1:14" s="3" customFormat="1" ht="15.75" hidden="1" customHeight="1">
      <c r="A73" s="100">
        <v>18</v>
      </c>
      <c r="B73" s="149"/>
      <c r="C73" s="134"/>
      <c r="D73" s="134"/>
      <c r="E73" s="134"/>
      <c r="F73" s="134"/>
      <c r="G73" s="134"/>
      <c r="H73" s="134"/>
      <c r="I73" s="135"/>
      <c r="J73" s="43"/>
      <c r="L73" s="59"/>
      <c r="M73" s="59"/>
      <c r="N73" s="59"/>
    </row>
    <row r="74" spans="1:14" s="3" customFormat="1" ht="15.75" hidden="1" customHeight="1">
      <c r="A74" s="100">
        <v>19</v>
      </c>
      <c r="B74" s="149"/>
      <c r="C74" s="134"/>
      <c r="D74" s="134"/>
      <c r="E74" s="134"/>
      <c r="F74" s="134"/>
      <c r="G74" s="134"/>
      <c r="H74" s="134"/>
      <c r="I74" s="135"/>
      <c r="J74" s="44"/>
      <c r="L74" s="59"/>
      <c r="M74" s="59"/>
      <c r="N74" s="59"/>
    </row>
    <row r="75" spans="1:14" s="3" customFormat="1" ht="15.75" hidden="1" customHeight="1">
      <c r="A75" s="100">
        <v>20</v>
      </c>
      <c r="B75" s="149"/>
      <c r="C75" s="134"/>
      <c r="D75" s="134"/>
      <c r="E75" s="134"/>
      <c r="F75" s="134"/>
      <c r="G75" s="134"/>
      <c r="H75" s="134"/>
      <c r="I75" s="135"/>
      <c r="J75" s="45"/>
      <c r="L75" s="59"/>
      <c r="M75" s="59"/>
      <c r="N75" s="59"/>
    </row>
    <row r="76" spans="1:14" s="3" customFormat="1" ht="15.75" hidden="1" customHeight="1">
      <c r="A76" s="100">
        <v>21</v>
      </c>
      <c r="B76" s="149"/>
      <c r="C76" s="134"/>
      <c r="D76" s="134"/>
      <c r="E76" s="134"/>
      <c r="F76" s="134"/>
      <c r="G76" s="134"/>
      <c r="H76" s="134"/>
      <c r="I76" s="135"/>
      <c r="J76" s="43"/>
      <c r="L76" s="59"/>
      <c r="M76" s="59"/>
      <c r="N76" s="59"/>
    </row>
    <row r="77" spans="1:14" s="3" customFormat="1" ht="15.75" hidden="1" customHeight="1">
      <c r="A77" s="100">
        <v>22</v>
      </c>
      <c r="B77" s="149"/>
      <c r="C77" s="134"/>
      <c r="D77" s="134"/>
      <c r="E77" s="134"/>
      <c r="F77" s="134"/>
      <c r="G77" s="134"/>
      <c r="H77" s="134"/>
      <c r="I77" s="135"/>
      <c r="J77" s="43"/>
      <c r="L77" s="59"/>
      <c r="M77" s="59"/>
      <c r="N77" s="59"/>
    </row>
    <row r="78" spans="1:14" s="3" customFormat="1" ht="15.75" hidden="1" customHeight="1">
      <c r="A78" s="100">
        <v>23</v>
      </c>
      <c r="B78" s="149"/>
      <c r="C78" s="134"/>
      <c r="D78" s="134"/>
      <c r="E78" s="134"/>
      <c r="F78" s="134"/>
      <c r="G78" s="134"/>
      <c r="H78" s="134"/>
      <c r="I78" s="135"/>
      <c r="J78" s="44"/>
      <c r="L78" s="59"/>
      <c r="M78" s="59"/>
      <c r="N78" s="59"/>
    </row>
    <row r="79" spans="1:14" s="3" customFormat="1" ht="15.75" hidden="1" customHeight="1">
      <c r="A79" s="157">
        <v>24</v>
      </c>
      <c r="B79" s="149"/>
      <c r="C79" s="134"/>
      <c r="D79" s="134"/>
      <c r="E79" s="134"/>
      <c r="F79" s="134"/>
      <c r="G79" s="134"/>
      <c r="H79" s="134"/>
      <c r="I79" s="135"/>
      <c r="J79" s="44"/>
      <c r="L79" s="59"/>
      <c r="M79" s="59"/>
      <c r="N79" s="59"/>
    </row>
    <row r="80" spans="1:14" s="3" customFormat="1" ht="15.75" hidden="1" customHeight="1">
      <c r="A80" s="157">
        <v>25</v>
      </c>
      <c r="B80" s="149"/>
      <c r="C80" s="134"/>
      <c r="D80" s="134"/>
      <c r="E80" s="134"/>
      <c r="F80" s="134"/>
      <c r="G80" s="134"/>
      <c r="H80" s="134"/>
      <c r="I80" s="135"/>
      <c r="J80" s="44"/>
      <c r="L80" s="59"/>
      <c r="M80" s="59"/>
      <c r="N80" s="59"/>
    </row>
    <row r="81" spans="1:14" s="3" customFormat="1" ht="15.75" hidden="1" customHeight="1">
      <c r="A81" s="157">
        <v>26</v>
      </c>
      <c r="B81" s="149"/>
      <c r="C81" s="134"/>
      <c r="D81" s="134"/>
      <c r="E81" s="134"/>
      <c r="F81" s="134"/>
      <c r="G81" s="134"/>
      <c r="H81" s="134"/>
      <c r="I81" s="135"/>
      <c r="J81" s="44"/>
      <c r="L81" s="59"/>
      <c r="M81" s="59"/>
      <c r="N81" s="59"/>
    </row>
    <row r="82" spans="1:14" s="3" customFormat="1" ht="15.75" hidden="1" customHeight="1">
      <c r="A82" s="157">
        <v>27</v>
      </c>
      <c r="B82" s="149"/>
      <c r="C82" s="134"/>
      <c r="D82" s="134"/>
      <c r="E82" s="134"/>
      <c r="F82" s="134"/>
      <c r="G82" s="134"/>
      <c r="H82" s="134"/>
      <c r="I82" s="135"/>
      <c r="J82" s="44"/>
      <c r="L82" s="59"/>
      <c r="M82" s="59"/>
      <c r="N82" s="59"/>
    </row>
    <row r="83" spans="1:14" s="3" customFormat="1" ht="15.75" hidden="1" customHeight="1">
      <c r="A83" s="157">
        <v>28</v>
      </c>
      <c r="B83" s="149"/>
      <c r="C83" s="134"/>
      <c r="D83" s="134"/>
      <c r="E83" s="134"/>
      <c r="F83" s="134"/>
      <c r="G83" s="134"/>
      <c r="H83" s="134"/>
      <c r="I83" s="135"/>
      <c r="J83" s="44"/>
      <c r="L83" s="59"/>
      <c r="M83" s="59"/>
      <c r="N83" s="59"/>
    </row>
    <row r="84" spans="1:14" s="3" customFormat="1" ht="15.75" hidden="1" customHeight="1">
      <c r="A84" s="157">
        <v>29</v>
      </c>
      <c r="B84" s="149"/>
      <c r="C84" s="134"/>
      <c r="D84" s="134"/>
      <c r="E84" s="134"/>
      <c r="F84" s="134"/>
      <c r="G84" s="134"/>
      <c r="H84" s="134"/>
      <c r="I84" s="135"/>
      <c r="J84" s="44"/>
      <c r="L84" s="59"/>
      <c r="M84" s="59"/>
      <c r="N84" s="59"/>
    </row>
    <row r="85" spans="1:14" s="3" customFormat="1" ht="15.75" hidden="1" customHeight="1">
      <c r="A85" s="157">
        <v>30</v>
      </c>
      <c r="B85" s="149"/>
      <c r="C85" s="134"/>
      <c r="D85" s="134"/>
      <c r="E85" s="134"/>
      <c r="F85" s="134"/>
      <c r="G85" s="134"/>
      <c r="H85" s="134"/>
      <c r="I85" s="135"/>
      <c r="J85" s="44"/>
      <c r="L85" s="59"/>
      <c r="M85" s="59"/>
      <c r="N85" s="59"/>
    </row>
    <row r="86" spans="1:14" s="3" customFormat="1" ht="14.25" hidden="1" customHeight="1">
      <c r="A86" s="100">
        <v>31</v>
      </c>
      <c r="B86" s="149"/>
      <c r="C86" s="134"/>
      <c r="D86" s="134"/>
      <c r="E86" s="134"/>
      <c r="F86" s="134"/>
      <c r="G86" s="134"/>
      <c r="H86" s="134"/>
      <c r="I86" s="135"/>
      <c r="J86" s="45"/>
      <c r="L86" s="59"/>
      <c r="M86" s="59"/>
      <c r="N86" s="59"/>
    </row>
    <row r="87" spans="1:14" s="3" customFormat="1" ht="15.75" thickBot="1">
      <c r="A87" s="40"/>
      <c r="B87" s="267"/>
      <c r="C87" s="268"/>
      <c r="D87" s="268"/>
      <c r="E87" s="268"/>
      <c r="F87" s="268"/>
      <c r="G87" s="268"/>
      <c r="H87" s="268"/>
      <c r="I87" s="269"/>
      <c r="J87" s="41">
        <f>SUM(J56:J86)</f>
        <v>142.61000000000001</v>
      </c>
      <c r="L87" s="59"/>
      <c r="M87" s="59"/>
      <c r="N87" s="59"/>
    </row>
  </sheetData>
  <mergeCells count="81"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50:D50"/>
    <mergeCell ref="E50:F50"/>
    <mergeCell ref="G50:H50"/>
    <mergeCell ref="I50:J50"/>
    <mergeCell ref="B87:I87"/>
    <mergeCell ref="C51:D51"/>
    <mergeCell ref="E51:F51"/>
    <mergeCell ref="G51:H51"/>
    <mergeCell ref="I51:J51"/>
    <mergeCell ref="A54:J54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70:I70"/>
    <mergeCell ref="B65:I65"/>
    <mergeCell ref="B66:I66"/>
    <mergeCell ref="B67:I67"/>
    <mergeCell ref="B68:I68"/>
    <mergeCell ref="B69:I69"/>
  </mergeCells>
  <pageMargins left="0" right="0" top="0.59055118110236204" bottom="0" header="0" footer="0"/>
  <pageSetup paperSize="8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N87"/>
  <sheetViews>
    <sheetView topLeftCell="A34" zoomScaleNormal="100" workbookViewId="0">
      <pane xSplit="3" topLeftCell="D1" activePane="topRight" state="frozen"/>
      <selection pane="topRight" activeCell="B56" sqref="B56:J74"/>
    </sheetView>
  </sheetViews>
  <sheetFormatPr defaultColWidth="9.140625" defaultRowHeight="15"/>
  <cols>
    <col min="1" max="1" width="5.7109375" style="3" customWidth="1"/>
    <col min="2" max="2" width="20.7109375" style="3" customWidth="1"/>
    <col min="3" max="3" width="12" style="3" customWidth="1"/>
    <col min="4" max="5" width="17.7109375" style="3" customWidth="1"/>
    <col min="6" max="6" width="11.7109375" style="9" customWidth="1"/>
    <col min="7" max="7" width="10.7109375" style="98" customWidth="1"/>
    <col min="8" max="8" width="10.7109375" style="3" customWidth="1"/>
    <col min="9" max="9" width="13.7109375" style="3" customWidth="1"/>
    <col min="10" max="10" width="14.5703125" style="3" customWidth="1"/>
    <col min="11" max="11" width="10.7109375" style="3" customWidth="1"/>
    <col min="12" max="12" width="13.85546875" style="59" customWidth="1"/>
    <col min="13" max="13" width="23.42578125" style="59" customWidth="1"/>
    <col min="14" max="14" width="13.140625" style="59" bestFit="1" customWidth="1"/>
    <col min="15" max="16384" width="9.140625" style="59"/>
  </cols>
  <sheetData>
    <row r="1" spans="1:12" ht="46.9" customHeight="1">
      <c r="A1" s="172" t="s">
        <v>41</v>
      </c>
      <c r="B1" s="172"/>
      <c r="C1" s="172"/>
      <c r="D1" s="1"/>
      <c r="E1" s="172" t="s">
        <v>24</v>
      </c>
      <c r="F1" s="172"/>
      <c r="G1" s="172"/>
      <c r="H1" s="172"/>
      <c r="I1" s="137"/>
      <c r="J1" s="173">
        <v>8</v>
      </c>
      <c r="K1" s="173"/>
    </row>
    <row r="2" spans="1:12" ht="28.5">
      <c r="A2" s="174">
        <v>46324</v>
      </c>
      <c r="B2" s="175"/>
      <c r="C2" s="175"/>
      <c r="D2" s="2"/>
      <c r="E2" s="2"/>
      <c r="F2" s="176"/>
      <c r="G2" s="176"/>
      <c r="H2" s="176"/>
      <c r="I2" s="138"/>
      <c r="J2" s="176"/>
      <c r="K2" s="176"/>
    </row>
    <row r="3" spans="1:12" ht="27" thickBot="1">
      <c r="A3" s="180" t="s">
        <v>0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</row>
    <row r="4" spans="1:12" ht="18" customHeight="1">
      <c r="A4" s="181" t="s">
        <v>25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3"/>
    </row>
    <row r="5" spans="1:12" s="60" customFormat="1" ht="18" customHeight="1">
      <c r="A5" s="28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0">
        <v>9</v>
      </c>
      <c r="J5" s="10">
        <v>10</v>
      </c>
      <c r="K5" s="10">
        <v>10</v>
      </c>
      <c r="L5" s="29">
        <v>11</v>
      </c>
    </row>
    <row r="6" spans="1:12" ht="82.9" customHeight="1">
      <c r="A6" s="184" t="s">
        <v>1</v>
      </c>
      <c r="B6" s="185" t="s">
        <v>2</v>
      </c>
      <c r="C6" s="185" t="s">
        <v>3</v>
      </c>
      <c r="D6" s="185" t="s">
        <v>4</v>
      </c>
      <c r="E6" s="136" t="s">
        <v>5</v>
      </c>
      <c r="F6" s="185" t="s">
        <v>6</v>
      </c>
      <c r="G6" s="186" t="s">
        <v>7</v>
      </c>
      <c r="H6" s="187" t="s">
        <v>8</v>
      </c>
      <c r="I6" s="185" t="s">
        <v>9</v>
      </c>
      <c r="J6" s="188" t="s">
        <v>30</v>
      </c>
      <c r="K6" s="190" t="s">
        <v>10</v>
      </c>
      <c r="L6" s="191"/>
    </row>
    <row r="7" spans="1:12" s="60" customFormat="1" ht="63.6" customHeight="1">
      <c r="A7" s="184"/>
      <c r="B7" s="185"/>
      <c r="C7" s="185"/>
      <c r="D7" s="185"/>
      <c r="E7" s="136" t="s">
        <v>11</v>
      </c>
      <c r="F7" s="185"/>
      <c r="G7" s="186"/>
      <c r="H7" s="187"/>
      <c r="I7" s="185"/>
      <c r="J7" s="189"/>
      <c r="K7" s="136" t="s">
        <v>7</v>
      </c>
      <c r="L7" s="30" t="s">
        <v>8</v>
      </c>
    </row>
    <row r="8" spans="1:12" s="60" customFormat="1" ht="15.75">
      <c r="A8" s="61">
        <v>1</v>
      </c>
      <c r="B8" s="46" t="s">
        <v>42</v>
      </c>
      <c r="C8" s="141" t="s">
        <v>43</v>
      </c>
      <c r="D8" s="147" t="s">
        <v>61</v>
      </c>
      <c r="E8" s="48" t="s">
        <v>46</v>
      </c>
      <c r="F8" s="62">
        <v>0.27777777777777779</v>
      </c>
      <c r="G8" s="63">
        <v>14</v>
      </c>
      <c r="H8" s="64">
        <v>649.47500000000002</v>
      </c>
      <c r="I8" s="65"/>
      <c r="J8" s="65">
        <f>I8-F8</f>
        <v>-0.27777777777777779</v>
      </c>
      <c r="K8" s="64"/>
      <c r="L8" s="66"/>
    </row>
    <row r="9" spans="1:12" ht="15.75">
      <c r="A9" s="61">
        <v>2</v>
      </c>
      <c r="B9" s="50" t="s">
        <v>50</v>
      </c>
      <c r="C9" s="141" t="s">
        <v>51</v>
      </c>
      <c r="D9" s="148" t="s">
        <v>59</v>
      </c>
      <c r="E9" s="49" t="s">
        <v>47</v>
      </c>
      <c r="F9" s="62">
        <v>0.28819444444444448</v>
      </c>
      <c r="G9" s="63">
        <v>26</v>
      </c>
      <c r="H9" s="64">
        <v>721.59400000000005</v>
      </c>
      <c r="I9" s="65"/>
      <c r="J9" s="65">
        <f t="shared" ref="J9:J12" si="0">I9-F9</f>
        <v>-0.28819444444444448</v>
      </c>
      <c r="K9" s="64"/>
      <c r="L9" s="66"/>
    </row>
    <row r="10" spans="1:12" ht="15.75">
      <c r="A10" s="67">
        <v>3</v>
      </c>
      <c r="B10" s="48" t="s">
        <v>42</v>
      </c>
      <c r="C10" s="142" t="s">
        <v>45</v>
      </c>
      <c r="D10" s="147" t="s">
        <v>58</v>
      </c>
      <c r="E10" s="48" t="s">
        <v>47</v>
      </c>
      <c r="F10" s="62">
        <v>0.28125</v>
      </c>
      <c r="G10" s="63">
        <v>17</v>
      </c>
      <c r="H10" s="64">
        <v>689.29499999999996</v>
      </c>
      <c r="I10" s="65"/>
      <c r="J10" s="65">
        <f t="shared" si="0"/>
        <v>-0.28125</v>
      </c>
      <c r="K10" s="64"/>
      <c r="L10" s="66"/>
    </row>
    <row r="11" spans="1:12" ht="15.75">
      <c r="A11" s="61">
        <v>4</v>
      </c>
      <c r="B11" s="48" t="s">
        <v>42</v>
      </c>
      <c r="C11" s="142" t="s">
        <v>78</v>
      </c>
      <c r="D11" s="147" t="s">
        <v>63</v>
      </c>
      <c r="E11" s="51" t="s">
        <v>46</v>
      </c>
      <c r="F11" s="62">
        <v>0.27430555555555552</v>
      </c>
      <c r="G11" s="63">
        <v>12</v>
      </c>
      <c r="H11" s="64">
        <v>832.20600000000002</v>
      </c>
      <c r="I11" s="65"/>
      <c r="J11" s="65">
        <f t="shared" si="0"/>
        <v>-0.27430555555555552</v>
      </c>
      <c r="K11" s="64"/>
      <c r="L11" s="66"/>
    </row>
    <row r="12" spans="1:12" ht="15.75">
      <c r="A12" s="105">
        <v>5</v>
      </c>
      <c r="B12" s="52" t="s">
        <v>50</v>
      </c>
      <c r="C12" s="141" t="s">
        <v>54</v>
      </c>
      <c r="D12" s="53" t="s">
        <v>57</v>
      </c>
      <c r="E12" s="49" t="s">
        <v>47</v>
      </c>
      <c r="F12" s="65"/>
      <c r="G12" s="63"/>
      <c r="H12" s="64"/>
      <c r="I12" s="65"/>
      <c r="J12" s="65">
        <f t="shared" si="0"/>
        <v>0</v>
      </c>
      <c r="K12" s="64"/>
      <c r="L12" s="66"/>
    </row>
    <row r="13" spans="1:12" ht="15.75">
      <c r="A13" s="68"/>
      <c r="B13" s="50"/>
      <c r="C13" s="46"/>
      <c r="D13" s="54"/>
      <c r="E13" s="51"/>
      <c r="F13" s="65"/>
      <c r="G13" s="63"/>
      <c r="H13" s="64"/>
      <c r="I13" s="65"/>
      <c r="J13" s="65"/>
      <c r="K13" s="64"/>
      <c r="L13" s="66"/>
    </row>
    <row r="14" spans="1:12" ht="15.75">
      <c r="A14" s="68"/>
      <c r="B14" s="69"/>
      <c r="C14" s="70"/>
      <c r="D14" s="47"/>
      <c r="E14" s="71"/>
      <c r="F14" s="65"/>
      <c r="G14" s="63"/>
      <c r="H14" s="64"/>
      <c r="I14" s="65"/>
      <c r="J14" s="65"/>
      <c r="K14" s="64"/>
      <c r="L14" s="66"/>
    </row>
    <row r="15" spans="1:12" ht="15.75">
      <c r="A15" s="68"/>
      <c r="B15" s="48"/>
      <c r="C15" s="50"/>
      <c r="D15" s="47"/>
      <c r="E15" s="48"/>
      <c r="F15" s="65"/>
      <c r="G15" s="63"/>
      <c r="H15" s="64"/>
      <c r="I15" s="65"/>
      <c r="J15" s="65"/>
      <c r="K15" s="64"/>
      <c r="L15" s="66"/>
    </row>
    <row r="16" spans="1:12">
      <c r="A16" s="68"/>
      <c r="B16" s="72"/>
      <c r="C16" s="140"/>
      <c r="D16" s="39"/>
      <c r="E16" s="73"/>
      <c r="F16" s="74"/>
      <c r="G16" s="75"/>
      <c r="H16" s="76"/>
      <c r="I16" s="74"/>
      <c r="J16" s="77"/>
      <c r="K16" s="76"/>
      <c r="L16" s="78"/>
    </row>
    <row r="17" spans="1:14">
      <c r="A17" s="68"/>
      <c r="B17" s="72"/>
      <c r="C17" s="140"/>
      <c r="D17" s="39"/>
      <c r="E17" s="73"/>
      <c r="F17" s="74"/>
      <c r="G17" s="75"/>
      <c r="H17" s="76"/>
      <c r="I17" s="74"/>
      <c r="J17" s="77"/>
      <c r="K17" s="76"/>
      <c r="L17" s="78"/>
    </row>
    <row r="18" spans="1:14">
      <c r="A18" s="68"/>
      <c r="B18" s="72"/>
      <c r="C18" s="140"/>
      <c r="D18" s="39"/>
      <c r="E18" s="73"/>
      <c r="F18" s="74"/>
      <c r="G18" s="75"/>
      <c r="H18" s="76"/>
      <c r="I18" s="74"/>
      <c r="J18" s="77"/>
      <c r="K18" s="76"/>
      <c r="L18" s="78"/>
    </row>
    <row r="19" spans="1:14">
      <c r="A19" s="68"/>
      <c r="B19" s="72"/>
      <c r="C19" s="140"/>
      <c r="D19" s="39"/>
      <c r="E19" s="73"/>
      <c r="F19" s="74"/>
      <c r="G19" s="75"/>
      <c r="H19" s="76"/>
      <c r="I19" s="74"/>
      <c r="J19" s="77"/>
      <c r="K19" s="24"/>
      <c r="L19" s="78"/>
    </row>
    <row r="20" spans="1:14">
      <c r="A20" s="68"/>
      <c r="B20" s="72"/>
      <c r="C20" s="140"/>
      <c r="D20" s="39"/>
      <c r="E20" s="73"/>
      <c r="F20" s="74"/>
      <c r="G20" s="75"/>
      <c r="H20" s="76"/>
      <c r="I20" s="74"/>
      <c r="J20" s="77"/>
      <c r="K20" s="24"/>
      <c r="L20" s="79"/>
    </row>
    <row r="21" spans="1:14" ht="16.5" thickBot="1">
      <c r="A21" s="192" t="s">
        <v>15</v>
      </c>
      <c r="B21" s="193"/>
      <c r="C21" s="193"/>
      <c r="D21" s="193"/>
      <c r="E21" s="193"/>
      <c r="F21" s="194"/>
      <c r="G21" s="102">
        <f>SUM(G8:G20)</f>
        <v>69</v>
      </c>
      <c r="H21" s="102">
        <f>SUM(H8:H19)</f>
        <v>2892.57</v>
      </c>
      <c r="I21" s="103"/>
      <c r="J21" s="103"/>
      <c r="K21" s="102">
        <f>SUM(K8:K20)</f>
        <v>0</v>
      </c>
      <c r="L21" s="104">
        <f>SUM(L8:L20)</f>
        <v>0</v>
      </c>
    </row>
    <row r="23" spans="1:14" ht="15.75" thickBot="1">
      <c r="D23" s="80"/>
      <c r="E23" s="8"/>
      <c r="G23" s="81"/>
      <c r="H23" s="8"/>
      <c r="I23" s="8"/>
      <c r="L23" s="60"/>
      <c r="N23" s="82"/>
    </row>
    <row r="24" spans="1:14" ht="18.75">
      <c r="A24" s="177" t="s">
        <v>26</v>
      </c>
      <c r="B24" s="178"/>
      <c r="C24" s="178"/>
      <c r="D24" s="178"/>
      <c r="E24" s="178"/>
      <c r="F24" s="178"/>
      <c r="G24" s="178"/>
      <c r="H24" s="178"/>
      <c r="I24" s="179"/>
      <c r="J24" s="60"/>
      <c r="K24" s="60"/>
      <c r="L24" s="60"/>
      <c r="N24" s="82"/>
    </row>
    <row r="25" spans="1:14">
      <c r="A25" s="12">
        <v>1</v>
      </c>
      <c r="B25" s="31">
        <v>2</v>
      </c>
      <c r="C25" s="31">
        <v>3</v>
      </c>
      <c r="D25" s="31">
        <v>4</v>
      </c>
      <c r="E25" s="31">
        <v>5</v>
      </c>
      <c r="F25" s="31">
        <v>6</v>
      </c>
      <c r="G25" s="31">
        <v>7</v>
      </c>
      <c r="H25" s="31">
        <v>8</v>
      </c>
      <c r="I25" s="13">
        <v>9</v>
      </c>
      <c r="J25" s="60"/>
      <c r="K25" s="60"/>
      <c r="N25" s="82"/>
    </row>
    <row r="26" spans="1:14" ht="30">
      <c r="A26" s="23" t="s">
        <v>1</v>
      </c>
      <c r="B26" s="136" t="s">
        <v>2</v>
      </c>
      <c r="C26" s="136" t="s">
        <v>3</v>
      </c>
      <c r="D26" s="136" t="s">
        <v>27</v>
      </c>
      <c r="E26" s="136" t="s">
        <v>6</v>
      </c>
      <c r="F26" s="136" t="s">
        <v>28</v>
      </c>
      <c r="G26" s="136" t="s">
        <v>8</v>
      </c>
      <c r="H26" s="136" t="s">
        <v>31</v>
      </c>
      <c r="I26" s="14" t="s">
        <v>30</v>
      </c>
      <c r="J26" s="60"/>
      <c r="K26" s="60"/>
      <c r="L26" s="60"/>
      <c r="N26" s="82"/>
    </row>
    <row r="27" spans="1:14">
      <c r="A27" s="26"/>
      <c r="B27" s="25"/>
      <c r="C27" s="24"/>
      <c r="D27" s="32"/>
      <c r="E27" s="83"/>
      <c r="F27" s="75"/>
      <c r="G27" s="76"/>
      <c r="H27" s="84"/>
      <c r="I27" s="85"/>
      <c r="J27" s="60"/>
      <c r="K27" s="60"/>
      <c r="L27" s="60"/>
    </row>
    <row r="28" spans="1:14">
      <c r="A28" s="24"/>
      <c r="B28" s="25"/>
      <c r="C28" s="24"/>
      <c r="D28" s="32"/>
      <c r="E28" s="83"/>
      <c r="F28" s="75"/>
      <c r="G28" s="76"/>
      <c r="H28" s="84"/>
      <c r="I28" s="85"/>
      <c r="J28" s="60"/>
      <c r="K28" s="60"/>
      <c r="L28" s="60"/>
    </row>
    <row r="29" spans="1:14">
      <c r="A29" s="24"/>
      <c r="B29" s="24"/>
      <c r="C29" s="24"/>
      <c r="D29" s="32"/>
      <c r="E29" s="83"/>
      <c r="F29" s="75"/>
      <c r="G29" s="76"/>
      <c r="H29" s="84"/>
      <c r="I29" s="85"/>
      <c r="J29" s="60"/>
      <c r="K29" s="60"/>
      <c r="L29" s="60"/>
    </row>
    <row r="30" spans="1:14">
      <c r="A30" s="27"/>
      <c r="B30" s="27"/>
      <c r="C30" s="27"/>
      <c r="D30" s="32"/>
      <c r="E30" s="83"/>
      <c r="F30" s="75"/>
      <c r="G30" s="76"/>
      <c r="H30" s="84"/>
      <c r="I30" s="85"/>
      <c r="J30" s="60"/>
      <c r="K30" s="60"/>
      <c r="L30" s="60"/>
    </row>
    <row r="31" spans="1:14" ht="15.75" thickBot="1">
      <c r="A31" s="195" t="s">
        <v>15</v>
      </c>
      <c r="B31" s="196"/>
      <c r="C31" s="197"/>
      <c r="D31" s="5"/>
      <c r="E31" s="15"/>
      <c r="F31" s="15">
        <f>SUM(F30:F30)</f>
        <v>0</v>
      </c>
      <c r="G31" s="15">
        <f>SUM(G30:G30)</f>
        <v>0</v>
      </c>
      <c r="H31" s="16"/>
      <c r="I31" s="17"/>
      <c r="J31" s="59"/>
      <c r="K31" s="59"/>
    </row>
    <row r="32" spans="1:14" ht="15.75" thickBot="1">
      <c r="D32" s="80"/>
      <c r="E32" s="8"/>
      <c r="G32" s="81"/>
      <c r="H32" s="8"/>
      <c r="I32" s="8"/>
      <c r="L32" s="60"/>
    </row>
    <row r="33" spans="1:13" ht="18.75">
      <c r="A33" s="177" t="s">
        <v>12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</row>
    <row r="34" spans="1:13" ht="15.75" thickBot="1">
      <c r="A34" s="34">
        <v>1</v>
      </c>
      <c r="B34" s="35">
        <v>2</v>
      </c>
      <c r="C34" s="35">
        <v>3</v>
      </c>
      <c r="D34" s="35">
        <v>4</v>
      </c>
      <c r="E34" s="35">
        <v>5</v>
      </c>
      <c r="F34" s="35">
        <v>6</v>
      </c>
      <c r="G34" s="35">
        <v>7</v>
      </c>
      <c r="H34" s="35">
        <v>8</v>
      </c>
      <c r="I34" s="35">
        <v>9</v>
      </c>
      <c r="J34" s="35">
        <v>10</v>
      </c>
      <c r="K34" s="35">
        <v>11</v>
      </c>
      <c r="L34" s="198">
        <v>12</v>
      </c>
      <c r="M34" s="199"/>
    </row>
    <row r="35" spans="1:13" ht="45">
      <c r="A35" s="200" t="s">
        <v>1</v>
      </c>
      <c r="B35" s="202" t="s">
        <v>2</v>
      </c>
      <c r="C35" s="202" t="s">
        <v>3</v>
      </c>
      <c r="D35" s="202" t="s">
        <v>4</v>
      </c>
      <c r="E35" s="37" t="s">
        <v>5</v>
      </c>
      <c r="F35" s="202" t="s">
        <v>14</v>
      </c>
      <c r="G35" s="202" t="s">
        <v>13</v>
      </c>
      <c r="H35" s="202" t="s">
        <v>37</v>
      </c>
      <c r="I35" s="202" t="s">
        <v>39</v>
      </c>
      <c r="J35" s="202" t="s">
        <v>38</v>
      </c>
      <c r="K35" s="202" t="s">
        <v>40</v>
      </c>
      <c r="L35" s="206" t="s">
        <v>36</v>
      </c>
      <c r="M35" s="207"/>
    </row>
    <row r="36" spans="1:13" ht="45">
      <c r="A36" s="201"/>
      <c r="B36" s="189"/>
      <c r="C36" s="189"/>
      <c r="D36" s="189"/>
      <c r="E36" s="139" t="s">
        <v>11</v>
      </c>
      <c r="F36" s="189"/>
      <c r="G36" s="189"/>
      <c r="H36" s="189"/>
      <c r="I36" s="189"/>
      <c r="J36" s="189"/>
      <c r="K36" s="189"/>
      <c r="L36" s="208"/>
      <c r="M36" s="209"/>
    </row>
    <row r="37" spans="1:13" s="22" customFormat="1" ht="46.5" customHeight="1">
      <c r="A37" s="55">
        <v>6</v>
      </c>
      <c r="B37" s="110" t="s">
        <v>42</v>
      </c>
      <c r="C37" s="109" t="s">
        <v>48</v>
      </c>
      <c r="D37" s="56" t="s">
        <v>59</v>
      </c>
      <c r="E37" s="110" t="s">
        <v>46</v>
      </c>
      <c r="F37" s="111">
        <v>46248</v>
      </c>
      <c r="G37" s="151">
        <v>240000</v>
      </c>
      <c r="H37" s="113" t="s">
        <v>56</v>
      </c>
      <c r="I37" s="114">
        <v>46248</v>
      </c>
      <c r="J37" s="115" t="s">
        <v>102</v>
      </c>
      <c r="K37" s="57"/>
      <c r="L37" s="210" t="s">
        <v>49</v>
      </c>
      <c r="M37" s="211"/>
    </row>
    <row r="38" spans="1:13" s="22" customFormat="1" ht="63">
      <c r="A38" s="55">
        <v>7</v>
      </c>
      <c r="B38" s="116" t="s">
        <v>52</v>
      </c>
      <c r="C38" s="116" t="s">
        <v>53</v>
      </c>
      <c r="D38" s="116" t="s">
        <v>58</v>
      </c>
      <c r="E38" s="117" t="s">
        <v>46</v>
      </c>
      <c r="F38" s="118" t="s">
        <v>62</v>
      </c>
      <c r="G38" s="151">
        <v>680000</v>
      </c>
      <c r="H38" s="119"/>
      <c r="I38" s="120"/>
      <c r="J38" s="120"/>
      <c r="K38" s="121"/>
      <c r="L38" s="212" t="s">
        <v>55</v>
      </c>
      <c r="M38" s="213"/>
    </row>
    <row r="39" spans="1:13" ht="34.5" customHeight="1">
      <c r="A39" s="122">
        <v>8</v>
      </c>
      <c r="B39" s="116" t="s">
        <v>42</v>
      </c>
      <c r="C39" s="116" t="s">
        <v>44</v>
      </c>
      <c r="D39" s="123" t="s">
        <v>60</v>
      </c>
      <c r="E39" s="124" t="s">
        <v>47</v>
      </c>
      <c r="F39" s="125">
        <v>46317</v>
      </c>
      <c r="G39" s="150">
        <v>4750</v>
      </c>
      <c r="H39" s="113" t="s">
        <v>56</v>
      </c>
      <c r="I39" s="126">
        <v>46317</v>
      </c>
      <c r="J39" s="126">
        <v>46325</v>
      </c>
      <c r="K39" s="109"/>
      <c r="L39" s="214" t="s">
        <v>77</v>
      </c>
      <c r="M39" s="215"/>
    </row>
    <row r="40" spans="1:13" ht="15.75">
      <c r="A40" s="122"/>
      <c r="B40" s="106"/>
      <c r="C40" s="106"/>
      <c r="D40" s="106"/>
      <c r="E40" s="106"/>
      <c r="F40" s="107"/>
      <c r="G40" s="108"/>
      <c r="H40" s="109"/>
      <c r="I40" s="109"/>
      <c r="J40" s="109"/>
      <c r="K40" s="109"/>
      <c r="L40" s="216"/>
      <c r="M40" s="217"/>
    </row>
    <row r="41" spans="1:13">
      <c r="A41" s="86"/>
      <c r="B41" s="127"/>
      <c r="C41" s="128"/>
      <c r="D41" s="128"/>
      <c r="E41" s="129"/>
      <c r="F41" s="130"/>
      <c r="G41" s="131"/>
      <c r="H41" s="132"/>
      <c r="I41" s="130"/>
      <c r="J41" s="130"/>
      <c r="K41" s="132"/>
      <c r="L41" s="218"/>
      <c r="M41" s="219"/>
    </row>
    <row r="42" spans="1:13">
      <c r="A42" s="86"/>
      <c r="B42" s="127"/>
      <c r="C42" s="128"/>
      <c r="D42" s="87"/>
      <c r="E42" s="33"/>
      <c r="F42" s="88"/>
      <c r="G42" s="131"/>
      <c r="H42" s="89"/>
      <c r="I42" s="88"/>
      <c r="J42" s="88"/>
      <c r="K42" s="89"/>
      <c r="L42" s="220"/>
      <c r="M42" s="221"/>
    </row>
    <row r="43" spans="1:13" ht="15.75" thickBot="1">
      <c r="A43" s="133"/>
      <c r="B43" s="90"/>
      <c r="C43" s="91"/>
      <c r="D43" s="91"/>
      <c r="E43" s="92"/>
      <c r="F43" s="93"/>
      <c r="G43" s="38"/>
      <c r="H43" s="94"/>
      <c r="I43" s="93"/>
      <c r="J43" s="93"/>
      <c r="K43" s="94"/>
      <c r="L43" s="222"/>
      <c r="M43" s="223"/>
    </row>
    <row r="44" spans="1:13" ht="15.75" thickBot="1">
      <c r="A44" s="224" t="s">
        <v>15</v>
      </c>
      <c r="B44" s="225"/>
      <c r="C44" s="225"/>
      <c r="D44" s="225"/>
      <c r="E44" s="226"/>
      <c r="F44" s="36"/>
      <c r="G44" s="227">
        <f>SUM(G37:G43)</f>
        <v>924750</v>
      </c>
      <c r="H44" s="228"/>
      <c r="I44" s="228"/>
      <c r="J44" s="228"/>
      <c r="K44" s="228"/>
      <c r="L44" s="229"/>
    </row>
    <row r="45" spans="1:13" ht="15.75" thickBot="1">
      <c r="A45" s="18"/>
      <c r="B45" s="18"/>
      <c r="C45" s="18"/>
      <c r="D45" s="18"/>
      <c r="E45" s="19"/>
      <c r="F45" s="19"/>
      <c r="G45" s="20"/>
      <c r="H45" s="20"/>
      <c r="J45" s="4"/>
      <c r="K45" s="21"/>
    </row>
    <row r="46" spans="1:13" ht="18.75">
      <c r="A46" s="203" t="s">
        <v>16</v>
      </c>
      <c r="B46" s="204"/>
      <c r="C46" s="204"/>
      <c r="D46" s="204"/>
      <c r="E46" s="204"/>
      <c r="F46" s="204"/>
      <c r="G46" s="204"/>
      <c r="H46" s="204"/>
      <c r="I46" s="204"/>
      <c r="J46" s="205"/>
      <c r="K46" s="59"/>
    </row>
    <row r="47" spans="1:13" ht="30">
      <c r="A47" s="95"/>
      <c r="B47" s="140"/>
      <c r="C47" s="140"/>
      <c r="D47" s="140" t="s">
        <v>17</v>
      </c>
      <c r="E47" s="230" t="s">
        <v>18</v>
      </c>
      <c r="F47" s="230"/>
      <c r="G47" s="230" t="s">
        <v>19</v>
      </c>
      <c r="H47" s="230"/>
      <c r="I47" s="230" t="s">
        <v>29</v>
      </c>
      <c r="J47" s="231"/>
      <c r="K47" s="59"/>
    </row>
    <row r="48" spans="1:13">
      <c r="A48" s="95"/>
      <c r="B48" s="58" t="s">
        <v>20</v>
      </c>
      <c r="C48" s="232">
        <v>1679.85</v>
      </c>
      <c r="D48" s="233"/>
      <c r="E48" s="234">
        <v>1668.4</v>
      </c>
      <c r="F48" s="235"/>
      <c r="G48" s="234">
        <v>1668.4</v>
      </c>
      <c r="H48" s="235"/>
      <c r="I48" s="236"/>
      <c r="J48" s="237"/>
      <c r="K48" s="59"/>
    </row>
    <row r="49" spans="1:14">
      <c r="A49" s="96"/>
      <c r="B49" s="58" t="s">
        <v>21</v>
      </c>
      <c r="C49" s="232">
        <v>596.70000000000005</v>
      </c>
      <c r="D49" s="233"/>
      <c r="E49" s="232">
        <v>583.92999999999995</v>
      </c>
      <c r="F49" s="233"/>
      <c r="G49" s="232">
        <v>583.92999999999995</v>
      </c>
      <c r="H49" s="233"/>
      <c r="I49" s="244"/>
      <c r="J49" s="245"/>
      <c r="K49" s="59"/>
    </row>
    <row r="50" spans="1:14" ht="15.75" thickBot="1">
      <c r="A50" s="96"/>
      <c r="B50" s="58" t="s">
        <v>22</v>
      </c>
      <c r="C50" s="232">
        <v>781</v>
      </c>
      <c r="D50" s="233"/>
      <c r="E50" s="234">
        <v>640.17999999999995</v>
      </c>
      <c r="F50" s="235"/>
      <c r="G50" s="234">
        <v>640.17999999999995</v>
      </c>
      <c r="H50" s="235"/>
      <c r="I50" s="244"/>
      <c r="J50" s="245"/>
      <c r="K50" s="59"/>
    </row>
    <row r="51" spans="1:14" ht="15.75" thickBot="1">
      <c r="A51" s="6"/>
      <c r="B51" s="7" t="s">
        <v>23</v>
      </c>
      <c r="C51" s="246">
        <f>SUM(C48:D50)</f>
        <v>3057.55</v>
      </c>
      <c r="D51" s="247"/>
      <c r="E51" s="248">
        <f>SUM(E48:E50)</f>
        <v>2892.5099999999998</v>
      </c>
      <c r="F51" s="249"/>
      <c r="G51" s="248">
        <f>G48+G49+G50</f>
        <v>2892.5099999999998</v>
      </c>
      <c r="H51" s="249"/>
      <c r="I51" s="248">
        <f>SUM(I48:I50)</f>
        <v>0</v>
      </c>
      <c r="J51" s="250"/>
      <c r="K51" s="156"/>
    </row>
    <row r="53" spans="1:14" ht="15.75" thickBot="1">
      <c r="E53" s="97"/>
    </row>
    <row r="54" spans="1:14" ht="19.5" thickBot="1">
      <c r="A54" s="251" t="s">
        <v>32</v>
      </c>
      <c r="B54" s="252"/>
      <c r="C54" s="252"/>
      <c r="D54" s="252"/>
      <c r="E54" s="252"/>
      <c r="F54" s="252"/>
      <c r="G54" s="252"/>
      <c r="H54" s="252"/>
      <c r="I54" s="252"/>
      <c r="J54" s="253"/>
      <c r="K54" s="22"/>
      <c r="L54" s="22"/>
    </row>
    <row r="55" spans="1:14">
      <c r="A55" s="11" t="s">
        <v>33</v>
      </c>
      <c r="B55" s="241" t="s">
        <v>34</v>
      </c>
      <c r="C55" s="242"/>
      <c r="D55" s="242"/>
      <c r="E55" s="242"/>
      <c r="F55" s="242"/>
      <c r="G55" s="242"/>
      <c r="H55" s="242"/>
      <c r="I55" s="243"/>
      <c r="J55" s="101" t="s">
        <v>35</v>
      </c>
      <c r="K55" s="22"/>
      <c r="L55" s="22"/>
    </row>
    <row r="56" spans="1:14" ht="15.75" customHeight="1">
      <c r="A56" s="99">
        <v>1</v>
      </c>
      <c r="B56" s="273" t="s">
        <v>114</v>
      </c>
      <c r="C56" s="274"/>
      <c r="D56" s="274"/>
      <c r="E56" s="274"/>
      <c r="F56" s="274"/>
      <c r="G56" s="274"/>
      <c r="H56" s="274"/>
      <c r="I56" s="275"/>
      <c r="J56" s="45">
        <v>7.2</v>
      </c>
    </row>
    <row r="57" spans="1:14" ht="15.75" customHeight="1">
      <c r="A57" s="99">
        <v>2</v>
      </c>
      <c r="B57" s="273" t="s">
        <v>115</v>
      </c>
      <c r="C57" s="274"/>
      <c r="D57" s="274"/>
      <c r="E57" s="274"/>
      <c r="F57" s="274"/>
      <c r="G57" s="274"/>
      <c r="H57" s="274"/>
      <c r="I57" s="275"/>
      <c r="J57" s="45">
        <v>2.6659999999999999</v>
      </c>
    </row>
    <row r="58" spans="1:14" ht="15.75" customHeight="1">
      <c r="A58" s="99">
        <v>3</v>
      </c>
      <c r="B58" s="273" t="s">
        <v>116</v>
      </c>
      <c r="C58" s="274"/>
      <c r="D58" s="274"/>
      <c r="E58" s="274"/>
      <c r="F58" s="274"/>
      <c r="G58" s="274"/>
      <c r="H58" s="274"/>
      <c r="I58" s="275"/>
      <c r="J58" s="45">
        <v>4.5</v>
      </c>
    </row>
    <row r="59" spans="1:14" ht="15.75" customHeight="1">
      <c r="A59" s="99">
        <v>4</v>
      </c>
      <c r="B59" s="273" t="s">
        <v>86</v>
      </c>
      <c r="C59" s="274"/>
      <c r="D59" s="274"/>
      <c r="E59" s="274"/>
      <c r="F59" s="274"/>
      <c r="G59" s="274"/>
      <c r="H59" s="274"/>
      <c r="I59" s="275"/>
      <c r="J59" s="45">
        <v>6.56</v>
      </c>
    </row>
    <row r="60" spans="1:14" ht="15.75" customHeight="1">
      <c r="A60" s="99">
        <v>5</v>
      </c>
      <c r="B60" s="273" t="s">
        <v>117</v>
      </c>
      <c r="C60" s="274"/>
      <c r="D60" s="274"/>
      <c r="E60" s="274"/>
      <c r="F60" s="274"/>
      <c r="G60" s="274"/>
      <c r="H60" s="274"/>
      <c r="I60" s="275"/>
      <c r="J60" s="45">
        <v>6.1</v>
      </c>
    </row>
    <row r="61" spans="1:14" ht="15.75" customHeight="1">
      <c r="A61" s="99">
        <v>6</v>
      </c>
      <c r="B61" s="273" t="s">
        <v>107</v>
      </c>
      <c r="C61" s="274"/>
      <c r="D61" s="274"/>
      <c r="E61" s="274"/>
      <c r="F61" s="274"/>
      <c r="G61" s="274"/>
      <c r="H61" s="274"/>
      <c r="I61" s="275"/>
      <c r="J61" s="45">
        <v>27.8</v>
      </c>
    </row>
    <row r="62" spans="1:14" ht="15.75" customHeight="1">
      <c r="A62" s="99">
        <v>7</v>
      </c>
      <c r="B62" s="273" t="s">
        <v>118</v>
      </c>
      <c r="C62" s="274"/>
      <c r="D62" s="274"/>
      <c r="E62" s="274"/>
      <c r="F62" s="274"/>
      <c r="G62" s="274"/>
      <c r="H62" s="274"/>
      <c r="I62" s="275"/>
      <c r="J62" s="45">
        <v>6.1</v>
      </c>
    </row>
    <row r="63" spans="1:14" ht="15.75" customHeight="1">
      <c r="A63" s="99">
        <v>8</v>
      </c>
      <c r="B63" s="273" t="s">
        <v>119</v>
      </c>
      <c r="C63" s="274"/>
      <c r="D63" s="274"/>
      <c r="E63" s="274"/>
      <c r="F63" s="274"/>
      <c r="G63" s="274"/>
      <c r="H63" s="274"/>
      <c r="I63" s="275"/>
      <c r="J63" s="45">
        <v>8.5</v>
      </c>
    </row>
    <row r="64" spans="1:14" s="3" customFormat="1" ht="15.75" customHeight="1">
      <c r="A64" s="99">
        <v>9</v>
      </c>
      <c r="B64" s="273" t="s">
        <v>109</v>
      </c>
      <c r="C64" s="274"/>
      <c r="D64" s="274"/>
      <c r="E64" s="274"/>
      <c r="F64" s="274"/>
      <c r="G64" s="274"/>
      <c r="H64" s="274"/>
      <c r="I64" s="275"/>
      <c r="J64" s="45">
        <v>8.6</v>
      </c>
      <c r="L64" s="59"/>
      <c r="M64" s="59"/>
      <c r="N64" s="59"/>
    </row>
    <row r="65" spans="1:14" s="3" customFormat="1" ht="15.75" customHeight="1">
      <c r="A65" s="99">
        <v>10</v>
      </c>
      <c r="B65" s="273" t="s">
        <v>104</v>
      </c>
      <c r="C65" s="274"/>
      <c r="D65" s="274"/>
      <c r="E65" s="274"/>
      <c r="F65" s="274"/>
      <c r="G65" s="274"/>
      <c r="H65" s="274"/>
      <c r="I65" s="275"/>
      <c r="J65" s="45">
        <v>6.1</v>
      </c>
      <c r="L65" s="59"/>
      <c r="M65" s="59"/>
      <c r="N65" s="59"/>
    </row>
    <row r="66" spans="1:14" s="3" customFormat="1" ht="15.75" customHeight="1">
      <c r="A66" s="99">
        <v>11</v>
      </c>
      <c r="B66" s="273" t="s">
        <v>110</v>
      </c>
      <c r="C66" s="274"/>
      <c r="D66" s="274"/>
      <c r="E66" s="274"/>
      <c r="F66" s="274"/>
      <c r="G66" s="274"/>
      <c r="H66" s="274"/>
      <c r="I66" s="275"/>
      <c r="J66" s="45">
        <v>11.2</v>
      </c>
      <c r="L66" s="59"/>
      <c r="M66" s="59"/>
      <c r="N66" s="59"/>
    </row>
    <row r="67" spans="1:14" s="3" customFormat="1" ht="15.75" customHeight="1">
      <c r="A67" s="99">
        <v>12</v>
      </c>
      <c r="B67" s="273" t="s">
        <v>93</v>
      </c>
      <c r="C67" s="274"/>
      <c r="D67" s="274"/>
      <c r="E67" s="274"/>
      <c r="F67" s="274"/>
      <c r="G67" s="274"/>
      <c r="H67" s="274"/>
      <c r="I67" s="275"/>
      <c r="J67" s="45">
        <v>10.788</v>
      </c>
      <c r="L67" s="59"/>
      <c r="M67" s="59"/>
      <c r="N67" s="59"/>
    </row>
    <row r="68" spans="1:14" s="3" customFormat="1" ht="15.75" customHeight="1">
      <c r="A68" s="100">
        <v>13</v>
      </c>
      <c r="B68" s="273" t="s">
        <v>79</v>
      </c>
      <c r="C68" s="274"/>
      <c r="D68" s="274"/>
      <c r="E68" s="274"/>
      <c r="F68" s="274"/>
      <c r="G68" s="274"/>
      <c r="H68" s="274"/>
      <c r="I68" s="275"/>
      <c r="J68" s="45">
        <v>30.3</v>
      </c>
      <c r="L68" s="59"/>
      <c r="M68" s="59"/>
      <c r="N68" s="59"/>
    </row>
    <row r="69" spans="1:14" s="3" customFormat="1" ht="15.75" customHeight="1">
      <c r="A69" s="100">
        <v>14</v>
      </c>
      <c r="B69" s="273" t="s">
        <v>112</v>
      </c>
      <c r="C69" s="274"/>
      <c r="D69" s="274"/>
      <c r="E69" s="274"/>
      <c r="F69" s="274"/>
      <c r="G69" s="274"/>
      <c r="H69" s="274"/>
      <c r="I69" s="275"/>
      <c r="J69" s="45">
        <v>6.65</v>
      </c>
      <c r="L69" s="59"/>
      <c r="M69" s="59"/>
      <c r="N69" s="59"/>
    </row>
    <row r="70" spans="1:14" s="3" customFormat="1" ht="15.75" customHeight="1">
      <c r="A70" s="100">
        <v>15</v>
      </c>
      <c r="B70" s="273" t="s">
        <v>120</v>
      </c>
      <c r="C70" s="274"/>
      <c r="D70" s="274"/>
      <c r="E70" s="274"/>
      <c r="F70" s="274"/>
      <c r="G70" s="274"/>
      <c r="H70" s="274"/>
      <c r="I70" s="275"/>
      <c r="J70" s="45">
        <v>10.5</v>
      </c>
      <c r="L70" s="59"/>
      <c r="M70" s="59"/>
      <c r="N70" s="59"/>
    </row>
    <row r="71" spans="1:14" s="3" customFormat="1" ht="15.75" customHeight="1">
      <c r="A71" s="100">
        <v>16</v>
      </c>
      <c r="B71" s="273" t="s">
        <v>106</v>
      </c>
      <c r="C71" s="274"/>
      <c r="D71" s="274"/>
      <c r="E71" s="274"/>
      <c r="F71" s="274"/>
      <c r="G71" s="274"/>
      <c r="H71" s="274"/>
      <c r="I71" s="275"/>
      <c r="J71" s="45">
        <v>6.4</v>
      </c>
      <c r="L71" s="59"/>
      <c r="M71" s="59"/>
      <c r="N71" s="59"/>
    </row>
    <row r="72" spans="1:14" s="3" customFormat="1" ht="15.75" customHeight="1">
      <c r="A72" s="100">
        <v>17</v>
      </c>
      <c r="B72" s="273" t="s">
        <v>71</v>
      </c>
      <c r="C72" s="274"/>
      <c r="D72" s="274"/>
      <c r="E72" s="274"/>
      <c r="F72" s="274"/>
      <c r="G72" s="274"/>
      <c r="H72" s="274"/>
      <c r="I72" s="275"/>
      <c r="J72" s="45">
        <v>4.8</v>
      </c>
      <c r="L72" s="59"/>
      <c r="M72" s="59"/>
      <c r="N72" s="59"/>
    </row>
    <row r="73" spans="1:14" s="3" customFormat="1" ht="15.75" customHeight="1">
      <c r="A73" s="100">
        <v>18</v>
      </c>
      <c r="B73" s="273"/>
      <c r="C73" s="274"/>
      <c r="D73" s="274"/>
      <c r="E73" s="274"/>
      <c r="F73" s="274"/>
      <c r="G73" s="274"/>
      <c r="H73" s="274"/>
      <c r="I73" s="275"/>
      <c r="J73" s="45"/>
      <c r="L73" s="59"/>
      <c r="M73" s="59"/>
      <c r="N73" s="59"/>
    </row>
    <row r="74" spans="1:14" s="3" customFormat="1" ht="15.75" customHeight="1">
      <c r="A74" s="100">
        <v>19</v>
      </c>
      <c r="B74" s="149"/>
      <c r="C74" s="134"/>
      <c r="D74" s="134"/>
      <c r="E74" s="134"/>
      <c r="F74" s="134"/>
      <c r="G74" s="134"/>
      <c r="H74" s="134"/>
      <c r="I74" s="135"/>
      <c r="J74" s="44"/>
      <c r="L74" s="59"/>
      <c r="M74" s="59"/>
      <c r="N74" s="59"/>
    </row>
    <row r="75" spans="1:14" s="3" customFormat="1" ht="15.75" customHeight="1">
      <c r="A75" s="100">
        <v>20</v>
      </c>
      <c r="B75" s="149"/>
      <c r="C75" s="134"/>
      <c r="D75" s="134"/>
      <c r="E75" s="134"/>
      <c r="F75" s="134"/>
      <c r="G75" s="134"/>
      <c r="H75" s="134"/>
      <c r="I75" s="135"/>
      <c r="J75" s="45"/>
      <c r="L75" s="59"/>
      <c r="M75" s="59"/>
      <c r="N75" s="59"/>
    </row>
    <row r="76" spans="1:14" s="3" customFormat="1" ht="15.75" customHeight="1">
      <c r="A76" s="100">
        <v>21</v>
      </c>
      <c r="B76" s="149"/>
      <c r="C76" s="134"/>
      <c r="D76" s="134"/>
      <c r="E76" s="134"/>
      <c r="F76" s="134"/>
      <c r="G76" s="134"/>
      <c r="H76" s="134"/>
      <c r="I76" s="135"/>
      <c r="J76" s="43"/>
      <c r="L76" s="59"/>
      <c r="M76" s="59"/>
      <c r="N76" s="59"/>
    </row>
    <row r="77" spans="1:14" s="3" customFormat="1" ht="15.75" customHeight="1">
      <c r="A77" s="100">
        <v>22</v>
      </c>
      <c r="B77" s="149"/>
      <c r="C77" s="134"/>
      <c r="D77" s="134"/>
      <c r="E77" s="134"/>
      <c r="F77" s="134"/>
      <c r="G77" s="134"/>
      <c r="H77" s="134"/>
      <c r="I77" s="135"/>
      <c r="J77" s="43"/>
      <c r="L77" s="59"/>
      <c r="M77" s="59"/>
      <c r="N77" s="59"/>
    </row>
    <row r="78" spans="1:14" s="3" customFormat="1" ht="15.75" customHeight="1">
      <c r="A78" s="100">
        <v>23</v>
      </c>
      <c r="B78" s="149"/>
      <c r="C78" s="134"/>
      <c r="D78" s="134"/>
      <c r="E78" s="134"/>
      <c r="F78" s="134"/>
      <c r="G78" s="134"/>
      <c r="H78" s="134"/>
      <c r="I78" s="135"/>
      <c r="J78" s="44"/>
      <c r="L78" s="59"/>
      <c r="M78" s="59"/>
      <c r="N78" s="59"/>
    </row>
    <row r="79" spans="1:14" s="3" customFormat="1" ht="15.75" customHeight="1">
      <c r="A79" s="157">
        <v>24</v>
      </c>
      <c r="B79" s="149"/>
      <c r="C79" s="134"/>
      <c r="D79" s="134"/>
      <c r="E79" s="134"/>
      <c r="F79" s="134"/>
      <c r="G79" s="134"/>
      <c r="H79" s="134"/>
      <c r="I79" s="135"/>
      <c r="J79" s="44"/>
      <c r="L79" s="59"/>
      <c r="M79" s="59"/>
      <c r="N79" s="59"/>
    </row>
    <row r="80" spans="1:14" s="3" customFormat="1" ht="15.75" customHeight="1">
      <c r="A80" s="157">
        <v>25</v>
      </c>
      <c r="B80" s="149"/>
      <c r="C80" s="134"/>
      <c r="D80" s="134"/>
      <c r="E80" s="134"/>
      <c r="F80" s="134"/>
      <c r="G80" s="134"/>
      <c r="H80" s="134"/>
      <c r="I80" s="135"/>
      <c r="J80" s="44"/>
      <c r="L80" s="59"/>
      <c r="M80" s="59"/>
      <c r="N80" s="59"/>
    </row>
    <row r="81" spans="1:14" s="3" customFormat="1" ht="15.75" customHeight="1">
      <c r="A81" s="157">
        <v>26</v>
      </c>
      <c r="B81" s="149"/>
      <c r="C81" s="134"/>
      <c r="D81" s="134"/>
      <c r="E81" s="134"/>
      <c r="F81" s="134"/>
      <c r="G81" s="134"/>
      <c r="H81" s="134"/>
      <c r="I81" s="135"/>
      <c r="J81" s="44"/>
      <c r="L81" s="59"/>
      <c r="M81" s="59"/>
      <c r="N81" s="59"/>
    </row>
    <row r="82" spans="1:14" s="3" customFormat="1" ht="15.75" customHeight="1">
      <c r="A82" s="157">
        <v>27</v>
      </c>
      <c r="B82" s="149"/>
      <c r="C82" s="134"/>
      <c r="D82" s="134"/>
      <c r="E82" s="134"/>
      <c r="F82" s="134"/>
      <c r="G82" s="134"/>
      <c r="H82" s="134"/>
      <c r="I82" s="135"/>
      <c r="J82" s="44"/>
      <c r="L82" s="59"/>
      <c r="M82" s="59"/>
      <c r="N82" s="59"/>
    </row>
    <row r="83" spans="1:14" s="3" customFormat="1" ht="15.75" customHeight="1">
      <c r="A83" s="157">
        <v>28</v>
      </c>
      <c r="B83" s="149"/>
      <c r="C83" s="134"/>
      <c r="D83" s="134"/>
      <c r="E83" s="134"/>
      <c r="F83" s="134"/>
      <c r="G83" s="134"/>
      <c r="H83" s="134"/>
      <c r="I83" s="135"/>
      <c r="J83" s="44"/>
      <c r="L83" s="59"/>
      <c r="M83" s="59"/>
      <c r="N83" s="59"/>
    </row>
    <row r="84" spans="1:14" s="3" customFormat="1" ht="15.75" customHeight="1">
      <c r="A84" s="157">
        <v>29</v>
      </c>
      <c r="B84" s="149"/>
      <c r="C84" s="134"/>
      <c r="D84" s="134"/>
      <c r="E84" s="134"/>
      <c r="F84" s="134"/>
      <c r="G84" s="134"/>
      <c r="H84" s="134"/>
      <c r="I84" s="135"/>
      <c r="J84" s="44"/>
      <c r="L84" s="59"/>
      <c r="M84" s="59"/>
      <c r="N84" s="59"/>
    </row>
    <row r="85" spans="1:14" s="3" customFormat="1" ht="15.75" customHeight="1">
      <c r="A85" s="157">
        <v>30</v>
      </c>
      <c r="B85" s="149"/>
      <c r="C85" s="134"/>
      <c r="D85" s="134"/>
      <c r="E85" s="134"/>
      <c r="F85" s="134"/>
      <c r="G85" s="134"/>
      <c r="H85" s="134"/>
      <c r="I85" s="135"/>
      <c r="J85" s="44"/>
      <c r="L85" s="59"/>
      <c r="M85" s="59"/>
      <c r="N85" s="59"/>
    </row>
    <row r="86" spans="1:14" s="3" customFormat="1" ht="14.25" customHeight="1">
      <c r="A86" s="100">
        <v>31</v>
      </c>
      <c r="B86" s="149"/>
      <c r="C86" s="134"/>
      <c r="D86" s="134"/>
      <c r="E86" s="134"/>
      <c r="F86" s="134"/>
      <c r="G86" s="134"/>
      <c r="H86" s="134"/>
      <c r="I86" s="135"/>
      <c r="J86" s="45"/>
      <c r="L86" s="59"/>
      <c r="M86" s="59"/>
      <c r="N86" s="59"/>
    </row>
    <row r="87" spans="1:14" s="3" customFormat="1" ht="15.75" thickBot="1">
      <c r="A87" s="40"/>
      <c r="B87" s="267"/>
      <c r="C87" s="268"/>
      <c r="D87" s="268"/>
      <c r="E87" s="268"/>
      <c r="F87" s="268"/>
      <c r="G87" s="268"/>
      <c r="H87" s="268"/>
      <c r="I87" s="269"/>
      <c r="J87" s="41">
        <f>SUM(J56:J86)</f>
        <v>164.76400000000001</v>
      </c>
      <c r="L87" s="59"/>
      <c r="M87" s="59"/>
      <c r="N87" s="59"/>
    </row>
  </sheetData>
  <mergeCells count="84"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50:D50"/>
    <mergeCell ref="E50:F50"/>
    <mergeCell ref="G50:H50"/>
    <mergeCell ref="I50:J50"/>
    <mergeCell ref="B61:I61"/>
    <mergeCell ref="C51:D51"/>
    <mergeCell ref="E51:F51"/>
    <mergeCell ref="G51:H51"/>
    <mergeCell ref="I51:J51"/>
    <mergeCell ref="A54:J54"/>
    <mergeCell ref="B55:I55"/>
    <mergeCell ref="B56:I56"/>
    <mergeCell ref="B57:I57"/>
    <mergeCell ref="B58:I58"/>
    <mergeCell ref="B59:I59"/>
    <mergeCell ref="B60:I60"/>
    <mergeCell ref="B87:I87"/>
    <mergeCell ref="B62:I62"/>
    <mergeCell ref="B63:I63"/>
    <mergeCell ref="B64:I64"/>
    <mergeCell ref="B65:I65"/>
    <mergeCell ref="B66:I66"/>
    <mergeCell ref="B67:I67"/>
    <mergeCell ref="B71:I71"/>
    <mergeCell ref="B72:I72"/>
    <mergeCell ref="B73:I73"/>
    <mergeCell ref="B68:I68"/>
    <mergeCell ref="B69:I69"/>
    <mergeCell ref="B70:I70"/>
  </mergeCells>
  <pageMargins left="0" right="0" top="0.59055118110236204" bottom="0" header="0" footer="0"/>
  <pageSetup paperSize="8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FCEF-2561-471E-8B4D-D36A53F487A7}">
  <sheetPr>
    <tabColor rgb="FFFFFF00"/>
  </sheetPr>
  <dimension ref="A1:F13"/>
  <sheetViews>
    <sheetView tabSelected="1" workbookViewId="0">
      <selection activeCell="F21" sqref="F21"/>
    </sheetView>
  </sheetViews>
  <sheetFormatPr defaultRowHeight="15"/>
  <cols>
    <col min="2" max="2" width="70.85546875" customWidth="1"/>
    <col min="4" max="4" width="14.85546875" customWidth="1"/>
    <col min="6" max="6" width="100.5703125" customWidth="1"/>
  </cols>
  <sheetData>
    <row r="1" spans="1:6" ht="19.5" thickBot="1">
      <c r="A1" s="251" t="s">
        <v>32</v>
      </c>
      <c r="B1" s="252"/>
      <c r="C1" s="253"/>
    </row>
    <row r="2" spans="1:6">
      <c r="A2" s="11" t="s">
        <v>33</v>
      </c>
      <c r="B2" s="163" t="s">
        <v>34</v>
      </c>
      <c r="C2" s="166" t="s">
        <v>35</v>
      </c>
      <c r="D2" s="163"/>
      <c r="E2" s="163" t="s">
        <v>122</v>
      </c>
      <c r="F2" s="163"/>
    </row>
    <row r="3" spans="1:6">
      <c r="A3" s="167">
        <v>1</v>
      </c>
      <c r="B3" s="165" t="s">
        <v>103</v>
      </c>
      <c r="C3" s="168">
        <v>5</v>
      </c>
      <c r="D3" s="165" t="str">
        <f>VLOOKUP(B3,[1]TDSheet!$A:$C,3,0)</f>
        <v>матрица</v>
      </c>
      <c r="E3" s="165">
        <v>0</v>
      </c>
      <c r="F3" s="165" t="str">
        <f>VLOOKUP(B3,[1]TDSheet!$A:$E,5,0)</f>
        <v>139кг в уценку (21,10,26) / новая отгрузка данного скю с завода 27,10,26</v>
      </c>
    </row>
    <row r="4" spans="1:6">
      <c r="A4" s="167">
        <v>2</v>
      </c>
      <c r="B4" s="165" t="s">
        <v>83</v>
      </c>
      <c r="C4" s="169">
        <v>2.4500000000000002</v>
      </c>
      <c r="D4" s="165" t="str">
        <f>VLOOKUP(B4,[1]TDSheet!$A:$C,3,0)</f>
        <v>матрица</v>
      </c>
      <c r="E4" s="165">
        <v>0</v>
      </c>
      <c r="F4" s="165" t="str">
        <f>VLOOKUP(B4,[1]TDSheet!$A:$E,5,0)</f>
        <v>рост продаж в 5,2 раза</v>
      </c>
    </row>
    <row r="5" spans="1:6">
      <c r="A5" s="167">
        <v>3</v>
      </c>
      <c r="B5" s="165" t="s">
        <v>104</v>
      </c>
      <c r="C5" s="170">
        <v>99.302000000000007</v>
      </c>
      <c r="D5" s="165" t="str">
        <f>VLOOKUP(B5,[1]TDSheet!$A:$C,3,0)</f>
        <v>матрица</v>
      </c>
      <c r="E5" s="165">
        <v>0</v>
      </c>
      <c r="F5" s="165" t="str">
        <f>VLOOKUP(B5,[1]TDSheet!$A:$E,5,0)</f>
        <v>рост продаж в 1,8 раза</v>
      </c>
    </row>
    <row r="6" spans="1:6">
      <c r="A6" s="167">
        <v>4</v>
      </c>
      <c r="B6" s="165" t="s">
        <v>84</v>
      </c>
      <c r="C6" s="171">
        <v>4</v>
      </c>
      <c r="D6" s="276" t="str">
        <f>VLOOKUP(B6,[1]TDSheet!$A:$C,3,0)</f>
        <v>не в матрице</v>
      </c>
      <c r="E6" s="165"/>
      <c r="F6" s="165"/>
    </row>
    <row r="7" spans="1:6">
      <c r="A7" s="167">
        <v>5</v>
      </c>
      <c r="B7" s="165" t="s">
        <v>105</v>
      </c>
      <c r="C7" s="168">
        <v>3.6</v>
      </c>
      <c r="D7" s="165" t="str">
        <f>VLOOKUP(B7,[1]TDSheet!$A:$C,3,0)</f>
        <v>матрица</v>
      </c>
      <c r="E7" s="165">
        <v>0</v>
      </c>
      <c r="F7" s="165" t="str">
        <f>VLOOKUP(B7,[1]TDSheet!$A:$E,5,0)</f>
        <v>рост продаж в 2,7 раза</v>
      </c>
    </row>
    <row r="8" spans="1:6">
      <c r="A8" s="167">
        <v>6</v>
      </c>
      <c r="B8" s="165" t="s">
        <v>94</v>
      </c>
      <c r="C8" s="168">
        <v>12.6</v>
      </c>
      <c r="D8" s="165" t="str">
        <f>VLOOKUP(B8,[1]TDSheet!$A:$C,3,0)</f>
        <v>матрица</v>
      </c>
      <c r="E8" s="165">
        <f>VLOOKUP(B8,[2]TDSheet!$A:$N,14,0)</f>
        <v>0.56000000000000005</v>
      </c>
      <c r="F8" s="165" t="str">
        <f>VLOOKUP(B8,[1]TDSheet!$A:$E,5,0)</f>
        <v>рост продаж в 5,5 раза</v>
      </c>
    </row>
    <row r="9" spans="1:6">
      <c r="A9" s="167">
        <v>7</v>
      </c>
      <c r="B9" s="165" t="s">
        <v>106</v>
      </c>
      <c r="C9" s="168">
        <v>10.8</v>
      </c>
      <c r="D9" s="165" t="str">
        <f>VLOOKUP(B9,[1]TDSheet!$A:$C,3,0)</f>
        <v>матрица</v>
      </c>
      <c r="E9" s="165">
        <v>0</v>
      </c>
      <c r="F9" s="165" t="str">
        <f>VLOOKUP(B9,[1]TDSheet!$A:$E,5,0)</f>
        <v>рост продаж в 2,2 раза</v>
      </c>
    </row>
    <row r="10" spans="1:6">
      <c r="A10" s="167">
        <v>8</v>
      </c>
      <c r="B10" s="165" t="s">
        <v>71</v>
      </c>
      <c r="C10" s="168">
        <v>3.9</v>
      </c>
      <c r="D10" s="165" t="str">
        <f>VLOOKUP(B10,[1]TDSheet!$A:$C,3,0)</f>
        <v>матрица</v>
      </c>
      <c r="E10" s="165">
        <v>0</v>
      </c>
      <c r="F10" s="165" t="str">
        <f>VLOOKUP(B10,[1]TDSheet!$A:$E,5,0)</f>
        <v>рост продаж в 5,3 раза</v>
      </c>
    </row>
    <row r="11" spans="1:6">
      <c r="A11" s="167">
        <v>9</v>
      </c>
      <c r="B11" s="165" t="s">
        <v>86</v>
      </c>
      <c r="C11" s="169">
        <v>13.94</v>
      </c>
      <c r="D11" s="165" t="str">
        <f>VLOOKUP(B11,[1]TDSheet!$A:$C,3,0)</f>
        <v>матрица</v>
      </c>
      <c r="E11" s="165">
        <f>VLOOKUP(B11,[2]TDSheet!$A:$N,14,0)</f>
        <v>3.28</v>
      </c>
      <c r="F11" s="165" t="str">
        <f>VLOOKUP(B11,[1]TDSheet!$A:$E,5,0)</f>
        <v>рост продаж в 6,8 раза</v>
      </c>
    </row>
    <row r="12" spans="1:6">
      <c r="A12" s="167">
        <v>10</v>
      </c>
      <c r="B12" s="165" t="s">
        <v>81</v>
      </c>
      <c r="C12" s="168">
        <v>5</v>
      </c>
      <c r="D12" s="165" t="str">
        <f>VLOOKUP(B12,[1]TDSheet!$A:$C,3,0)</f>
        <v>дубль</v>
      </c>
      <c r="E12" s="165"/>
      <c r="F12" s="165" t="s">
        <v>121</v>
      </c>
    </row>
    <row r="13" spans="1:6" ht="15.75" thickBot="1">
      <c r="A13" s="40"/>
      <c r="B13" s="164"/>
      <c r="C13" s="41">
        <f>SUM(C3:C12)</f>
        <v>160.59200000000001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23.10</vt:lpstr>
      <vt:lpstr>24.10</vt:lpstr>
      <vt:lpstr>27.10</vt:lpstr>
      <vt:lpstr>28.10</vt:lpstr>
      <vt:lpstr>29.10</vt:lpstr>
      <vt:lpstr>дефицит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DirKCK</dc:creator>
  <cp:lastModifiedBy>User</cp:lastModifiedBy>
  <cp:lastPrinted>2026-10-21T06:48:13Z</cp:lastPrinted>
  <dcterms:created xsi:type="dcterms:W3CDTF">2015-06-05T18:19:00Z</dcterms:created>
  <dcterms:modified xsi:type="dcterms:W3CDTF">2026-10-29T15:56:19Z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8A425840EC104B7E8198849E84926F67_12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