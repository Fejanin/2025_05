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2D7C47-1096-412A-9670-41283377D8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И" sheetId="1" r:id="rId1"/>
    <sheet name="ЗПФ" sheetId="2" r:id="rId2"/>
  </sheets>
  <definedNames>
    <definedName name="_xlnm._FilterDatabase" localSheetId="0" hidden="1">КИ!$A$1:$L$1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9" i="1"/>
  <c r="D10" i="1"/>
  <c r="D8" i="1"/>
  <c r="D4" i="1"/>
</calcChain>
</file>

<file path=xl/sharedStrings.xml><?xml version="1.0" encoding="utf-8"?>
<sst xmlns="http://schemas.openxmlformats.org/spreadsheetml/2006/main" count="276" uniqueCount="70">
  <si>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</si>
  <si>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</si>
  <si>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</si>
  <si>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</si>
  <si>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</si>
  <si>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</si>
  <si>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</si>
  <si>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</si>
  <si>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</si>
  <si>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</si>
  <si>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</si>
  <si>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</si>
  <si>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6311144</t>
  </si>
  <si>
    <t>Нв900</t>
  </si>
  <si>
    <t>НВ, ООО 9001015535</t>
  </si>
  <si>
    <t>Фин.контроль пройден</t>
  </si>
  <si>
    <t>00:10:00</t>
  </si>
  <si>
    <t>Да</t>
  </si>
  <si>
    <t>Нет</t>
  </si>
  <si>
    <t>6311153</t>
  </si>
  <si>
    <t>6311164</t>
  </si>
  <si>
    <t>6311183</t>
  </si>
  <si>
    <t>6311970</t>
  </si>
  <si>
    <t>6313169</t>
  </si>
  <si>
    <t>09:00:00</t>
  </si>
  <si>
    <t>6313170</t>
  </si>
  <si>
    <t>6313171</t>
  </si>
  <si>
    <t>Блокировано</t>
  </si>
  <si>
    <t>10:00:00</t>
  </si>
  <si>
    <t>6313177</t>
  </si>
  <si>
    <t>6313178</t>
  </si>
  <si>
    <t>6313182</t>
  </si>
  <si>
    <t>12:00:00</t>
  </si>
  <si>
    <t>6313193</t>
  </si>
  <si>
    <t>11:00:00</t>
  </si>
  <si>
    <t>6313203</t>
  </si>
  <si>
    <t>6313204</t>
  </si>
  <si>
    <t>6313414</t>
  </si>
  <si>
    <t>6313521</t>
  </si>
  <si>
    <t>6313522</t>
  </si>
  <si>
    <t>6313648</t>
  </si>
  <si>
    <t>20:00:00</t>
  </si>
  <si>
    <t>6313650</t>
  </si>
  <si>
    <t>6313652</t>
  </si>
  <si>
    <t>6313660</t>
  </si>
  <si>
    <t>6312119</t>
  </si>
  <si>
    <t>6312315</t>
  </si>
  <si>
    <t>6313587</t>
  </si>
  <si>
    <t>Бердянск</t>
  </si>
  <si>
    <t>Донецк</t>
  </si>
  <si>
    <t>TSO001120285</t>
  </si>
  <si>
    <t>TSO001120283</t>
  </si>
  <si>
    <t>TSO001120281</t>
  </si>
  <si>
    <t>Луганск</t>
  </si>
  <si>
    <t>TSO001120280</t>
  </si>
  <si>
    <t>TSO001121014</t>
  </si>
  <si>
    <t>Мелитополь</t>
  </si>
  <si>
    <t>TSO001121238</t>
  </si>
  <si>
    <t>TSO001121204</t>
  </si>
  <si>
    <t>TSO001120282</t>
  </si>
  <si>
    <t>TSO001119753</t>
  </si>
  <si>
    <t>TSO001121075</t>
  </si>
  <si>
    <t>TSO001121150</t>
  </si>
  <si>
    <t>TSO001121133</t>
  </si>
  <si>
    <t>TSO001119728</t>
  </si>
  <si>
    <t>Итого:</t>
  </si>
  <si>
    <t>По луганску не понятно Сергей Юрьевич подскажет</t>
  </si>
  <si>
    <t>Опт</t>
  </si>
  <si>
    <t>Горняк(Горловка)</t>
  </si>
  <si>
    <t>Горняк(Луганск)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</si>
</sst>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5">
    <xf numFmtId="0" fontId="0" fillId="0" borderId="0" xfId="0"/>
    <xf numFmtId="0" fontId="18" fillId="33" borderId="10" xfId="42" applyFill="1" applyBorder="1"/>
    <xf numFmtId="0" fontId="18" fillId="0" borderId="10" xfId="42" applyBorder="1"/>
    <xf numFmtId="14" fontId="18" fillId="33" borderId="10" xfId="42" applyNumberFormat="1" applyFill="1" applyBorder="1"/>
    <xf numFmtId="4" fontId="18" fillId="33" borderId="10" xfId="42" applyNumberFormat="1" applyFill="1" applyBorder="1"/>
    <xf numFmtId="0" fontId="0" fillId="33" borderId="0" xfId="0" applyFill="1"/>
    <xf numFmtId="0" fontId="19" fillId="0" borderId="10" xfId="42" applyFont="1" applyBorder="1"/>
    <xf numFmtId="14" fontId="18" fillId="0" borderId="10" xfId="42" applyNumberFormat="1" applyBorder="1"/>
    <xf numFmtId="4" fontId="18" fillId="0" borderId="10" xfId="42" applyNumberFormat="1" applyBorder="1"/>
    <xf numFmtId="0" fontId="19" fillId="0" borderId="10" xfId="42" applyFont="1" applyBorder="1" applyAlignment="1">
      <alignment horizontal="center" vertical="center" wrapText="1"/>
    </xf>
    <xf numFmtId="0" fontId="19" fillId="0" borderId="10" xfId="42" quotePrefix="1" applyFont="1" applyBorder="1" applyAlignment="1">
      <alignment horizontal="center" vertical="center" wrapText="1"/>
    </xf>
    <xf numFmtId="0" fontId="19" fillId="0" borderId="11" xfId="42" applyFont="1" applyBorder="1" applyAlignment="1">
      <alignment horizontal="center"/>
    </xf>
    <xf numFmtId="0" fontId="19" fillId="0" borderId="12" xfId="42" applyFont="1" applyBorder="1" applyAlignment="1">
      <alignment horizontal="center"/>
    </xf>
    <xf numFmtId="0" fontId="19" fillId="0" borderId="13" xfId="42" applyFont="1" applyBorder="1" applyAlignment="1">
      <alignment horizontal="center"/>
    </xf>
    <xf numFmtId="0" fontId="18" fillId="0" borderId="14" xfId="42" applyFill="1" applyBorder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Q20" sqref="Q20"/>
    </sheetView>
  </sheetViews>
  <sheetFormatPr defaultRowHeight="15" x14ac:dyDescent="0.25"/>
  <cols>
    <col min="2" max="2" width="11.5703125" bestFit="1" customWidth="1"/>
    <col min="3" max="3" width="26.140625" bestFit="1" customWidth="1"/>
    <col min="5" max="5" width="11.140625" bestFit="1" customWidth="1"/>
    <col min="7" max="7" width="21.140625" bestFit="1" customWidth="1"/>
    <col min="8" max="8" width="9.85546875" bestFit="1" customWidth="1"/>
    <col min="14" max="14" width="20.5703125" customWidth="1"/>
  </cols>
  <sheetData>
    <row r="1" spans="1:14" ht="60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4" x14ac:dyDescent="0.25">
      <c r="A2" s="2" t="s">
        <v>12</v>
      </c>
      <c r="B2" s="2" t="s">
        <v>48</v>
      </c>
      <c r="C2" s="2" t="s">
        <v>50</v>
      </c>
      <c r="D2" s="2">
        <v>17212.310000000001</v>
      </c>
      <c r="E2" s="8">
        <v>3714318.4</v>
      </c>
      <c r="F2" s="2" t="s">
        <v>0</v>
      </c>
      <c r="G2" s="2" t="s">
        <v>15</v>
      </c>
      <c r="H2" s="7">
        <v>46279</v>
      </c>
      <c r="I2" s="2" t="s">
        <v>16</v>
      </c>
      <c r="J2" s="2" t="s">
        <v>17</v>
      </c>
      <c r="K2" s="2" t="s">
        <v>17</v>
      </c>
      <c r="L2" s="2" t="s">
        <v>18</v>
      </c>
    </row>
    <row r="3" spans="1:14" x14ac:dyDescent="0.25">
      <c r="A3" s="2" t="s">
        <v>23</v>
      </c>
      <c r="B3" s="2" t="s">
        <v>48</v>
      </c>
      <c r="C3" s="2" t="s">
        <v>57</v>
      </c>
      <c r="D3" s="2">
        <v>510</v>
      </c>
      <c r="E3" s="8">
        <v>81651</v>
      </c>
      <c r="F3" s="2" t="s">
        <v>0</v>
      </c>
      <c r="G3" s="2" t="s">
        <v>15</v>
      </c>
      <c r="H3" s="7">
        <v>46279</v>
      </c>
      <c r="I3" s="2" t="s">
        <v>24</v>
      </c>
      <c r="J3" s="2" t="s">
        <v>18</v>
      </c>
      <c r="K3" s="2" t="s">
        <v>18</v>
      </c>
      <c r="L3" s="2" t="s">
        <v>18</v>
      </c>
    </row>
    <row r="4" spans="1:14" x14ac:dyDescent="0.25">
      <c r="A4" s="11" t="s">
        <v>65</v>
      </c>
      <c r="B4" s="12"/>
      <c r="C4" s="13"/>
      <c r="D4" s="6">
        <f>SUM(D2:D3)</f>
        <v>17722.310000000001</v>
      </c>
      <c r="E4" s="8"/>
      <c r="F4" s="2"/>
      <c r="G4" s="2"/>
      <c r="H4" s="7"/>
      <c r="I4" s="2"/>
      <c r="J4" s="2"/>
      <c r="K4" s="2"/>
      <c r="L4" s="2"/>
    </row>
    <row r="5" spans="1:14" x14ac:dyDescent="0.25">
      <c r="A5" s="2" t="s">
        <v>22</v>
      </c>
      <c r="B5" s="2" t="s">
        <v>56</v>
      </c>
      <c r="C5" s="2" t="s">
        <v>55</v>
      </c>
      <c r="D5" s="2">
        <v>205.2</v>
      </c>
      <c r="E5" s="8">
        <v>63214.8</v>
      </c>
      <c r="F5" s="2" t="s">
        <v>0</v>
      </c>
      <c r="G5" s="2" t="s">
        <v>15</v>
      </c>
      <c r="H5" s="7">
        <v>46279</v>
      </c>
      <c r="I5" s="2" t="s">
        <v>16</v>
      </c>
      <c r="J5" s="2" t="s">
        <v>18</v>
      </c>
      <c r="K5" s="2" t="s">
        <v>18</v>
      </c>
      <c r="L5" s="2" t="s">
        <v>18</v>
      </c>
    </row>
    <row r="6" spans="1:14" x14ac:dyDescent="0.25">
      <c r="A6" s="2" t="s">
        <v>25</v>
      </c>
      <c r="B6" s="2" t="s">
        <v>56</v>
      </c>
      <c r="C6" s="2" t="s">
        <v>58</v>
      </c>
      <c r="D6" s="2">
        <v>675</v>
      </c>
      <c r="E6" s="8">
        <v>108019.05</v>
      </c>
      <c r="F6" s="2" t="s">
        <v>0</v>
      </c>
      <c r="G6" s="2" t="s">
        <v>15</v>
      </c>
      <c r="H6" s="7">
        <v>46279</v>
      </c>
      <c r="I6" s="2" t="s">
        <v>24</v>
      </c>
      <c r="J6" s="2" t="s">
        <v>18</v>
      </c>
      <c r="K6" s="2" t="s">
        <v>18</v>
      </c>
      <c r="L6" s="2" t="s">
        <v>18</v>
      </c>
    </row>
    <row r="7" spans="1:14" x14ac:dyDescent="0.25">
      <c r="A7" s="2" t="s">
        <v>30</v>
      </c>
      <c r="B7" s="2" t="s">
        <v>56</v>
      </c>
      <c r="C7" s="2" t="s">
        <v>60</v>
      </c>
      <c r="D7" s="2">
        <v>16922.12</v>
      </c>
      <c r="E7" s="8">
        <v>3687749.23</v>
      </c>
      <c r="F7" s="2" t="s">
        <v>0</v>
      </c>
      <c r="G7" s="2" t="s">
        <v>15</v>
      </c>
      <c r="H7" s="7">
        <v>46279</v>
      </c>
      <c r="I7" s="2" t="s">
        <v>16</v>
      </c>
      <c r="J7" s="2" t="s">
        <v>18</v>
      </c>
      <c r="K7" s="2" t="s">
        <v>18</v>
      </c>
      <c r="L7" s="2" t="s">
        <v>18</v>
      </c>
    </row>
    <row r="8" spans="1:14" x14ac:dyDescent="0.25">
      <c r="A8" s="11" t="s">
        <v>65</v>
      </c>
      <c r="B8" s="12"/>
      <c r="C8" s="13"/>
      <c r="D8" s="6">
        <f>SUM(D5:D7)</f>
        <v>17802.32</v>
      </c>
      <c r="E8" s="8"/>
      <c r="F8" s="2"/>
      <c r="G8" s="2"/>
      <c r="H8" s="7"/>
      <c r="I8" s="2"/>
      <c r="J8" s="2"/>
      <c r="K8" s="2"/>
      <c r="L8" s="2"/>
    </row>
    <row r="9" spans="1:14" x14ac:dyDescent="0.25">
      <c r="A9" s="2" t="s">
        <v>19</v>
      </c>
      <c r="B9" s="2" t="s">
        <v>49</v>
      </c>
      <c r="C9" s="2" t="s">
        <v>51</v>
      </c>
      <c r="D9" s="2">
        <v>15675.24</v>
      </c>
      <c r="E9" s="8">
        <v>4056942.23</v>
      </c>
      <c r="F9" s="2" t="s">
        <v>0</v>
      </c>
      <c r="G9" s="2" t="s">
        <v>15</v>
      </c>
      <c r="H9" s="7">
        <v>46279</v>
      </c>
      <c r="I9" s="2" t="s">
        <v>16</v>
      </c>
      <c r="J9" s="2" t="s">
        <v>17</v>
      </c>
      <c r="K9" s="2" t="s">
        <v>17</v>
      </c>
      <c r="L9" s="2" t="s">
        <v>18</v>
      </c>
    </row>
    <row r="10" spans="1:14" x14ac:dyDescent="0.25">
      <c r="A10" s="11" t="s">
        <v>65</v>
      </c>
      <c r="B10" s="12"/>
      <c r="C10" s="13"/>
      <c r="D10" s="6">
        <f>SUM(D9)</f>
        <v>15675.24</v>
      </c>
      <c r="E10" s="8"/>
      <c r="F10" s="2"/>
      <c r="G10" s="2"/>
      <c r="H10" s="7"/>
      <c r="I10" s="2"/>
      <c r="J10" s="2"/>
      <c r="K10" s="2"/>
      <c r="L10" s="2"/>
    </row>
    <row r="11" spans="1:14" x14ac:dyDescent="0.25">
      <c r="A11" s="2" t="s">
        <v>20</v>
      </c>
      <c r="B11" s="2" t="s">
        <v>53</v>
      </c>
      <c r="C11" s="2" t="s">
        <v>52</v>
      </c>
      <c r="D11" s="2">
        <v>864</v>
      </c>
      <c r="E11" s="8">
        <v>181821.04</v>
      </c>
      <c r="F11" s="2" t="s">
        <v>0</v>
      </c>
      <c r="G11" s="2" t="s">
        <v>15</v>
      </c>
      <c r="H11" s="7">
        <v>46279</v>
      </c>
      <c r="I11" s="2" t="s">
        <v>16</v>
      </c>
      <c r="J11" s="2" t="s">
        <v>17</v>
      </c>
      <c r="K11" s="2" t="s">
        <v>17</v>
      </c>
      <c r="L11" s="2" t="s">
        <v>18</v>
      </c>
      <c r="M11" s="14" t="s">
        <v>67</v>
      </c>
      <c r="N11" s="14" t="s">
        <v>68</v>
      </c>
    </row>
    <row r="12" spans="1:14" x14ac:dyDescent="0.25">
      <c r="A12" s="2" t="s">
        <v>21</v>
      </c>
      <c r="B12" s="2" t="s">
        <v>53</v>
      </c>
      <c r="C12" s="2" t="s">
        <v>54</v>
      </c>
      <c r="D12" s="2">
        <v>9280.86</v>
      </c>
      <c r="E12" s="8">
        <v>2259797.2999999998</v>
      </c>
      <c r="F12" s="2" t="s">
        <v>0</v>
      </c>
      <c r="G12" s="2" t="s">
        <v>15</v>
      </c>
      <c r="H12" s="7">
        <v>46279</v>
      </c>
      <c r="I12" s="2" t="s">
        <v>16</v>
      </c>
      <c r="J12" s="2" t="s">
        <v>17</v>
      </c>
      <c r="K12" s="2" t="s">
        <v>17</v>
      </c>
      <c r="L12" s="2" t="s">
        <v>18</v>
      </c>
    </row>
    <row r="13" spans="1:14" x14ac:dyDescent="0.25">
      <c r="A13" s="2" t="s">
        <v>29</v>
      </c>
      <c r="B13" s="2" t="s">
        <v>53</v>
      </c>
      <c r="C13" s="2" t="s">
        <v>59</v>
      </c>
      <c r="D13" s="2">
        <v>6697.52</v>
      </c>
      <c r="E13" s="8">
        <v>1650442.69</v>
      </c>
      <c r="F13" s="2" t="s">
        <v>0</v>
      </c>
      <c r="G13" s="2" t="s">
        <v>15</v>
      </c>
      <c r="H13" s="7">
        <v>46279</v>
      </c>
      <c r="I13" s="2" t="s">
        <v>16</v>
      </c>
      <c r="J13" s="2" t="s">
        <v>18</v>
      </c>
      <c r="K13" s="2" t="s">
        <v>18</v>
      </c>
      <c r="L13" s="2" t="s">
        <v>18</v>
      </c>
      <c r="M13" s="14" t="s">
        <v>67</v>
      </c>
      <c r="N13" s="14" t="s">
        <v>69</v>
      </c>
    </row>
    <row r="14" spans="1:14" x14ac:dyDescent="0.25">
      <c r="A14" s="2" t="s">
        <v>31</v>
      </c>
      <c r="B14" s="2" t="s">
        <v>53</v>
      </c>
      <c r="C14" s="2" t="s">
        <v>61</v>
      </c>
      <c r="D14" s="2">
        <v>16672.41</v>
      </c>
      <c r="E14" s="8">
        <v>4066673.42</v>
      </c>
      <c r="F14" s="2" t="s">
        <v>0</v>
      </c>
      <c r="G14" s="2" t="s">
        <v>15</v>
      </c>
      <c r="H14" s="7">
        <v>46279</v>
      </c>
      <c r="I14" s="2" t="s">
        <v>32</v>
      </c>
      <c r="J14" s="2" t="s">
        <v>18</v>
      </c>
      <c r="K14" s="2" t="s">
        <v>18</v>
      </c>
      <c r="L14" s="2" t="s">
        <v>18</v>
      </c>
    </row>
    <row r="15" spans="1:14" x14ac:dyDescent="0.25">
      <c r="A15" s="11" t="s">
        <v>66</v>
      </c>
      <c r="B15" s="12"/>
      <c r="C15" s="13"/>
      <c r="D15" s="6">
        <f>SUM(D11:D14)</f>
        <v>33514.79</v>
      </c>
      <c r="E15" s="8"/>
      <c r="F15" s="2"/>
      <c r="G15" s="2"/>
      <c r="H15" s="7"/>
      <c r="I15" s="2"/>
      <c r="J15" s="2"/>
      <c r="K15" s="2"/>
      <c r="L15" s="2"/>
    </row>
    <row r="16" spans="1:14" x14ac:dyDescent="0.25">
      <c r="A16" s="2" t="s">
        <v>22</v>
      </c>
      <c r="B16" s="2" t="s">
        <v>56</v>
      </c>
      <c r="C16" s="2" t="s">
        <v>55</v>
      </c>
      <c r="D16" s="2">
        <v>205.2</v>
      </c>
      <c r="E16" s="8">
        <v>63214.8</v>
      </c>
      <c r="F16" s="2" t="s">
        <v>0</v>
      </c>
      <c r="G16" s="2" t="s">
        <v>15</v>
      </c>
      <c r="H16" s="7">
        <v>46279</v>
      </c>
      <c r="I16" s="2" t="s">
        <v>16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25</v>
      </c>
      <c r="B17" s="2" t="s">
        <v>56</v>
      </c>
      <c r="C17" s="2" t="s">
        <v>58</v>
      </c>
      <c r="D17" s="2">
        <v>675</v>
      </c>
      <c r="E17" s="8">
        <v>108019.05</v>
      </c>
      <c r="F17" s="2" t="s">
        <v>0</v>
      </c>
      <c r="G17" s="2" t="s">
        <v>15</v>
      </c>
      <c r="H17" s="7">
        <v>46279</v>
      </c>
      <c r="I17" s="2" t="s">
        <v>24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30</v>
      </c>
      <c r="B18" s="2" t="s">
        <v>56</v>
      </c>
      <c r="C18" s="2" t="s">
        <v>60</v>
      </c>
      <c r="D18" s="2">
        <v>16922.12</v>
      </c>
      <c r="E18" s="8">
        <v>3687749.23</v>
      </c>
      <c r="F18" s="2" t="s">
        <v>0</v>
      </c>
      <c r="G18" s="2" t="s">
        <v>15</v>
      </c>
      <c r="H18" s="7">
        <v>46279</v>
      </c>
      <c r="I18" s="2" t="s">
        <v>16</v>
      </c>
      <c r="J18" s="2" t="s">
        <v>18</v>
      </c>
      <c r="K18" s="2" t="s">
        <v>18</v>
      </c>
      <c r="L18" s="2" t="s">
        <v>18</v>
      </c>
    </row>
    <row r="19" spans="1:12" x14ac:dyDescent="0.25">
      <c r="A19" s="11" t="s">
        <v>65</v>
      </c>
      <c r="B19" s="12"/>
      <c r="C19" s="13"/>
      <c r="D19" s="6">
        <f>SUM(D16:D18)</f>
        <v>17802.32</v>
      </c>
      <c r="E19" s="8"/>
      <c r="F19" s="2"/>
      <c r="G19" s="2"/>
      <c r="H19" s="7"/>
      <c r="I19" s="2"/>
      <c r="J19" s="2"/>
      <c r="K19" s="2"/>
      <c r="L19" s="2"/>
    </row>
    <row r="20" spans="1:12" x14ac:dyDescent="0.25">
      <c r="A20" s="1" t="s">
        <v>26</v>
      </c>
      <c r="B20" s="1" t="s">
        <v>13</v>
      </c>
      <c r="C20" s="1" t="s">
        <v>14</v>
      </c>
      <c r="D20" s="1">
        <v>5549.28</v>
      </c>
      <c r="E20" s="4">
        <v>1198506.1100000001</v>
      </c>
      <c r="F20" s="1" t="s">
        <v>0</v>
      </c>
      <c r="G20" s="1" t="s">
        <v>27</v>
      </c>
      <c r="H20" s="3">
        <v>46280</v>
      </c>
      <c r="I20" s="1" t="s">
        <v>28</v>
      </c>
      <c r="J20" s="1" t="s">
        <v>17</v>
      </c>
      <c r="K20" s="1" t="s">
        <v>18</v>
      </c>
      <c r="L20" s="1" t="s">
        <v>18</v>
      </c>
    </row>
    <row r="21" spans="1:12" s="5" customFormat="1" x14ac:dyDescent="0.25">
      <c r="A21" s="1" t="s">
        <v>33</v>
      </c>
      <c r="B21" s="1" t="s">
        <v>13</v>
      </c>
      <c r="C21" s="1" t="s">
        <v>14</v>
      </c>
      <c r="D21" s="1">
        <v>16993.759999999998</v>
      </c>
      <c r="E21" s="4">
        <v>4362372.07</v>
      </c>
      <c r="F21" s="1" t="s">
        <v>0</v>
      </c>
      <c r="G21" s="1" t="s">
        <v>27</v>
      </c>
      <c r="H21" s="3">
        <v>46279</v>
      </c>
      <c r="I21" s="1" t="s">
        <v>34</v>
      </c>
      <c r="J21" s="1" t="s">
        <v>17</v>
      </c>
      <c r="K21" s="1" t="s">
        <v>18</v>
      </c>
      <c r="L21" s="1" t="s">
        <v>18</v>
      </c>
    </row>
    <row r="22" spans="1:12" s="5" customFormat="1" x14ac:dyDescent="0.25">
      <c r="A22" s="1" t="s">
        <v>35</v>
      </c>
      <c r="B22" s="1" t="s">
        <v>13</v>
      </c>
      <c r="C22" s="1" t="s">
        <v>14</v>
      </c>
      <c r="D22" s="1">
        <v>8311.7800000000007</v>
      </c>
      <c r="E22" s="4">
        <v>2113862.4500000002</v>
      </c>
      <c r="F22" s="1" t="s">
        <v>0</v>
      </c>
      <c r="G22" s="1" t="s">
        <v>27</v>
      </c>
      <c r="H22" s="3">
        <v>46279</v>
      </c>
      <c r="I22" s="1" t="s">
        <v>28</v>
      </c>
      <c r="J22" s="1" t="s">
        <v>17</v>
      </c>
      <c r="K22" s="1" t="s">
        <v>18</v>
      </c>
      <c r="L22" s="1" t="s">
        <v>18</v>
      </c>
    </row>
    <row r="23" spans="1:12" s="5" customFormat="1" x14ac:dyDescent="0.25">
      <c r="A23" s="1" t="s">
        <v>36</v>
      </c>
      <c r="B23" s="1" t="s">
        <v>13</v>
      </c>
      <c r="C23" s="1" t="s">
        <v>14</v>
      </c>
      <c r="D23" s="1">
        <v>7938.12</v>
      </c>
      <c r="E23" s="4">
        <v>1809628</v>
      </c>
      <c r="F23" s="1" t="s">
        <v>0</v>
      </c>
      <c r="G23" s="1" t="s">
        <v>27</v>
      </c>
      <c r="H23" s="3">
        <v>46279</v>
      </c>
      <c r="I23" s="1" t="s">
        <v>28</v>
      </c>
      <c r="J23" s="1" t="s">
        <v>17</v>
      </c>
      <c r="K23" s="1" t="s">
        <v>18</v>
      </c>
      <c r="L23" s="1" t="s">
        <v>18</v>
      </c>
    </row>
    <row r="24" spans="1:12" s="5" customFormat="1" x14ac:dyDescent="0.25">
      <c r="A24" s="1" t="s">
        <v>37</v>
      </c>
      <c r="B24" s="1" t="s">
        <v>13</v>
      </c>
      <c r="C24" s="1" t="s">
        <v>14</v>
      </c>
      <c r="D24" s="1">
        <v>600</v>
      </c>
      <c r="E24" s="4">
        <v>96049</v>
      </c>
      <c r="F24" s="1" t="s">
        <v>0</v>
      </c>
      <c r="G24" s="1" t="s">
        <v>27</v>
      </c>
      <c r="H24" s="3">
        <v>46279</v>
      </c>
      <c r="I24" s="1" t="s">
        <v>24</v>
      </c>
      <c r="J24" s="1" t="s">
        <v>17</v>
      </c>
      <c r="K24" s="1" t="s">
        <v>18</v>
      </c>
      <c r="L24" s="1" t="s">
        <v>18</v>
      </c>
    </row>
    <row r="25" spans="1:12" s="5" customFormat="1" x14ac:dyDescent="0.25">
      <c r="A25" s="1" t="s">
        <v>38</v>
      </c>
      <c r="B25" s="1" t="s">
        <v>13</v>
      </c>
      <c r="C25" s="1" t="s">
        <v>14</v>
      </c>
      <c r="D25" s="1">
        <v>810</v>
      </c>
      <c r="E25" s="4">
        <v>192823.3</v>
      </c>
      <c r="F25" s="1" t="s">
        <v>0</v>
      </c>
      <c r="G25" s="1" t="s">
        <v>27</v>
      </c>
      <c r="H25" s="3">
        <v>46279</v>
      </c>
      <c r="I25" s="1" t="s">
        <v>24</v>
      </c>
      <c r="J25" s="1" t="s">
        <v>17</v>
      </c>
      <c r="K25" s="1" t="s">
        <v>18</v>
      </c>
      <c r="L25" s="1" t="s">
        <v>18</v>
      </c>
    </row>
    <row r="26" spans="1:12" s="5" customFormat="1" x14ac:dyDescent="0.25">
      <c r="A26" s="1" t="s">
        <v>39</v>
      </c>
      <c r="B26" s="1" t="s">
        <v>13</v>
      </c>
      <c r="C26" s="1" t="s">
        <v>14</v>
      </c>
      <c r="D26" s="1">
        <v>16846.78</v>
      </c>
      <c r="E26" s="4">
        <v>3953443.85</v>
      </c>
      <c r="F26" s="1" t="s">
        <v>0</v>
      </c>
      <c r="G26" s="1" t="s">
        <v>27</v>
      </c>
      <c r="H26" s="3">
        <v>46280</v>
      </c>
      <c r="I26" s="1" t="s">
        <v>34</v>
      </c>
      <c r="J26" s="1" t="s">
        <v>17</v>
      </c>
      <c r="K26" s="1" t="s">
        <v>18</v>
      </c>
      <c r="L26" s="1" t="s">
        <v>18</v>
      </c>
    </row>
    <row r="27" spans="1:12" s="5" customFormat="1" x14ac:dyDescent="0.25">
      <c r="A27" s="1" t="s">
        <v>40</v>
      </c>
      <c r="B27" s="1" t="s">
        <v>13</v>
      </c>
      <c r="C27" s="1" t="s">
        <v>14</v>
      </c>
      <c r="D27" s="1">
        <v>1200</v>
      </c>
      <c r="E27" s="4">
        <v>285616</v>
      </c>
      <c r="F27" s="1" t="s">
        <v>0</v>
      </c>
      <c r="G27" s="1" t="s">
        <v>27</v>
      </c>
      <c r="H27" s="3">
        <v>46279</v>
      </c>
      <c r="I27" s="1" t="s">
        <v>41</v>
      </c>
      <c r="J27" s="1" t="s">
        <v>17</v>
      </c>
      <c r="K27" s="1" t="s">
        <v>18</v>
      </c>
      <c r="L27" s="1" t="s">
        <v>18</v>
      </c>
    </row>
    <row r="28" spans="1:12" s="5" customFormat="1" x14ac:dyDescent="0.25">
      <c r="A28" s="1" t="s">
        <v>42</v>
      </c>
      <c r="B28" s="1" t="s">
        <v>13</v>
      </c>
      <c r="C28" s="1" t="s">
        <v>14</v>
      </c>
      <c r="D28" s="1">
        <v>600</v>
      </c>
      <c r="E28" s="4">
        <v>95986</v>
      </c>
      <c r="F28" s="1" t="s">
        <v>0</v>
      </c>
      <c r="G28" s="1" t="s">
        <v>27</v>
      </c>
      <c r="H28" s="3">
        <v>46279</v>
      </c>
      <c r="I28" s="1" t="s">
        <v>41</v>
      </c>
      <c r="J28" s="1" t="s">
        <v>17</v>
      </c>
      <c r="K28" s="1" t="s">
        <v>18</v>
      </c>
      <c r="L28" s="1" t="s">
        <v>18</v>
      </c>
    </row>
    <row r="29" spans="1:12" s="5" customFormat="1" x14ac:dyDescent="0.25">
      <c r="A29" s="1" t="s">
        <v>43</v>
      </c>
      <c r="B29" s="1" t="s">
        <v>13</v>
      </c>
      <c r="C29" s="1" t="s">
        <v>14</v>
      </c>
      <c r="D29" s="1">
        <v>1500</v>
      </c>
      <c r="E29" s="4">
        <v>291488.09999999998</v>
      </c>
      <c r="F29" s="1" t="s">
        <v>0</v>
      </c>
      <c r="G29" s="1" t="s">
        <v>27</v>
      </c>
      <c r="H29" s="3">
        <v>46279</v>
      </c>
      <c r="I29" s="1" t="s">
        <v>41</v>
      </c>
      <c r="J29" s="1" t="s">
        <v>17</v>
      </c>
      <c r="K29" s="1" t="s">
        <v>18</v>
      </c>
      <c r="L29" s="1" t="s">
        <v>18</v>
      </c>
    </row>
    <row r="30" spans="1:12" s="5" customFormat="1" x14ac:dyDescent="0.25">
      <c r="A30" s="1" t="s">
        <v>44</v>
      </c>
      <c r="B30" s="1" t="s">
        <v>13</v>
      </c>
      <c r="C30" s="1" t="s">
        <v>14</v>
      </c>
      <c r="D30" s="1">
        <v>1110</v>
      </c>
      <c r="E30" s="4">
        <v>177657.4</v>
      </c>
      <c r="F30" s="1" t="s">
        <v>0</v>
      </c>
      <c r="G30" s="1" t="s">
        <v>27</v>
      </c>
      <c r="H30" s="3">
        <v>46279</v>
      </c>
      <c r="I30" s="1" t="s">
        <v>41</v>
      </c>
      <c r="J30" s="1" t="s">
        <v>17</v>
      </c>
      <c r="K30" s="1" t="s">
        <v>18</v>
      </c>
      <c r="L30" s="1" t="s">
        <v>18</v>
      </c>
    </row>
  </sheetData>
  <autoFilter ref="A1:L1" xr:uid="{00000000-0009-0000-0000-000000000000}">
    <sortState xmlns:xlrd2="http://schemas.microsoft.com/office/spreadsheetml/2017/richdata2" ref="A2:L22">
      <sortCondition ref="B1"/>
    </sortState>
  </autoFilter>
  <mergeCells count="5">
    <mergeCell ref="A8:C8"/>
    <mergeCell ref="A4:C4"/>
    <mergeCell ref="A10:C10"/>
    <mergeCell ref="A15:C15"/>
    <mergeCell ref="A19:C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selection activeCell="E9" sqref="E9"/>
    </sheetView>
  </sheetViews>
  <sheetFormatPr defaultRowHeight="15" x14ac:dyDescent="0.25"/>
  <cols>
    <col min="5" max="5" width="11.140625" bestFit="1" customWidth="1"/>
    <col min="7" max="7" width="21.140625" bestFit="1" customWidth="1"/>
    <col min="8" max="8" width="9.85546875" bestFit="1" customWidth="1"/>
  </cols>
  <sheetData>
    <row r="1" spans="1:12" ht="60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25">
      <c r="A2" s="2" t="s">
        <v>45</v>
      </c>
      <c r="B2" s="2" t="s">
        <v>56</v>
      </c>
      <c r="C2" s="2" t="s">
        <v>62</v>
      </c>
      <c r="D2" s="2">
        <v>3746.52</v>
      </c>
      <c r="E2" s="8">
        <v>762790.26</v>
      </c>
      <c r="F2" s="2" t="s">
        <v>0</v>
      </c>
      <c r="G2" s="2" t="s">
        <v>15</v>
      </c>
      <c r="H2" s="7">
        <v>46280</v>
      </c>
      <c r="I2" s="2" t="s">
        <v>28</v>
      </c>
      <c r="J2" s="2" t="s">
        <v>18</v>
      </c>
      <c r="K2" s="2" t="s">
        <v>18</v>
      </c>
      <c r="L2" s="2" t="s">
        <v>18</v>
      </c>
    </row>
    <row r="3" spans="1:12" x14ac:dyDescent="0.25">
      <c r="A3" s="2" t="s">
        <v>46</v>
      </c>
      <c r="B3" s="2" t="s">
        <v>49</v>
      </c>
      <c r="C3" s="2" t="s">
        <v>63</v>
      </c>
      <c r="D3" s="2">
        <v>6440.84</v>
      </c>
      <c r="E3" s="8">
        <v>1593701.06</v>
      </c>
      <c r="F3" s="2" t="s">
        <v>0</v>
      </c>
      <c r="G3" s="2" t="s">
        <v>15</v>
      </c>
      <c r="H3" s="7">
        <v>46279</v>
      </c>
      <c r="I3" s="2" t="s">
        <v>28</v>
      </c>
      <c r="J3" s="2" t="s">
        <v>18</v>
      </c>
      <c r="K3" s="2" t="s">
        <v>18</v>
      </c>
      <c r="L3" s="2" t="s">
        <v>18</v>
      </c>
    </row>
    <row r="4" spans="1:12" x14ac:dyDescent="0.25">
      <c r="A4" s="2" t="s">
        <v>47</v>
      </c>
      <c r="B4" s="2" t="s">
        <v>53</v>
      </c>
      <c r="C4" s="2" t="s">
        <v>64</v>
      </c>
      <c r="D4" s="2">
        <v>13638.64</v>
      </c>
      <c r="E4" s="8">
        <v>3262595.42</v>
      </c>
      <c r="F4" s="2" t="s">
        <v>0</v>
      </c>
      <c r="G4" s="2" t="s">
        <v>15</v>
      </c>
      <c r="H4" s="7">
        <v>46279</v>
      </c>
      <c r="I4" s="2" t="s">
        <v>16</v>
      </c>
      <c r="J4" s="2" t="s">
        <v>18</v>
      </c>
      <c r="K4" s="2" t="s">
        <v>18</v>
      </c>
      <c r="L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</cp:lastModifiedBy>
  <dcterms:created xsi:type="dcterms:W3CDTF">2026-09-14T17:01:31Z</dcterms:created>
  <dcterms:modified xsi:type="dcterms:W3CDTF">2026-09-14T17:38:59Z</dcterms:modified>
</cp:coreProperties>
</file>