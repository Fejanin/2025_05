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графики\"/>
    </mc:Choice>
  </mc:AlternateContent>
  <xr:revisionPtr revIDLastSave="0" documentId="13_ncr:1_{670E6089-9DFC-4F40-9527-FD294C9FF9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И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17" i="1"/>
  <c r="D11" i="1"/>
  <c r="D30" i="1"/>
  <c r="D22" i="1"/>
  <c r="D19" i="1" l="1"/>
  <c r="D6" i="1"/>
  <c r="D3" i="1"/>
</calcChain>
</file>

<file path=xl/sharedStrings.xml><?xml version="1.0" encoding="utf-8"?>
<sst xmlns="http://schemas.openxmlformats.org/spreadsheetml/2006/main" count="176" uniqueCount="77">
  <si>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</si>
  <si>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</si>
  <si>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</si>
  <si>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</si>
  <si>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</si>
  <si>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</si>
  <si>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</si>
  <si>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</si>
  <si>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</si>
  <si>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</si>
  <si>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</si>
  <si>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</si>
  <si>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6320577</t>
  </si>
  <si>
    <t>Блокировано</t>
  </si>
  <si>
    <t>10:00:00</t>
  </si>
  <si>
    <t>Да</t>
  </si>
  <si>
    <t>Нет</t>
  </si>
  <si>
    <t>6320579</t>
  </si>
  <si>
    <t>11:00:00</t>
  </si>
  <si>
    <t>6320581</t>
  </si>
  <si>
    <t>13:00:00</t>
  </si>
  <si>
    <t>6320582</t>
  </si>
  <si>
    <t>Фин.контроль пройден</t>
  </si>
  <si>
    <t>00:10:00</t>
  </si>
  <si>
    <t>6320585</t>
  </si>
  <si>
    <t>12:00:00</t>
  </si>
  <si>
    <t>6320586</t>
  </si>
  <si>
    <t>Предложение</t>
  </si>
  <si>
    <t>Открыто</t>
  </si>
  <si>
    <t>6320589</t>
  </si>
  <si>
    <t>6320603</t>
  </si>
  <si>
    <t>6320604</t>
  </si>
  <si>
    <t>6320605</t>
  </si>
  <si>
    <t>6320608</t>
  </si>
  <si>
    <t>6320651</t>
  </si>
  <si>
    <t>Итого:</t>
  </si>
  <si>
    <t>TSO001124310</t>
  </si>
  <si>
    <t>Луганск</t>
  </si>
  <si>
    <t>TSO001124208</t>
  </si>
  <si>
    <t>Донецк</t>
  </si>
  <si>
    <t>TSO001124687</t>
  </si>
  <si>
    <t>TSO001126458</t>
  </si>
  <si>
    <t>TSO001126470</t>
  </si>
  <si>
    <t>TSO001126497</t>
  </si>
  <si>
    <t>TSO001127060</t>
  </si>
  <si>
    <t>TSO001127051</t>
  </si>
  <si>
    <t>Мелитополь</t>
  </si>
  <si>
    <t>TSO001127055</t>
  </si>
  <si>
    <t>Бердянск</t>
  </si>
  <si>
    <t>TSO001126469</t>
  </si>
  <si>
    <t>TSO001126456</t>
  </si>
  <si>
    <t>TSO001127052</t>
  </si>
  <si>
    <t>Мариуполь</t>
  </si>
  <si>
    <t>30 паллет</t>
  </si>
  <si>
    <t>догружаем сырами</t>
  </si>
  <si>
    <t>Горняк-Луганск</t>
  </si>
  <si>
    <t>Горняк-Горловка</t>
  </si>
  <si>
    <t>TSO001126457</t>
  </si>
  <si>
    <t>???????????</t>
  </si>
  <si>
    <t>Бутырин</t>
  </si>
  <si>
    <t>Малахутин</t>
  </si>
  <si>
    <t>TSO001126471</t>
  </si>
  <si>
    <t>ПРС</t>
  </si>
  <si>
    <t>ЛП</t>
  </si>
  <si>
    <t>сегодня отправили</t>
  </si>
  <si>
    <t>ВСЕ ЗАБИРАЕМ 27,09,26</t>
  </si>
  <si>
    <t>???</t>
  </si>
  <si>
    <t>Обрыньба</t>
  </si>
  <si>
    <t>Пушкарный</t>
  </si>
  <si>
    <t>Сочи</t>
  </si>
  <si>
    <t>TSO001126498</t>
  </si>
  <si>
    <t>TSO001126499</t>
  </si>
  <si>
    <t>КСК</t>
  </si>
  <si>
    <t>Симферополь</t>
  </si>
  <si>
    <t>Колесник</t>
  </si>
  <si>
    <t>TSO001127083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</si>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</sst>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80">
    <xf numFmtId="0" fontId="0" fillId="0" borderId="0" xfId="0"/>
    <xf numFmtId="0" fontId="0" fillId="34" borderId="0" xfId="0" applyFill="1"/>
    <xf numFmtId="0" fontId="18" fillId="0" borderId="13" xfId="42" applyBorder="1"/>
    <xf numFmtId="0" fontId="18" fillId="0" borderId="10" xfId="42" applyBorder="1"/>
    <xf numFmtId="4" fontId="18" fillId="0" borderId="10" xfId="42" applyNumberFormat="1" applyBorder="1"/>
    <xf numFmtId="0" fontId="18" fillId="34" borderId="10" xfId="42" applyFill="1" applyBorder="1"/>
    <xf numFmtId="14" fontId="18" fillId="0" borderId="10" xfId="42" applyNumberFormat="1" applyBorder="1"/>
    <xf numFmtId="0" fontId="18" fillId="35" borderId="10" xfId="42" applyFill="1" applyBorder="1"/>
    <xf numFmtId="4" fontId="18" fillId="35" borderId="10" xfId="42" applyNumberFormat="1" applyFill="1" applyBorder="1"/>
    <xf numFmtId="14" fontId="18" fillId="35" borderId="10" xfId="42" applyNumberFormat="1" applyFill="1" applyBorder="1"/>
    <xf numFmtId="0" fontId="18" fillId="35" borderId="13" xfId="42" applyFill="1" applyBorder="1"/>
    <xf numFmtId="0" fontId="19" fillId="0" borderId="11" xfId="42" applyFont="1" applyBorder="1" applyAlignment="1">
      <alignment horizontal="center" vertical="center" wrapText="1"/>
    </xf>
    <xf numFmtId="0" fontId="19" fillId="0" borderId="11" xfId="42" quotePrefix="1" applyFont="1" applyBorder="1" applyAlignment="1">
      <alignment horizontal="center" vertical="center" wrapText="1"/>
    </xf>
    <xf numFmtId="0" fontId="18" fillId="0" borderId="18" xfId="42" applyBorder="1"/>
    <xf numFmtId="0" fontId="0" fillId="0" borderId="19" xfId="0" applyBorder="1"/>
    <xf numFmtId="0" fontId="18" fillId="0" borderId="19" xfId="42" applyBorder="1"/>
    <xf numFmtId="4" fontId="18" fillId="0" borderId="19" xfId="42" applyNumberFormat="1" applyBorder="1"/>
    <xf numFmtId="0" fontId="18" fillId="33" borderId="19" xfId="42" applyFill="1" applyBorder="1"/>
    <xf numFmtId="14" fontId="18" fillId="0" borderId="19" xfId="42" applyNumberFormat="1" applyBorder="1"/>
    <xf numFmtId="0" fontId="0" fillId="0" borderId="20" xfId="0" applyBorder="1"/>
    <xf numFmtId="0" fontId="0" fillId="0" borderId="21" xfId="0" applyBorder="1"/>
    <xf numFmtId="0" fontId="18" fillId="33" borderId="12" xfId="42" applyFill="1" applyBorder="1"/>
    <xf numFmtId="4" fontId="18" fillId="0" borderId="12" xfId="42" applyNumberFormat="1" applyBorder="1"/>
    <xf numFmtId="0" fontId="18" fillId="0" borderId="12" xfId="42" applyBorder="1"/>
    <xf numFmtId="14" fontId="18" fillId="0" borderId="12" xfId="42" applyNumberFormat="1" applyBorder="1"/>
    <xf numFmtId="0" fontId="18" fillId="0" borderId="23" xfId="42" applyBorder="1"/>
    <xf numFmtId="0" fontId="0" fillId="0" borderId="24" xfId="0" applyBorder="1"/>
    <xf numFmtId="0" fontId="18" fillId="0" borderId="24" xfId="42" applyBorder="1"/>
    <xf numFmtId="4" fontId="18" fillId="0" borderId="24" xfId="42" applyNumberFormat="1" applyBorder="1"/>
    <xf numFmtId="0" fontId="18" fillId="33" borderId="24" xfId="42" applyFill="1" applyBorder="1"/>
    <xf numFmtId="14" fontId="18" fillId="0" borderId="24" xfId="42" applyNumberFormat="1" applyBorder="1"/>
    <xf numFmtId="0" fontId="18" fillId="0" borderId="25" xfId="42" applyBorder="1"/>
    <xf numFmtId="0" fontId="0" fillId="0" borderId="27" xfId="0" applyBorder="1"/>
    <xf numFmtId="0" fontId="18" fillId="0" borderId="28" xfId="42" applyBorder="1"/>
    <xf numFmtId="0" fontId="0" fillId="0" borderId="29" xfId="0" applyBorder="1"/>
    <xf numFmtId="0" fontId="18" fillId="0" borderId="29" xfId="42" applyBorder="1"/>
    <xf numFmtId="4" fontId="18" fillId="0" borderId="29" xfId="42" applyNumberFormat="1" applyBorder="1"/>
    <xf numFmtId="0" fontId="18" fillId="33" borderId="29" xfId="42" applyFill="1" applyBorder="1"/>
    <xf numFmtId="14" fontId="18" fillId="0" borderId="29" xfId="42" applyNumberFormat="1" applyBorder="1"/>
    <xf numFmtId="0" fontId="18" fillId="0" borderId="30" xfId="42" applyBorder="1"/>
    <xf numFmtId="0" fontId="0" fillId="0" borderId="32" xfId="0" applyBorder="1"/>
    <xf numFmtId="0" fontId="18" fillId="34" borderId="24" xfId="42" applyFill="1" applyBorder="1"/>
    <xf numFmtId="0" fontId="0" fillId="0" borderId="26" xfId="0" applyBorder="1"/>
    <xf numFmtId="0" fontId="18" fillId="35" borderId="33" xfId="42" applyFill="1" applyBorder="1"/>
    <xf numFmtId="0" fontId="0" fillId="0" borderId="34" xfId="0" applyBorder="1"/>
    <xf numFmtId="0" fontId="18" fillId="34" borderId="29" xfId="42" applyFill="1" applyBorder="1"/>
    <xf numFmtId="0" fontId="0" fillId="0" borderId="31" xfId="0" applyBorder="1"/>
    <xf numFmtId="0" fontId="18" fillId="34" borderId="12" xfId="42" applyFill="1" applyBorder="1"/>
    <xf numFmtId="0" fontId="18" fillId="0" borderId="33" xfId="42" applyBorder="1"/>
    <xf numFmtId="0" fontId="18" fillId="35" borderId="28" xfId="42" applyFill="1" applyBorder="1"/>
    <xf numFmtId="0" fontId="18" fillId="35" borderId="0" xfId="42" applyFill="1"/>
    <xf numFmtId="0" fontId="18" fillId="35" borderId="31" xfId="42" applyFill="1" applyBorder="1"/>
    <xf numFmtId="0" fontId="18" fillId="34" borderId="19" xfId="42" applyFill="1" applyBorder="1"/>
    <xf numFmtId="0" fontId="18" fillId="0" borderId="35" xfId="42" applyBorder="1"/>
    <xf numFmtId="0" fontId="0" fillId="0" borderId="17" xfId="0" applyBorder="1"/>
    <xf numFmtId="0" fontId="18" fillId="35" borderId="23" xfId="42" applyFill="1" applyBorder="1"/>
    <xf numFmtId="0" fontId="0" fillId="35" borderId="26" xfId="0" applyFill="1" applyBorder="1"/>
    <xf numFmtId="0" fontId="0" fillId="35" borderId="0" xfId="0" applyFill="1"/>
    <xf numFmtId="0" fontId="0" fillId="0" borderId="12" xfId="0" applyBorder="1"/>
    <xf numFmtId="0" fontId="0" fillId="36" borderId="0" xfId="0" applyFill="1"/>
    <xf numFmtId="0" fontId="21" fillId="37" borderId="0" xfId="42" applyFont="1" applyFill="1"/>
    <xf numFmtId="0" fontId="21" fillId="37" borderId="22" xfId="42" applyFont="1" applyFill="1" applyBorder="1"/>
    <xf numFmtId="0" fontId="21" fillId="37" borderId="12" xfId="42" applyFont="1" applyFill="1" applyBorder="1"/>
    <xf numFmtId="4" fontId="21" fillId="37" borderId="12" xfId="42" applyNumberFormat="1" applyFont="1" applyFill="1" applyBorder="1"/>
    <xf numFmtId="14" fontId="21" fillId="37" borderId="12" xfId="42" applyNumberFormat="1" applyFont="1" applyFill="1" applyBorder="1"/>
    <xf numFmtId="0" fontId="20" fillId="37" borderId="0" xfId="0" applyFont="1" applyFill="1"/>
    <xf numFmtId="0" fontId="0" fillId="0" borderId="2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20" fillId="0" borderId="2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8" fillId="34" borderId="13" xfId="42" applyFill="1" applyBorder="1" applyAlignment="1">
      <alignment horizontal="center"/>
    </xf>
    <xf numFmtId="0" fontId="18" fillId="34" borderId="0" xfId="42" applyFill="1" applyAlignment="1">
      <alignment horizontal="center"/>
    </xf>
    <xf numFmtId="0" fontId="18" fillId="34" borderId="22" xfId="42" applyFill="1" applyBorder="1" applyAlignment="1">
      <alignment horizontal="center"/>
    </xf>
    <xf numFmtId="0" fontId="18" fillId="34" borderId="14" xfId="42" applyFill="1" applyBorder="1" applyAlignment="1">
      <alignment horizontal="center"/>
    </xf>
    <xf numFmtId="0" fontId="18" fillId="34" borderId="15" xfId="42" applyFill="1" applyBorder="1" applyAlignment="1">
      <alignment horizontal="center"/>
    </xf>
    <xf numFmtId="0" fontId="18" fillId="34" borderId="16" xfId="42" applyFill="1" applyBorder="1" applyAlignment="1">
      <alignment horizontal="center"/>
    </xf>
    <xf numFmtId="0" fontId="18" fillId="33" borderId="13" xfId="42" applyFill="1" applyBorder="1" applyAlignment="1">
      <alignment horizontal="center"/>
    </xf>
    <xf numFmtId="0" fontId="18" fillId="33" borderId="0" xfId="42" applyFill="1" applyAlignment="1">
      <alignment horizontal="center"/>
    </xf>
    <xf numFmtId="0" fontId="18" fillId="33" borderId="22" xfId="42" applyFill="1" applyBorder="1" applyAlignment="1">
      <alignment horizont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A4" zoomScaleNormal="100" workbookViewId="0">
      <selection activeCell="S21" sqref="S21"/>
    </sheetView>
  </sheetViews>
  <sheetFormatPr defaultRowHeight="15" x14ac:dyDescent="0.25"/>
  <cols>
    <col min="2" max="2" width="18.140625" customWidth="1"/>
    <col min="3" max="3" width="11.5703125" bestFit="1" customWidth="1"/>
    <col min="4" max="4" width="9.42578125" customWidth="1"/>
    <col min="5" max="5" width="12.85546875" bestFit="1" customWidth="1"/>
    <col min="6" max="6" width="13" bestFit="1" customWidth="1"/>
    <col min="7" max="7" width="21.140625" bestFit="1" customWidth="1"/>
    <col min="8" max="8" width="12" customWidth="1"/>
    <col min="12" max="12" width="12.140625" customWidth="1"/>
    <col min="13" max="13" width="16.42578125" customWidth="1"/>
    <col min="14" max="14" width="10.140625" bestFit="1" customWidth="1"/>
    <col min="15" max="15" width="18.85546875" bestFit="1" customWidth="1"/>
    <col min="16" max="16" width="6.7109375" customWidth="1"/>
  </cols>
  <sheetData>
    <row r="1" spans="1:17" ht="45.75" thickBot="1" x14ac:dyDescent="0.3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7" ht="15.75" thickBot="1" x14ac:dyDescent="0.3">
      <c r="A2" s="13" t="s">
        <v>21</v>
      </c>
      <c r="B2" s="14" t="s">
        <v>36</v>
      </c>
      <c r="C2" s="14" t="s">
        <v>37</v>
      </c>
      <c r="D2" s="15">
        <v>16833.14</v>
      </c>
      <c r="E2" s="16">
        <v>4124407.95</v>
      </c>
      <c r="F2" s="15" t="s">
        <v>0</v>
      </c>
      <c r="G2" s="17" t="s">
        <v>22</v>
      </c>
      <c r="H2" s="18">
        <v>46290</v>
      </c>
      <c r="I2" s="15" t="s">
        <v>23</v>
      </c>
      <c r="J2" s="15" t="s">
        <v>15</v>
      </c>
      <c r="K2" s="15" t="s">
        <v>16</v>
      </c>
      <c r="L2" s="15" t="s">
        <v>16</v>
      </c>
      <c r="M2" s="19" t="s">
        <v>37</v>
      </c>
      <c r="N2" s="19" t="s">
        <v>53</v>
      </c>
      <c r="O2" s="19" t="s">
        <v>54</v>
      </c>
      <c r="P2" s="20">
        <v>22.09</v>
      </c>
    </row>
    <row r="3" spans="1:17" ht="24" customHeight="1" thickBot="1" x14ac:dyDescent="0.3">
      <c r="A3" s="77" t="s">
        <v>35</v>
      </c>
      <c r="B3" s="78"/>
      <c r="C3" s="79"/>
      <c r="D3" s="21">
        <f>SUM(D2)</f>
        <v>16833.14</v>
      </c>
      <c r="E3" s="22"/>
      <c r="F3" s="23"/>
      <c r="G3" s="23"/>
      <c r="H3" s="24"/>
      <c r="I3" s="23"/>
      <c r="J3" s="23"/>
      <c r="K3" s="23"/>
      <c r="L3" s="23"/>
    </row>
    <row r="4" spans="1:17" x14ac:dyDescent="0.25">
      <c r="A4" s="25" t="s">
        <v>32</v>
      </c>
      <c r="B4" s="26" t="s">
        <v>38</v>
      </c>
      <c r="C4" s="26" t="s">
        <v>39</v>
      </c>
      <c r="D4" s="27">
        <v>14922.56</v>
      </c>
      <c r="E4" s="28">
        <v>3808639.15</v>
      </c>
      <c r="F4" s="27" t="s">
        <v>0</v>
      </c>
      <c r="G4" s="29" t="s">
        <v>22</v>
      </c>
      <c r="H4" s="30">
        <v>46290</v>
      </c>
      <c r="I4" s="27" t="s">
        <v>23</v>
      </c>
      <c r="J4" s="27" t="s">
        <v>15</v>
      </c>
      <c r="K4" s="27" t="s">
        <v>16</v>
      </c>
      <c r="L4" s="27" t="s">
        <v>16</v>
      </c>
      <c r="M4" s="31" t="s">
        <v>39</v>
      </c>
      <c r="N4" s="66" t="s">
        <v>53</v>
      </c>
      <c r="O4" s="66" t="s">
        <v>54</v>
      </c>
      <c r="P4" s="32">
        <v>21.09</v>
      </c>
    </row>
    <row r="5" spans="1:17" ht="15.75" thickBot="1" x14ac:dyDescent="0.3">
      <c r="A5" s="33" t="s">
        <v>34</v>
      </c>
      <c r="B5" s="34" t="s">
        <v>40</v>
      </c>
      <c r="C5" s="34" t="s">
        <v>39</v>
      </c>
      <c r="D5" s="35">
        <v>1905</v>
      </c>
      <c r="E5" s="36">
        <v>304648.95</v>
      </c>
      <c r="F5" s="35" t="s">
        <v>0</v>
      </c>
      <c r="G5" s="37" t="s">
        <v>22</v>
      </c>
      <c r="H5" s="38">
        <v>46290</v>
      </c>
      <c r="I5" s="35" t="s">
        <v>23</v>
      </c>
      <c r="J5" s="35" t="s">
        <v>15</v>
      </c>
      <c r="K5" s="35" t="s">
        <v>16</v>
      </c>
      <c r="L5" s="35" t="s">
        <v>16</v>
      </c>
      <c r="M5" s="39" t="s">
        <v>39</v>
      </c>
      <c r="N5" s="67"/>
      <c r="O5" s="67"/>
      <c r="P5" s="40">
        <v>21.09</v>
      </c>
    </row>
    <row r="6" spans="1:17" ht="24" customHeight="1" thickBot="1" x14ac:dyDescent="0.3">
      <c r="A6" s="77" t="s">
        <v>35</v>
      </c>
      <c r="B6" s="78"/>
      <c r="C6" s="79"/>
      <c r="D6" s="21">
        <f>SUM(D4:D5)</f>
        <v>16827.559999999998</v>
      </c>
      <c r="E6" s="22"/>
      <c r="F6" s="23"/>
      <c r="G6" s="23"/>
      <c r="H6" s="24"/>
      <c r="I6" s="23"/>
      <c r="J6" s="23"/>
      <c r="K6" s="23"/>
      <c r="L6" s="23"/>
    </row>
    <row r="7" spans="1:17" x14ac:dyDescent="0.25">
      <c r="A7" s="25" t="s">
        <v>12</v>
      </c>
      <c r="B7" s="27" t="s">
        <v>41</v>
      </c>
      <c r="C7" s="27" t="s">
        <v>37</v>
      </c>
      <c r="D7" s="27">
        <v>8135.28</v>
      </c>
      <c r="E7" s="28">
        <v>1957741.51</v>
      </c>
      <c r="F7" s="27" t="s">
        <v>0</v>
      </c>
      <c r="G7" s="41" t="s">
        <v>13</v>
      </c>
      <c r="H7" s="30">
        <v>46291</v>
      </c>
      <c r="I7" s="27" t="s">
        <v>14</v>
      </c>
      <c r="J7" s="27" t="s">
        <v>15</v>
      </c>
      <c r="K7" s="27" t="s">
        <v>16</v>
      </c>
      <c r="L7" s="27" t="s">
        <v>16</v>
      </c>
      <c r="M7" s="31" t="s">
        <v>55</v>
      </c>
      <c r="N7" s="42"/>
      <c r="O7" s="42"/>
      <c r="P7" s="32">
        <v>26.09</v>
      </c>
      <c r="Q7">
        <v>1</v>
      </c>
    </row>
    <row r="8" spans="1:17" x14ac:dyDescent="0.25">
      <c r="A8" s="43" t="s">
        <v>66</v>
      </c>
      <c r="B8" s="7" t="s">
        <v>57</v>
      </c>
      <c r="C8" s="7" t="s">
        <v>37</v>
      </c>
      <c r="D8" s="7">
        <v>917.64</v>
      </c>
      <c r="E8" s="8"/>
      <c r="F8" s="7"/>
      <c r="G8" s="7" t="s">
        <v>58</v>
      </c>
      <c r="H8" s="9"/>
      <c r="I8" s="7"/>
      <c r="J8" s="7"/>
      <c r="K8" s="7"/>
      <c r="L8" s="7"/>
      <c r="M8" s="10" t="s">
        <v>56</v>
      </c>
      <c r="P8" s="44">
        <v>26.09</v>
      </c>
    </row>
    <row r="9" spans="1:17" ht="15.75" thickBot="1" x14ac:dyDescent="0.3">
      <c r="A9" s="33" t="s">
        <v>31</v>
      </c>
      <c r="B9" s="35" t="s">
        <v>50</v>
      </c>
      <c r="C9" s="35" t="s">
        <v>37</v>
      </c>
      <c r="D9" s="35">
        <v>8643.5400000000009</v>
      </c>
      <c r="E9" s="36">
        <v>2186079.06</v>
      </c>
      <c r="F9" s="35" t="s">
        <v>0</v>
      </c>
      <c r="G9" s="45" t="s">
        <v>13</v>
      </c>
      <c r="H9" s="38">
        <v>46291</v>
      </c>
      <c r="I9" s="35" t="s">
        <v>14</v>
      </c>
      <c r="J9" s="35" t="s">
        <v>15</v>
      </c>
      <c r="K9" s="35" t="s">
        <v>16</v>
      </c>
      <c r="L9" s="35" t="s">
        <v>16</v>
      </c>
      <c r="M9" s="39" t="s">
        <v>37</v>
      </c>
      <c r="N9" s="46"/>
      <c r="O9" s="46"/>
      <c r="P9" s="40">
        <v>26.09</v>
      </c>
    </row>
    <row r="10" spans="1:17" s="65" customFormat="1" x14ac:dyDescent="0.25">
      <c r="A10" s="60" t="s">
        <v>76</v>
      </c>
      <c r="B10" s="60"/>
      <c r="C10" s="61" t="s">
        <v>37</v>
      </c>
      <c r="D10" s="62">
        <v>960</v>
      </c>
      <c r="E10" s="63"/>
      <c r="F10" s="62"/>
      <c r="G10" s="62"/>
      <c r="H10" s="64"/>
      <c r="I10" s="62"/>
      <c r="J10" s="62"/>
      <c r="K10" s="62"/>
      <c r="L10" s="62"/>
      <c r="M10" s="60"/>
    </row>
    <row r="11" spans="1:17" ht="24" customHeight="1" thickBot="1" x14ac:dyDescent="0.3">
      <c r="A11" s="71" t="s">
        <v>35</v>
      </c>
      <c r="B11" s="72"/>
      <c r="C11" s="73"/>
      <c r="D11" s="47">
        <f>SUM(D7:D10)</f>
        <v>18656.46</v>
      </c>
      <c r="E11" s="22"/>
      <c r="F11" s="23"/>
      <c r="G11" s="23"/>
      <c r="H11" s="24"/>
      <c r="I11" s="23"/>
      <c r="J11" s="23"/>
      <c r="K11" s="23"/>
      <c r="L11" s="23"/>
    </row>
    <row r="12" spans="1:17" x14ac:dyDescent="0.25">
      <c r="A12" s="25" t="s">
        <v>17</v>
      </c>
      <c r="B12" s="27" t="s">
        <v>42</v>
      </c>
      <c r="C12" s="27" t="s">
        <v>39</v>
      </c>
      <c r="D12" s="27">
        <v>2218.1999999999998</v>
      </c>
      <c r="E12" s="28">
        <v>524159.06</v>
      </c>
      <c r="F12" s="27" t="s">
        <v>0</v>
      </c>
      <c r="G12" s="41" t="s">
        <v>13</v>
      </c>
      <c r="H12" s="30">
        <v>46291</v>
      </c>
      <c r="I12" s="27" t="s">
        <v>18</v>
      </c>
      <c r="J12" s="27" t="s">
        <v>15</v>
      </c>
      <c r="K12" s="27" t="s">
        <v>16</v>
      </c>
      <c r="L12" s="27" t="s">
        <v>16</v>
      </c>
      <c r="M12" s="31" t="s">
        <v>59</v>
      </c>
      <c r="N12" s="42"/>
      <c r="O12" s="68" t="s">
        <v>65</v>
      </c>
      <c r="P12" s="32">
        <v>26.09</v>
      </c>
      <c r="Q12">
        <v>2</v>
      </c>
    </row>
    <row r="13" spans="1:17" x14ac:dyDescent="0.25">
      <c r="A13" s="48" t="s">
        <v>30</v>
      </c>
      <c r="B13" s="3" t="s">
        <v>49</v>
      </c>
      <c r="C13" s="3" t="s">
        <v>39</v>
      </c>
      <c r="D13" s="3">
        <v>10534.85</v>
      </c>
      <c r="E13" s="4">
        <v>2469301.84</v>
      </c>
      <c r="F13" s="3" t="s">
        <v>0</v>
      </c>
      <c r="G13" s="5" t="s">
        <v>13</v>
      </c>
      <c r="H13" s="6">
        <v>46291</v>
      </c>
      <c r="I13" s="3" t="s">
        <v>18</v>
      </c>
      <c r="J13" s="3" t="s">
        <v>15</v>
      </c>
      <c r="K13" s="3" t="s">
        <v>16</v>
      </c>
      <c r="L13" s="3" t="s">
        <v>16</v>
      </c>
      <c r="M13" s="2" t="s">
        <v>39</v>
      </c>
      <c r="O13" s="69"/>
      <c r="P13" s="44">
        <v>26.09</v>
      </c>
    </row>
    <row r="14" spans="1:17" x14ac:dyDescent="0.25">
      <c r="A14" s="43" t="s">
        <v>63</v>
      </c>
      <c r="B14" s="3" t="s">
        <v>61</v>
      </c>
      <c r="C14" s="3" t="s">
        <v>69</v>
      </c>
      <c r="D14" s="3">
        <v>920.1</v>
      </c>
      <c r="E14" s="4"/>
      <c r="F14" s="3"/>
      <c r="G14" s="5"/>
      <c r="H14" s="6"/>
      <c r="I14" s="3"/>
      <c r="J14" s="3"/>
      <c r="K14" s="3"/>
      <c r="L14" s="3"/>
      <c r="M14" s="50" t="s">
        <v>62</v>
      </c>
      <c r="O14" s="69"/>
      <c r="P14" s="44">
        <v>26.09</v>
      </c>
    </row>
    <row r="15" spans="1:17" ht="15.75" thickBot="1" x14ac:dyDescent="0.3">
      <c r="A15" s="49" t="s">
        <v>63</v>
      </c>
      <c r="B15" s="35" t="s">
        <v>64</v>
      </c>
      <c r="C15" s="35" t="s">
        <v>69</v>
      </c>
      <c r="D15" s="35">
        <v>3755.04</v>
      </c>
      <c r="E15" s="36"/>
      <c r="F15" s="35"/>
      <c r="G15" s="45"/>
      <c r="H15" s="38"/>
      <c r="I15" s="35"/>
      <c r="J15" s="35"/>
      <c r="K15" s="35"/>
      <c r="L15" s="35"/>
      <c r="M15" s="51" t="s">
        <v>60</v>
      </c>
      <c r="N15" s="46"/>
      <c r="O15" s="70"/>
      <c r="P15" s="40">
        <v>27.09</v>
      </c>
    </row>
    <row r="16" spans="1:17" s="65" customFormat="1" x14ac:dyDescent="0.25">
      <c r="A16" s="60" t="s">
        <v>76</v>
      </c>
      <c r="B16" s="60"/>
      <c r="C16" s="61" t="s">
        <v>39</v>
      </c>
      <c r="D16" s="62">
        <v>810</v>
      </c>
      <c r="E16" s="63"/>
      <c r="F16" s="62"/>
      <c r="G16" s="62"/>
      <c r="H16" s="64"/>
      <c r="I16" s="62"/>
      <c r="J16" s="62"/>
      <c r="K16" s="62"/>
      <c r="L16" s="62"/>
      <c r="M16" s="60"/>
    </row>
    <row r="17" spans="1:17" ht="24" customHeight="1" thickBot="1" x14ac:dyDescent="0.3">
      <c r="A17" s="71" t="s">
        <v>35</v>
      </c>
      <c r="B17" s="72"/>
      <c r="C17" s="73"/>
      <c r="D17" s="47">
        <f>SUM(D12:D16)</f>
        <v>18238.189999999999</v>
      </c>
      <c r="E17" s="22"/>
      <c r="F17" s="23"/>
      <c r="G17" s="23"/>
      <c r="H17" s="24"/>
      <c r="I17" s="23"/>
      <c r="J17" s="23"/>
      <c r="K17" s="23"/>
      <c r="L17" s="23"/>
    </row>
    <row r="18" spans="1:17" ht="15.75" thickBot="1" x14ac:dyDescent="0.3">
      <c r="A18" s="13" t="s">
        <v>24</v>
      </c>
      <c r="B18" s="15" t="s">
        <v>44</v>
      </c>
      <c r="C18" s="15" t="s">
        <v>39</v>
      </c>
      <c r="D18" s="15">
        <v>17596.78</v>
      </c>
      <c r="E18" s="16">
        <v>3874349.11</v>
      </c>
      <c r="F18" s="15" t="s">
        <v>0</v>
      </c>
      <c r="G18" s="52" t="s">
        <v>13</v>
      </c>
      <c r="H18" s="18">
        <v>46292</v>
      </c>
      <c r="I18" s="15" t="s">
        <v>25</v>
      </c>
      <c r="J18" s="15" t="s">
        <v>15</v>
      </c>
      <c r="K18" s="15" t="s">
        <v>16</v>
      </c>
      <c r="L18" s="15" t="s">
        <v>16</v>
      </c>
      <c r="M18" s="53" t="s">
        <v>39</v>
      </c>
      <c r="N18" s="19"/>
      <c r="O18" s="19"/>
      <c r="P18" s="20">
        <v>27.09</v>
      </c>
      <c r="Q18" s="59">
        <v>3</v>
      </c>
    </row>
    <row r="19" spans="1:17" ht="24" customHeight="1" thickBot="1" x14ac:dyDescent="0.3">
      <c r="A19" s="71" t="s">
        <v>35</v>
      </c>
      <c r="B19" s="72"/>
      <c r="C19" s="73"/>
      <c r="D19" s="47">
        <f>SUM(D18)</f>
        <v>17596.78</v>
      </c>
      <c r="E19" s="22"/>
      <c r="F19" s="23"/>
      <c r="G19" s="23"/>
      <c r="H19" s="24"/>
      <c r="I19" s="23"/>
      <c r="J19" s="23"/>
      <c r="K19" s="23"/>
      <c r="L19" s="23"/>
    </row>
    <row r="20" spans="1:17" x14ac:dyDescent="0.25">
      <c r="A20" s="25" t="s">
        <v>26</v>
      </c>
      <c r="B20" s="27" t="s">
        <v>45</v>
      </c>
      <c r="C20" s="27" t="s">
        <v>46</v>
      </c>
      <c r="D20" s="27">
        <v>13916.16</v>
      </c>
      <c r="E20" s="28">
        <v>3131303.19</v>
      </c>
      <c r="F20" s="27" t="s">
        <v>27</v>
      </c>
      <c r="G20" s="41" t="s">
        <v>28</v>
      </c>
      <c r="H20" s="30">
        <v>46292</v>
      </c>
      <c r="I20" s="27" t="s">
        <v>14</v>
      </c>
      <c r="J20" s="27" t="s">
        <v>15</v>
      </c>
      <c r="K20" s="27" t="s">
        <v>16</v>
      </c>
      <c r="L20" s="27" t="s">
        <v>16</v>
      </c>
      <c r="M20" s="31" t="s">
        <v>46</v>
      </c>
      <c r="N20" s="42"/>
      <c r="O20" s="42"/>
      <c r="P20" s="32">
        <v>27.09</v>
      </c>
      <c r="Q20">
        <v>4</v>
      </c>
    </row>
    <row r="21" spans="1:17" ht="15.75" thickBot="1" x14ac:dyDescent="0.3">
      <c r="A21" s="33" t="s">
        <v>33</v>
      </c>
      <c r="B21" s="35" t="s">
        <v>51</v>
      </c>
      <c r="C21" s="35" t="s">
        <v>52</v>
      </c>
      <c r="D21" s="35">
        <v>3931.3</v>
      </c>
      <c r="E21" s="36">
        <v>984233.1</v>
      </c>
      <c r="F21" s="35" t="s">
        <v>27</v>
      </c>
      <c r="G21" s="45" t="s">
        <v>28</v>
      </c>
      <c r="H21" s="38">
        <v>46292</v>
      </c>
      <c r="I21" s="35" t="s">
        <v>14</v>
      </c>
      <c r="J21" s="35" t="s">
        <v>15</v>
      </c>
      <c r="K21" s="35" t="s">
        <v>16</v>
      </c>
      <c r="L21" s="35" t="s">
        <v>16</v>
      </c>
      <c r="M21" s="39" t="s">
        <v>52</v>
      </c>
      <c r="N21" s="46"/>
      <c r="O21" s="46"/>
      <c r="P21" s="40">
        <v>27.09</v>
      </c>
    </row>
    <row r="22" spans="1:17" ht="24" customHeight="1" thickBot="1" x14ac:dyDescent="0.3">
      <c r="A22" s="71" t="s">
        <v>35</v>
      </c>
      <c r="B22" s="72"/>
      <c r="C22" s="73"/>
      <c r="D22" s="47">
        <f>SUM(D20:D21)</f>
        <v>17847.46</v>
      </c>
      <c r="E22" s="22"/>
      <c r="F22" s="23"/>
      <c r="G22" s="23"/>
      <c r="H22" s="24"/>
      <c r="I22" s="23"/>
      <c r="J22" s="23"/>
      <c r="K22" s="23"/>
      <c r="L22" s="23"/>
    </row>
    <row r="23" spans="1:17" x14ac:dyDescent="0.25">
      <c r="A23" s="55" t="s">
        <v>63</v>
      </c>
      <c r="B23" s="27" t="s">
        <v>70</v>
      </c>
      <c r="C23" s="27" t="s">
        <v>69</v>
      </c>
      <c r="D23" s="27">
        <v>2503.7999999999997</v>
      </c>
      <c r="E23" s="28"/>
      <c r="F23" s="27"/>
      <c r="G23" s="41"/>
      <c r="H23" s="30"/>
      <c r="I23" s="27"/>
      <c r="J23" s="27"/>
      <c r="K23" s="27"/>
      <c r="L23" s="27"/>
      <c r="M23" s="56" t="s">
        <v>67</v>
      </c>
      <c r="N23" s="42"/>
      <c r="O23" s="42"/>
      <c r="P23" s="32">
        <v>26.09</v>
      </c>
      <c r="Q23" s="59">
        <v>5</v>
      </c>
    </row>
    <row r="24" spans="1:17" x14ac:dyDescent="0.25">
      <c r="A24" s="43" t="s">
        <v>63</v>
      </c>
      <c r="B24" s="3" t="s">
        <v>71</v>
      </c>
      <c r="C24" s="3" t="s">
        <v>69</v>
      </c>
      <c r="D24" s="3">
        <v>5722.3</v>
      </c>
      <c r="E24" s="4"/>
      <c r="F24" s="3"/>
      <c r="G24" s="5"/>
      <c r="H24" s="6"/>
      <c r="I24" s="3"/>
      <c r="J24" s="3"/>
      <c r="K24" s="3"/>
      <c r="L24" s="3"/>
      <c r="M24" s="57" t="s">
        <v>68</v>
      </c>
      <c r="P24" s="44">
        <v>26.09</v>
      </c>
    </row>
    <row r="25" spans="1:17" ht="15.75" thickBot="1" x14ac:dyDescent="0.3">
      <c r="A25" s="33" t="s">
        <v>19</v>
      </c>
      <c r="B25" s="35" t="s">
        <v>43</v>
      </c>
      <c r="C25" s="35" t="s">
        <v>37</v>
      </c>
      <c r="D25" s="35">
        <v>9399.86</v>
      </c>
      <c r="E25" s="36">
        <v>2341273</v>
      </c>
      <c r="F25" s="35" t="s">
        <v>0</v>
      </c>
      <c r="G25" s="45" t="s">
        <v>13</v>
      </c>
      <c r="H25" s="38">
        <v>46291</v>
      </c>
      <c r="I25" s="35" t="s">
        <v>20</v>
      </c>
      <c r="J25" s="35" t="s">
        <v>15</v>
      </c>
      <c r="K25" s="35" t="s">
        <v>16</v>
      </c>
      <c r="L25" s="35" t="s">
        <v>16</v>
      </c>
      <c r="M25" s="46" t="s">
        <v>37</v>
      </c>
      <c r="N25" s="46"/>
      <c r="O25" s="46"/>
      <c r="P25" s="40">
        <v>26.09</v>
      </c>
    </row>
    <row r="26" spans="1:17" s="65" customFormat="1" x14ac:dyDescent="0.25">
      <c r="A26" s="60" t="s">
        <v>76</v>
      </c>
      <c r="B26" s="60"/>
      <c r="C26" s="61" t="s">
        <v>37</v>
      </c>
      <c r="D26" s="62">
        <v>600</v>
      </c>
      <c r="E26" s="63"/>
      <c r="F26" s="62"/>
      <c r="G26" s="62"/>
      <c r="H26" s="64"/>
      <c r="I26" s="62"/>
      <c r="J26" s="62"/>
      <c r="K26" s="62"/>
      <c r="L26" s="62"/>
      <c r="M26" s="60"/>
    </row>
    <row r="27" spans="1:17" ht="24" customHeight="1" thickBot="1" x14ac:dyDescent="0.3">
      <c r="A27" s="71" t="s">
        <v>35</v>
      </c>
      <c r="B27" s="72"/>
      <c r="C27" s="73"/>
      <c r="D27" s="1">
        <f>SUM(D23:D26)</f>
        <v>18225.96</v>
      </c>
      <c r="E27" s="58"/>
      <c r="F27" s="58"/>
      <c r="G27" s="58"/>
      <c r="H27" s="58"/>
      <c r="I27" s="58"/>
      <c r="J27" s="58"/>
      <c r="K27" s="58"/>
      <c r="L27" s="58"/>
    </row>
    <row r="28" spans="1:17" x14ac:dyDescent="0.25">
      <c r="A28" s="55" t="s">
        <v>72</v>
      </c>
      <c r="B28" s="27" t="s">
        <v>75</v>
      </c>
      <c r="C28" s="27" t="s">
        <v>73</v>
      </c>
      <c r="D28" s="27">
        <v>12165.6</v>
      </c>
      <c r="E28" s="28"/>
      <c r="F28" s="27"/>
      <c r="G28" s="41"/>
      <c r="H28" s="30"/>
      <c r="I28" s="27"/>
      <c r="J28" s="27"/>
      <c r="K28" s="27"/>
      <c r="L28" s="27"/>
      <c r="M28" s="56" t="s">
        <v>74</v>
      </c>
      <c r="N28" s="42"/>
      <c r="O28" s="42"/>
      <c r="P28" s="32">
        <v>27.09</v>
      </c>
      <c r="Q28">
        <v>6</v>
      </c>
    </row>
    <row r="29" spans="1:17" ht="15.75" thickBot="1" x14ac:dyDescent="0.3">
      <c r="A29" s="33" t="s">
        <v>29</v>
      </c>
      <c r="B29" s="35" t="s">
        <v>47</v>
      </c>
      <c r="C29" s="35" t="s">
        <v>48</v>
      </c>
      <c r="D29" s="35">
        <v>5466.94</v>
      </c>
      <c r="E29" s="36">
        <v>1326191.97</v>
      </c>
      <c r="F29" s="35" t="s">
        <v>27</v>
      </c>
      <c r="G29" s="45" t="s">
        <v>28</v>
      </c>
      <c r="H29" s="38">
        <v>46292</v>
      </c>
      <c r="I29" s="35" t="s">
        <v>18</v>
      </c>
      <c r="J29" s="35" t="s">
        <v>15</v>
      </c>
      <c r="K29" s="35" t="s">
        <v>16</v>
      </c>
      <c r="L29" s="35" t="s">
        <v>16</v>
      </c>
      <c r="M29" s="46" t="s">
        <v>48</v>
      </c>
      <c r="N29" s="46"/>
      <c r="O29" s="46"/>
      <c r="P29" s="40">
        <v>27.09</v>
      </c>
    </row>
    <row r="30" spans="1:17" ht="24" customHeight="1" x14ac:dyDescent="0.25">
      <c r="A30" s="74" t="s">
        <v>35</v>
      </c>
      <c r="B30" s="75"/>
      <c r="C30" s="76"/>
      <c r="D30" s="1">
        <f>SUM(D28:D29)</f>
        <v>17632.54</v>
      </c>
      <c r="E30" s="54"/>
      <c r="F30" s="54"/>
      <c r="G30" s="54"/>
      <c r="H30" s="54"/>
      <c r="I30" s="54"/>
      <c r="J30" s="54"/>
      <c r="K30" s="54"/>
      <c r="L30" s="54"/>
    </row>
  </sheetData>
  <mergeCells count="11">
    <mergeCell ref="A3:C3"/>
    <mergeCell ref="A6:C6"/>
    <mergeCell ref="A11:C11"/>
    <mergeCell ref="A17:C17"/>
    <mergeCell ref="A22:C22"/>
    <mergeCell ref="A19:C19"/>
    <mergeCell ref="N4:N5"/>
    <mergeCell ref="O4:O5"/>
    <mergeCell ref="O12:O15"/>
    <mergeCell ref="A27:C27"/>
    <mergeCell ref="A30:C3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Лист2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2026-09-25T08:55:11Z</dcterms:created>
  <dcterms:modified xsi:type="dcterms:W3CDTF">2026-09-26T06:40:11Z</dcterms:modified>
</cp:coreProperties>
</file>