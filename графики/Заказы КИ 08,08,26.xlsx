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DF94B2-ECC8-4C31-B926-F271D029B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ы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4" i="1"/>
  <c r="N12" i="1"/>
  <c r="N10" i="1"/>
  <c r="N9" i="1"/>
  <c r="N7" i="1"/>
  <c r="N5" i="1"/>
  <c r="N4" i="1"/>
  <c r="D11" i="1"/>
  <c r="D16" i="1"/>
  <c r="D13" i="1"/>
</calcChain>
</file>

<file path=xl/sharedStrings.xml><?xml version="1.0" encoding="utf-8"?>
<sst xmlns="http://schemas.openxmlformats.org/spreadsheetml/2006/main" count="129" uniqueCount="40">
  <si>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</si>
  <si>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</si>
  <si>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</si>
  <si>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</si>
  <si>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</si>
  <si>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</si>
  <si>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</si>
  <si>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</si>
  <si>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</si>
  <si>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</si>
  <si>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</si>
  <si>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</si>
  <si>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6288429</t>
  </si>
  <si>
    <t>Нв900</t>
  </si>
  <si>
    <t>НВ, ООО 9001015535</t>
  </si>
  <si>
    <t>Фин.контроль пройден</t>
  </si>
  <si>
    <t>20:00:00</t>
  </si>
  <si>
    <t>Нет</t>
  </si>
  <si>
    <t>Луганск</t>
  </si>
  <si>
    <t>6288432</t>
  </si>
  <si>
    <t>22:00:00</t>
  </si>
  <si>
    <t>6288437</t>
  </si>
  <si>
    <t>Итого:</t>
  </si>
  <si>
    <t>16:00:00</t>
  </si>
  <si>
    <t>Донецк</t>
  </si>
  <si>
    <t>6289154</t>
  </si>
  <si>
    <t>6289250</t>
  </si>
  <si>
    <t>6289252</t>
  </si>
  <si>
    <t>6289280</t>
  </si>
  <si>
    <t>6289289</t>
  </si>
  <si>
    <t>Бердянск</t>
  </si>
  <si>
    <t>Мелитополь</t>
  </si>
  <si>
    <t>Филиалы</t>
  </si>
  <si>
    <t>Горняк-Луганск</t>
  </si>
  <si>
    <t>Горняк-Горловка</t>
  </si>
  <si>
    <t>Луганск(дозаказ)</t>
  </si>
  <si>
    <t>Донецк (1 маш) + ОПТЫ</t>
  </si>
  <si>
    <t>Донецк (2 маш)</t>
  </si>
  <si>
    <t>Луганск(ОПТ)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</si>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</sst>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4">
    <xf numFmtId="0" fontId="0" fillId="0" borderId="0" xfId="0"/>
    <xf numFmtId="0" fontId="19" fillId="0" borderId="10" xfId="42" applyFont="1" applyBorder="1" applyAlignment="1">
      <alignment horizontal="center" vertical="center" wrapText="1"/>
    </xf>
    <xf numFmtId="0" fontId="18" fillId="0" borderId="10" xfId="42" applyBorder="1"/>
    <xf numFmtId="14" fontId="18" fillId="33" borderId="10" xfId="42" applyNumberFormat="1" applyFill="1" applyBorder="1"/>
    <xf numFmtId="14" fontId="18" fillId="0" borderId="10" xfId="42" applyNumberFormat="1" applyBorder="1"/>
    <xf numFmtId="4" fontId="18" fillId="33" borderId="10" xfId="42" applyNumberFormat="1" applyFill="1" applyBorder="1"/>
    <xf numFmtId="4" fontId="18" fillId="0" borderId="10" xfId="42" applyNumberFormat="1" applyBorder="1"/>
    <xf numFmtId="0" fontId="0" fillId="0" borderId="10" xfId="0" applyBorder="1"/>
    <xf numFmtId="0" fontId="18" fillId="33" borderId="10" xfId="42" applyFill="1" applyBorder="1"/>
    <xf numFmtId="0" fontId="16" fillId="0" borderId="10" xfId="0" applyFont="1" applyBorder="1"/>
    <xf numFmtId="0" fontId="19" fillId="0" borderId="10" xfId="42" applyFont="1" applyBorder="1"/>
    <xf numFmtId="0" fontId="0" fillId="33" borderId="0" xfId="0" applyFill="1"/>
    <xf numFmtId="0" fontId="19" fillId="33" borderId="10" xfId="42" applyFont="1" applyFill="1" applyBorder="1"/>
    <xf numFmtId="0" fontId="19" fillId="0" borderId="10" xfId="42" quotePrefix="1" applyFont="1" applyBorder="1" applyAlignment="1">
      <alignment horizontal="center" vertical="center" wrapText="1"/>
    </xf>
    <xf numFmtId="0" fontId="19" fillId="0" borderId="10" xfId="42" applyFont="1" applyBorder="1" applyAlignment="1">
      <alignment horizontal="center"/>
    </xf>
    <xf numFmtId="0" fontId="19" fillId="33" borderId="10" xfId="42" applyFont="1" applyFill="1" applyBorder="1" applyAlignment="1">
      <alignment horizontal="center"/>
    </xf>
    <xf numFmtId="0" fontId="18" fillId="0" borderId="0" xfId="42" applyFill="1" applyBorder="1"/>
    <xf numFmtId="0" fontId="18" fillId="34" borderId="11" xfId="42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Q8" sqref="Q8"/>
    </sheetView>
  </sheetViews>
  <sheetFormatPr defaultRowHeight="15" x14ac:dyDescent="0.25"/>
  <cols>
    <col min="5" max="5" width="11.140625" bestFit="1" customWidth="1"/>
    <col min="8" max="8" width="9.85546875" bestFit="1" customWidth="1"/>
    <col min="13" max="13" width="14" customWidth="1"/>
    <col min="14" max="14" width="22.7109375" customWidth="1"/>
    <col min="15" max="15" width="16.28515625" customWidth="1"/>
  </cols>
  <sheetData>
    <row r="1" spans="1:17" ht="60" x14ac:dyDescent="0.25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32</v>
      </c>
    </row>
    <row r="2" spans="1:17" x14ac:dyDescent="0.25">
      <c r="A2" s="2" t="s">
        <v>12</v>
      </c>
      <c r="B2" s="2" t="s">
        <v>13</v>
      </c>
      <c r="C2" s="2" t="s">
        <v>14</v>
      </c>
      <c r="D2" s="2">
        <v>373.44</v>
      </c>
      <c r="E2" s="6">
        <v>42990.86</v>
      </c>
      <c r="F2" s="2" t="s">
        <v>0</v>
      </c>
      <c r="G2" s="2" t="s">
        <v>15</v>
      </c>
      <c r="H2" s="4">
        <v>46242</v>
      </c>
      <c r="I2" s="2" t="s">
        <v>16</v>
      </c>
      <c r="J2" s="2" t="s">
        <v>17</v>
      </c>
      <c r="K2" s="2" t="s">
        <v>17</v>
      </c>
      <c r="L2" s="2" t="s">
        <v>17</v>
      </c>
      <c r="M2" s="2" t="s">
        <v>18</v>
      </c>
      <c r="N2" s="17" t="s">
        <v>38</v>
      </c>
      <c r="O2" s="16" t="s">
        <v>34</v>
      </c>
    </row>
    <row r="3" spans="1:17" x14ac:dyDescent="0.25">
      <c r="A3" s="2" t="s">
        <v>19</v>
      </c>
      <c r="B3" s="2" t="s">
        <v>13</v>
      </c>
      <c r="C3" s="2" t="s">
        <v>14</v>
      </c>
      <c r="D3" s="2">
        <v>9218.92</v>
      </c>
      <c r="E3" s="6">
        <v>1109261.32</v>
      </c>
      <c r="F3" s="2" t="s">
        <v>0</v>
      </c>
      <c r="G3" s="2" t="s">
        <v>15</v>
      </c>
      <c r="H3" s="4">
        <v>46242</v>
      </c>
      <c r="I3" s="2" t="s">
        <v>20</v>
      </c>
      <c r="J3" s="2" t="s">
        <v>17</v>
      </c>
      <c r="K3" s="2" t="s">
        <v>17</v>
      </c>
      <c r="L3" s="2" t="s">
        <v>17</v>
      </c>
      <c r="M3" s="2" t="s">
        <v>18</v>
      </c>
      <c r="N3" s="17" t="s">
        <v>38</v>
      </c>
      <c r="O3" s="16" t="s">
        <v>33</v>
      </c>
    </row>
    <row r="4" spans="1:17" x14ac:dyDescent="0.25">
      <c r="A4" s="2" t="s">
        <v>21</v>
      </c>
      <c r="B4" s="2" t="s">
        <v>13</v>
      </c>
      <c r="C4" s="2" t="s">
        <v>14</v>
      </c>
      <c r="D4" s="2">
        <v>5323.67</v>
      </c>
      <c r="E4" s="6">
        <v>728782.72</v>
      </c>
      <c r="F4" s="2" t="s">
        <v>0</v>
      </c>
      <c r="G4" s="2" t="s">
        <v>15</v>
      </c>
      <c r="H4" s="4">
        <v>46242</v>
      </c>
      <c r="I4" s="2" t="s">
        <v>20</v>
      </c>
      <c r="J4" s="2" t="s">
        <v>17</v>
      </c>
      <c r="K4" s="2" t="s">
        <v>17</v>
      </c>
      <c r="L4" s="2" t="s">
        <v>17</v>
      </c>
      <c r="M4" s="2" t="s">
        <v>18</v>
      </c>
      <c r="N4" s="18" t="str">
        <f>O4</f>
        <v>Луганск</v>
      </c>
      <c r="O4" s="16" t="s">
        <v>18</v>
      </c>
    </row>
    <row r="5" spans="1:17" x14ac:dyDescent="0.25">
      <c r="A5" s="2">
        <v>6289425</v>
      </c>
      <c r="B5" s="2" t="s">
        <v>13</v>
      </c>
      <c r="C5" s="2" t="s">
        <v>14</v>
      </c>
      <c r="D5" s="2">
        <v>3005.04</v>
      </c>
      <c r="E5" s="6">
        <v>401853.29</v>
      </c>
      <c r="F5" s="2" t="s">
        <v>0</v>
      </c>
      <c r="G5" s="2" t="s">
        <v>15</v>
      </c>
      <c r="H5" s="4">
        <v>46242</v>
      </c>
      <c r="I5" s="2" t="s">
        <v>16</v>
      </c>
      <c r="J5" s="2" t="s">
        <v>17</v>
      </c>
      <c r="K5" s="2" t="s">
        <v>17</v>
      </c>
      <c r="L5" s="2" t="s">
        <v>17</v>
      </c>
      <c r="M5" s="2" t="s">
        <v>18</v>
      </c>
      <c r="N5" s="18" t="str">
        <f>O5</f>
        <v>Луганск(дозаказ)</v>
      </c>
      <c r="O5" s="16" t="s">
        <v>35</v>
      </c>
    </row>
    <row r="6" spans="1:17" x14ac:dyDescent="0.25">
      <c r="A6" s="14" t="s">
        <v>22</v>
      </c>
      <c r="B6" s="14"/>
      <c r="C6" s="14"/>
      <c r="D6" s="10">
        <v>17921.07</v>
      </c>
      <c r="E6" s="6"/>
      <c r="F6" s="2"/>
      <c r="G6" s="2"/>
      <c r="H6" s="4"/>
      <c r="I6" s="2"/>
      <c r="J6" s="2"/>
      <c r="K6" s="2"/>
      <c r="L6" s="2"/>
      <c r="M6" s="2"/>
    </row>
    <row r="7" spans="1:17" x14ac:dyDescent="0.25">
      <c r="A7" s="2">
        <v>6288440</v>
      </c>
      <c r="B7" s="2" t="s">
        <v>13</v>
      </c>
      <c r="C7" s="2" t="s">
        <v>14</v>
      </c>
      <c r="D7" s="2">
        <v>17127.580000000002</v>
      </c>
      <c r="E7" s="6">
        <v>2228725.9300000002</v>
      </c>
      <c r="F7" s="2" t="s">
        <v>0</v>
      </c>
      <c r="G7" s="2" t="s">
        <v>15</v>
      </c>
      <c r="H7" s="4">
        <v>46243</v>
      </c>
      <c r="I7" s="2" t="s">
        <v>23</v>
      </c>
      <c r="J7" s="2" t="s">
        <v>17</v>
      </c>
      <c r="K7" s="2" t="s">
        <v>17</v>
      </c>
      <c r="L7" s="2" t="s">
        <v>17</v>
      </c>
      <c r="M7" s="2" t="s">
        <v>24</v>
      </c>
      <c r="N7" s="19" t="str">
        <f>O7</f>
        <v>Донецк</v>
      </c>
      <c r="O7" s="16" t="s">
        <v>24</v>
      </c>
      <c r="P7">
        <v>550</v>
      </c>
      <c r="Q7" s="16" t="s">
        <v>39</v>
      </c>
    </row>
    <row r="8" spans="1:17" x14ac:dyDescent="0.25">
      <c r="A8" s="14" t="s">
        <v>22</v>
      </c>
      <c r="B8" s="14"/>
      <c r="C8" s="14"/>
      <c r="D8" s="10">
        <v>17127.580000000002</v>
      </c>
      <c r="E8" s="6"/>
      <c r="F8" s="2"/>
      <c r="G8" s="2"/>
      <c r="H8" s="4"/>
      <c r="I8" s="2"/>
      <c r="J8" s="2"/>
      <c r="K8" s="2"/>
      <c r="L8" s="2"/>
      <c r="M8" s="2"/>
    </row>
    <row r="9" spans="1:17" s="11" customFormat="1" x14ac:dyDescent="0.25">
      <c r="A9" s="8" t="s">
        <v>25</v>
      </c>
      <c r="B9" s="8" t="s">
        <v>13</v>
      </c>
      <c r="C9" s="8" t="s">
        <v>14</v>
      </c>
      <c r="D9" s="8">
        <v>8996.2800000000007</v>
      </c>
      <c r="E9" s="5">
        <v>1120603.6399999999</v>
      </c>
      <c r="F9" s="8" t="s">
        <v>0</v>
      </c>
      <c r="G9" s="8" t="s">
        <v>15</v>
      </c>
      <c r="H9" s="3">
        <v>46244</v>
      </c>
      <c r="I9" s="8" t="s">
        <v>23</v>
      </c>
      <c r="J9" s="8" t="s">
        <v>17</v>
      </c>
      <c r="K9" s="8" t="s">
        <v>17</v>
      </c>
      <c r="L9" s="8" t="s">
        <v>17</v>
      </c>
      <c r="M9" s="8" t="s">
        <v>24</v>
      </c>
      <c r="N9" s="20" t="str">
        <f t="shared" ref="N9:N15" si="0">O9</f>
        <v>Донецк (1 маш) + ОПТЫ</v>
      </c>
      <c r="O9" s="11" t="s">
        <v>36</v>
      </c>
    </row>
    <row r="10" spans="1:17" s="11" customFormat="1" x14ac:dyDescent="0.25">
      <c r="A10" s="8" t="s">
        <v>26</v>
      </c>
      <c r="B10" s="8" t="s">
        <v>13</v>
      </c>
      <c r="C10" s="8" t="s">
        <v>14</v>
      </c>
      <c r="D10" s="8">
        <v>16864.28</v>
      </c>
      <c r="E10" s="5">
        <v>2132630.79</v>
      </c>
      <c r="F10" s="8" t="s">
        <v>0</v>
      </c>
      <c r="G10" s="8" t="s">
        <v>15</v>
      </c>
      <c r="H10" s="3">
        <v>46244</v>
      </c>
      <c r="I10" s="8" t="s">
        <v>23</v>
      </c>
      <c r="J10" s="8" t="s">
        <v>17</v>
      </c>
      <c r="K10" s="8" t="s">
        <v>17</v>
      </c>
      <c r="L10" s="8" t="s">
        <v>17</v>
      </c>
      <c r="M10" s="8" t="s">
        <v>24</v>
      </c>
      <c r="N10" s="21" t="str">
        <f t="shared" si="0"/>
        <v>Донецк (2 маш)</v>
      </c>
      <c r="O10" s="11" t="s">
        <v>37</v>
      </c>
    </row>
    <row r="11" spans="1:17" s="11" customFormat="1" x14ac:dyDescent="0.25">
      <c r="A11" s="15" t="s">
        <v>22</v>
      </c>
      <c r="B11" s="15"/>
      <c r="C11" s="15"/>
      <c r="D11" s="12">
        <f>SUM(D9:D10)</f>
        <v>25860.559999999998</v>
      </c>
      <c r="E11" s="5"/>
      <c r="F11" s="8"/>
      <c r="G11" s="8"/>
      <c r="H11" s="3"/>
      <c r="I11" s="8"/>
      <c r="J11" s="8"/>
      <c r="K11" s="8"/>
      <c r="L11" s="8"/>
      <c r="M11" s="8"/>
    </row>
    <row r="12" spans="1:17" x14ac:dyDescent="0.25">
      <c r="A12" s="2" t="s">
        <v>28</v>
      </c>
      <c r="B12" s="2" t="s">
        <v>13</v>
      </c>
      <c r="C12" s="2" t="s">
        <v>14</v>
      </c>
      <c r="D12" s="2">
        <v>16702.310000000001</v>
      </c>
      <c r="E12" s="6">
        <v>2233818.96</v>
      </c>
      <c r="F12" s="2" t="s">
        <v>0</v>
      </c>
      <c r="G12" s="2" t="s">
        <v>15</v>
      </c>
      <c r="H12" s="4">
        <v>46245</v>
      </c>
      <c r="I12" s="2" t="s">
        <v>23</v>
      </c>
      <c r="J12" s="2" t="s">
        <v>17</v>
      </c>
      <c r="K12" s="2" t="s">
        <v>17</v>
      </c>
      <c r="L12" s="2" t="s">
        <v>17</v>
      </c>
      <c r="M12" s="2" t="s">
        <v>18</v>
      </c>
      <c r="N12" s="22" t="str">
        <f t="shared" si="0"/>
        <v>Луганск</v>
      </c>
      <c r="O12" t="s">
        <v>18</v>
      </c>
    </row>
    <row r="13" spans="1:17" x14ac:dyDescent="0.25">
      <c r="A13" s="14" t="s">
        <v>22</v>
      </c>
      <c r="B13" s="14"/>
      <c r="C13" s="14"/>
      <c r="D13" s="10">
        <f>SUM(D12)</f>
        <v>16702.310000000001</v>
      </c>
      <c r="E13" s="6"/>
      <c r="F13" s="2"/>
      <c r="G13" s="2"/>
      <c r="H13" s="4"/>
      <c r="I13" s="2"/>
      <c r="J13" s="2"/>
      <c r="K13" s="2"/>
      <c r="L13" s="2"/>
      <c r="M13" s="2"/>
    </row>
    <row r="14" spans="1:17" x14ac:dyDescent="0.25">
      <c r="A14" s="2" t="s">
        <v>29</v>
      </c>
      <c r="B14" s="2" t="s">
        <v>13</v>
      </c>
      <c r="C14" s="2" t="s">
        <v>14</v>
      </c>
      <c r="D14" s="2">
        <v>9667.34</v>
      </c>
      <c r="E14" s="6">
        <v>1266289.99</v>
      </c>
      <c r="F14" s="2" t="s">
        <v>0</v>
      </c>
      <c r="G14" s="2" t="s">
        <v>15</v>
      </c>
      <c r="H14" s="4">
        <v>46245</v>
      </c>
      <c r="I14" s="2" t="s">
        <v>23</v>
      </c>
      <c r="J14" s="2" t="s">
        <v>17</v>
      </c>
      <c r="K14" s="2" t="s">
        <v>17</v>
      </c>
      <c r="L14" s="2" t="s">
        <v>17</v>
      </c>
      <c r="M14" s="2" t="s">
        <v>31</v>
      </c>
      <c r="N14" s="23" t="str">
        <f t="shared" si="0"/>
        <v>Мелитополь</v>
      </c>
      <c r="O14" t="s">
        <v>31</v>
      </c>
    </row>
    <row r="15" spans="1:17" x14ac:dyDescent="0.25">
      <c r="A15" s="2" t="s">
        <v>27</v>
      </c>
      <c r="B15" s="2" t="s">
        <v>13</v>
      </c>
      <c r="C15" s="2" t="s">
        <v>14</v>
      </c>
      <c r="D15" s="2">
        <v>6694.68</v>
      </c>
      <c r="E15" s="6">
        <v>857856.15</v>
      </c>
      <c r="F15" s="2" t="s">
        <v>0</v>
      </c>
      <c r="G15" s="2" t="s">
        <v>15</v>
      </c>
      <c r="H15" s="4">
        <v>46245</v>
      </c>
      <c r="I15" s="2" t="s">
        <v>23</v>
      </c>
      <c r="J15" s="2" t="s">
        <v>17</v>
      </c>
      <c r="K15" s="2" t="s">
        <v>17</v>
      </c>
      <c r="L15" s="2" t="s">
        <v>17</v>
      </c>
      <c r="M15" s="2" t="s">
        <v>30</v>
      </c>
      <c r="N15" s="23" t="str">
        <f t="shared" si="0"/>
        <v>Бердянск</v>
      </c>
      <c r="O15" t="s">
        <v>30</v>
      </c>
    </row>
    <row r="16" spans="1:17" x14ac:dyDescent="0.25">
      <c r="A16" s="14" t="s">
        <v>22</v>
      </c>
      <c r="B16" s="14"/>
      <c r="C16" s="14"/>
      <c r="D16" s="9">
        <f>SUM(D14:D15)</f>
        <v>16362.02</v>
      </c>
      <c r="E16" s="7"/>
      <c r="F16" s="7"/>
      <c r="G16" s="7"/>
      <c r="H16" s="7"/>
      <c r="I16" s="7"/>
      <c r="J16" s="7"/>
      <c r="K16" s="7"/>
      <c r="L16" s="7"/>
      <c r="M16" s="7"/>
    </row>
  </sheetData>
  <mergeCells count="5">
    <mergeCell ref="A8:C8"/>
    <mergeCell ref="A6:C6"/>
    <mergeCell ref="A13:C13"/>
    <mergeCell ref="A16:C16"/>
    <mergeCell ref="A11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Заказы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2026-08-08T09:32:55Z</dcterms:created>
  <dcterms:modified xsi:type="dcterms:W3CDTF">2026-08-08T10:00:19Z</dcterms:modified>
</cp:coreProperties>
</file>