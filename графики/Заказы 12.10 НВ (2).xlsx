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графики\"/>
    </mc:Choice>
  </mc:AlternateContent>
  <xr:revisionPtr revIDLastSave="0" documentId="13_ncr:1_{506AC360-D68A-4BEC-8382-5FAC4AA384F7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ЗПФ" sheetId="4" r:id="rId1"/>
    <sheet name="КИ" sheetId="5" r:id="rId2"/>
  </sheets>
  <definedNames>
    <definedName name="_xlnm._FilterDatabase" localSheetId="1" hidden="1">КИ!$A$1:$L$1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0" i="5" l="1"/>
  <c r="D16" i="5"/>
  <c r="D11" i="5"/>
  <c r="D9" i="5"/>
  <c r="D7" i="5"/>
  <c r="D5" i="5"/>
  <c r="D11" i="4" l="1"/>
  <c r="D9" i="4"/>
  <c r="D3" i="4"/>
  <c r="D7" i="4"/>
  <c r="E11" i="4"/>
  <c r="E9" i="4"/>
  <c r="E3" i="4"/>
  <c r="E7" i="4"/>
</calcChain>
</file>

<file path=xl/sharedStrings.xml><?xml version="1.0" encoding="utf-8"?>
<sst xmlns="http://schemas.openxmlformats.org/spreadsheetml/2006/main" count="215" uniqueCount="78">
  <si>
    <t>Заказ</t>
  </si>
  <si>
    <t>"Счет на" в заказе</t>
  </si>
  <si>
    <t>Краткое наименование</t>
  </si>
  <si>
    <t>Вес нетто</t>
  </si>
  <si>
    <t>Сумма заказа</t>
  </si>
  <si>
    <t>Тип заказа</t>
  </si>
  <si>
    <t>Статус</t>
  </si>
  <si>
    <t>Дата поставки</t>
  </si>
  <si>
    <t>Время огрузки</t>
  </si>
  <si>
    <t>Блокировано по КЛ</t>
  </si>
  <si>
    <t>Блокировано по УПДЗ</t>
  </si>
  <si>
    <t>Блокировано по предоплате</t>
  </si>
  <si>
    <t>Блокировано</t>
  </si>
  <si>
    <t>10:00:00</t>
  </si>
  <si>
    <t>Да</t>
  </si>
  <si>
    <t>Нет</t>
  </si>
  <si>
    <t>Предложение</t>
  </si>
  <si>
    <t>Открыто</t>
  </si>
  <si>
    <t>16:00:00</t>
  </si>
  <si>
    <t>TSO001134687</t>
  </si>
  <si>
    <t>НВТрояны</t>
  </si>
  <si>
    <t>TSO001134685</t>
  </si>
  <si>
    <t>НВМелСемен</t>
  </si>
  <si>
    <t>TSO001134743</t>
  </si>
  <si>
    <t>НВДонецЧаа</t>
  </si>
  <si>
    <t>TSO001134688</t>
  </si>
  <si>
    <t>НВМарКупр</t>
  </si>
  <si>
    <t>TSO001134739</t>
  </si>
  <si>
    <t>НВЛугРабоч</t>
  </si>
  <si>
    <t>TSO001134708</t>
  </si>
  <si>
    <t>TSO001134777</t>
  </si>
  <si>
    <t>TSO001134782</t>
  </si>
  <si>
    <t>TSO001134779</t>
  </si>
  <si>
    <t>TSO001134746</t>
  </si>
  <si>
    <t>TSO001134776</t>
  </si>
  <si>
    <t>TSO001134750</t>
  </si>
  <si>
    <t>Фин.контроль пройден</t>
  </si>
  <si>
    <t>00:10:00</t>
  </si>
  <si>
    <t>6333599</t>
  </si>
  <si>
    <t>6333995</t>
  </si>
  <si>
    <t>6333996</t>
  </si>
  <si>
    <t>6333997</t>
  </si>
  <si>
    <t>20:00:00</t>
  </si>
  <si>
    <t>6334008</t>
  </si>
  <si>
    <t>6334009</t>
  </si>
  <si>
    <t>6334011</t>
  </si>
  <si>
    <t>6334013</t>
  </si>
  <si>
    <t>6334016</t>
  </si>
  <si>
    <t>6334017</t>
  </si>
  <si>
    <t>6334142</t>
  </si>
  <si>
    <t>6334143</t>
  </si>
  <si>
    <t>6334145</t>
  </si>
  <si>
    <t>6334147</t>
  </si>
  <si>
    <t>6334148</t>
  </si>
  <si>
    <t>6334236</t>
  </si>
  <si>
    <t>Итог:</t>
  </si>
  <si>
    <t>6334075</t>
  </si>
  <si>
    <t>TSO001137206</t>
  </si>
  <si>
    <t>TSO001137207</t>
  </si>
  <si>
    <t>TSO001137219</t>
  </si>
  <si>
    <t>TSO001137218</t>
  </si>
  <si>
    <t>TSO001137208</t>
  </si>
  <si>
    <t>31 паллет</t>
  </si>
  <si>
    <t>догруз</t>
  </si>
  <si>
    <t>30 паллет</t>
  </si>
  <si>
    <t>КСК</t>
  </si>
  <si>
    <t>TSO001137235</t>
  </si>
  <si>
    <t>ОПТ</t>
  </si>
  <si>
    <t>ЛП</t>
  </si>
  <si>
    <t>TSO001137220</t>
  </si>
  <si>
    <t>12,10,26</t>
  </si>
  <si>
    <t>Бердянск</t>
  </si>
  <si>
    <t>Мариуполь</t>
  </si>
  <si>
    <t>Мелитополь</t>
  </si>
  <si>
    <t>Донецк</t>
  </si>
  <si>
    <t>13,10,26</t>
  </si>
  <si>
    <t>Луганск</t>
  </si>
  <si>
    <t>17,10,26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</si>
</sst>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0"/>
      <name val="Arial"/>
      <family val="2"/>
    </font>
    <font>
      <b/>
      <sz val="14"/>
      <color theme="1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0" fillId="0" borderId="0"/>
  </cellStyleXfs>
  <cellXfs count="73">
    <xf numFmtId="0" fontId="0" fillId="0" borderId="0" xfId="0"/>
    <xf numFmtId="0" fontId="18" fillId="0" borderId="11" xfId="42" applyBorder="1"/>
    <xf numFmtId="0" fontId="18" fillId="0" borderId="15" xfId="42" applyBorder="1"/>
    <xf numFmtId="0" fontId="18" fillId="0" borderId="16" xfId="42" applyBorder="1"/>
    <xf numFmtId="14" fontId="18" fillId="0" borderId="16" xfId="42" applyNumberFormat="1" applyBorder="1"/>
    <xf numFmtId="0" fontId="0" fillId="0" borderId="16" xfId="0" applyBorder="1"/>
    <xf numFmtId="0" fontId="18" fillId="0" borderId="14" xfId="42" applyBorder="1"/>
    <xf numFmtId="0" fontId="18" fillId="0" borderId="21" xfId="42" applyBorder="1"/>
    <xf numFmtId="4" fontId="18" fillId="0" borderId="21" xfId="42" applyNumberFormat="1" applyBorder="1"/>
    <xf numFmtId="14" fontId="18" fillId="0" borderId="21" xfId="42" applyNumberFormat="1" applyBorder="1"/>
    <xf numFmtId="4" fontId="0" fillId="0" borderId="0" xfId="0" applyNumberFormat="1"/>
    <xf numFmtId="4" fontId="18" fillId="0" borderId="15" xfId="42" applyNumberFormat="1" applyBorder="1"/>
    <xf numFmtId="0" fontId="18" fillId="0" borderId="24" xfId="42" applyBorder="1"/>
    <xf numFmtId="14" fontId="18" fillId="0" borderId="11" xfId="42" applyNumberFormat="1" applyBorder="1"/>
    <xf numFmtId="4" fontId="18" fillId="33" borderId="16" xfId="42" applyNumberFormat="1" applyFill="1" applyBorder="1"/>
    <xf numFmtId="4" fontId="18" fillId="0" borderId="11" xfId="42" applyNumberFormat="1" applyBorder="1"/>
    <xf numFmtId="0" fontId="18" fillId="33" borderId="16" xfId="42" applyFill="1" applyBorder="1"/>
    <xf numFmtId="14" fontId="18" fillId="0" borderId="10" xfId="42" applyNumberFormat="1" applyBorder="1"/>
    <xf numFmtId="4" fontId="18" fillId="0" borderId="10" xfId="42" applyNumberFormat="1" applyBorder="1"/>
    <xf numFmtId="0" fontId="18" fillId="0" borderId="10" xfId="42" applyBorder="1"/>
    <xf numFmtId="14" fontId="18" fillId="0" borderId="15" xfId="42" applyNumberFormat="1" applyBorder="1"/>
    <xf numFmtId="0" fontId="0" fillId="33" borderId="16" xfId="0" applyFill="1" applyBorder="1"/>
    <xf numFmtId="4" fontId="0" fillId="33" borderId="16" xfId="0" applyNumberFormat="1" applyFill="1" applyBorder="1"/>
    <xf numFmtId="0" fontId="0" fillId="0" borderId="24" xfId="0" applyBorder="1"/>
    <xf numFmtId="0" fontId="19" fillId="0" borderId="12" xfId="42" applyFont="1" applyBorder="1" applyAlignment="1">
      <alignment horizontal="center" vertical="center" wrapText="1"/>
    </xf>
    <xf numFmtId="0" fontId="19" fillId="0" borderId="13" xfId="42" quotePrefix="1" applyFont="1" applyBorder="1" applyAlignment="1">
      <alignment horizontal="center" vertical="center" wrapText="1"/>
    </xf>
    <xf numFmtId="0" fontId="19" fillId="0" borderId="13" xfId="42" applyFont="1" applyBorder="1" applyAlignment="1">
      <alignment horizontal="center" vertical="center" wrapText="1"/>
    </xf>
    <xf numFmtId="0" fontId="19" fillId="0" borderId="13" xfId="42" applyFont="1" applyFill="1" applyBorder="1" applyAlignment="1">
      <alignment horizontal="center" vertical="center" wrapText="1"/>
    </xf>
    <xf numFmtId="0" fontId="19" fillId="0" borderId="25" xfId="42" applyFont="1" applyFill="1" applyBorder="1" applyAlignment="1">
      <alignment horizontal="center" vertical="center" wrapText="1"/>
    </xf>
    <xf numFmtId="0" fontId="18" fillId="0" borderId="26" xfId="42" applyBorder="1"/>
    <xf numFmtId="0" fontId="18" fillId="0" borderId="27" xfId="42" applyBorder="1"/>
    <xf numFmtId="0" fontId="18" fillId="0" borderId="28" xfId="42" applyBorder="1"/>
    <xf numFmtId="0" fontId="18" fillId="0" borderId="29" xfId="42" applyBorder="1"/>
    <xf numFmtId="0" fontId="18" fillId="0" borderId="30" xfId="42" applyBorder="1"/>
    <xf numFmtId="0" fontId="18" fillId="0" borderId="31" xfId="42" applyBorder="1"/>
    <xf numFmtId="0" fontId="18" fillId="0" borderId="32" xfId="42" applyBorder="1"/>
    <xf numFmtId="4" fontId="18" fillId="34" borderId="21" xfId="42" applyNumberFormat="1" applyFill="1" applyBorder="1"/>
    <xf numFmtId="0" fontId="18" fillId="34" borderId="21" xfId="42" applyFill="1" applyBorder="1"/>
    <xf numFmtId="14" fontId="18" fillId="34" borderId="21" xfId="42" applyNumberFormat="1" applyFill="1" applyBorder="1"/>
    <xf numFmtId="0" fontId="18" fillId="33" borderId="22" xfId="42" applyFill="1" applyBorder="1" applyAlignment="1">
      <alignment horizontal="center"/>
    </xf>
    <xf numFmtId="0" fontId="18" fillId="33" borderId="17" xfId="42" applyFill="1" applyBorder="1" applyAlignment="1">
      <alignment horizontal="center"/>
    </xf>
    <xf numFmtId="0" fontId="18" fillId="33" borderId="23" xfId="42" applyFill="1" applyBorder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10" xfId="42" applyFont="1" applyBorder="1" applyAlignment="1">
      <alignment horizontal="center" vertical="center" wrapText="1"/>
    </xf>
    <xf numFmtId="0" fontId="19" fillId="0" borderId="10" xfId="42" quotePrefix="1" applyFont="1" applyBorder="1" applyAlignment="1">
      <alignment horizontal="center" vertical="center" wrapText="1"/>
    </xf>
    <xf numFmtId="0" fontId="19" fillId="0" borderId="10" xfId="42" applyFont="1" applyFill="1" applyBorder="1" applyAlignment="1">
      <alignment horizontal="center" vertical="center" wrapText="1"/>
    </xf>
    <xf numFmtId="0" fontId="18" fillId="34" borderId="12" xfId="42" applyFill="1" applyBorder="1"/>
    <xf numFmtId="0" fontId="18" fillId="34" borderId="13" xfId="42" applyFill="1" applyBorder="1"/>
    <xf numFmtId="4" fontId="18" fillId="34" borderId="13" xfId="42" applyNumberFormat="1" applyFill="1" applyBorder="1"/>
    <xf numFmtId="14" fontId="18" fillId="34" borderId="13" xfId="42" applyNumberFormat="1" applyFill="1" applyBorder="1"/>
    <xf numFmtId="0" fontId="0" fillId="0" borderId="33" xfId="0" applyBorder="1"/>
    <xf numFmtId="0" fontId="21" fillId="0" borderId="34" xfId="0" applyFont="1" applyBorder="1" applyAlignment="1">
      <alignment horizontal="center" vertical="center"/>
    </xf>
    <xf numFmtId="0" fontId="0" fillId="0" borderId="0" xfId="0" applyBorder="1"/>
    <xf numFmtId="0" fontId="21" fillId="0" borderId="35" xfId="0" applyFont="1" applyBorder="1" applyAlignment="1">
      <alignment horizontal="center" vertical="center"/>
    </xf>
    <xf numFmtId="0" fontId="18" fillId="0" borderId="36" xfId="42" applyBorder="1"/>
    <xf numFmtId="0" fontId="18" fillId="0" borderId="37" xfId="42" applyBorder="1"/>
    <xf numFmtId="4" fontId="18" fillId="0" borderId="37" xfId="42" applyNumberFormat="1" applyBorder="1"/>
    <xf numFmtId="14" fontId="18" fillId="0" borderId="37" xfId="42" applyNumberFormat="1" applyBorder="1"/>
    <xf numFmtId="0" fontId="0" fillId="0" borderId="38" xfId="0" applyBorder="1"/>
    <xf numFmtId="0" fontId="21" fillId="0" borderId="39" xfId="0" applyFont="1" applyBorder="1" applyAlignment="1">
      <alignment horizontal="center" vertical="center"/>
    </xf>
    <xf numFmtId="0" fontId="18" fillId="0" borderId="40" xfId="42" applyBorder="1"/>
    <xf numFmtId="4" fontId="18" fillId="0" borderId="16" xfId="42" applyNumberFormat="1" applyBorder="1"/>
    <xf numFmtId="0" fontId="0" fillId="0" borderId="17" xfId="0" applyBorder="1"/>
    <xf numFmtId="0" fontId="21" fillId="0" borderId="41" xfId="0" applyFont="1" applyBorder="1" applyAlignment="1">
      <alignment horizontal="center" vertical="center"/>
    </xf>
    <xf numFmtId="0" fontId="18" fillId="0" borderId="12" xfId="42" applyBorder="1"/>
    <xf numFmtId="0" fontId="18" fillId="0" borderId="13" xfId="42" applyBorder="1"/>
    <xf numFmtId="4" fontId="18" fillId="0" borderId="13" xfId="42" applyNumberFormat="1" applyBorder="1"/>
    <xf numFmtId="14" fontId="18" fillId="0" borderId="13" xfId="42" applyNumberFormat="1" applyBorder="1"/>
    <xf numFmtId="0" fontId="18" fillId="34" borderId="14" xfId="42" applyFill="1" applyBorder="1"/>
    <xf numFmtId="0" fontId="0" fillId="0" borderId="0" xfId="0" applyBorder="1" applyAlignment="1">
      <alignment horizontal="center"/>
    </xf>
  </cellXfs>
  <cellStyles count="44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2" xr:uid="{00000000-0005-0000-0000-000024000000}"/>
    <cellStyle name="Обычный 3" xfId="43" xr:uid="{00000000-0005-0000-0000-000025000000}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>
      <selection activeCell="O7" sqref="O7"/>
    </sheetView>
  </sheetViews>
  <sheetFormatPr defaultRowHeight="15" x14ac:dyDescent="0.25"/>
  <cols>
    <col min="2" max="2" width="13.140625" bestFit="1" customWidth="1"/>
    <col min="3" max="3" width="18.85546875" bestFit="1" customWidth="1"/>
    <col min="5" max="5" width="11.140625" bestFit="1" customWidth="1"/>
    <col min="8" max="8" width="9.85546875" bestFit="1" customWidth="1"/>
  </cols>
  <sheetData>
    <row r="1" spans="1:13" ht="60.75" thickBot="1" x14ac:dyDescent="0.3">
      <c r="A1" s="24" t="s">
        <v>0</v>
      </c>
      <c r="B1" s="25" t="s">
        <v>1</v>
      </c>
      <c r="C1" s="26" t="s">
        <v>2</v>
      </c>
      <c r="D1" s="26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8" t="s">
        <v>11</v>
      </c>
    </row>
    <row r="2" spans="1:13" ht="15.75" thickBot="1" x14ac:dyDescent="0.3">
      <c r="A2" s="29" t="s">
        <v>49</v>
      </c>
      <c r="B2" s="19" t="s">
        <v>34</v>
      </c>
      <c r="C2" s="19" t="s">
        <v>24</v>
      </c>
      <c r="D2" s="19">
        <v>12260.56</v>
      </c>
      <c r="E2" s="18">
        <v>3339411.01</v>
      </c>
      <c r="F2" s="19" t="s">
        <v>0</v>
      </c>
      <c r="G2" s="19" t="s">
        <v>12</v>
      </c>
      <c r="H2" s="17">
        <v>46310</v>
      </c>
      <c r="I2" s="19" t="s">
        <v>37</v>
      </c>
      <c r="J2" s="19" t="s">
        <v>14</v>
      </c>
      <c r="K2" s="19" t="s">
        <v>15</v>
      </c>
      <c r="L2" s="30" t="s">
        <v>15</v>
      </c>
      <c r="M2" s="42">
        <v>4</v>
      </c>
    </row>
    <row r="3" spans="1:13" ht="15.75" thickBot="1" x14ac:dyDescent="0.3">
      <c r="A3" s="39" t="s">
        <v>55</v>
      </c>
      <c r="B3" s="40"/>
      <c r="C3" s="41"/>
      <c r="D3" s="16">
        <f>SUM(D2)</f>
        <v>12260.56</v>
      </c>
      <c r="E3" s="14">
        <f>SUM(E2)</f>
        <v>3339411.01</v>
      </c>
      <c r="F3" s="3"/>
      <c r="G3" s="3"/>
      <c r="H3" s="4"/>
      <c r="I3" s="3"/>
      <c r="J3" s="3"/>
      <c r="K3" s="3"/>
      <c r="L3" s="12"/>
      <c r="M3" s="44"/>
    </row>
    <row r="4" spans="1:13" x14ac:dyDescent="0.25">
      <c r="A4" s="31" t="s">
        <v>50</v>
      </c>
      <c r="B4" s="1" t="s">
        <v>30</v>
      </c>
      <c r="C4" s="1" t="s">
        <v>22</v>
      </c>
      <c r="D4" s="1">
        <v>5778.76</v>
      </c>
      <c r="E4" s="15">
        <v>1444971.24</v>
      </c>
      <c r="F4" s="1" t="s">
        <v>0</v>
      </c>
      <c r="G4" s="1" t="s">
        <v>12</v>
      </c>
      <c r="H4" s="13">
        <v>46310</v>
      </c>
      <c r="I4" s="1" t="s">
        <v>37</v>
      </c>
      <c r="J4" s="1" t="s">
        <v>14</v>
      </c>
      <c r="K4" s="1" t="s">
        <v>15</v>
      </c>
      <c r="L4" s="32" t="s">
        <v>15</v>
      </c>
      <c r="M4" s="42">
        <v>1</v>
      </c>
    </row>
    <row r="5" spans="1:13" x14ac:dyDescent="0.25">
      <c r="A5" s="6" t="s">
        <v>52</v>
      </c>
      <c r="B5" s="7" t="s">
        <v>32</v>
      </c>
      <c r="C5" s="7" t="s">
        <v>20</v>
      </c>
      <c r="D5" s="7">
        <v>5655.6</v>
      </c>
      <c r="E5" s="8">
        <v>1307319.3600000001</v>
      </c>
      <c r="F5" s="7" t="s">
        <v>0</v>
      </c>
      <c r="G5" s="7" t="s">
        <v>12</v>
      </c>
      <c r="H5" s="9">
        <v>46310</v>
      </c>
      <c r="I5" s="7" t="s">
        <v>37</v>
      </c>
      <c r="J5" s="7" t="s">
        <v>14</v>
      </c>
      <c r="K5" s="7" t="s">
        <v>15</v>
      </c>
      <c r="L5" s="33" t="s">
        <v>15</v>
      </c>
      <c r="M5" s="43"/>
    </row>
    <row r="6" spans="1:13" ht="15.75" thickBot="1" x14ac:dyDescent="0.3">
      <c r="A6" s="29" t="s">
        <v>53</v>
      </c>
      <c r="B6" s="19" t="s">
        <v>31</v>
      </c>
      <c r="C6" s="19" t="s">
        <v>26</v>
      </c>
      <c r="D6" s="19">
        <v>3639.96</v>
      </c>
      <c r="E6" s="18">
        <v>917417.44</v>
      </c>
      <c r="F6" s="19" t="s">
        <v>0</v>
      </c>
      <c r="G6" s="19" t="s">
        <v>12</v>
      </c>
      <c r="H6" s="17">
        <v>46310</v>
      </c>
      <c r="I6" s="19" t="s">
        <v>37</v>
      </c>
      <c r="J6" s="19" t="s">
        <v>14</v>
      </c>
      <c r="K6" s="19" t="s">
        <v>15</v>
      </c>
      <c r="L6" s="30" t="s">
        <v>15</v>
      </c>
      <c r="M6" s="43"/>
    </row>
    <row r="7" spans="1:13" ht="15.75" thickBot="1" x14ac:dyDescent="0.3">
      <c r="A7" s="39" t="s">
        <v>55</v>
      </c>
      <c r="B7" s="40"/>
      <c r="C7" s="41"/>
      <c r="D7" s="16">
        <f>SUM(D4:D6)</f>
        <v>15074.32</v>
      </c>
      <c r="E7" s="14">
        <f>SUM(E4:E6)</f>
        <v>3669708.04</v>
      </c>
      <c r="F7" s="3"/>
      <c r="G7" s="3"/>
      <c r="H7" s="4"/>
      <c r="I7" s="3"/>
      <c r="J7" s="3"/>
      <c r="K7" s="3"/>
      <c r="L7" s="12"/>
      <c r="M7" s="44"/>
    </row>
    <row r="8" spans="1:13" ht="15.75" thickBot="1" x14ac:dyDescent="0.3">
      <c r="A8" s="34" t="s">
        <v>51</v>
      </c>
      <c r="B8" s="2" t="s">
        <v>35</v>
      </c>
      <c r="C8" s="2" t="s">
        <v>28</v>
      </c>
      <c r="D8" s="2">
        <v>11918.44</v>
      </c>
      <c r="E8" s="11">
        <v>3284638.42</v>
      </c>
      <c r="F8" s="2" t="s">
        <v>0</v>
      </c>
      <c r="G8" s="2" t="s">
        <v>12</v>
      </c>
      <c r="H8" s="20">
        <v>46310</v>
      </c>
      <c r="I8" s="2" t="s">
        <v>37</v>
      </c>
      <c r="J8" s="2" t="s">
        <v>14</v>
      </c>
      <c r="K8" s="2" t="s">
        <v>15</v>
      </c>
      <c r="L8" s="35" t="s">
        <v>15</v>
      </c>
      <c r="M8" s="42">
        <v>2</v>
      </c>
    </row>
    <row r="9" spans="1:13" ht="15.75" thickBot="1" x14ac:dyDescent="0.3">
      <c r="A9" s="39" t="s">
        <v>55</v>
      </c>
      <c r="B9" s="40"/>
      <c r="C9" s="41"/>
      <c r="D9" s="16">
        <f>SUM(D8)</f>
        <v>11918.44</v>
      </c>
      <c r="E9" s="14">
        <f>SUM(E8)</f>
        <v>3284638.42</v>
      </c>
      <c r="F9" s="3"/>
      <c r="G9" s="3"/>
      <c r="H9" s="4"/>
      <c r="I9" s="3"/>
      <c r="J9" s="3"/>
      <c r="K9" s="3"/>
      <c r="L9" s="12"/>
      <c r="M9" s="44"/>
    </row>
    <row r="10" spans="1:13" ht="15.75" thickBot="1" x14ac:dyDescent="0.3">
      <c r="A10" s="34" t="s">
        <v>54</v>
      </c>
      <c r="B10" s="2" t="s">
        <v>33</v>
      </c>
      <c r="C10" s="2" t="s">
        <v>24</v>
      </c>
      <c r="D10" s="2">
        <v>9704.36</v>
      </c>
      <c r="E10" s="11">
        <v>2850004.97</v>
      </c>
      <c r="F10" s="2" t="s">
        <v>0</v>
      </c>
      <c r="G10" s="2" t="s">
        <v>12</v>
      </c>
      <c r="H10" s="20">
        <v>46311</v>
      </c>
      <c r="I10" s="2" t="s">
        <v>13</v>
      </c>
      <c r="J10" s="2" t="s">
        <v>14</v>
      </c>
      <c r="K10" s="2" t="s">
        <v>15</v>
      </c>
      <c r="L10" s="35" t="s">
        <v>15</v>
      </c>
      <c r="M10" s="42">
        <v>3</v>
      </c>
    </row>
    <row r="11" spans="1:13" ht="15.75" thickBot="1" x14ac:dyDescent="0.3">
      <c r="A11" s="39" t="s">
        <v>55</v>
      </c>
      <c r="B11" s="40"/>
      <c r="C11" s="41"/>
      <c r="D11" s="21">
        <f>SUM(D10)</f>
        <v>9704.36</v>
      </c>
      <c r="E11" s="22">
        <f>SUM(E10)</f>
        <v>2850004.97</v>
      </c>
      <c r="F11" s="5"/>
      <c r="G11" s="5"/>
      <c r="H11" s="5"/>
      <c r="I11" s="5"/>
      <c r="J11" s="5"/>
      <c r="K11" s="5"/>
      <c r="L11" s="23"/>
      <c r="M11" s="44"/>
    </row>
  </sheetData>
  <mergeCells count="8">
    <mergeCell ref="A3:C3"/>
    <mergeCell ref="A7:C7"/>
    <mergeCell ref="A9:C9"/>
    <mergeCell ref="A11:C11"/>
    <mergeCell ref="M4:M7"/>
    <mergeCell ref="M8:M9"/>
    <mergeCell ref="M10:M11"/>
    <mergeCell ref="M2:M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"/>
  <sheetViews>
    <sheetView tabSelected="1" workbookViewId="0">
      <selection activeCell="S20" sqref="S20"/>
    </sheetView>
  </sheetViews>
  <sheetFormatPr defaultRowHeight="15" x14ac:dyDescent="0.25"/>
  <cols>
    <col min="2" max="2" width="13.140625" bestFit="1" customWidth="1"/>
    <col min="3" max="3" width="18.85546875" bestFit="1" customWidth="1"/>
    <col min="5" max="5" width="11.140625" bestFit="1" customWidth="1"/>
    <col min="6" max="6" width="13" bestFit="1" customWidth="1"/>
    <col min="7" max="7" width="21.140625" bestFit="1" customWidth="1"/>
    <col min="8" max="8" width="9.85546875" bestFit="1" customWidth="1"/>
    <col min="16" max="16" width="9.140625" style="45"/>
    <col min="17" max="17" width="9.85546875" customWidth="1"/>
  </cols>
  <sheetData>
    <row r="1" spans="1:18" ht="60.75" thickBot="1" x14ac:dyDescent="0.3">
      <c r="A1" s="46" t="s">
        <v>0</v>
      </c>
      <c r="B1" s="47" t="s">
        <v>1</v>
      </c>
      <c r="C1" s="46" t="s">
        <v>2</v>
      </c>
      <c r="D1" s="46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</row>
    <row r="2" spans="1:18" x14ac:dyDescent="0.25">
      <c r="A2" s="49" t="s">
        <v>38</v>
      </c>
      <c r="B2" s="50" t="s">
        <v>19</v>
      </c>
      <c r="C2" s="50" t="s">
        <v>20</v>
      </c>
      <c r="D2" s="50">
        <v>3365.46</v>
      </c>
      <c r="E2" s="51">
        <v>806922.31</v>
      </c>
      <c r="F2" s="50" t="s">
        <v>0</v>
      </c>
      <c r="G2" s="50" t="s">
        <v>36</v>
      </c>
      <c r="H2" s="52">
        <v>46310</v>
      </c>
      <c r="I2" s="50" t="s">
        <v>37</v>
      </c>
      <c r="J2" s="50" t="s">
        <v>14</v>
      </c>
      <c r="K2" s="50" t="s">
        <v>14</v>
      </c>
      <c r="L2" s="50" t="s">
        <v>15</v>
      </c>
      <c r="M2" s="53" t="s">
        <v>70</v>
      </c>
      <c r="N2" s="53" t="s">
        <v>71</v>
      </c>
      <c r="O2" s="53">
        <v>3466.6200000000003</v>
      </c>
      <c r="P2" s="54">
        <v>3</v>
      </c>
    </row>
    <row r="3" spans="1:18" x14ac:dyDescent="0.25">
      <c r="A3" s="6" t="s">
        <v>47</v>
      </c>
      <c r="B3" s="7" t="s">
        <v>25</v>
      </c>
      <c r="C3" s="7" t="s">
        <v>26</v>
      </c>
      <c r="D3" s="7">
        <v>3924.2</v>
      </c>
      <c r="E3" s="8">
        <v>996723.25</v>
      </c>
      <c r="F3" s="7" t="s">
        <v>16</v>
      </c>
      <c r="G3" s="7" t="s">
        <v>17</v>
      </c>
      <c r="H3" s="9">
        <v>46310</v>
      </c>
      <c r="I3" s="7" t="s">
        <v>37</v>
      </c>
      <c r="J3" s="7" t="s">
        <v>14</v>
      </c>
      <c r="K3" s="7" t="s">
        <v>15</v>
      </c>
      <c r="L3" s="7" t="s">
        <v>15</v>
      </c>
      <c r="M3" s="55" t="s">
        <v>70</v>
      </c>
      <c r="N3" s="55" t="s">
        <v>72</v>
      </c>
      <c r="O3" s="55">
        <v>4034.2400000000007</v>
      </c>
      <c r="P3" s="56"/>
    </row>
    <row r="4" spans="1:18" ht="15.75" thickBot="1" x14ac:dyDescent="0.3">
      <c r="A4" s="57" t="s">
        <v>56</v>
      </c>
      <c r="B4" s="58" t="s">
        <v>21</v>
      </c>
      <c r="C4" s="58" t="s">
        <v>22</v>
      </c>
      <c r="D4" s="58">
        <v>10090.07</v>
      </c>
      <c r="E4" s="59">
        <v>2401510.09</v>
      </c>
      <c r="F4" s="58" t="s">
        <v>16</v>
      </c>
      <c r="G4" s="58" t="s">
        <v>17</v>
      </c>
      <c r="H4" s="60">
        <v>46310</v>
      </c>
      <c r="I4" s="58" t="s">
        <v>37</v>
      </c>
      <c r="J4" s="58" t="s">
        <v>14</v>
      </c>
      <c r="K4" s="58" t="s">
        <v>15</v>
      </c>
      <c r="L4" s="58" t="s">
        <v>15</v>
      </c>
      <c r="M4" s="61" t="s">
        <v>70</v>
      </c>
      <c r="N4" s="61" t="s">
        <v>73</v>
      </c>
      <c r="O4" s="61">
        <v>10412.210000000003</v>
      </c>
      <c r="P4" s="62"/>
    </row>
    <row r="5" spans="1:18" ht="15.75" thickBot="1" x14ac:dyDescent="0.3">
      <c r="A5" s="2"/>
      <c r="B5" s="2"/>
      <c r="C5" s="2"/>
      <c r="D5" s="2">
        <f>SUM(D2:D4)</f>
        <v>17379.73</v>
      </c>
      <c r="E5" s="11"/>
      <c r="F5" s="2"/>
      <c r="G5" s="2"/>
      <c r="H5" s="20"/>
      <c r="I5" s="2"/>
      <c r="J5" s="2"/>
      <c r="K5" s="2"/>
      <c r="L5" s="2"/>
    </row>
    <row r="6" spans="1:18" ht="19.5" thickBot="1" x14ac:dyDescent="0.3">
      <c r="A6" s="63" t="s">
        <v>39</v>
      </c>
      <c r="B6" s="3" t="s">
        <v>29</v>
      </c>
      <c r="C6" s="3" t="s">
        <v>24</v>
      </c>
      <c r="D6" s="3">
        <v>16719.7</v>
      </c>
      <c r="E6" s="64">
        <v>3699719.23</v>
      </c>
      <c r="F6" s="3" t="s">
        <v>0</v>
      </c>
      <c r="G6" s="3" t="s">
        <v>12</v>
      </c>
      <c r="H6" s="4">
        <v>46310</v>
      </c>
      <c r="I6" s="3" t="s">
        <v>37</v>
      </c>
      <c r="J6" s="3" t="s">
        <v>14</v>
      </c>
      <c r="K6" s="3" t="s">
        <v>15</v>
      </c>
      <c r="L6" s="3" t="s">
        <v>15</v>
      </c>
      <c r="M6" s="65" t="s">
        <v>70</v>
      </c>
      <c r="N6" s="65" t="s">
        <v>74</v>
      </c>
      <c r="O6" s="65">
        <v>16723.899999999998</v>
      </c>
      <c r="P6" s="66">
        <v>1</v>
      </c>
      <c r="Q6" t="s">
        <v>64</v>
      </c>
      <c r="R6" t="s">
        <v>63</v>
      </c>
    </row>
    <row r="7" spans="1:18" ht="15.75" thickBot="1" x14ac:dyDescent="0.3">
      <c r="A7" s="2"/>
      <c r="B7" s="2"/>
      <c r="C7" s="2"/>
      <c r="D7" s="2">
        <f>D6</f>
        <v>16719.7</v>
      </c>
      <c r="E7" s="11"/>
      <c r="F7" s="2"/>
      <c r="G7" s="2"/>
      <c r="H7" s="20"/>
      <c r="I7" s="2"/>
      <c r="J7" s="2"/>
      <c r="K7" s="2"/>
      <c r="L7" s="2"/>
    </row>
    <row r="8" spans="1:18" ht="19.5" thickBot="1" x14ac:dyDescent="0.3">
      <c r="A8" s="63" t="s">
        <v>46</v>
      </c>
      <c r="B8" s="3" t="s">
        <v>27</v>
      </c>
      <c r="C8" s="3" t="s">
        <v>28</v>
      </c>
      <c r="D8" s="3">
        <v>17222.939999999999</v>
      </c>
      <c r="E8" s="64">
        <v>4013281.87</v>
      </c>
      <c r="F8" s="3" t="s">
        <v>16</v>
      </c>
      <c r="G8" s="3" t="s">
        <v>17</v>
      </c>
      <c r="H8" s="4">
        <v>46310</v>
      </c>
      <c r="I8" s="3" t="s">
        <v>37</v>
      </c>
      <c r="J8" s="3" t="s">
        <v>14</v>
      </c>
      <c r="K8" s="3" t="s">
        <v>15</v>
      </c>
      <c r="L8" s="3" t="s">
        <v>15</v>
      </c>
      <c r="M8" s="65" t="s">
        <v>75</v>
      </c>
      <c r="N8" s="65" t="s">
        <v>76</v>
      </c>
      <c r="O8" s="65">
        <v>17222.939999999999</v>
      </c>
      <c r="P8" s="66">
        <v>2</v>
      </c>
      <c r="Q8" t="s">
        <v>62</v>
      </c>
      <c r="R8" t="s">
        <v>63</v>
      </c>
    </row>
    <row r="9" spans="1:18" ht="15.75" thickBot="1" x14ac:dyDescent="0.3">
      <c r="A9" s="2"/>
      <c r="B9" s="2"/>
      <c r="C9" s="2"/>
      <c r="D9" s="2">
        <f>D8</f>
        <v>17222.939999999999</v>
      </c>
      <c r="E9" s="11"/>
      <c r="F9" s="2"/>
      <c r="G9" s="2"/>
      <c r="H9" s="20"/>
      <c r="I9" s="2"/>
      <c r="J9" s="2"/>
      <c r="K9" s="2"/>
      <c r="L9" s="2"/>
    </row>
    <row r="10" spans="1:18" ht="19.5" thickBot="1" x14ac:dyDescent="0.3">
      <c r="A10" s="63" t="s">
        <v>40</v>
      </c>
      <c r="B10" s="3" t="s">
        <v>23</v>
      </c>
      <c r="C10" s="5" t="s">
        <v>24</v>
      </c>
      <c r="D10" s="3">
        <v>17705.48</v>
      </c>
      <c r="E10" s="64">
        <v>3866309.35</v>
      </c>
      <c r="F10" s="3" t="s">
        <v>16</v>
      </c>
      <c r="G10" s="3" t="s">
        <v>17</v>
      </c>
      <c r="H10" s="4">
        <v>46310</v>
      </c>
      <c r="I10" s="3" t="s">
        <v>37</v>
      </c>
      <c r="J10" s="3" t="s">
        <v>14</v>
      </c>
      <c r="K10" s="3" t="s">
        <v>15</v>
      </c>
      <c r="L10" s="3" t="s">
        <v>15</v>
      </c>
      <c r="M10" s="65" t="s">
        <v>75</v>
      </c>
      <c r="N10" s="65" t="s">
        <v>74</v>
      </c>
      <c r="O10" s="65">
        <v>17705.48</v>
      </c>
      <c r="P10" s="66">
        <v>4</v>
      </c>
    </row>
    <row r="11" spans="1:18" ht="15.75" thickBot="1" x14ac:dyDescent="0.3">
      <c r="A11" s="2"/>
      <c r="B11" s="2"/>
      <c r="C11" s="2"/>
      <c r="D11" s="2">
        <f>D10</f>
        <v>17705.48</v>
      </c>
      <c r="E11" s="11"/>
      <c r="F11" s="2"/>
      <c r="G11" s="2"/>
      <c r="H11" s="20"/>
      <c r="I11" s="2"/>
      <c r="J11" s="2"/>
      <c r="K11" s="2"/>
      <c r="L11" s="2"/>
    </row>
    <row r="12" spans="1:18" x14ac:dyDescent="0.25">
      <c r="A12" s="67" t="s">
        <v>65</v>
      </c>
      <c r="B12" s="68" t="s">
        <v>66</v>
      </c>
      <c r="C12" s="68" t="s">
        <v>67</v>
      </c>
      <c r="D12" s="68">
        <v>3281.2800000000007</v>
      </c>
      <c r="E12" s="69"/>
      <c r="F12" s="68"/>
      <c r="G12" s="68"/>
      <c r="H12" s="70"/>
      <c r="I12" s="68"/>
      <c r="J12" s="68"/>
      <c r="K12" s="68"/>
      <c r="L12" s="68"/>
      <c r="M12" s="53"/>
      <c r="N12" s="53" t="s">
        <v>67</v>
      </c>
      <c r="O12" s="53"/>
      <c r="P12" s="54">
        <v>6</v>
      </c>
    </row>
    <row r="13" spans="1:18" x14ac:dyDescent="0.25">
      <c r="A13" s="6" t="s">
        <v>48</v>
      </c>
      <c r="B13" s="7" t="s">
        <v>61</v>
      </c>
      <c r="C13" s="7" t="s">
        <v>26</v>
      </c>
      <c r="D13" s="7">
        <v>3184.11</v>
      </c>
      <c r="E13" s="8">
        <v>763386.01</v>
      </c>
      <c r="F13" s="7" t="s">
        <v>16</v>
      </c>
      <c r="G13" s="7" t="s">
        <v>17</v>
      </c>
      <c r="H13" s="9">
        <v>46312</v>
      </c>
      <c r="I13" s="7" t="s">
        <v>42</v>
      </c>
      <c r="J13" s="7" t="s">
        <v>14</v>
      </c>
      <c r="K13" s="7" t="s">
        <v>15</v>
      </c>
      <c r="L13" s="7" t="s">
        <v>15</v>
      </c>
      <c r="M13" s="55" t="s">
        <v>77</v>
      </c>
      <c r="N13" s="55" t="s">
        <v>72</v>
      </c>
      <c r="O13" s="55">
        <v>3184.11</v>
      </c>
      <c r="P13" s="56"/>
    </row>
    <row r="14" spans="1:18" x14ac:dyDescent="0.25">
      <c r="A14" s="71" t="s">
        <v>41</v>
      </c>
      <c r="B14" s="37" t="s">
        <v>57</v>
      </c>
      <c r="C14" s="37" t="s">
        <v>22</v>
      </c>
      <c r="D14" s="37">
        <v>5817.88</v>
      </c>
      <c r="E14" s="36">
        <v>645127.86</v>
      </c>
      <c r="F14" s="37" t="s">
        <v>0</v>
      </c>
      <c r="G14" s="37" t="s">
        <v>36</v>
      </c>
      <c r="H14" s="38">
        <v>46312</v>
      </c>
      <c r="I14" s="37" t="s">
        <v>42</v>
      </c>
      <c r="J14" s="37" t="s">
        <v>15</v>
      </c>
      <c r="K14" s="37" t="s">
        <v>15</v>
      </c>
      <c r="L14" s="37" t="s">
        <v>15</v>
      </c>
      <c r="M14" s="55" t="s">
        <v>77</v>
      </c>
      <c r="N14" s="55" t="s">
        <v>73</v>
      </c>
      <c r="O14" s="55">
        <v>5817.8799999999992</v>
      </c>
      <c r="P14" s="56"/>
    </row>
    <row r="15" spans="1:18" ht="15.75" thickBot="1" x14ac:dyDescent="0.3">
      <c r="A15" s="57" t="s">
        <v>43</v>
      </c>
      <c r="B15" s="58" t="s">
        <v>58</v>
      </c>
      <c r="C15" s="58" t="s">
        <v>22</v>
      </c>
      <c r="D15" s="58">
        <v>5403.42</v>
      </c>
      <c r="E15" s="59">
        <v>1106796.22</v>
      </c>
      <c r="F15" s="58" t="s">
        <v>16</v>
      </c>
      <c r="G15" s="58" t="s">
        <v>17</v>
      </c>
      <c r="H15" s="60">
        <v>46312</v>
      </c>
      <c r="I15" s="58" t="s">
        <v>42</v>
      </c>
      <c r="J15" s="58" t="s">
        <v>14</v>
      </c>
      <c r="K15" s="58" t="s">
        <v>15</v>
      </c>
      <c r="L15" s="58" t="s">
        <v>15</v>
      </c>
      <c r="M15" s="61" t="s">
        <v>77</v>
      </c>
      <c r="N15" s="61" t="s">
        <v>67</v>
      </c>
      <c r="O15" s="61">
        <v>5403.42</v>
      </c>
      <c r="P15" s="62"/>
    </row>
    <row r="16" spans="1:18" ht="15.75" thickBot="1" x14ac:dyDescent="0.3">
      <c r="A16" s="2"/>
      <c r="B16" s="2"/>
      <c r="C16" s="2"/>
      <c r="D16" s="2">
        <f>SUM(D12:D15)</f>
        <v>17686.690000000002</v>
      </c>
      <c r="E16" s="11"/>
      <c r="F16" s="2"/>
      <c r="G16" s="2"/>
      <c r="H16" s="20"/>
      <c r="I16" s="2"/>
      <c r="J16" s="2"/>
      <c r="K16" s="2"/>
      <c r="L16" s="2"/>
    </row>
    <row r="17" spans="1:16" x14ac:dyDescent="0.25">
      <c r="A17" s="67" t="s">
        <v>68</v>
      </c>
      <c r="B17" s="68" t="s">
        <v>69</v>
      </c>
      <c r="C17" s="68" t="s">
        <v>67</v>
      </c>
      <c r="D17" s="68">
        <v>2549.6</v>
      </c>
      <c r="E17" s="69"/>
      <c r="F17" s="68"/>
      <c r="G17" s="68"/>
      <c r="H17" s="70"/>
      <c r="I17" s="68"/>
      <c r="J17" s="68"/>
      <c r="K17" s="68"/>
      <c r="L17" s="68"/>
      <c r="M17" s="53"/>
      <c r="N17" s="53" t="s">
        <v>67</v>
      </c>
      <c r="O17" s="53"/>
      <c r="P17" s="54">
        <v>5</v>
      </c>
    </row>
    <row r="18" spans="1:16" ht="15" customHeight="1" x14ac:dyDescent="0.25">
      <c r="A18" s="6" t="s">
        <v>44</v>
      </c>
      <c r="B18" s="7" t="s">
        <v>59</v>
      </c>
      <c r="C18" s="7" t="s">
        <v>24</v>
      </c>
      <c r="D18" s="7">
        <v>4027.02</v>
      </c>
      <c r="E18" s="8">
        <v>946772.16</v>
      </c>
      <c r="F18" s="7" t="s">
        <v>16</v>
      </c>
      <c r="G18" s="7" t="s">
        <v>17</v>
      </c>
      <c r="H18" s="9">
        <v>46312</v>
      </c>
      <c r="I18" s="7" t="s">
        <v>18</v>
      </c>
      <c r="J18" s="7" t="s">
        <v>14</v>
      </c>
      <c r="K18" s="7" t="s">
        <v>15</v>
      </c>
      <c r="L18" s="7" t="s">
        <v>15</v>
      </c>
      <c r="M18" s="55" t="s">
        <v>77</v>
      </c>
      <c r="N18" s="55" t="s">
        <v>67</v>
      </c>
      <c r="O18" s="55">
        <v>4027.02</v>
      </c>
      <c r="P18" s="56"/>
    </row>
    <row r="19" spans="1:16" ht="15" customHeight="1" thickBot="1" x14ac:dyDescent="0.3">
      <c r="A19" s="57" t="s">
        <v>45</v>
      </c>
      <c r="B19" s="58" t="s">
        <v>60</v>
      </c>
      <c r="C19" s="58" t="s">
        <v>24</v>
      </c>
      <c r="D19" s="58">
        <v>11208.2</v>
      </c>
      <c r="E19" s="59">
        <v>2972615.16</v>
      </c>
      <c r="F19" s="58" t="s">
        <v>16</v>
      </c>
      <c r="G19" s="58" t="s">
        <v>17</v>
      </c>
      <c r="H19" s="60">
        <v>46312</v>
      </c>
      <c r="I19" s="58" t="s">
        <v>18</v>
      </c>
      <c r="J19" s="58" t="s">
        <v>14</v>
      </c>
      <c r="K19" s="58" t="s">
        <v>15</v>
      </c>
      <c r="L19" s="58" t="s">
        <v>15</v>
      </c>
      <c r="M19" s="61" t="s">
        <v>77</v>
      </c>
      <c r="N19" s="61" t="s">
        <v>74</v>
      </c>
      <c r="O19" s="61">
        <v>11208.2</v>
      </c>
      <c r="P19" s="62"/>
    </row>
    <row r="20" spans="1:16" x14ac:dyDescent="0.25">
      <c r="A20" s="72"/>
      <c r="B20" s="72"/>
      <c r="C20" s="72"/>
      <c r="D20">
        <f>SUM(D17:D19)</f>
        <v>17784.82</v>
      </c>
      <c r="E20" s="10"/>
    </row>
  </sheetData>
  <autoFilter ref="A1:L1" xr:uid="{00000000-0009-0000-0000-000001000000}">
    <sortState xmlns:xlrd2="http://schemas.microsoft.com/office/spreadsheetml/2017/richdata2" ref="A2:L16">
      <sortCondition ref="H1"/>
    </sortState>
  </autoFilter>
  <mergeCells count="4">
    <mergeCell ref="A20:C20"/>
    <mergeCell ref="P2:P4"/>
    <mergeCell ref="P12:P15"/>
    <mergeCell ref="P17:P19"/>
  </mergeCells>
  <conditionalFormatting sqref="B10">
    <cfRule type="duplicateValues" dxfId="2" priority="3"/>
  </conditionalFormatting>
  <conditionalFormatting sqref="B8">
    <cfRule type="duplicateValues" dxfId="1" priority="2"/>
  </conditionalFormatting>
  <conditionalFormatting sqref="B6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ЗПФ</vt:lpstr>
      <vt:lpstr>КИ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Uaer4</cp:lastModifiedBy>
  <dcterms:created xsi:type="dcterms:W3CDTF">2026-10-12T07:04:38Z</dcterms:created>
  <dcterms:modified xsi:type="dcterms:W3CDTF">2026-10-15T09:55:02Z</dcterms:modified>
</cp:coreProperties>
</file>