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;[Red]\-0\ "/>
  </numFmts>
  <fonts count="4">
    <font>
      <name val="Calibri"/>
      <family val="2"/>
      <color theme="1"/>
      <sz val="11"/>
      <scheme val="minor"/>
    </font>
    <font>
      <name val="Arial"/>
      <sz val="10"/>
    </font>
    <font>
      <b val="1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FFF4C5"/>
      </patternFill>
    </fill>
    <fill>
      <patternFill patternType="solid">
        <fgColor rgb="00758ce0"/>
      </patternFill>
    </fill>
    <fill>
      <patternFill patternType="solid">
        <fgColor rgb="00f05959"/>
      </patternFill>
    </fill>
    <fill>
      <patternFill patternType="solid">
        <fgColor rgb="0046d444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1" fillId="0" borderId="1"/>
  </cellStyleXfs>
  <cellXfs count="8">
    <xf numFmtId="0" fontId="0" fillId="0" borderId="0" pivotButton="0" quotePrefix="0" xfId="0"/>
    <xf numFmtId="164" fontId="1" fillId="0" borderId="1" pivotButton="0" quotePrefix="0" xfId="1"/>
    <xf numFmtId="164" fontId="2" fillId="2" borderId="1" pivotButton="0" quotePrefix="0" xfId="1"/>
    <xf numFmtId="164" fontId="3" fillId="2" borderId="1" pivotButton="0" quotePrefix="0" xfId="1"/>
    <xf numFmtId="164" fontId="1" fillId="3" borderId="1" pivotButton="0" quotePrefix="0" xfId="1"/>
    <xf numFmtId="164" fontId="1" fillId="0" borderId="2" pivotButton="0" quotePrefix="0" xfId="1"/>
    <xf numFmtId="164" fontId="1" fillId="4" borderId="1" pivotButton="0" quotePrefix="0" xfId="1"/>
    <xf numFmtId="164" fontId="1" fillId="5" borderId="1" pivotButton="0" quotePrefix="0" xfId="1"/>
  </cellXfs>
  <cellStyles count="2">
    <cellStyle name="Normal" xfId="0" builtinId="0" hidden="0"/>
    <cellStyle name="Arial10px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0"/>
  <sheetViews>
    <sheetView zoomScale="85"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</row>
    <row r="3">
      <c r="A3" s="2" t="inlineStr">
        <is>
          <t>Номенклатура</t>
        </is>
      </c>
      <c r="B3" s="2" t="inlineStr">
        <is>
          <t>Ед. изм.</t>
        </is>
      </c>
      <c r="C3" s="2" t="inlineStr">
        <is>
          <t>Начальный остаток</t>
        </is>
      </c>
      <c r="D3" s="2" t="inlineStr">
        <is>
          <t>Приход</t>
        </is>
      </c>
      <c r="E3" s="2" t="inlineStr">
        <is>
          <t>Расход</t>
        </is>
      </c>
      <c r="F3" s="2" t="inlineStr">
        <is>
          <t>Конечный остаток</t>
        </is>
      </c>
      <c r="G3" s="2" t="inlineStr">
        <is>
          <t>крат</t>
        </is>
      </c>
      <c r="H3" s="2" t="inlineStr">
        <is>
          <t>сроки</t>
        </is>
      </c>
      <c r="I3" s="2" t="inlineStr">
        <is>
          <t>метка</t>
        </is>
      </c>
      <c r="J3" s="2" t="inlineStr">
        <is>
          <t>метка2</t>
        </is>
      </c>
      <c r="K3" s="2" t="inlineStr">
        <is>
          <t>заяв</t>
        </is>
      </c>
      <c r="L3" s="2" t="inlineStr">
        <is>
          <t>разн</t>
        </is>
      </c>
      <c r="M3" s="2" t="inlineStr">
        <is>
          <t>без опта</t>
        </is>
      </c>
      <c r="N3" s="2" t="inlineStr">
        <is>
          <t>опт</t>
        </is>
      </c>
      <c r="O3" s="2" t="inlineStr">
        <is>
          <t>заказ в пути</t>
        </is>
      </c>
      <c r="P3" s="2" t="inlineStr">
        <is>
          <t>заказ в пути</t>
        </is>
      </c>
      <c r="Q3" s="2" t="inlineStr">
        <is>
          <t>заказ в пути</t>
        </is>
      </c>
      <c r="R3" s="2" t="inlineStr">
        <is>
          <t>заказ в пути</t>
        </is>
      </c>
      <c r="S3" s="2" t="inlineStr">
        <is>
          <t>заказ в пути</t>
        </is>
      </c>
      <c r="T3" s="2" t="inlineStr">
        <is>
          <t>заказ в пути</t>
        </is>
      </c>
      <c r="U3" s="2" t="inlineStr">
        <is>
          <t>заказ в пути</t>
        </is>
      </c>
      <c r="V3" s="2" t="inlineStr">
        <is>
          <t>заказ в пути</t>
        </is>
      </c>
      <c r="W3" s="2" t="inlineStr">
        <is>
          <t>заказ в пути</t>
        </is>
      </c>
      <c r="X3" s="2" t="inlineStr">
        <is>
          <t>заказ в пути</t>
        </is>
      </c>
      <c r="Y3" s="2" t="inlineStr">
        <is>
          <t>ср нов</t>
        </is>
      </c>
      <c r="Z3" s="3" t="inlineStr">
        <is>
          <t>расчет</t>
        </is>
      </c>
      <c r="AA3" s="2" t="inlineStr">
        <is>
          <t>заказ филиала</t>
        </is>
      </c>
      <c r="AB3" s="2" t="inlineStr">
        <is>
          <t>Комментарии филиала</t>
        </is>
      </c>
      <c r="AC3" s="2" t="inlineStr">
        <is>
          <t>кон ост</t>
        </is>
      </c>
      <c r="AD3" s="2" t="inlineStr">
        <is>
          <t>факт</t>
        </is>
      </c>
      <c r="AE3" s="2" t="inlineStr">
        <is>
          <t>ср</t>
        </is>
      </c>
      <c r="AF3" s="2" t="inlineStr">
        <is>
          <t>ср</t>
        </is>
      </c>
      <c r="AG3" s="2" t="inlineStr">
        <is>
          <t>ср</t>
        </is>
      </c>
      <c r="AH3" s="2" t="inlineStr">
        <is>
          <t>ср</t>
        </is>
      </c>
      <c r="AI3" s="2" t="inlineStr">
        <is>
          <t>ср</t>
        </is>
      </c>
      <c r="AJ3" s="2" t="inlineStr">
        <is>
          <t>ср</t>
        </is>
      </c>
      <c r="AK3" s="2" t="inlineStr">
        <is>
          <t>ср</t>
        </is>
      </c>
      <c r="AL3" s="2" t="inlineStr">
        <is>
          <t>ср</t>
        </is>
      </c>
      <c r="AM3" s="2" t="inlineStr">
        <is>
          <t>ср</t>
        </is>
      </c>
      <c r="AN3" s="2" t="inlineStr">
        <is>
          <t>комментарии</t>
        </is>
      </c>
      <c r="AO3" s="2" t="inlineStr">
        <is>
          <t>вес</t>
        </is>
      </c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inlineStr">
        <is>
          <t>21,09,</t>
        </is>
      </c>
      <c r="P4" s="1" t="inlineStr">
        <is>
          <t>21,09,недогр</t>
        </is>
      </c>
      <c r="Q4" s="1" t="inlineStr">
        <is>
          <t>21,09,доз</t>
        </is>
      </c>
      <c r="R4" s="1" t="inlineStr">
        <is>
          <t>22,09,</t>
        </is>
      </c>
      <c r="S4" s="1" t="inlineStr">
        <is>
          <t>22,09,недогр</t>
        </is>
      </c>
      <c r="T4" s="1" t="inlineStr">
        <is>
          <t>26,09,</t>
        </is>
      </c>
      <c r="U4" s="1" t="inlineStr">
        <is>
          <t>26,09,доз</t>
        </is>
      </c>
      <c r="V4" s="1" t="inlineStr">
        <is>
          <t>27,09,</t>
        </is>
      </c>
      <c r="W4" s="1" t="inlineStr">
        <is>
          <t>27,09,недогр</t>
        </is>
      </c>
      <c r="X4" s="1" t="inlineStr">
        <is>
          <t>28,09,</t>
        </is>
      </c>
      <c r="Y4" s="1" t="inlineStr">
        <is>
          <t>29,09,</t>
        </is>
      </c>
      <c r="Z4" s="1" t="n"/>
      <c r="AA4" s="1" t="n"/>
      <c r="AB4" s="1" t="n"/>
      <c r="AC4" s="1" t="n"/>
      <c r="AD4" s="1" t="n"/>
      <c r="AE4" s="1" t="inlineStr">
        <is>
          <t>24,09,</t>
        </is>
      </c>
      <c r="AF4" s="1" t="inlineStr">
        <is>
          <t>22,09,</t>
        </is>
      </c>
      <c r="AG4" s="1" t="inlineStr">
        <is>
          <t>17,09,</t>
        </is>
      </c>
      <c r="AH4" s="1" t="inlineStr">
        <is>
          <t>15,09,</t>
        </is>
      </c>
      <c r="AI4" s="1" t="inlineStr">
        <is>
          <t>10,09,</t>
        </is>
      </c>
      <c r="AJ4" s="1" t="inlineStr">
        <is>
          <t>08,09,</t>
        </is>
      </c>
      <c r="AK4" s="1" t="inlineStr">
        <is>
          <t>03,09,</t>
        </is>
      </c>
      <c r="AL4" s="1" t="inlineStr">
        <is>
          <t>01,09,</t>
        </is>
      </c>
      <c r="AM4" s="1" t="inlineStr">
        <is>
          <t>27,08,</t>
        </is>
      </c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</row>
    <row r="5">
      <c r="A5" s="1" t="n"/>
      <c r="B5" s="1" t="n"/>
      <c r="C5" s="1" t="n"/>
      <c r="D5" s="1" t="n"/>
      <c r="E5" s="4">
        <f>SUM(E6:E500)</f>
        <v/>
      </c>
      <c r="F5" s="4">
        <f>SUM(F6:F500)</f>
        <v/>
      </c>
      <c r="G5" s="1" t="n"/>
      <c r="H5" s="1" t="n"/>
      <c r="I5" s="1" t="n"/>
      <c r="J5" s="1" t="n"/>
      <c r="K5" s="4">
        <f>SUM(K6:K500)</f>
        <v/>
      </c>
      <c r="L5" s="4">
        <f>SUM(L6:L500)</f>
        <v/>
      </c>
      <c r="M5" s="4">
        <f>SUM(M6:M500)</f>
        <v/>
      </c>
      <c r="N5" s="4">
        <f>SUM(N6:N500)</f>
        <v/>
      </c>
      <c r="O5" s="4">
        <f>SUM(O6:O500)</f>
        <v/>
      </c>
      <c r="P5" s="4">
        <f>SUM(P6:P500)</f>
        <v/>
      </c>
      <c r="Q5" s="4">
        <f>SUM(Q6:Q500)</f>
        <v/>
      </c>
      <c r="R5" s="4">
        <f>SUM(R6:R500)</f>
        <v/>
      </c>
      <c r="S5" s="4">
        <f>SUM(S6:S500)</f>
        <v/>
      </c>
      <c r="T5" s="4">
        <f>SUM(T6:T500)</f>
        <v/>
      </c>
      <c r="U5" s="4">
        <f>SUM(U6:U500)</f>
        <v/>
      </c>
      <c r="V5" s="4">
        <f>SUM(V6:V500)</f>
        <v/>
      </c>
      <c r="W5" s="4">
        <f>SUM(W6:W500)</f>
        <v/>
      </c>
      <c r="X5" s="4">
        <f>SUM(X6:X500)</f>
        <v/>
      </c>
      <c r="Y5" s="4">
        <f>SUM(Y6:Y500)</f>
        <v/>
      </c>
      <c r="Z5" s="4">
        <f>SUM(Z6:Z500)</f>
        <v/>
      </c>
      <c r="AA5" s="4">
        <f>SUM(AA6:AA500)</f>
        <v/>
      </c>
      <c r="AB5" s="1" t="n"/>
      <c r="AC5" s="1" t="n"/>
      <c r="AD5" s="1" t="n"/>
      <c r="AE5" s="4">
        <f>SUM(AE6:AE500)</f>
        <v/>
      </c>
      <c r="AF5" s="4">
        <f>SUM(AF6:AF500)</f>
        <v/>
      </c>
      <c r="AG5" s="4">
        <f>SUM(AG6:AG500)</f>
        <v/>
      </c>
      <c r="AH5" s="4">
        <f>SUM(AH6:AH500)</f>
        <v/>
      </c>
      <c r="AI5" s="4">
        <f>SUM(AI6:AI500)</f>
        <v/>
      </c>
      <c r="AJ5" s="4">
        <f>SUM(AJ6:AJ500)</f>
        <v/>
      </c>
      <c r="AK5" s="4">
        <f>SUM(AK6:AK500)</f>
        <v/>
      </c>
      <c r="AL5" s="4">
        <f>SUM(AL6:AL500)</f>
        <v/>
      </c>
      <c r="AM5" s="4">
        <f>SUM(AM6:AM500)</f>
        <v/>
      </c>
      <c r="AN5" s="1" t="n"/>
      <c r="AO5" s="4">
        <f>SUM(AO6:AO500)</f>
        <v/>
      </c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</row>
    <row r="6">
      <c r="A6" s="1" t="inlineStr">
        <is>
          <t xml:space="preserve"> 005  Колбаса Докторская ГОСТ, Вязанка вектор,ВЕС. ПОКОМ</t>
        </is>
      </c>
      <c r="B6" s="1" t="inlineStr">
        <is>
          <t>кг</t>
        </is>
      </c>
      <c r="C6" s="1" t="n">
        <v>862.444</v>
      </c>
      <c r="D6" s="1" t="n">
        <v>3087.544</v>
      </c>
      <c r="E6" s="1" t="n">
        <v>1983.159</v>
      </c>
      <c r="F6" s="1" t="n">
        <v>1275.809</v>
      </c>
      <c r="G6" s="1" t="n">
        <v>1</v>
      </c>
      <c r="H6" s="1" t="n">
        <v>50</v>
      </c>
      <c r="I6" s="1" t="inlineStr">
        <is>
          <t>матрица</t>
        </is>
      </c>
      <c r="J6" s="1" t="n"/>
      <c r="K6" s="1" t="n">
        <v>1927.944</v>
      </c>
      <c r="L6" s="1">
        <f>E6-K6</f>
        <v/>
      </c>
      <c r="M6" s="1" t="n"/>
      <c r="N6" s="1" t="n">
        <v>246.804</v>
      </c>
      <c r="O6" s="1" t="n">
        <v>293.3339669399999</v>
      </c>
      <c r="P6" s="1" t="n"/>
      <c r="Q6" s="1" t="n"/>
      <c r="R6" s="1" t="n">
        <v>543.0902330599998</v>
      </c>
      <c r="S6" s="1" t="n"/>
      <c r="T6" s="1" t="n">
        <v>120.5374480000002</v>
      </c>
      <c r="U6" s="1" t="n"/>
      <c r="V6" s="1" t="n">
        <v>482.1497920000007</v>
      </c>
      <c r="W6" s="1" t="n"/>
      <c r="X6" s="1" t="n">
        <v>351.913818</v>
      </c>
      <c r="Y6" s="1" t="n"/>
      <c r="Z6" s="5" t="n"/>
      <c r="AA6" s="5" t="n"/>
      <c r="AB6" s="1" t="n"/>
      <c r="AC6" s="1" t="n"/>
      <c r="AD6" s="1" t="n"/>
      <c r="AE6" s="1" t="n">
        <v>256.8714</v>
      </c>
      <c r="AF6" s="1" t="n">
        <v>307.1072</v>
      </c>
      <c r="AG6" s="1" t="n">
        <v>314.5066</v>
      </c>
      <c r="AH6" s="1" t="n">
        <v>330.3754</v>
      </c>
      <c r="AI6" s="1" t="n">
        <v>323.599</v>
      </c>
      <c r="AJ6" s="1" t="n">
        <v>328.35</v>
      </c>
      <c r="AK6" s="1" t="n">
        <v>238.0988</v>
      </c>
      <c r="AL6" s="1" t="n">
        <v>226.9384</v>
      </c>
      <c r="AM6" s="1" t="n">
        <v>306.5354</v>
      </c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</row>
    <row r="7">
      <c r="A7" s="1" t="inlineStr">
        <is>
          <t xml:space="preserve"> 016  Сосиски Вязанка Молочные, Вязанка вискофан  ВЕС.ПОКОМ</t>
        </is>
      </c>
      <c r="B7" s="1" t="inlineStr">
        <is>
          <t>кг</t>
        </is>
      </c>
      <c r="C7" s="1" t="n">
        <v>1238.779</v>
      </c>
      <c r="D7" s="1" t="n">
        <v>2568.094</v>
      </c>
      <c r="E7" s="1" t="n">
        <v>998.728</v>
      </c>
      <c r="F7" s="1" t="n">
        <v>2634.148</v>
      </c>
      <c r="G7" s="1" t="n">
        <v>1</v>
      </c>
      <c r="H7" s="1" t="n">
        <v>45</v>
      </c>
      <c r="I7" s="1" t="inlineStr">
        <is>
          <t>матрица</t>
        </is>
      </c>
      <c r="J7" s="1" t="n"/>
      <c r="K7" s="1" t="n">
        <v>975.39</v>
      </c>
      <c r="L7" s="1">
        <f>E7-K7</f>
        <v/>
      </c>
      <c r="M7" s="1" t="n"/>
      <c r="N7" s="1" t="n"/>
      <c r="O7" s="1" t="n">
        <v>163.7853167999999</v>
      </c>
      <c r="P7" s="1" t="n"/>
      <c r="Q7" s="1" t="n"/>
      <c r="R7" s="1" t="n">
        <v>303.2386831999998</v>
      </c>
      <c r="S7" s="1" t="n"/>
      <c r="T7" s="1" t="n"/>
      <c r="U7" s="1" t="n"/>
      <c r="V7" s="1" t="n"/>
      <c r="W7" s="1" t="n"/>
      <c r="X7" s="1" t="n">
        <v>0</v>
      </c>
      <c r="Y7" s="1" t="n"/>
      <c r="Z7" s="5" t="n"/>
      <c r="AA7" s="5" t="n"/>
      <c r="AB7" s="1" t="n"/>
      <c r="AC7" s="1" t="n"/>
      <c r="AD7" s="1" t="n"/>
      <c r="AE7" s="1" t="n">
        <v>203.1606</v>
      </c>
      <c r="AF7" s="1" t="n">
        <v>215.5368</v>
      </c>
      <c r="AG7" s="1" t="n">
        <v>330.043</v>
      </c>
      <c r="AH7" s="1" t="n">
        <v>367.75</v>
      </c>
      <c r="AI7" s="1" t="n">
        <v>250.4322</v>
      </c>
      <c r="AJ7" s="1" t="n">
        <v>253.253</v>
      </c>
      <c r="AK7" s="1" t="n">
        <v>222.0264</v>
      </c>
      <c r="AL7" s="1" t="n">
        <v>176.407</v>
      </c>
      <c r="AM7" s="1" t="n">
        <v>267.92</v>
      </c>
      <c r="AN7" s="1" t="inlineStr">
        <is>
          <t>ПРОМО сентябрь</t>
        </is>
      </c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</row>
    <row r="8">
      <c r="A8" s="1" t="inlineStr">
        <is>
          <t xml:space="preserve"> 017  Сосиски Вязанка Сливочные, Вязанка амицел ВЕС.ПОКОМ</t>
        </is>
      </c>
      <c r="B8" s="1" t="inlineStr">
        <is>
          <t>кг</t>
        </is>
      </c>
      <c r="C8" s="1" t="n">
        <v>3302.181</v>
      </c>
      <c r="D8" s="1" t="n">
        <v>6621.933</v>
      </c>
      <c r="E8" s="1" t="n">
        <v>3619.67</v>
      </c>
      <c r="F8" s="1" t="n">
        <v>5265.471</v>
      </c>
      <c r="G8" s="1" t="n">
        <v>1</v>
      </c>
      <c r="H8" s="1" t="n">
        <v>45</v>
      </c>
      <c r="I8" s="1" t="inlineStr">
        <is>
          <t>матрица</t>
        </is>
      </c>
      <c r="J8" s="1" t="n"/>
      <c r="K8" s="1" t="n">
        <v>3622.658</v>
      </c>
      <c r="L8" s="1">
        <f>E8-K8</f>
        <v/>
      </c>
      <c r="M8" s="1" t="n"/>
      <c r="N8" s="1" t="n"/>
      <c r="O8" s="1" t="n">
        <v>756.4951804199993</v>
      </c>
      <c r="P8" s="1" t="n"/>
      <c r="Q8" s="1" t="n"/>
      <c r="R8" s="1" t="n">
        <v>1400.605419579999</v>
      </c>
      <c r="S8" s="1" t="n"/>
      <c r="T8" s="1" t="n"/>
      <c r="U8" s="1" t="n"/>
      <c r="V8" s="1" t="n"/>
      <c r="W8" s="1" t="n"/>
      <c r="X8" s="1" t="n">
        <v>794.636442</v>
      </c>
      <c r="Y8" s="1" t="n"/>
      <c r="Z8" s="5" t="n"/>
      <c r="AA8" s="5" t="n"/>
      <c r="AB8" s="1" t="n"/>
      <c r="AC8" s="1" t="n"/>
      <c r="AD8" s="1" t="n"/>
      <c r="AE8" s="1" t="n">
        <v>580.0265999999999</v>
      </c>
      <c r="AF8" s="1" t="n">
        <v>625.754</v>
      </c>
      <c r="AG8" s="1" t="n">
        <v>800.884</v>
      </c>
      <c r="AH8" s="1" t="n">
        <v>833.0154</v>
      </c>
      <c r="AI8" s="1" t="n">
        <v>751.5328000000001</v>
      </c>
      <c r="AJ8" s="1" t="n">
        <v>847.039</v>
      </c>
      <c r="AK8" s="1" t="n">
        <v>565.603</v>
      </c>
      <c r="AL8" s="1" t="n">
        <v>418.5608</v>
      </c>
      <c r="AM8" s="1" t="n">
        <v>617.8482</v>
      </c>
      <c r="AN8" s="1" t="inlineStr">
        <is>
          <t>ПРОМО сентябрь</t>
        </is>
      </c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</row>
    <row r="9">
      <c r="A9" s="1" t="inlineStr">
        <is>
          <t xml:space="preserve"> 023  Колбаса Докторская ГОСТ, Вязанка вектор, 0,4 кг, ПОКОМ</t>
        </is>
      </c>
      <c r="B9" s="1" t="inlineStr">
        <is>
          <t>шт</t>
        </is>
      </c>
      <c r="C9" s="1" t="n">
        <v>2</v>
      </c>
      <c r="D9" s="1" t="n">
        <v>1</v>
      </c>
      <c r="E9" s="1" t="n">
        <v>1</v>
      </c>
      <c r="F9" s="1" t="n">
        <v>1</v>
      </c>
      <c r="G9" s="1" t="n">
        <v>0.4</v>
      </c>
      <c r="H9" s="1" t="n">
        <v>50</v>
      </c>
      <c r="I9" s="1" t="inlineStr">
        <is>
          <t>матрица</t>
        </is>
      </c>
      <c r="J9" s="1" t="n"/>
      <c r="K9" s="1" t="n">
        <v>2</v>
      </c>
      <c r="L9" s="1">
        <f>E9-K9</f>
        <v/>
      </c>
      <c r="M9" s="1" t="n"/>
      <c r="N9" s="1" t="n"/>
      <c r="O9" s="1" t="n">
        <v>0</v>
      </c>
      <c r="P9" s="1" t="n"/>
      <c r="Q9" s="1" t="n"/>
      <c r="R9" s="1" t="n"/>
      <c r="S9" s="1" t="n"/>
      <c r="T9" s="1" t="n">
        <v>15</v>
      </c>
      <c r="U9" s="1" t="n"/>
      <c r="V9" s="1" t="n"/>
      <c r="W9" s="1" t="n"/>
      <c r="X9" s="1" t="n">
        <v>13.414</v>
      </c>
      <c r="Y9" s="1" t="n"/>
      <c r="Z9" s="5" t="n"/>
      <c r="AA9" s="5" t="n"/>
      <c r="AB9" s="1" t="n"/>
      <c r="AC9" s="1" t="n"/>
      <c r="AD9" s="1" t="n"/>
      <c r="AE9" s="1" t="n">
        <v>2.2</v>
      </c>
      <c r="AF9" s="1" t="n">
        <v>2</v>
      </c>
      <c r="AG9" s="1" t="n">
        <v>0</v>
      </c>
      <c r="AH9" s="1" t="n">
        <v>0.2</v>
      </c>
      <c r="AI9" s="1" t="n">
        <v>2.4</v>
      </c>
      <c r="AJ9" s="1" t="n">
        <v>1.8</v>
      </c>
      <c r="AK9" s="1" t="n">
        <v>-0.2</v>
      </c>
      <c r="AL9" s="1" t="n">
        <v>0.2</v>
      </c>
      <c r="AM9" s="1" t="n">
        <v>1.2</v>
      </c>
      <c r="AN9" s="1" t="inlineStr">
        <is>
          <t>18шт списано (19,09,26) / 19 шт списано (12,07,26)</t>
        </is>
      </c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</row>
    <row r="10">
      <c r="A10" s="1" t="inlineStr">
        <is>
          <t xml:space="preserve"> 030  Сосиски Вязанка Молочные, Вязанка вискофан МГС, 0.45кг, ПОКОМ</t>
        </is>
      </c>
      <c r="B10" s="1" t="inlineStr">
        <is>
          <t>шт</t>
        </is>
      </c>
      <c r="C10" s="1" t="n">
        <v>2660</v>
      </c>
      <c r="D10" s="1" t="n">
        <v>4121</v>
      </c>
      <c r="E10" s="1" t="n">
        <v>1630</v>
      </c>
      <c r="F10" s="1" t="n">
        <v>3208</v>
      </c>
      <c r="G10" s="1" t="n">
        <v>0.45</v>
      </c>
      <c r="H10" s="1" t="n">
        <v>45</v>
      </c>
      <c r="I10" s="1" t="inlineStr">
        <is>
          <t>матрица</t>
        </is>
      </c>
      <c r="J10" s="1" t="n"/>
      <c r="K10" s="1" t="n">
        <v>1750</v>
      </c>
      <c r="L10" s="1">
        <f>E10-K10</f>
        <v/>
      </c>
      <c r="M10" s="1" t="n"/>
      <c r="N10" s="1" t="n"/>
      <c r="O10" s="1" t="n">
        <v>1148.47011552</v>
      </c>
      <c r="P10" s="1" t="n"/>
      <c r="Q10" s="1" t="n"/>
      <c r="R10" s="1" t="n">
        <v>2126.32348448</v>
      </c>
      <c r="S10" s="1" t="n"/>
      <c r="T10" s="1" t="n">
        <v>400</v>
      </c>
      <c r="U10" s="1" t="n"/>
      <c r="V10" s="1" t="n">
        <v>1600</v>
      </c>
      <c r="W10" s="1" t="n"/>
      <c r="X10" s="1" t="n">
        <v>2688.028400000001</v>
      </c>
      <c r="Y10" s="1" t="n"/>
      <c r="Z10" s="5" t="n"/>
      <c r="AA10" s="5" t="n"/>
      <c r="AB10" s="1" t="n"/>
      <c r="AC10" s="1" t="n"/>
      <c r="AD10" s="1" t="n"/>
      <c r="AE10" s="1" t="n">
        <v>640.6</v>
      </c>
      <c r="AF10" s="1" t="n">
        <v>845.8</v>
      </c>
      <c r="AG10" s="1" t="n">
        <v>569</v>
      </c>
      <c r="AH10" s="1" t="n">
        <v>530.8671999999999</v>
      </c>
      <c r="AI10" s="1" t="n">
        <v>514.4671999999999</v>
      </c>
      <c r="AJ10" s="1" t="n">
        <v>409.866</v>
      </c>
      <c r="AK10" s="1" t="n">
        <v>437.2</v>
      </c>
      <c r="AL10" s="1" t="n">
        <v>412</v>
      </c>
      <c r="AM10" s="1" t="n">
        <v>405</v>
      </c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</row>
    <row r="11">
      <c r="A11" s="1" t="inlineStr">
        <is>
          <t xml:space="preserve"> 032  Сосиски Вязанка Сливочные, Вязанка амицел МГС, 0.45кг, ПОКОМ</t>
        </is>
      </c>
      <c r="B11" s="1" t="inlineStr">
        <is>
          <t>шт</t>
        </is>
      </c>
      <c r="C11" s="1" t="n">
        <v>2792</v>
      </c>
      <c r="D11" s="1" t="n">
        <v>4979</v>
      </c>
      <c r="E11" s="1" t="n">
        <v>2513</v>
      </c>
      <c r="F11" s="1" t="n">
        <v>4763</v>
      </c>
      <c r="G11" s="1" t="n">
        <v>0.45</v>
      </c>
      <c r="H11" s="1" t="n">
        <v>45</v>
      </c>
      <c r="I11" s="1" t="inlineStr">
        <is>
          <t>матрица</t>
        </is>
      </c>
      <c r="J11" s="1" t="n"/>
      <c r="K11" s="1" t="n">
        <v>2591</v>
      </c>
      <c r="L11" s="1">
        <f>E11-K11</f>
        <v/>
      </c>
      <c r="M11" s="1" t="n"/>
      <c r="N11" s="1" t="n"/>
      <c r="O11" s="1" t="n">
        <v>1499.860363260001</v>
      </c>
      <c r="P11" s="1" t="n"/>
      <c r="Q11" s="1" t="n"/>
      <c r="R11" s="1" t="n">
        <v>2776.901436740001</v>
      </c>
      <c r="S11" s="1" t="n"/>
      <c r="T11" s="1" t="n">
        <v>226.0319999999999</v>
      </c>
      <c r="U11" s="1" t="n"/>
      <c r="V11" s="1" t="n">
        <v>904.1279999999999</v>
      </c>
      <c r="W11" s="1" t="n"/>
      <c r="X11" s="1" t="n">
        <v>0</v>
      </c>
      <c r="Y11" s="1" t="n"/>
      <c r="Z11" s="5" t="n"/>
      <c r="AA11" s="5" t="n"/>
      <c r="AB11" s="1" t="n"/>
      <c r="AC11" s="1" t="n"/>
      <c r="AD11" s="1" t="n"/>
      <c r="AE11" s="1" t="n">
        <v>524</v>
      </c>
      <c r="AF11" s="1" t="n">
        <v>664.8</v>
      </c>
      <c r="AG11" s="1" t="n">
        <v>660.6</v>
      </c>
      <c r="AH11" s="1" t="n">
        <v>572.6762</v>
      </c>
      <c r="AI11" s="1" t="n">
        <v>553.8761999999999</v>
      </c>
      <c r="AJ11" s="1" t="n">
        <v>632.423</v>
      </c>
      <c r="AK11" s="1" t="n">
        <v>674.2</v>
      </c>
      <c r="AL11" s="1" t="n">
        <v>625.2</v>
      </c>
      <c r="AM11" s="1" t="n">
        <v>641.4</v>
      </c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</row>
    <row r="12">
      <c r="A12" s="1" t="inlineStr">
        <is>
          <t xml:space="preserve"> 047  Кол Баварская, белков.обол. в термоусад. пакете 0.17 кг, ТМ Стародворье  ПОКОМ</t>
        </is>
      </c>
      <c r="B12" s="1" t="inlineStr">
        <is>
          <t>шт</t>
        </is>
      </c>
      <c r="C12" s="1" t="n">
        <v>63</v>
      </c>
      <c r="D12" s="1" t="n">
        <v>152</v>
      </c>
      <c r="E12" s="1" t="n">
        <v>74</v>
      </c>
      <c r="F12" s="1" t="n">
        <v>135</v>
      </c>
      <c r="G12" s="1" t="n">
        <v>0.17</v>
      </c>
      <c r="H12" s="1" t="n">
        <v>180</v>
      </c>
      <c r="I12" s="1" t="inlineStr">
        <is>
          <t>матрица</t>
        </is>
      </c>
      <c r="J12" s="1" t="n"/>
      <c r="K12" s="1" t="n">
        <v>78</v>
      </c>
      <c r="L12" s="1">
        <f>E12-K12</f>
        <v/>
      </c>
      <c r="M12" s="1" t="n"/>
      <c r="N12" s="1" t="n"/>
      <c r="O12" s="1" t="n">
        <v>47.97575999999999</v>
      </c>
      <c r="P12" s="1" t="n"/>
      <c r="Q12" s="1" t="n"/>
      <c r="R12" s="1" t="n">
        <v>88.82423999999999</v>
      </c>
      <c r="S12" s="1" t="n"/>
      <c r="T12" s="1" t="n">
        <v>88.20000000000005</v>
      </c>
      <c r="U12" s="1" t="n"/>
      <c r="V12" s="1" t="n"/>
      <c r="W12" s="1" t="n"/>
      <c r="X12" s="1" t="n">
        <v>71.81399999999996</v>
      </c>
      <c r="Y12" s="1" t="n"/>
      <c r="Z12" s="5" t="n"/>
      <c r="AA12" s="5" t="n"/>
      <c r="AB12" s="1" t="n"/>
      <c r="AC12" s="1" t="n"/>
      <c r="AD12" s="1" t="n"/>
      <c r="AE12" s="1" t="n">
        <v>22.2</v>
      </c>
      <c r="AF12" s="1" t="n">
        <v>26</v>
      </c>
      <c r="AG12" s="1" t="n">
        <v>20.4</v>
      </c>
      <c r="AH12" s="1" t="n">
        <v>9.4</v>
      </c>
      <c r="AI12" s="1" t="n">
        <v>17.2</v>
      </c>
      <c r="AJ12" s="1" t="n">
        <v>19.6</v>
      </c>
      <c r="AK12" s="1" t="n">
        <v>12.4</v>
      </c>
      <c r="AL12" s="1" t="n">
        <v>8.6</v>
      </c>
      <c r="AM12" s="1" t="n">
        <v>13.8</v>
      </c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</row>
    <row r="13">
      <c r="A13" s="1" t="inlineStr">
        <is>
          <t xml:space="preserve"> 062  Колбаса Кракушка пряная с сальцем, 0.3кг в/у п/к, БАВАРУШКА ПОКОМ</t>
        </is>
      </c>
      <c r="B13" s="1" t="inlineStr">
        <is>
          <t>шт</t>
        </is>
      </c>
      <c r="C13" s="1" t="n">
        <v>56</v>
      </c>
      <c r="D13" s="1" t="n">
        <v>26</v>
      </c>
      <c r="E13" s="1" t="n">
        <v>38</v>
      </c>
      <c r="F13" s="1" t="n">
        <v>31</v>
      </c>
      <c r="G13" s="1" t="n">
        <v>0.3</v>
      </c>
      <c r="H13" s="1" t="n">
        <v>40</v>
      </c>
      <c r="I13" s="1" t="inlineStr">
        <is>
          <t>НЕДОГРУЗ / матрица</t>
        </is>
      </c>
      <c r="J13" s="1" t="n"/>
      <c r="K13" s="1" t="n">
        <v>50</v>
      </c>
      <c r="L13" s="1">
        <f>E13-K13</f>
        <v/>
      </c>
      <c r="M13" s="1" t="n"/>
      <c r="N13" s="1" t="n"/>
      <c r="O13" s="1" t="n">
        <v>0</v>
      </c>
      <c r="P13" s="1" t="n"/>
      <c r="Q13" s="1" t="n"/>
      <c r="R13" s="1" t="n"/>
      <c r="S13" s="1" t="n"/>
      <c r="T13" s="1" t="n">
        <v>13</v>
      </c>
      <c r="U13" s="1" t="n"/>
      <c r="V13" s="1" t="n"/>
      <c r="W13" s="1" t="n"/>
      <c r="X13" s="1" t="n">
        <v>72.54000000000002</v>
      </c>
      <c r="Y13" s="1" t="n"/>
      <c r="Z13" s="5" t="n"/>
      <c r="AA13" s="5" t="n"/>
      <c r="AB13" s="1" t="n"/>
      <c r="AC13" s="1" t="n"/>
      <c r="AD13" s="1" t="n"/>
      <c r="AE13" s="1" t="n">
        <v>9.4</v>
      </c>
      <c r="AF13" s="1" t="n">
        <v>6.8</v>
      </c>
      <c r="AG13" s="1" t="n">
        <v>5.8</v>
      </c>
      <c r="AH13" s="1" t="n">
        <v>9.199999999999999</v>
      </c>
      <c r="AI13" s="1" t="n">
        <v>8.6</v>
      </c>
      <c r="AJ13" s="1" t="n">
        <v>7</v>
      </c>
      <c r="AK13" s="1" t="n">
        <v>4</v>
      </c>
      <c r="AL13" s="1" t="n">
        <v>3</v>
      </c>
      <c r="AM13" s="1" t="n">
        <v>6.2</v>
      </c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</row>
    <row r="14">
      <c r="A14" s="1" t="inlineStr">
        <is>
          <t xml:space="preserve"> 083  Колбаса Швейцарская 0,17 кг., ШТ., сырокопченая   ПОКОМ</t>
        </is>
      </c>
      <c r="B14" s="1" t="inlineStr">
        <is>
          <t>шт</t>
        </is>
      </c>
      <c r="C14" s="1" t="n">
        <v>114</v>
      </c>
      <c r="D14" s="1" t="n">
        <v>303</v>
      </c>
      <c r="E14" s="1" t="n">
        <v>178</v>
      </c>
      <c r="F14" s="1" t="n">
        <v>167</v>
      </c>
      <c r="G14" s="1" t="n">
        <v>0.17</v>
      </c>
      <c r="H14" s="1" t="n">
        <v>180</v>
      </c>
      <c r="I14" s="1" t="inlineStr">
        <is>
          <t>матрица</t>
        </is>
      </c>
      <c r="J14" s="1" t="n"/>
      <c r="K14" s="1" t="n">
        <v>185</v>
      </c>
      <c r="L14" s="1">
        <f>E14-K14</f>
        <v/>
      </c>
      <c r="M14" s="1" t="n"/>
      <c r="N14" s="1" t="n"/>
      <c r="O14" s="1" t="n">
        <v>76.1580120000001</v>
      </c>
      <c r="P14" s="1" t="n"/>
      <c r="Q14" s="1" t="n"/>
      <c r="R14" s="1" t="n">
        <v>141.0019880000002</v>
      </c>
      <c r="S14" s="1" t="n"/>
      <c r="T14" s="1" t="n">
        <v>66.39999999999998</v>
      </c>
      <c r="U14" s="1" t="n"/>
      <c r="V14" s="1" t="n"/>
      <c r="W14" s="1" t="n"/>
      <c r="X14" s="1" t="n">
        <v>68.99799999999968</v>
      </c>
      <c r="Y14" s="1" t="n"/>
      <c r="Z14" s="5" t="n"/>
      <c r="AA14" s="5" t="n"/>
      <c r="AB14" s="1" t="n"/>
      <c r="AC14" s="1" t="n"/>
      <c r="AD14" s="1" t="n"/>
      <c r="AE14" s="1" t="n">
        <v>33.4</v>
      </c>
      <c r="AF14" s="1" t="n">
        <v>40.6</v>
      </c>
      <c r="AG14" s="1" t="n">
        <v>38.6</v>
      </c>
      <c r="AH14" s="1" t="n">
        <v>32.8</v>
      </c>
      <c r="AI14" s="1" t="n">
        <v>33.2</v>
      </c>
      <c r="AJ14" s="1" t="n">
        <v>32.8</v>
      </c>
      <c r="AK14" s="1" t="n">
        <v>30.2</v>
      </c>
      <c r="AL14" s="1" t="n">
        <v>29.8</v>
      </c>
      <c r="AM14" s="1" t="n">
        <v>18.6</v>
      </c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</row>
    <row r="15">
      <c r="A15" s="6" t="inlineStr">
        <is>
          <t xml:space="preserve"> 103  Сосиски Классические, 0.42кг,ядрена копотьПОКОМ</t>
        </is>
      </c>
      <c r="B15" s="1" t="inlineStr">
        <is>
          <t>шт</t>
        </is>
      </c>
      <c r="C15" s="1" t="n"/>
      <c r="D15" s="1" t="n"/>
      <c r="E15" s="1" t="n">
        <v>-2</v>
      </c>
      <c r="F15" s="1" t="n"/>
      <c r="G15" s="1" t="n">
        <v>0</v>
      </c>
      <c r="H15" s="1" t="n"/>
      <c r="I15" s="1" t="inlineStr">
        <is>
          <t>не в матрице</t>
        </is>
      </c>
      <c r="J15" s="1" t="n"/>
      <c r="K15" s="1" t="n"/>
      <c r="L15" s="1">
        <f>E15-K15</f>
        <v/>
      </c>
      <c r="M15" s="1" t="n"/>
      <c r="N15" s="1" t="n"/>
      <c r="O15" s="1" t="n">
        <v>0</v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>
        <v>0</v>
      </c>
      <c r="Y15" s="1" t="n"/>
      <c r="Z15" s="5" t="n"/>
      <c r="AA15" s="5" t="n"/>
      <c r="AB15" s="1" t="n"/>
      <c r="AC15" s="1" t="n"/>
      <c r="AD15" s="1" t="n"/>
      <c r="AE15" s="1" t="n">
        <v>-0.6</v>
      </c>
      <c r="AF15" s="1" t="n">
        <v>-0.4</v>
      </c>
      <c r="AG15" s="1" t="n">
        <v>-0.2</v>
      </c>
      <c r="AH15" s="1" t="n">
        <v>0</v>
      </c>
      <c r="AI15" s="1" t="n">
        <v>0.4</v>
      </c>
      <c r="AJ15" s="1" t="n">
        <v>0</v>
      </c>
      <c r="AK15" s="1" t="n">
        <v>0.4</v>
      </c>
      <c r="AL15" s="1" t="n">
        <v>1.8</v>
      </c>
      <c r="AM15" s="1" t="n">
        <v>7.8</v>
      </c>
      <c r="AN15" s="1" t="inlineStr">
        <is>
          <t>Продукция для ПРС!!!</t>
        </is>
      </c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</row>
    <row r="16">
      <c r="A16" s="1" t="inlineStr">
        <is>
          <t xml:space="preserve"> 200  Ветчина Дугушка ТМ Стародворье, вектор в/у    ПОКОМ</t>
        </is>
      </c>
      <c r="B16" s="1" t="inlineStr">
        <is>
          <t>кг</t>
        </is>
      </c>
      <c r="C16" s="1" t="n">
        <v>4343.655</v>
      </c>
      <c r="D16" s="1" t="n">
        <v>7608.822</v>
      </c>
      <c r="E16" s="1" t="n">
        <v>4572.41</v>
      </c>
      <c r="F16" s="1" t="n">
        <v>5761.88</v>
      </c>
      <c r="G16" s="1" t="n">
        <v>1</v>
      </c>
      <c r="H16" s="1" t="n">
        <v>70</v>
      </c>
      <c r="I16" s="1" t="inlineStr">
        <is>
          <t>НЕДОГРУЗ / матрица</t>
        </is>
      </c>
      <c r="J16" s="1" t="n"/>
      <c r="K16" s="1" t="n">
        <v>4402.373</v>
      </c>
      <c r="L16" s="1">
        <f>E16-K16</f>
        <v/>
      </c>
      <c r="M16" s="1" t="n"/>
      <c r="N16" s="1" t="n"/>
      <c r="O16" s="1" t="n">
        <v>1809.843800000001</v>
      </c>
      <c r="P16" s="1" t="n"/>
      <c r="Q16" s="1" t="n"/>
      <c r="R16" s="1" t="n">
        <v>832.5281480000007</v>
      </c>
      <c r="S16" s="1" t="n"/>
      <c r="T16" s="1" t="n">
        <v>0</v>
      </c>
      <c r="U16" s="1" t="n"/>
      <c r="V16" s="1" t="n"/>
      <c r="W16" s="1" t="n"/>
      <c r="X16" s="1" t="n">
        <v>0</v>
      </c>
      <c r="Y16" s="1" t="n"/>
      <c r="Z16" s="5" t="n"/>
      <c r="AA16" s="5" t="n"/>
      <c r="AB16" s="1" t="n"/>
      <c r="AC16" s="1" t="n"/>
      <c r="AD16" s="1" t="n"/>
      <c r="AE16" s="1" t="n">
        <v>675.8733999999999</v>
      </c>
      <c r="AF16" s="1" t="n">
        <v>648.8124</v>
      </c>
      <c r="AG16" s="1" t="n">
        <v>873.2804</v>
      </c>
      <c r="AH16" s="1" t="n">
        <v>934.933</v>
      </c>
      <c r="AI16" s="1" t="n">
        <v>830.7464</v>
      </c>
      <c r="AJ16" s="1" t="n">
        <v>811.1769999999999</v>
      </c>
      <c r="AK16" s="1" t="n">
        <v>526.5364</v>
      </c>
      <c r="AL16" s="1" t="n">
        <v>424.8746</v>
      </c>
      <c r="AM16" s="1" t="n">
        <v>573.029</v>
      </c>
      <c r="AN16" s="1" t="inlineStr">
        <is>
          <t>ПРОМО сентябрь</t>
        </is>
      </c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</row>
    <row r="17">
      <c r="A17" s="1" t="inlineStr">
        <is>
          <t xml:space="preserve"> 201  Ветчина Нежная ТМ Особый рецепт, (2,5кг), ПОКОМ</t>
        </is>
      </c>
      <c r="B17" s="1" t="inlineStr">
        <is>
          <t>кг</t>
        </is>
      </c>
      <c r="C17" s="1" t="n">
        <v>5271.609</v>
      </c>
      <c r="D17" s="1" t="n">
        <v>7028.664</v>
      </c>
      <c r="E17" s="1" t="n">
        <v>3769.027</v>
      </c>
      <c r="F17" s="1" t="n">
        <v>5110</v>
      </c>
      <c r="G17" s="1" t="n">
        <v>1</v>
      </c>
      <c r="H17" s="1" t="n">
        <v>50</v>
      </c>
      <c r="I17" s="1" t="inlineStr">
        <is>
          <t>матрица</t>
        </is>
      </c>
      <c r="J17" s="1" t="n"/>
      <c r="K17" s="1" t="n">
        <v>3819.333</v>
      </c>
      <c r="L17" s="1">
        <f>E17-K17</f>
        <v/>
      </c>
      <c r="M17" s="1" t="n"/>
      <c r="N17" s="1" t="n"/>
      <c r="O17" s="1" t="n">
        <v>1282.9363512</v>
      </c>
      <c r="P17" s="1" t="n"/>
      <c r="Q17" s="1" t="n"/>
      <c r="R17" s="1" t="n">
        <v>2375.279648800001</v>
      </c>
      <c r="S17" s="1" t="n"/>
      <c r="T17" s="1" t="n">
        <v>120</v>
      </c>
      <c r="U17" s="1" t="n"/>
      <c r="V17" s="1" t="n">
        <v>480</v>
      </c>
      <c r="W17" s="1" t="n"/>
      <c r="X17" s="1" t="n">
        <v>854.6476480000001</v>
      </c>
      <c r="Y17" s="1" t="n"/>
      <c r="Z17" s="5" t="n"/>
      <c r="AA17" s="5" t="n"/>
      <c r="AB17" s="1" t="n"/>
      <c r="AC17" s="1" t="n"/>
      <c r="AD17" s="1" t="n"/>
      <c r="AE17" s="1" t="n">
        <v>623.8304000000001</v>
      </c>
      <c r="AF17" s="1" t="n">
        <v>608.6706</v>
      </c>
      <c r="AG17" s="1" t="n">
        <v>760.835</v>
      </c>
      <c r="AH17" s="1" t="n">
        <v>778.136</v>
      </c>
      <c r="AI17" s="1" t="n">
        <v>651.7174</v>
      </c>
      <c r="AJ17" s="1" t="n">
        <v>634.6946</v>
      </c>
      <c r="AK17" s="1" t="n">
        <v>404.8439999999999</v>
      </c>
      <c r="AL17" s="1" t="n">
        <v>323.948</v>
      </c>
      <c r="AM17" s="1" t="n">
        <v>431.1378000000001</v>
      </c>
      <c r="AN17" s="1" t="inlineStr">
        <is>
          <t>ПРОМО сентябрь</t>
        </is>
      </c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</row>
    <row r="18">
      <c r="A18" s="1" t="inlineStr">
        <is>
          <t xml:space="preserve"> 215  Колбаса Докторская ГОСТ Дугушка, ВЕС, ТМ Стародворье ПОКОМ</t>
        </is>
      </c>
      <c r="B18" s="1" t="inlineStr">
        <is>
          <t>кг</t>
        </is>
      </c>
      <c r="C18" s="1" t="n">
        <v>481.674</v>
      </c>
      <c r="D18" s="1" t="n">
        <v>21.334</v>
      </c>
      <c r="E18" s="1" t="n">
        <v>404.886</v>
      </c>
      <c r="F18" s="1" t="n">
        <v>92.783</v>
      </c>
      <c r="G18" s="1" t="n">
        <v>1</v>
      </c>
      <c r="H18" s="1" t="n">
        <v>60</v>
      </c>
      <c r="I18" s="1" t="inlineStr">
        <is>
          <t>матрица</t>
        </is>
      </c>
      <c r="J18" s="1" t="n"/>
      <c r="K18" s="1" t="n">
        <v>395</v>
      </c>
      <c r="L18" s="1">
        <f>E18-K18</f>
        <v/>
      </c>
      <c r="M18" s="1" t="n"/>
      <c r="N18" s="1" t="n"/>
      <c r="O18" s="1" t="n">
        <v>19.60659999999996</v>
      </c>
      <c r="P18" s="1" t="n"/>
      <c r="Q18" s="1" t="n"/>
      <c r="R18" s="1" t="n"/>
      <c r="S18" s="1" t="n"/>
      <c r="T18" s="1" t="n">
        <v>32.23620000000011</v>
      </c>
      <c r="U18" s="1" t="n"/>
      <c r="V18" s="1" t="n">
        <v>20</v>
      </c>
      <c r="W18" s="1" t="n"/>
      <c r="X18" s="1" t="n">
        <v>230.517432</v>
      </c>
      <c r="Y18" s="1" t="n"/>
      <c r="Z18" s="5" t="n"/>
      <c r="AA18" s="5" t="n"/>
      <c r="AB18" s="1" t="n"/>
      <c r="AC18" s="1" t="n"/>
      <c r="AD18" s="1" t="n"/>
      <c r="AE18" s="1" t="n">
        <v>49.1336</v>
      </c>
      <c r="AF18" s="1" t="n">
        <v>48.9528</v>
      </c>
      <c r="AG18" s="1" t="n">
        <v>44.7038</v>
      </c>
      <c r="AH18" s="1" t="n">
        <v>25.6744</v>
      </c>
      <c r="AI18" s="1" t="n">
        <v>21.1402</v>
      </c>
      <c r="AJ18" s="1" t="n">
        <v>46.8898</v>
      </c>
      <c r="AK18" s="1" t="n">
        <v>48.1516</v>
      </c>
      <c r="AL18" s="1" t="n">
        <v>42.8626</v>
      </c>
      <c r="AM18" s="1" t="n">
        <v>21.7056</v>
      </c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</row>
    <row r="19">
      <c r="A19" s="6" t="inlineStr">
        <is>
          <t xml:space="preserve"> 219  Колбаса Докторская Особая ТМ Особый рецепт, ВЕС  ПОКОМ</t>
        </is>
      </c>
      <c r="B19" s="1" t="inlineStr">
        <is>
          <t>кг</t>
        </is>
      </c>
      <c r="C19" s="1" t="n"/>
      <c r="D19" s="1" t="n"/>
      <c r="E19" s="1" t="n"/>
      <c r="F19" s="1" t="n"/>
      <c r="G19" s="1" t="n">
        <v>0</v>
      </c>
      <c r="H19" s="1" t="n"/>
      <c r="I19" s="1" t="inlineStr">
        <is>
          <t>дубль</t>
        </is>
      </c>
      <c r="J19" s="1" t="inlineStr">
        <is>
          <t xml:space="preserve"> 597  Колбаса Классическая ТМ Особый рецепт в оболочке полиамид ВЕС. ПОКОМ</t>
        </is>
      </c>
      <c r="K19" s="1" t="n"/>
      <c r="L19" s="1">
        <f>E19-K19</f>
        <v/>
      </c>
      <c r="M19" s="1" t="n"/>
      <c r="N19" s="1" t="n"/>
      <c r="O19" s="1" t="n">
        <v>0</v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>
        <v>0</v>
      </c>
      <c r="Y19" s="1" t="n"/>
      <c r="Z19" s="5" t="n"/>
      <c r="AA19" s="5" t="n"/>
      <c r="AB19" s="1" t="n"/>
      <c r="AC19" s="1" t="n"/>
      <c r="AD19" s="1" t="n"/>
      <c r="AE19" s="1" t="n">
        <v>-0.104</v>
      </c>
      <c r="AF19" s="1" t="n">
        <v>-0.104</v>
      </c>
      <c r="AG19" s="1" t="n">
        <v>0.425</v>
      </c>
      <c r="AH19" s="1" t="n">
        <v>0.425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</row>
    <row r="20">
      <c r="A20" s="6" t="inlineStr">
        <is>
          <t xml:space="preserve"> 225  Колбаса Дугушка со шпиком, ВЕС, ТМ Стародворье   ПОКОМ</t>
        </is>
      </c>
      <c r="B20" s="1" t="inlineStr">
        <is>
          <t>кг</t>
        </is>
      </c>
      <c r="C20" s="1" t="n"/>
      <c r="D20" s="1" t="n"/>
      <c r="E20" s="1" t="n"/>
      <c r="F20" s="1" t="n"/>
      <c r="G20" s="1" t="n">
        <v>0</v>
      </c>
      <c r="H20" s="1" t="n"/>
      <c r="I20" s="1" t="inlineStr">
        <is>
          <t>матрица</t>
        </is>
      </c>
      <c r="J20" s="1" t="n"/>
      <c r="K20" s="1" t="n"/>
      <c r="L20" s="1">
        <f>E20-K20</f>
        <v/>
      </c>
      <c r="M20" s="1" t="n"/>
      <c r="N20" s="1" t="n"/>
      <c r="O20" s="1" t="n">
        <v>0</v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>
        <v>0</v>
      </c>
      <c r="Y20" s="1" t="n"/>
      <c r="Z20" s="5" t="n"/>
      <c r="AA20" s="5" t="n"/>
      <c r="AB20" s="1" t="n"/>
      <c r="AC20" s="1" t="n"/>
      <c r="AD20" s="1" t="n"/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inlineStr">
        <is>
          <t>нет потребности</t>
        </is>
      </c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</row>
    <row r="21">
      <c r="A21" s="1" t="inlineStr">
        <is>
          <t xml:space="preserve"> 226  Колбаса Княжеская, с/к белков.обол в термоусад. пакете, ВЕС, ТМ Стародворье ПОКОМ</t>
        </is>
      </c>
      <c r="B21" s="1" t="inlineStr">
        <is>
          <t>кг</t>
        </is>
      </c>
      <c r="C21" s="1" t="n">
        <v>15.748</v>
      </c>
      <c r="D21" s="1" t="n">
        <v>0.345</v>
      </c>
      <c r="E21" s="1" t="n">
        <v>3.401</v>
      </c>
      <c r="F21" s="1" t="n">
        <v>11.653</v>
      </c>
      <c r="G21" s="1" t="n">
        <v>1</v>
      </c>
      <c r="H21" s="1" t="n">
        <v>180</v>
      </c>
      <c r="I21" s="1" t="inlineStr">
        <is>
          <t>матрица</t>
        </is>
      </c>
      <c r="J21" s="1" t="n"/>
      <c r="K21" s="1" t="n">
        <v>4.014</v>
      </c>
      <c r="L21" s="1">
        <f>E21-K21</f>
        <v/>
      </c>
      <c r="M21" s="1" t="n"/>
      <c r="N21" s="1" t="n"/>
      <c r="O21" s="1" t="n">
        <v>0</v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>
        <v>0</v>
      </c>
      <c r="Y21" s="1" t="n"/>
      <c r="Z21" s="5" t="n"/>
      <c r="AA21" s="5" t="n"/>
      <c r="AB21" s="1" t="n"/>
      <c r="AC21" s="1" t="n"/>
      <c r="AD21" s="1" t="n"/>
      <c r="AE21" s="1" t="n">
        <v>0.8224</v>
      </c>
      <c r="AF21" s="1" t="n">
        <v>0.6900000000000001</v>
      </c>
      <c r="AG21" s="1" t="n">
        <v>0.419</v>
      </c>
      <c r="AH21" s="1" t="n">
        <v>0.9221999999999999</v>
      </c>
      <c r="AI21" s="1" t="n">
        <v>1.436</v>
      </c>
      <c r="AJ21" s="1" t="n">
        <v>1.0902</v>
      </c>
      <c r="AK21" s="1" t="n">
        <v>0.649</v>
      </c>
      <c r="AL21" s="1" t="n">
        <v>0.7014</v>
      </c>
      <c r="AM21" s="1" t="n">
        <v>0.7548</v>
      </c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</row>
    <row r="22">
      <c r="A22" s="1" t="inlineStr">
        <is>
          <t xml:space="preserve"> 229  Колбаса Молочная Дугушка, в/у, ВЕС, ТМ Стародворье   ПОКОМ</t>
        </is>
      </c>
      <c r="B22" s="1" t="inlineStr">
        <is>
          <t>кг</t>
        </is>
      </c>
      <c r="C22" s="1" t="n">
        <v>4473.97</v>
      </c>
      <c r="D22" s="1" t="n">
        <v>4271.495</v>
      </c>
      <c r="E22" s="1" t="n">
        <v>5044.783</v>
      </c>
      <c r="F22" s="1" t="n">
        <v>2340.965</v>
      </c>
      <c r="G22" s="1" t="n">
        <v>1</v>
      </c>
      <c r="H22" s="1" t="n">
        <v>60</v>
      </c>
      <c r="I22" s="1" t="inlineStr">
        <is>
          <t>матрица</t>
        </is>
      </c>
      <c r="J22" s="1" t="n"/>
      <c r="K22" s="1" t="n">
        <v>4886.994</v>
      </c>
      <c r="L22" s="1">
        <f>E22-K22</f>
        <v/>
      </c>
      <c r="M22" s="1" t="n"/>
      <c r="N22" s="1" t="n">
        <v>457.914</v>
      </c>
      <c r="O22" s="1" t="n">
        <v>561.3875139600002</v>
      </c>
      <c r="P22" s="1" t="n"/>
      <c r="Q22" s="1" t="n"/>
      <c r="R22" s="1" t="n">
        <v>1039.37528604</v>
      </c>
      <c r="S22" s="1" t="n"/>
      <c r="T22" s="1" t="n">
        <v>383.429576</v>
      </c>
      <c r="U22" s="1" t="n"/>
      <c r="V22" s="1" t="n">
        <v>1533.718304</v>
      </c>
      <c r="W22" s="1" t="n"/>
      <c r="X22" s="1" t="n">
        <v>1732.591593999998</v>
      </c>
      <c r="Y22" s="1" t="n"/>
      <c r="Z22" s="5" t="n"/>
      <c r="AA22" s="5" t="n"/>
      <c r="AB22" s="1" t="n"/>
      <c r="AC22" s="1" t="n"/>
      <c r="AD22" s="1" t="n"/>
      <c r="AE22" s="1" t="n">
        <v>723.8801999999999</v>
      </c>
      <c r="AF22" s="1" t="n">
        <v>773.4884000000001</v>
      </c>
      <c r="AG22" s="1" t="n">
        <v>732.9714</v>
      </c>
      <c r="AH22" s="1" t="n">
        <v>804.4324</v>
      </c>
      <c r="AI22" s="1" t="n">
        <v>875.0271999999999</v>
      </c>
      <c r="AJ22" s="1" t="n">
        <v>948.6904000000001</v>
      </c>
      <c r="AK22" s="1" t="n">
        <v>609.1674</v>
      </c>
      <c r="AL22" s="1" t="n">
        <v>570.2574</v>
      </c>
      <c r="AM22" s="1" t="n">
        <v>752.9114</v>
      </c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</row>
    <row r="23">
      <c r="A23" s="6" t="inlineStr">
        <is>
          <t xml:space="preserve"> 230  Колбаса Молочная Особая ТМ Особый рецепт, п/а, ВЕС. ПОКОМ</t>
        </is>
      </c>
      <c r="B23" s="1" t="inlineStr">
        <is>
          <t>кг</t>
        </is>
      </c>
      <c r="C23" s="1" t="n"/>
      <c r="D23" s="1" t="n"/>
      <c r="E23" s="1" t="n"/>
      <c r="F23" s="1" t="n"/>
      <c r="G23" s="1" t="n">
        <v>0</v>
      </c>
      <c r="H23" s="1" t="n"/>
      <c r="I23" s="1" t="inlineStr">
        <is>
          <t>не в матрице</t>
        </is>
      </c>
      <c r="J23" s="1" t="inlineStr">
        <is>
          <t xml:space="preserve"> 457  Колбаса Молочная ТМ Особый рецепт ВЕС большой батон  ПОКОМ</t>
        </is>
      </c>
      <c r="K23" s="1" t="n"/>
      <c r="L23" s="1">
        <f>E23-K23</f>
        <v/>
      </c>
      <c r="M23" s="1" t="n"/>
      <c r="N23" s="1" t="n"/>
      <c r="O23" s="1" t="n">
        <v>0</v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>
        <v>0</v>
      </c>
      <c r="Y23" s="1" t="n"/>
      <c r="Z23" s="5" t="n"/>
      <c r="AA23" s="5" t="n"/>
      <c r="AB23" s="1" t="n"/>
      <c r="AC23" s="1" t="n"/>
      <c r="AD23" s="1" t="n"/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0.5042</v>
      </c>
      <c r="AJ23" s="1" t="n">
        <v>0.5042</v>
      </c>
      <c r="AK23" s="1" t="n">
        <v>0</v>
      </c>
      <c r="AL23" s="1" t="n">
        <v>0</v>
      </c>
      <c r="AM23" s="1" t="n">
        <v>0</v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</row>
    <row r="24">
      <c r="A24" s="1" t="inlineStr">
        <is>
          <t xml:space="preserve"> 236  Колбаса Рубленая ЗАПЕЧ. Дугушка ТМ Стародворье, вектор, в/к    ПОКОМ</t>
        </is>
      </c>
      <c r="B24" s="1" t="inlineStr">
        <is>
          <t>кг</t>
        </is>
      </c>
      <c r="C24" s="1" t="n">
        <v>403.188</v>
      </c>
      <c r="D24" s="1" t="n">
        <v>3.515</v>
      </c>
      <c r="E24" s="1" t="n">
        <v>379.655</v>
      </c>
      <c r="F24" s="1" t="n">
        <v>20.549</v>
      </c>
      <c r="G24" s="1" t="n">
        <v>1</v>
      </c>
      <c r="H24" s="1" t="n">
        <v>70</v>
      </c>
      <c r="I24" s="1" t="inlineStr">
        <is>
          <t>матрица</t>
        </is>
      </c>
      <c r="J24" s="1" t="n"/>
      <c r="K24" s="1" t="n">
        <v>384.85</v>
      </c>
      <c r="L24" s="1">
        <f>E24-K24</f>
        <v/>
      </c>
      <c r="M24" s="1" t="n"/>
      <c r="N24" s="1" t="n"/>
      <c r="O24" s="1" t="n">
        <v>0</v>
      </c>
      <c r="P24" s="1" t="n"/>
      <c r="Q24" s="1" t="n"/>
      <c r="R24" s="1" t="n"/>
      <c r="S24" s="1" t="n"/>
      <c r="T24" s="1" t="n">
        <v>50.01123999999999</v>
      </c>
      <c r="U24" s="1" t="n"/>
      <c r="V24" s="1" t="n">
        <v>200.0449599999999</v>
      </c>
      <c r="W24" s="1" t="n"/>
      <c r="X24" s="1" t="n">
        <v>548.9806540000002</v>
      </c>
      <c r="Y24" s="1" t="n"/>
      <c r="Z24" s="5" t="n"/>
      <c r="AA24" s="5" t="n"/>
      <c r="AB24" s="1" t="n"/>
      <c r="AC24" s="1" t="n"/>
      <c r="AD24" s="1" t="n"/>
      <c r="AE24" s="1" t="n">
        <v>74.3142</v>
      </c>
      <c r="AF24" s="1" t="n">
        <v>56.82619999999999</v>
      </c>
      <c r="AG24" s="1" t="n">
        <v>33.1564</v>
      </c>
      <c r="AH24" s="1" t="n">
        <v>51.6118</v>
      </c>
      <c r="AI24" s="1" t="n">
        <v>86.94680000000001</v>
      </c>
      <c r="AJ24" s="1" t="n">
        <v>92.6002</v>
      </c>
      <c r="AK24" s="1" t="n">
        <v>51.80560000000001</v>
      </c>
      <c r="AL24" s="1" t="n">
        <v>47.666</v>
      </c>
      <c r="AM24" s="1" t="n">
        <v>84.48179999999999</v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</row>
    <row r="25">
      <c r="A25" s="1" t="inlineStr">
        <is>
          <t xml:space="preserve"> 239  Колбаса Салями запеч Дугушка, оболочка вектор, ВЕС, ТМ Стародворье  ПОКОМ</t>
        </is>
      </c>
      <c r="B25" s="1" t="inlineStr">
        <is>
          <t>кг</t>
        </is>
      </c>
      <c r="C25" s="1" t="n">
        <v>1310.718</v>
      </c>
      <c r="D25" s="1" t="n">
        <v>2087.134</v>
      </c>
      <c r="E25" s="1" t="n">
        <v>1638.395</v>
      </c>
      <c r="F25" s="1" t="n">
        <v>944.153</v>
      </c>
      <c r="G25" s="1" t="n">
        <v>1</v>
      </c>
      <c r="H25" s="1" t="n">
        <v>70</v>
      </c>
      <c r="I25" s="1" t="inlineStr">
        <is>
          <t>НЕДОГРУЗ / матрица</t>
        </is>
      </c>
      <c r="J25" s="1" t="n"/>
      <c r="K25" s="1" t="n">
        <v>1573.737</v>
      </c>
      <c r="L25" s="1">
        <f>E25-K25</f>
        <v/>
      </c>
      <c r="M25" s="1" t="n"/>
      <c r="N25" s="1" t="n"/>
      <c r="O25" s="1" t="n">
        <v>601.1238000000001</v>
      </c>
      <c r="P25" s="1" t="n"/>
      <c r="Q25" s="1" t="n"/>
      <c r="R25" s="1" t="n">
        <v>276.5169480000001</v>
      </c>
      <c r="S25" s="1" t="n"/>
      <c r="T25" s="1" t="n">
        <v>0</v>
      </c>
      <c r="U25" s="1" t="n"/>
      <c r="V25" s="1" t="n"/>
      <c r="W25" s="1" t="n"/>
      <c r="X25" s="1" t="n">
        <v>808.9255876000007</v>
      </c>
      <c r="Y25" s="1" t="n"/>
      <c r="Z25" s="5" t="n"/>
      <c r="AA25" s="5" t="n"/>
      <c r="AB25" s="1" t="n"/>
      <c r="AC25" s="1" t="n"/>
      <c r="AD25" s="1" t="n"/>
      <c r="AE25" s="1" t="n">
        <v>251.3426</v>
      </c>
      <c r="AF25" s="1" t="n">
        <v>229.2002</v>
      </c>
      <c r="AG25" s="1" t="n">
        <v>266.7368</v>
      </c>
      <c r="AH25" s="1" t="n">
        <v>285.9102</v>
      </c>
      <c r="AI25" s="1" t="n">
        <v>266.6316</v>
      </c>
      <c r="AJ25" s="1" t="n">
        <v>281.76</v>
      </c>
      <c r="AK25" s="1" t="n">
        <v>176.7588</v>
      </c>
      <c r="AL25" s="1" t="n">
        <v>148.9086</v>
      </c>
      <c r="AM25" s="1" t="n">
        <v>205.9836</v>
      </c>
      <c r="AN25" s="1" t="inlineStr">
        <is>
          <t>ПРОМО сентябрь</t>
        </is>
      </c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</row>
    <row r="26">
      <c r="A26" s="6" t="inlineStr">
        <is>
          <t xml:space="preserve"> 240  Колбаса Салями охотничья, ВЕС. ПОКОМ</t>
        </is>
      </c>
      <c r="B26" s="1" t="inlineStr">
        <is>
          <t>кг</t>
        </is>
      </c>
      <c r="C26" s="1" t="n"/>
      <c r="D26" s="1" t="n"/>
      <c r="E26" s="1" t="n"/>
      <c r="F26" s="1" t="n"/>
      <c r="G26" s="1" t="n">
        <v>0</v>
      </c>
      <c r="H26" s="1" t="n"/>
      <c r="I26" s="1" t="inlineStr">
        <is>
          <t>матрица</t>
        </is>
      </c>
      <c r="J26" s="1" t="n"/>
      <c r="K26" s="1" t="n"/>
      <c r="L26" s="1">
        <f>E26-K26</f>
        <v/>
      </c>
      <c r="M26" s="1" t="n"/>
      <c r="N26" s="1" t="n"/>
      <c r="O26" s="1" t="n">
        <v>0</v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>
        <v>0</v>
      </c>
      <c r="Y26" s="1" t="n"/>
      <c r="Z26" s="5" t="n"/>
      <c r="AA26" s="5" t="n"/>
      <c r="AB26" s="1" t="n"/>
      <c r="AC26" s="1" t="n"/>
      <c r="AD26" s="1" t="n"/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inlineStr">
        <is>
          <t>нет потребности</t>
        </is>
      </c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</row>
    <row r="27">
      <c r="A27" s="1" t="inlineStr">
        <is>
          <t xml:space="preserve"> 242  Колбаса Сервелат ЗАПЕЧ.Дугушка ТМ Стародворье, вектор, в/к     ПОКОМ</t>
        </is>
      </c>
      <c r="B27" s="1" t="inlineStr">
        <is>
          <t>кг</t>
        </is>
      </c>
      <c r="C27" s="1" t="n">
        <v>2087.984</v>
      </c>
      <c r="D27" s="1" t="n">
        <v>4641.508</v>
      </c>
      <c r="E27" s="1" t="n">
        <v>2549.608</v>
      </c>
      <c r="F27" s="1" t="n">
        <v>3469.897</v>
      </c>
      <c r="G27" s="1" t="n">
        <v>1</v>
      </c>
      <c r="H27" s="1" t="n">
        <v>70</v>
      </c>
      <c r="I27" s="1" t="inlineStr">
        <is>
          <t>НЕДОГРУЗ / матрица</t>
        </is>
      </c>
      <c r="J27" s="1" t="n"/>
      <c r="K27" s="1" t="n">
        <v>2437.569</v>
      </c>
      <c r="L27" s="1">
        <f>E27-K27</f>
        <v/>
      </c>
      <c r="M27" s="1" t="n"/>
      <c r="N27" s="1" t="n"/>
      <c r="O27" s="1" t="n">
        <v>1395.850600000002</v>
      </c>
      <c r="P27" s="1" t="n"/>
      <c r="Q27" s="1" t="n"/>
      <c r="R27" s="1" t="n">
        <v>642.091276000001</v>
      </c>
      <c r="S27" s="1" t="n"/>
      <c r="T27" s="1" t="n">
        <v>0</v>
      </c>
      <c r="U27" s="1" t="n"/>
      <c r="V27" s="1" t="n"/>
      <c r="W27" s="1" t="n"/>
      <c r="X27" s="1" t="n">
        <v>0</v>
      </c>
      <c r="Y27" s="1" t="n"/>
      <c r="Z27" s="5" t="n"/>
      <c r="AA27" s="5" t="n"/>
      <c r="AB27" s="1" t="n"/>
      <c r="AC27" s="1" t="n"/>
      <c r="AD27" s="1" t="n"/>
      <c r="AE27" s="1" t="n">
        <v>404.2436</v>
      </c>
      <c r="AF27" s="1" t="n">
        <v>396.5312</v>
      </c>
      <c r="AG27" s="1" t="n">
        <v>524.3068000000001</v>
      </c>
      <c r="AH27" s="1" t="n">
        <v>537.1594</v>
      </c>
      <c r="AI27" s="1" t="n">
        <v>473.2216</v>
      </c>
      <c r="AJ27" s="1" t="n">
        <v>516.0532000000001</v>
      </c>
      <c r="AK27" s="1" t="n">
        <v>310.2648</v>
      </c>
      <c r="AL27" s="1" t="n">
        <v>281.9598</v>
      </c>
      <c r="AM27" s="1" t="n">
        <v>381.1134</v>
      </c>
      <c r="AN27" s="1" t="inlineStr">
        <is>
          <t>ПРОМО сентябрь</t>
        </is>
      </c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</row>
    <row r="28">
      <c r="A28" s="1" t="inlineStr">
        <is>
          <t xml:space="preserve"> 244  Колбаса Сервелат Кремлевский, ВЕС. ПОКОМ</t>
        </is>
      </c>
      <c r="B28" s="1" t="inlineStr">
        <is>
          <t>кг</t>
        </is>
      </c>
      <c r="C28" s="1" t="n">
        <v>29.001</v>
      </c>
      <c r="D28" s="1" t="n"/>
      <c r="E28" s="1" t="n">
        <v>1.443</v>
      </c>
      <c r="F28" s="1" t="n">
        <v>-0.011</v>
      </c>
      <c r="G28" s="1" t="n">
        <v>1</v>
      </c>
      <c r="H28" s="1" t="n">
        <v>40</v>
      </c>
      <c r="I28" s="1" t="inlineStr">
        <is>
          <t>НЕДОГРУЗ / матрица</t>
        </is>
      </c>
      <c r="J28" s="1" t="n"/>
      <c r="K28" s="1" t="n">
        <v>37.4</v>
      </c>
      <c r="L28" s="1">
        <f>E28-K28</f>
        <v/>
      </c>
      <c r="M28" s="1" t="n"/>
      <c r="N28" s="1" t="n"/>
      <c r="O28" s="1" t="n">
        <v>0</v>
      </c>
      <c r="P28" s="1" t="n"/>
      <c r="Q28" s="1" t="n"/>
      <c r="R28" s="1" t="n"/>
      <c r="S28" s="1" t="n"/>
      <c r="T28" s="1" t="n">
        <v>18.30764</v>
      </c>
      <c r="U28" s="1" t="n"/>
      <c r="V28" s="1" t="n"/>
      <c r="W28" s="1" t="n"/>
      <c r="X28" s="1" t="n">
        <v>7.208187999999995</v>
      </c>
      <c r="Y28" s="1" t="n"/>
      <c r="Z28" s="5" t="n"/>
      <c r="AA28" s="5" t="n"/>
      <c r="AB28" s="1" t="n"/>
      <c r="AC28" s="1" t="n"/>
      <c r="AD28" s="1" t="n"/>
      <c r="AE28" s="1" t="n">
        <v>4.2222</v>
      </c>
      <c r="AF28" s="1" t="n">
        <v>3.7848</v>
      </c>
      <c r="AG28" s="1" t="n">
        <v>-0.293</v>
      </c>
      <c r="AH28" s="1" t="n">
        <v>1.601</v>
      </c>
      <c r="AI28" s="1" t="n">
        <v>4.363</v>
      </c>
      <c r="AJ28" s="1" t="n">
        <v>3.4886</v>
      </c>
      <c r="AK28" s="1" t="n">
        <v>2.0396</v>
      </c>
      <c r="AL28" s="1" t="n">
        <v>1.6052</v>
      </c>
      <c r="AM28" s="1" t="n">
        <v>2.1874</v>
      </c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</row>
    <row r="29">
      <c r="A29" s="6" t="inlineStr">
        <is>
          <t xml:space="preserve"> 246  Колбаса Стародворская ТМ Стародворье ТС Старый двор, ПОКОМ</t>
        </is>
      </c>
      <c r="B29" s="1" t="inlineStr">
        <is>
          <t>кг</t>
        </is>
      </c>
      <c r="C29" s="1" t="n"/>
      <c r="D29" s="1" t="n"/>
      <c r="E29" s="1" t="n"/>
      <c r="F29" s="1" t="n"/>
      <c r="G29" s="1" t="n">
        <v>0</v>
      </c>
      <c r="H29" s="1" t="n"/>
      <c r="I29" s="1" t="inlineStr">
        <is>
          <t>не в матрице</t>
        </is>
      </c>
      <c r="J29" s="1" t="n"/>
      <c r="K29" s="1" t="n"/>
      <c r="L29" s="1">
        <f>E29-K29</f>
        <v/>
      </c>
      <c r="M29" s="1" t="n"/>
      <c r="N29" s="1" t="n"/>
      <c r="O29" s="1" t="n">
        <v>0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>
        <v>0</v>
      </c>
      <c r="Y29" s="1" t="n"/>
      <c r="Z29" s="5" t="n"/>
      <c r="AA29" s="5" t="n"/>
      <c r="AB29" s="1" t="n"/>
      <c r="AC29" s="1" t="n"/>
      <c r="AD29" s="1" t="n"/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</row>
    <row r="30">
      <c r="A30" s="6" t="inlineStr">
        <is>
          <t xml:space="preserve"> 247  Сардельки Нежные, ВЕС.  ПОКОМ</t>
        </is>
      </c>
      <c r="B30" s="1" t="inlineStr">
        <is>
          <t>кг</t>
        </is>
      </c>
      <c r="C30" s="1" t="n"/>
      <c r="D30" s="1" t="n"/>
      <c r="E30" s="1" t="n"/>
      <c r="F30" s="1" t="n"/>
      <c r="G30" s="1" t="n">
        <v>0</v>
      </c>
      <c r="H30" s="1" t="n"/>
      <c r="I30" s="1" t="inlineStr">
        <is>
          <t>матрица</t>
        </is>
      </c>
      <c r="J30" s="1" t="n"/>
      <c r="K30" s="1" t="n"/>
      <c r="L30" s="1">
        <f>E30-K30</f>
        <v/>
      </c>
      <c r="M30" s="1" t="n"/>
      <c r="N30" s="1" t="n"/>
      <c r="O30" s="1" t="n">
        <v>0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>
        <v>0</v>
      </c>
      <c r="Y30" s="1" t="n"/>
      <c r="Z30" s="5" t="n"/>
      <c r="AA30" s="5" t="n"/>
      <c r="AB30" s="1" t="n"/>
      <c r="AC30" s="1" t="n"/>
      <c r="AD30" s="1" t="n"/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inlineStr">
        <is>
          <t>нет потребности</t>
        </is>
      </c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</row>
    <row r="31">
      <c r="A31" s="6" t="inlineStr">
        <is>
          <t xml:space="preserve"> 248  Сардельки Сочные ТМ Особый рецепт,   ПОКОМ</t>
        </is>
      </c>
      <c r="B31" s="1" t="inlineStr">
        <is>
          <t>кг</t>
        </is>
      </c>
      <c r="C31" s="1" t="n"/>
      <c r="D31" s="1" t="n"/>
      <c r="E31" s="1" t="n"/>
      <c r="F31" s="1" t="n"/>
      <c r="G31" s="1" t="n">
        <v>0</v>
      </c>
      <c r="H31" s="1" t="n"/>
      <c r="I31" s="1" t="inlineStr">
        <is>
          <t>матрица</t>
        </is>
      </c>
      <c r="J31" s="1" t="n"/>
      <c r="K31" s="1" t="n"/>
      <c r="L31" s="1">
        <f>E31-K31</f>
        <v/>
      </c>
      <c r="M31" s="1" t="n"/>
      <c r="N31" s="1" t="n"/>
      <c r="O31" s="1" t="n">
        <v>0</v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>
        <v>0</v>
      </c>
      <c r="Y31" s="1" t="n"/>
      <c r="Z31" s="5" t="n"/>
      <c r="AA31" s="5" t="n"/>
      <c r="AB31" s="1" t="n"/>
      <c r="AC31" s="1" t="n"/>
      <c r="AD31" s="1" t="n"/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inlineStr">
        <is>
          <t>нет потребности</t>
        </is>
      </c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</row>
    <row r="32">
      <c r="A32" s="1" t="inlineStr">
        <is>
          <t xml:space="preserve"> 250  Сардельки стародворские с говядиной в обол. NDX, ВЕС. ПОКОМ</t>
        </is>
      </c>
      <c r="B32" s="1" t="inlineStr">
        <is>
          <t>кг</t>
        </is>
      </c>
      <c r="C32" s="1" t="n">
        <v>915.9640000000001</v>
      </c>
      <c r="D32" s="1" t="n">
        <v>2208.428</v>
      </c>
      <c r="E32" s="1" t="n">
        <v>1098.129</v>
      </c>
      <c r="F32" s="1" t="n">
        <v>1675.14</v>
      </c>
      <c r="G32" s="1" t="n">
        <v>1</v>
      </c>
      <c r="H32" s="1" t="n">
        <v>30</v>
      </c>
      <c r="I32" s="1" t="inlineStr">
        <is>
          <t>НЕДОГРУЗ / матрица</t>
        </is>
      </c>
      <c r="J32" s="1" t="n"/>
      <c r="K32" s="1" t="n">
        <v>1211.06</v>
      </c>
      <c r="L32" s="1">
        <f>E32-K32</f>
        <v/>
      </c>
      <c r="M32" s="1" t="n"/>
      <c r="N32" s="1" t="n"/>
      <c r="O32" s="1" t="n">
        <v>538.9497999999996</v>
      </c>
      <c r="P32" s="1" t="n"/>
      <c r="Q32" s="1" t="n"/>
      <c r="R32" s="1" t="n">
        <v>247.9169079999998</v>
      </c>
      <c r="S32" s="1" t="n"/>
      <c r="T32" s="1" t="n">
        <v>0</v>
      </c>
      <c r="U32" s="1" t="n"/>
      <c r="V32" s="1" t="n"/>
      <c r="W32" s="1" t="n"/>
      <c r="X32" s="1" t="n">
        <v>0</v>
      </c>
      <c r="Y32" s="1" t="n"/>
      <c r="Z32" s="5" t="n"/>
      <c r="AA32" s="5" t="n"/>
      <c r="AB32" s="1" t="n"/>
      <c r="AC32" s="1" t="n"/>
      <c r="AD32" s="1" t="n"/>
      <c r="AE32" s="1" t="n">
        <v>196.6198</v>
      </c>
      <c r="AF32" s="1" t="n">
        <v>221.1712</v>
      </c>
      <c r="AG32" s="1" t="n">
        <v>225.0454</v>
      </c>
      <c r="AH32" s="1" t="n">
        <v>231.6586</v>
      </c>
      <c r="AI32" s="1" t="n">
        <v>235.7996</v>
      </c>
      <c r="AJ32" s="1" t="n">
        <v>278.0154</v>
      </c>
      <c r="AK32" s="1" t="n">
        <v>227.6552</v>
      </c>
      <c r="AL32" s="1" t="n">
        <v>207.3906</v>
      </c>
      <c r="AM32" s="1" t="n">
        <v>290.8818</v>
      </c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</row>
    <row r="33">
      <c r="A33" s="6" t="inlineStr">
        <is>
          <t xml:space="preserve"> 253  Сосиски Ганноверские   ПОКОМ</t>
        </is>
      </c>
      <c r="B33" s="1" t="inlineStr">
        <is>
          <t>кг</t>
        </is>
      </c>
      <c r="C33" s="1" t="n"/>
      <c r="D33" s="1" t="n"/>
      <c r="E33" s="1" t="n"/>
      <c r="F33" s="1" t="n"/>
      <c r="G33" s="1" t="n">
        <v>0</v>
      </c>
      <c r="H33" s="1" t="n">
        <v>40</v>
      </c>
      <c r="I33" s="1" t="inlineStr">
        <is>
          <t>не в матрице</t>
        </is>
      </c>
      <c r="J33" s="1" t="n"/>
      <c r="K33" s="1" t="n">
        <v>10</v>
      </c>
      <c r="L33" s="1">
        <f>E33-K33</f>
        <v/>
      </c>
      <c r="M33" s="1" t="n"/>
      <c r="N33" s="1" t="n"/>
      <c r="O33" s="1" t="n">
        <v>0</v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>
        <v>0</v>
      </c>
      <c r="Y33" s="1" t="n"/>
      <c r="Z33" s="5" t="n"/>
      <c r="AA33" s="5" t="n"/>
      <c r="AB33" s="1" t="n"/>
      <c r="AC33" s="1" t="n"/>
      <c r="AD33" s="1" t="n"/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</row>
    <row r="34">
      <c r="A34" s="1" t="inlineStr">
        <is>
          <t xml:space="preserve"> 255  Сосиски Молочные для завтрака ТМ Особый рецепт, п/а МГС, ВЕС, ТМ Стародворье  ПОКОМ</t>
        </is>
      </c>
      <c r="B34" s="1" t="inlineStr">
        <is>
          <t>кг</t>
        </is>
      </c>
      <c r="C34" s="1" t="n">
        <v>69.907</v>
      </c>
      <c r="D34" s="1" t="n">
        <v>3822.878</v>
      </c>
      <c r="E34" s="1" t="n">
        <v>2943.943</v>
      </c>
      <c r="F34" s="1" t="n">
        <v>686.125</v>
      </c>
      <c r="G34" s="1" t="n">
        <v>1</v>
      </c>
      <c r="H34" s="1" t="n">
        <v>40</v>
      </c>
      <c r="I34" s="1" t="inlineStr">
        <is>
          <t>НЕДОГРУЗ / матрица</t>
        </is>
      </c>
      <c r="J34" s="1" t="n"/>
      <c r="K34" s="1" t="n">
        <v>2960.412</v>
      </c>
      <c r="L34" s="1">
        <f>E34-K34</f>
        <v/>
      </c>
      <c r="M34" s="1" t="n"/>
      <c r="N34" s="1" t="n">
        <v>86.212</v>
      </c>
      <c r="O34" s="1" t="n">
        <v>1063.2558</v>
      </c>
      <c r="P34" s="1" t="n"/>
      <c r="Q34" s="1" t="n"/>
      <c r="R34" s="1" t="n">
        <v>489.0976680000002</v>
      </c>
      <c r="S34" s="1" t="n"/>
      <c r="T34" s="1" t="n">
        <v>3710</v>
      </c>
      <c r="U34" s="1" t="n"/>
      <c r="V34" s="1" t="n">
        <v>3505</v>
      </c>
      <c r="W34" s="1" t="n"/>
      <c r="X34" s="1" t="n">
        <v>0</v>
      </c>
      <c r="Y34" s="1" t="n"/>
      <c r="Z34" s="5" t="n"/>
      <c r="AA34" s="5" t="n"/>
      <c r="AB34" s="1" t="n"/>
      <c r="AC34" s="1" t="n"/>
      <c r="AD34" s="1" t="n"/>
      <c r="AE34" s="1" t="n">
        <v>586.117</v>
      </c>
      <c r="AF34" s="1" t="n">
        <v>710.1294</v>
      </c>
      <c r="AG34" s="1" t="n">
        <v>412.9854</v>
      </c>
      <c r="AH34" s="1" t="n">
        <v>192.2834</v>
      </c>
      <c r="AI34" s="1" t="n">
        <v>374.2526</v>
      </c>
      <c r="AJ34" s="1" t="n">
        <v>576.9176</v>
      </c>
      <c r="AK34" s="1" t="n">
        <v>427.835</v>
      </c>
      <c r="AL34" s="1" t="n">
        <v>330.0928</v>
      </c>
      <c r="AM34" s="1" t="n">
        <v>221.5492</v>
      </c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</row>
    <row r="35">
      <c r="A35" s="6" t="inlineStr">
        <is>
          <t xml:space="preserve"> 257  Сосиски Молочные оригинальные ТМ Особый рецепт, ВЕС.   ПОКОМ</t>
        </is>
      </c>
      <c r="B35" s="1" t="inlineStr">
        <is>
          <t>кг</t>
        </is>
      </c>
      <c r="C35" s="1" t="n"/>
      <c r="D35" s="1" t="n"/>
      <c r="E35" s="1" t="n"/>
      <c r="F35" s="1" t="n"/>
      <c r="G35" s="1" t="n">
        <v>0</v>
      </c>
      <c r="H35" s="1" t="n"/>
      <c r="I35" s="1" t="inlineStr">
        <is>
          <t>матрица</t>
        </is>
      </c>
      <c r="J35" s="1" t="n"/>
      <c r="K35" s="1" t="n"/>
      <c r="L35" s="1">
        <f>E35-K35</f>
        <v/>
      </c>
      <c r="M35" s="1" t="n"/>
      <c r="N35" s="1" t="n"/>
      <c r="O35" s="1" t="n">
        <v>0</v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>
        <v>0</v>
      </c>
      <c r="Y35" s="1" t="n"/>
      <c r="Z35" s="5" t="n"/>
      <c r="AA35" s="5" t="n"/>
      <c r="AB35" s="1" t="n"/>
      <c r="AC35" s="1" t="n"/>
      <c r="AD35" s="1" t="n"/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inlineStr">
        <is>
          <t>нет потребности</t>
        </is>
      </c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</row>
    <row r="36">
      <c r="A36" s="6" t="inlineStr">
        <is>
          <t xml:space="preserve"> 263  Шпикачки Стародворские, ВЕС.  ПОКОМ</t>
        </is>
      </c>
      <c r="B36" s="1" t="inlineStr">
        <is>
          <t>кг</t>
        </is>
      </c>
      <c r="C36" s="1" t="n"/>
      <c r="D36" s="1" t="n"/>
      <c r="E36" s="1" t="n"/>
      <c r="F36" s="1" t="n"/>
      <c r="G36" s="1" t="n">
        <v>0</v>
      </c>
      <c r="H36" s="1" t="n"/>
      <c r="I36" s="1" t="inlineStr">
        <is>
          <t>матрица</t>
        </is>
      </c>
      <c r="J36" s="1" t="n"/>
      <c r="K36" s="1" t="n"/>
      <c r="L36" s="1">
        <f>E36-K36</f>
        <v/>
      </c>
      <c r="M36" s="1" t="n"/>
      <c r="N36" s="1" t="n"/>
      <c r="O36" s="1" t="n">
        <v>0</v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>
        <v>0</v>
      </c>
      <c r="Y36" s="1" t="n"/>
      <c r="Z36" s="5" t="n"/>
      <c r="AA36" s="5" t="n"/>
      <c r="AB36" s="1" t="n"/>
      <c r="AC36" s="1" t="n"/>
      <c r="AD36" s="1" t="n"/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inlineStr">
        <is>
          <t>нет потребности</t>
        </is>
      </c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</row>
    <row r="37">
      <c r="A37" s="6" t="inlineStr">
        <is>
          <t xml:space="preserve"> 265  Колбаса Балыкбургская, ВЕС, ТМ Баварушка  ПОКОМ</t>
        </is>
      </c>
      <c r="B37" s="1" t="inlineStr">
        <is>
          <t>кг</t>
        </is>
      </c>
      <c r="C37" s="1" t="n"/>
      <c r="D37" s="1" t="n"/>
      <c r="E37" s="1" t="n"/>
      <c r="F37" s="1" t="n"/>
      <c r="G37" s="1" t="n">
        <v>0</v>
      </c>
      <c r="H37" s="1" t="n"/>
      <c r="I37" s="1" t="inlineStr">
        <is>
          <t>матрица</t>
        </is>
      </c>
      <c r="J37" s="1" t="n"/>
      <c r="K37" s="1" t="n"/>
      <c r="L37" s="1">
        <f>E37-K37</f>
        <v/>
      </c>
      <c r="M37" s="1" t="n"/>
      <c r="N37" s="1" t="n"/>
      <c r="O37" s="1" t="n">
        <v>0</v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>
        <v>0</v>
      </c>
      <c r="Y37" s="1" t="n"/>
      <c r="Z37" s="5" t="n"/>
      <c r="AA37" s="5" t="n"/>
      <c r="AB37" s="1" t="n"/>
      <c r="AC37" s="1" t="n"/>
      <c r="AD37" s="1" t="n"/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inlineStr">
        <is>
          <t>нет потребности</t>
        </is>
      </c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</row>
    <row r="38">
      <c r="A38" s="6" t="inlineStr">
        <is>
          <t xml:space="preserve"> 267  Колбаса Салями Филейбургская зернистая, оболочка фиброуз, ВЕС, ТМ Баварушка  ПОКОМ</t>
        </is>
      </c>
      <c r="B38" s="1" t="inlineStr">
        <is>
          <t>кг</t>
        </is>
      </c>
      <c r="C38" s="1" t="n"/>
      <c r="D38" s="1" t="n"/>
      <c r="E38" s="1" t="n"/>
      <c r="F38" s="1" t="n"/>
      <c r="G38" s="1" t="n">
        <v>0</v>
      </c>
      <c r="H38" s="1" t="n"/>
      <c r="I38" s="1" t="inlineStr">
        <is>
          <t>матрица</t>
        </is>
      </c>
      <c r="J38" s="1" t="n"/>
      <c r="K38" s="1" t="n"/>
      <c r="L38" s="1">
        <f>E38-K38</f>
        <v/>
      </c>
      <c r="M38" s="1" t="n"/>
      <c r="N38" s="1" t="n"/>
      <c r="O38" s="1" t="n">
        <v>0</v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>
        <v>0</v>
      </c>
      <c r="Y38" s="1" t="n"/>
      <c r="Z38" s="5" t="n"/>
      <c r="AA38" s="5" t="n"/>
      <c r="AB38" s="1" t="n"/>
      <c r="AC38" s="1" t="n"/>
      <c r="AD38" s="1" t="n"/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inlineStr">
        <is>
          <t>нет потребности</t>
        </is>
      </c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</row>
    <row r="39">
      <c r="A39" s="1" t="inlineStr">
        <is>
          <t xml:space="preserve"> 273  Сосиски Сочинки с сочной грудинкой, МГС 0.4кг,   ПОКОМ</t>
        </is>
      </c>
      <c r="B39" s="1" t="inlineStr">
        <is>
          <t>шт</t>
        </is>
      </c>
      <c r="C39" s="1" t="n">
        <v>2492</v>
      </c>
      <c r="D39" s="1" t="n">
        <v>2381</v>
      </c>
      <c r="E39" s="1" t="n">
        <v>3556</v>
      </c>
      <c r="F39" s="1" t="n">
        <v>615</v>
      </c>
      <c r="G39" s="1" t="n">
        <v>0.4</v>
      </c>
      <c r="H39" s="1" t="n">
        <v>45</v>
      </c>
      <c r="I39" s="1" t="inlineStr">
        <is>
          <t>НЕДОГРУЗ / матрица</t>
        </is>
      </c>
      <c r="J39" s="1" t="n"/>
      <c r="K39" s="1" t="n">
        <v>3873</v>
      </c>
      <c r="L39" s="1">
        <f>E39-K39</f>
        <v/>
      </c>
      <c r="M39" s="1" t="n"/>
      <c r="N39" s="1" t="n">
        <v>126</v>
      </c>
      <c r="O39" s="1" t="n">
        <v>1375.599999999999</v>
      </c>
      <c r="P39" s="1" t="n"/>
      <c r="Q39" s="1" t="n"/>
      <c r="R39" s="1" t="n">
        <v>632.7759999999994</v>
      </c>
      <c r="S39" s="1" t="n"/>
      <c r="T39" s="1" t="n">
        <v>1600</v>
      </c>
      <c r="U39" s="1" t="n"/>
      <c r="V39" s="1" t="n">
        <v>2300</v>
      </c>
      <c r="W39" s="1" t="n"/>
      <c r="X39" s="1" t="n">
        <v>2604.451200000001</v>
      </c>
      <c r="Y39" s="1" t="n"/>
      <c r="Z39" s="5" t="n"/>
      <c r="AA39" s="5" t="n"/>
      <c r="AB39" s="1" t="n"/>
      <c r="AC39" s="1" t="n"/>
      <c r="AD39" s="1" t="n"/>
      <c r="AE39" s="1" t="n">
        <v>679.4</v>
      </c>
      <c r="AF39" s="1" t="n">
        <v>754.6</v>
      </c>
      <c r="AG39" s="1" t="n">
        <v>654.8</v>
      </c>
      <c r="AH39" s="1" t="n">
        <v>869.4</v>
      </c>
      <c r="AI39" s="1" t="n">
        <v>631</v>
      </c>
      <c r="AJ39" s="1" t="n">
        <v>648.4</v>
      </c>
      <c r="AK39" s="1" t="n">
        <v>1337.6</v>
      </c>
      <c r="AL39" s="1" t="n">
        <v>1183.6</v>
      </c>
      <c r="AM39" s="1" t="n">
        <v>579.8</v>
      </c>
      <c r="AN39" s="1" t="inlineStr">
        <is>
          <t>ПРОМО сентябрь</t>
        </is>
      </c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</row>
    <row r="40">
      <c r="A40" s="1" t="inlineStr">
        <is>
          <t xml:space="preserve"> 276  Колбаса Сливушка ТМ Вязанка в оболочке полиамид 0,45 кг  ПОКОМ</t>
        </is>
      </c>
      <c r="B40" s="1" t="inlineStr">
        <is>
          <t>шт</t>
        </is>
      </c>
      <c r="C40" s="1" t="n">
        <v>396</v>
      </c>
      <c r="D40" s="1" t="n">
        <v>902</v>
      </c>
      <c r="E40" s="1" t="n">
        <v>537</v>
      </c>
      <c r="F40" s="1" t="n">
        <v>631</v>
      </c>
      <c r="G40" s="1" t="n">
        <v>0.45</v>
      </c>
      <c r="H40" s="1" t="n">
        <v>50</v>
      </c>
      <c r="I40" s="1" t="inlineStr">
        <is>
          <t>матрица</t>
        </is>
      </c>
      <c r="J40" s="1" t="n"/>
      <c r="K40" s="1" t="n">
        <v>691</v>
      </c>
      <c r="L40" s="1">
        <f>E40-K40</f>
        <v/>
      </c>
      <c r="M40" s="1" t="n"/>
      <c r="N40" s="1" t="n"/>
      <c r="O40" s="1" t="n">
        <v>309.755775</v>
      </c>
      <c r="P40" s="1" t="n"/>
      <c r="Q40" s="1" t="n"/>
      <c r="R40" s="1" t="n">
        <v>573.494225</v>
      </c>
      <c r="S40" s="1" t="n"/>
      <c r="T40" s="1" t="n">
        <v>71.21799999999996</v>
      </c>
      <c r="U40" s="1" t="n"/>
      <c r="V40" s="1" t="n">
        <v>284.872</v>
      </c>
      <c r="W40" s="1" t="n"/>
      <c r="X40" s="1" t="n">
        <v>372.408</v>
      </c>
      <c r="Y40" s="1" t="n"/>
      <c r="Z40" s="5" t="n"/>
      <c r="AA40" s="5" t="n"/>
      <c r="AB40" s="1" t="n"/>
      <c r="AC40" s="1" t="n"/>
      <c r="AD40" s="1" t="n"/>
      <c r="AE40" s="1" t="n">
        <v>120.4</v>
      </c>
      <c r="AF40" s="1" t="n">
        <v>124.2</v>
      </c>
      <c r="AG40" s="1" t="n">
        <v>129</v>
      </c>
      <c r="AH40" s="1" t="n">
        <v>84</v>
      </c>
      <c r="AI40" s="1" t="n">
        <v>83.2</v>
      </c>
      <c r="AJ40" s="1" t="n">
        <v>183.328</v>
      </c>
      <c r="AK40" s="1" t="n">
        <v>310.8</v>
      </c>
      <c r="AL40" s="1" t="n">
        <v>224.2</v>
      </c>
      <c r="AM40" s="1" t="n">
        <v>94</v>
      </c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</row>
    <row r="41">
      <c r="A41" s="1" t="inlineStr">
        <is>
          <t xml:space="preserve"> 278  Сосиски Сочинки с сочным окороком, МГС 0.4кг,   ПОКОМ</t>
        </is>
      </c>
      <c r="B41" s="1" t="inlineStr">
        <is>
          <t>шт</t>
        </is>
      </c>
      <c r="C41" s="1" t="n">
        <v>333</v>
      </c>
      <c r="D41" s="1" t="n">
        <v>2322</v>
      </c>
      <c r="E41" s="1" t="n">
        <v>867</v>
      </c>
      <c r="F41" s="1" t="n">
        <v>1701</v>
      </c>
      <c r="G41" s="1" t="n">
        <v>0.4</v>
      </c>
      <c r="H41" s="1" t="n">
        <v>45</v>
      </c>
      <c r="I41" s="1" t="inlineStr">
        <is>
          <t>НЕДОГРУЗ / матрица</t>
        </is>
      </c>
      <c r="J41" s="1" t="n"/>
      <c r="K41" s="1" t="n">
        <v>942</v>
      </c>
      <c r="L41" s="1">
        <f>E41-K41</f>
        <v/>
      </c>
      <c r="M41" s="1" t="n"/>
      <c r="N41" s="1" t="n"/>
      <c r="O41" s="1" t="n">
        <v>1395</v>
      </c>
      <c r="P41" s="1" t="n"/>
      <c r="Q41" s="1" t="n"/>
      <c r="R41" s="1" t="n">
        <v>641.7</v>
      </c>
      <c r="S41" s="1" t="n"/>
      <c r="T41" s="1" t="n">
        <v>0</v>
      </c>
      <c r="U41" s="1" t="n"/>
      <c r="V41" s="1" t="n"/>
      <c r="W41" s="1" t="n"/>
      <c r="X41" s="1" t="n">
        <v>0</v>
      </c>
      <c r="Y41" s="1" t="n"/>
      <c r="Z41" s="5" t="n"/>
      <c r="AA41" s="5" t="n"/>
      <c r="AB41" s="1" t="n"/>
      <c r="AC41" s="1" t="n"/>
      <c r="AD41" s="1" t="n"/>
      <c r="AE41" s="1" t="n">
        <v>179.2</v>
      </c>
      <c r="AF41" s="1" t="n">
        <v>210.4</v>
      </c>
      <c r="AG41" s="1" t="n">
        <v>192</v>
      </c>
      <c r="AH41" s="1" t="n">
        <v>152.4</v>
      </c>
      <c r="AI41" s="1" t="n">
        <v>151.6</v>
      </c>
      <c r="AJ41" s="1" t="n">
        <v>137</v>
      </c>
      <c r="AK41" s="1" t="n">
        <v>55.2</v>
      </c>
      <c r="AL41" s="1" t="n">
        <v>16.6</v>
      </c>
      <c r="AM41" s="1" t="n">
        <v>46.2</v>
      </c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</row>
    <row r="42">
      <c r="A42" s="1" t="inlineStr">
        <is>
          <t xml:space="preserve"> 281  Сосиски Молочные для завтрака ТМ Особый рецепт, 0,4кг  ПОКОМ</t>
        </is>
      </c>
      <c r="B42" s="1" t="inlineStr">
        <is>
          <t>шт</t>
        </is>
      </c>
      <c r="C42" s="1" t="n"/>
      <c r="D42" s="1" t="n">
        <v>258</v>
      </c>
      <c r="E42" s="1" t="n">
        <v>152</v>
      </c>
      <c r="F42" s="1" t="n">
        <v>33</v>
      </c>
      <c r="G42" s="1" t="n">
        <v>0.4</v>
      </c>
      <c r="H42" s="1" t="n">
        <v>40</v>
      </c>
      <c r="I42" s="1" t="inlineStr">
        <is>
          <t>НЕДОГРУЗ / матрица</t>
        </is>
      </c>
      <c r="J42" s="1" t="n"/>
      <c r="K42" s="1" t="n">
        <v>652</v>
      </c>
      <c r="L42" s="1">
        <f>E42-K42</f>
        <v/>
      </c>
      <c r="M42" s="1" t="n"/>
      <c r="N42" s="1" t="n"/>
      <c r="O42" s="1" t="n">
        <v>100</v>
      </c>
      <c r="P42" s="1" t="n"/>
      <c r="Q42" s="1" t="n"/>
      <c r="R42" s="1" t="n">
        <v>50</v>
      </c>
      <c r="S42" s="1" t="n"/>
      <c r="T42" s="1" t="n">
        <v>65</v>
      </c>
      <c r="U42" s="1" t="n"/>
      <c r="V42" s="1" t="n"/>
      <c r="W42" s="1" t="n"/>
      <c r="X42" s="1" t="n">
        <v>38.73999999999998</v>
      </c>
      <c r="Y42" s="1" t="n"/>
      <c r="Z42" s="5" t="n"/>
      <c r="AA42" s="5" t="n"/>
      <c r="AB42" s="1" t="n"/>
      <c r="AC42" s="1" t="n"/>
      <c r="AD42" s="1" t="n"/>
      <c r="AE42" s="1" t="n">
        <v>20.4</v>
      </c>
      <c r="AF42" s="1" t="n">
        <v>0</v>
      </c>
      <c r="AG42" s="1" t="n">
        <v>1.8</v>
      </c>
      <c r="AH42" s="1" t="n">
        <v>13.6</v>
      </c>
      <c r="AI42" s="1" t="n">
        <v>18.8</v>
      </c>
      <c r="AJ42" s="1" t="n">
        <v>7.4</v>
      </c>
      <c r="AK42" s="1" t="n">
        <v>-0.2</v>
      </c>
      <c r="AL42" s="1" t="n">
        <v>-0.2</v>
      </c>
      <c r="AM42" s="1" t="n">
        <v>0</v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</row>
    <row r="43">
      <c r="A43" s="1" t="inlineStr">
        <is>
          <t xml:space="preserve"> 283  Сосиски Сочинки, ВЕС, ТМ Стародворье ПОКОМ</t>
        </is>
      </c>
      <c r="B43" s="1" t="inlineStr">
        <is>
          <t>кг</t>
        </is>
      </c>
      <c r="C43" s="1" t="n">
        <v>167.244</v>
      </c>
      <c r="D43" s="1" t="n"/>
      <c r="E43" s="1" t="n">
        <v>14.316</v>
      </c>
      <c r="F43" s="1" t="n">
        <v>154.354</v>
      </c>
      <c r="G43" s="1" t="n">
        <v>1</v>
      </c>
      <c r="H43" s="1" t="n"/>
      <c r="I43" s="1" t="inlineStr">
        <is>
          <t>НЕДОГРУЗ / матрица</t>
        </is>
      </c>
      <c r="J43" s="1" t="n"/>
      <c r="K43" s="1" t="n">
        <v>11.4</v>
      </c>
      <c r="L43" s="1">
        <f>E43-K43</f>
        <v/>
      </c>
      <c r="M43" s="1" t="n"/>
      <c r="N43" s="1" t="n"/>
      <c r="O43" s="1" t="n">
        <v>0</v>
      </c>
      <c r="P43" s="1" t="n"/>
      <c r="Q43" s="1" t="n"/>
      <c r="R43" s="1" t="n"/>
      <c r="S43" s="1" t="n"/>
      <c r="T43" s="1" t="n">
        <v>0</v>
      </c>
      <c r="U43" s="1" t="n"/>
      <c r="V43" s="1" t="n"/>
      <c r="W43" s="1" t="n"/>
      <c r="X43" s="1" t="n">
        <v>0</v>
      </c>
      <c r="Y43" s="1" t="n"/>
      <c r="Z43" s="5" t="n"/>
      <c r="AA43" s="5" t="n"/>
      <c r="AB43" s="1" t="n"/>
      <c r="AC43" s="1" t="n"/>
      <c r="AD43" s="1" t="n"/>
      <c r="AE43" s="1" t="n">
        <v>2.0016</v>
      </c>
      <c r="AF43" s="1" t="n">
        <v>2.2812</v>
      </c>
      <c r="AG43" s="1" t="n">
        <v>4.6482</v>
      </c>
      <c r="AH43" s="1" t="n">
        <v>6.3222</v>
      </c>
      <c r="AI43" s="1" t="n">
        <v>11.2442</v>
      </c>
      <c r="AJ43" s="1" t="n">
        <v>18.956</v>
      </c>
      <c r="AK43" s="1" t="n">
        <v>4.839399999999999</v>
      </c>
      <c r="AL43" s="1" t="n">
        <v>5.6034</v>
      </c>
      <c r="AM43" s="1" t="n">
        <v>14.3608</v>
      </c>
      <c r="AN43" s="1" t="inlineStr">
        <is>
          <t>нужно увеличить продажи!!!</t>
        </is>
      </c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</row>
    <row r="44">
      <c r="A44" s="1" t="inlineStr">
        <is>
          <t xml:space="preserve"> 285  Паштет печеночный со слив.маслом ТМ Стародворье ламистер 0,1 кг  ПОКОМ</t>
        </is>
      </c>
      <c r="B44" s="1" t="inlineStr">
        <is>
          <t>шт</t>
        </is>
      </c>
      <c r="C44" s="1" t="n">
        <v>539</v>
      </c>
      <c r="D44" s="1" t="n">
        <v>208</v>
      </c>
      <c r="E44" s="1" t="n">
        <v>235</v>
      </c>
      <c r="F44" s="1" t="n">
        <v>493</v>
      </c>
      <c r="G44" s="1" t="n">
        <v>0.1</v>
      </c>
      <c r="H44" s="1" t="n">
        <v>731</v>
      </c>
      <c r="I44" s="1" t="inlineStr">
        <is>
          <t>матрица</t>
        </is>
      </c>
      <c r="J44" s="1" t="n"/>
      <c r="K44" s="1" t="n">
        <v>248</v>
      </c>
      <c r="L44" s="1">
        <f>E44-K44</f>
        <v/>
      </c>
      <c r="M44" s="1" t="n"/>
      <c r="N44" s="1" t="n"/>
      <c r="O44" s="1" t="n">
        <v>0</v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>
        <v>177.0459999999999</v>
      </c>
      <c r="Y44" s="1" t="n"/>
      <c r="Z44" s="5" t="n"/>
      <c r="AA44" s="5" t="n"/>
      <c r="AB44" s="1" t="n"/>
      <c r="AC44" s="1" t="n"/>
      <c r="AD44" s="1" t="n"/>
      <c r="AE44" s="1" t="n">
        <v>55.8</v>
      </c>
      <c r="AF44" s="1" t="n">
        <v>66.2</v>
      </c>
      <c r="AG44" s="1" t="n">
        <v>60.8</v>
      </c>
      <c r="AH44" s="1" t="n">
        <v>56</v>
      </c>
      <c r="AI44" s="1" t="n">
        <v>60</v>
      </c>
      <c r="AJ44" s="1" t="n">
        <v>69.40000000000001</v>
      </c>
      <c r="AK44" s="1" t="n">
        <v>43</v>
      </c>
      <c r="AL44" s="1" t="n">
        <v>24</v>
      </c>
      <c r="AM44" s="1" t="n">
        <v>35.6</v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</row>
    <row r="45">
      <c r="A45" s="1" t="inlineStr">
        <is>
          <t xml:space="preserve"> 296  Колбаса Мясорубская с рубленой грудинкой 0,35кг срез ТМ Стародворье  ПОКОМ</t>
        </is>
      </c>
      <c r="B45" s="1" t="inlineStr">
        <is>
          <t>шт</t>
        </is>
      </c>
      <c r="C45" s="1" t="n">
        <v>7</v>
      </c>
      <c r="D45" s="1" t="n"/>
      <c r="E45" s="1" t="n">
        <v>1.169</v>
      </c>
      <c r="F45" s="1" t="n">
        <v>1.831</v>
      </c>
      <c r="G45" s="1" t="n">
        <v>0.35</v>
      </c>
      <c r="H45" s="1" t="n">
        <v>40</v>
      </c>
      <c r="I45" s="1" t="inlineStr">
        <is>
          <t>НЕДОГРУЗ / матрица</t>
        </is>
      </c>
      <c r="J45" s="1" t="n"/>
      <c r="K45" s="1" t="n">
        <v>33</v>
      </c>
      <c r="L45" s="1">
        <f>E45-K45</f>
        <v/>
      </c>
      <c r="M45" s="1" t="n"/>
      <c r="N45" s="1" t="n"/>
      <c r="O45" s="1" t="n">
        <v>90.79999999999998</v>
      </c>
      <c r="P45" s="1" t="n">
        <v>-96.00000000000001</v>
      </c>
      <c r="Q45" s="1" t="n"/>
      <c r="R45" s="1" t="n"/>
      <c r="S45" s="1" t="n"/>
      <c r="T45" s="1" t="n">
        <v>52</v>
      </c>
      <c r="U45" s="1" t="n"/>
      <c r="V45" s="1" t="n"/>
      <c r="W45" s="1" t="n"/>
      <c r="X45" s="1" t="n">
        <v>39</v>
      </c>
      <c r="Y45" s="1" t="n"/>
      <c r="Z45" s="5" t="n"/>
      <c r="AA45" s="5" t="n"/>
      <c r="AB45" s="1" t="n"/>
      <c r="AC45" s="1" t="n"/>
      <c r="AD45" s="1" t="n"/>
      <c r="AE45" s="1" t="n">
        <v>-0.2</v>
      </c>
      <c r="AF45" s="1" t="n">
        <v>-0.4</v>
      </c>
      <c r="AG45" s="1" t="n">
        <v>17.4</v>
      </c>
      <c r="AH45" s="1" t="n">
        <v>18.2</v>
      </c>
      <c r="AI45" s="1" t="n">
        <v>0.4</v>
      </c>
      <c r="AJ45" s="1" t="n">
        <v>0.6</v>
      </c>
      <c r="AK45" s="1" t="n">
        <v>-0.8</v>
      </c>
      <c r="AL45" s="1" t="n">
        <v>-1.8</v>
      </c>
      <c r="AM45" s="1" t="n">
        <v>-2.4</v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</row>
    <row r="46">
      <c r="A46" s="1" t="inlineStr">
        <is>
          <t xml:space="preserve"> 297  Колбаса Мясорубская с рубленой грудинкой ВЕС ТМ Стародворье  ПОКОМ</t>
        </is>
      </c>
      <c r="B46" s="1" t="inlineStr">
        <is>
          <t>кг</t>
        </is>
      </c>
      <c r="C46" s="1" t="n">
        <v>0.728</v>
      </c>
      <c r="D46" s="1" t="n">
        <v>56.397</v>
      </c>
      <c r="E46" s="1" t="n">
        <v>20.263</v>
      </c>
      <c r="F46" s="1" t="n">
        <v>34.002</v>
      </c>
      <c r="G46" s="1" t="n">
        <v>1</v>
      </c>
      <c r="H46" s="1" t="n">
        <v>40</v>
      </c>
      <c r="I46" s="1" t="inlineStr">
        <is>
          <t>НЕДОГРУЗ / матрица</t>
        </is>
      </c>
      <c r="J46" s="1" t="n"/>
      <c r="K46" s="1" t="n">
        <v>23.02</v>
      </c>
      <c r="L46" s="1">
        <f>E46-K46</f>
        <v/>
      </c>
      <c r="M46" s="1" t="n"/>
      <c r="N46" s="1" t="n"/>
      <c r="O46" s="1" t="n">
        <v>22.26079999999999</v>
      </c>
      <c r="P46" s="1" t="n"/>
      <c r="Q46" s="1" t="n"/>
      <c r="R46" s="1" t="n"/>
      <c r="S46" s="1" t="n"/>
      <c r="T46" s="1" t="n">
        <v>52</v>
      </c>
      <c r="U46" s="1" t="n"/>
      <c r="V46" s="1" t="n"/>
      <c r="W46" s="1" t="n"/>
      <c r="X46" s="1" t="n">
        <v>0</v>
      </c>
      <c r="Y46" s="1" t="n"/>
      <c r="Z46" s="5" t="n"/>
      <c r="AA46" s="5" t="n"/>
      <c r="AB46" s="1" t="n"/>
      <c r="AC46" s="1" t="n"/>
      <c r="AD46" s="1" t="n"/>
      <c r="AE46" s="1" t="n">
        <v>0.8686</v>
      </c>
      <c r="AF46" s="1" t="n">
        <v>1.5376</v>
      </c>
      <c r="AG46" s="1" t="n">
        <v>4.784599999999999</v>
      </c>
      <c r="AH46" s="1" t="n">
        <v>3.8284</v>
      </c>
      <c r="AI46" s="1" t="n">
        <v>1.671</v>
      </c>
      <c r="AJ46" s="1" t="n">
        <v>2.0398</v>
      </c>
      <c r="AK46" s="1" t="n">
        <v>3.023</v>
      </c>
      <c r="AL46" s="1" t="n">
        <v>3.0924</v>
      </c>
      <c r="AM46" s="1" t="n">
        <v>2.1832</v>
      </c>
      <c r="AN46" s="1" t="inlineStr">
        <is>
          <t>нужно увеличить продажи!!!</t>
        </is>
      </c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</row>
    <row r="47">
      <c r="A47" s="1" t="inlineStr">
        <is>
          <t xml:space="preserve"> 301  Сосиски Сочинки по-баварски с сыром,  0.4кг, ТМ Стародворье  ПОКОМ</t>
        </is>
      </c>
      <c r="B47" s="1" t="inlineStr">
        <is>
          <t>шт</t>
        </is>
      </c>
      <c r="C47" s="1" t="n">
        <v>47</v>
      </c>
      <c r="D47" s="1" t="n">
        <v>244</v>
      </c>
      <c r="E47" s="1" t="n">
        <v>266</v>
      </c>
      <c r="F47" s="1" t="n">
        <v>5</v>
      </c>
      <c r="G47" s="1" t="n">
        <v>0.4</v>
      </c>
      <c r="H47" s="1" t="n">
        <v>40</v>
      </c>
      <c r="I47" s="1" t="inlineStr">
        <is>
          <t>НЕДОГРУЗ / матрица</t>
        </is>
      </c>
      <c r="J47" s="1" t="n"/>
      <c r="K47" s="1" t="n">
        <v>371</v>
      </c>
      <c r="L47" s="1">
        <f>E47-K47</f>
        <v/>
      </c>
      <c r="M47" s="1" t="n"/>
      <c r="N47" s="1" t="n"/>
      <c r="O47" s="1" t="n">
        <v>378.4000000000001</v>
      </c>
      <c r="P47" s="1" t="n">
        <v>-377.9999999999999</v>
      </c>
      <c r="Q47" s="1" t="n"/>
      <c r="R47" s="1" t="n"/>
      <c r="S47" s="1" t="n"/>
      <c r="T47" s="1" t="n">
        <v>390</v>
      </c>
      <c r="U47" s="1" t="n"/>
      <c r="V47" s="1" t="n">
        <v>195</v>
      </c>
      <c r="W47" s="1" t="n">
        <v>-180</v>
      </c>
      <c r="X47" s="1" t="n">
        <v>93.07999999999974</v>
      </c>
      <c r="Y47" s="1" t="n"/>
      <c r="Z47" s="5" t="n"/>
      <c r="AA47" s="5" t="n"/>
      <c r="AB47" s="1" t="n"/>
      <c r="AC47" s="1" t="n"/>
      <c r="AD47" s="1" t="n"/>
      <c r="AE47" s="1" t="n">
        <v>65</v>
      </c>
      <c r="AF47" s="1" t="n">
        <v>73.2</v>
      </c>
      <c r="AG47" s="1" t="n">
        <v>57</v>
      </c>
      <c r="AH47" s="1" t="n">
        <v>51.2</v>
      </c>
      <c r="AI47" s="1" t="n">
        <v>38.4</v>
      </c>
      <c r="AJ47" s="1" t="n">
        <v>34.6</v>
      </c>
      <c r="AK47" s="1" t="n">
        <v>39.4</v>
      </c>
      <c r="AL47" s="1" t="n">
        <v>36.6</v>
      </c>
      <c r="AM47" s="1" t="n">
        <v>26.8</v>
      </c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</row>
    <row r="48">
      <c r="A48" s="1" t="inlineStr">
        <is>
          <t xml:space="preserve"> 302  Сосиски Сочинки по-баварски,  0.4кг, ТМ Стародворье  ПОКОМ</t>
        </is>
      </c>
      <c r="B48" s="1" t="inlineStr">
        <is>
          <t>шт</t>
        </is>
      </c>
      <c r="C48" s="1" t="n">
        <v>177</v>
      </c>
      <c r="D48" s="1" t="n">
        <v>470</v>
      </c>
      <c r="E48" s="1" t="n">
        <v>451</v>
      </c>
      <c r="F48" s="1" t="n">
        <v>77</v>
      </c>
      <c r="G48" s="1" t="n">
        <v>0.4</v>
      </c>
      <c r="H48" s="1" t="n">
        <v>45</v>
      </c>
      <c r="I48" s="1" t="inlineStr">
        <is>
          <t>НЕДОГРУЗ / матрица</t>
        </is>
      </c>
      <c r="J48" s="1" t="n"/>
      <c r="K48" s="1" t="n">
        <v>470</v>
      </c>
      <c r="L48" s="1">
        <f>E48-K48</f>
        <v/>
      </c>
      <c r="M48" s="1" t="n"/>
      <c r="N48" s="1" t="n"/>
      <c r="O48" s="1" t="n">
        <v>100</v>
      </c>
      <c r="P48" s="1" t="n"/>
      <c r="Q48" s="1" t="n"/>
      <c r="R48" s="1" t="n">
        <v>50</v>
      </c>
      <c r="S48" s="1" t="n"/>
      <c r="T48" s="1" t="n">
        <v>522.5999999999999</v>
      </c>
      <c r="U48" s="1" t="n"/>
      <c r="V48" s="1" t="n">
        <v>261.3</v>
      </c>
      <c r="W48" s="1" t="n"/>
      <c r="X48" s="1" t="n">
        <v>0</v>
      </c>
      <c r="Y48" s="1" t="n"/>
      <c r="Z48" s="5" t="n"/>
      <c r="AA48" s="5" t="n"/>
      <c r="AB48" s="1" t="n"/>
      <c r="AC48" s="1" t="n"/>
      <c r="AD48" s="1" t="n"/>
      <c r="AE48" s="1" t="n">
        <v>88</v>
      </c>
      <c r="AF48" s="1" t="n">
        <v>84</v>
      </c>
      <c r="AG48" s="1" t="n">
        <v>41.2</v>
      </c>
      <c r="AH48" s="1" t="n">
        <v>60.8</v>
      </c>
      <c r="AI48" s="1" t="n">
        <v>91.59999999999999</v>
      </c>
      <c r="AJ48" s="1" t="n">
        <v>61.8</v>
      </c>
      <c r="AK48" s="1" t="n">
        <v>53.8</v>
      </c>
      <c r="AL48" s="1" t="n">
        <v>28.6</v>
      </c>
      <c r="AM48" s="1" t="n">
        <v>35.2</v>
      </c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</row>
    <row r="49">
      <c r="A49" s="1" t="inlineStr">
        <is>
          <t xml:space="preserve"> 305  Колбаса Сервелат Мясорубский с мелкорубленным окороком в/у  ТМ Стародворье ВЕС   ПОКОМ</t>
        </is>
      </c>
      <c r="B49" s="1" t="inlineStr">
        <is>
          <t>кг</t>
        </is>
      </c>
      <c r="C49" s="1" t="n">
        <v>-0.727</v>
      </c>
      <c r="D49" s="1" t="n"/>
      <c r="E49" s="1" t="n"/>
      <c r="F49" s="1" t="n">
        <v>-0.727</v>
      </c>
      <c r="G49" s="1" t="n">
        <v>1</v>
      </c>
      <c r="H49" s="1" t="n">
        <v>40</v>
      </c>
      <c r="I49" s="1" t="inlineStr">
        <is>
          <t>НЕДОГРУЗ / матрица</t>
        </is>
      </c>
      <c r="J49" s="1" t="n"/>
      <c r="K49" s="1" t="n">
        <v>0.8</v>
      </c>
      <c r="L49" s="1">
        <f>E49-K49</f>
        <v/>
      </c>
      <c r="M49" s="1" t="n"/>
      <c r="N49" s="1" t="n"/>
      <c r="O49" s="1" t="n">
        <v>121.2248</v>
      </c>
      <c r="P49" s="1" t="n">
        <v>-121.8</v>
      </c>
      <c r="Q49" s="1" t="n"/>
      <c r="R49" s="1" t="n"/>
      <c r="S49" s="1" t="n"/>
      <c r="T49" s="1" t="n">
        <v>130</v>
      </c>
      <c r="U49" s="1" t="n"/>
      <c r="V49" s="1" t="n"/>
      <c r="W49" s="1" t="n"/>
      <c r="X49" s="1" t="n">
        <v>39</v>
      </c>
      <c r="Y49" s="1" t="n"/>
      <c r="Z49" s="5" t="n"/>
      <c r="AA49" s="5" t="n"/>
      <c r="AB49" s="1" t="n"/>
      <c r="AC49" s="1" t="n"/>
      <c r="AD49" s="1" t="n"/>
      <c r="AE49" s="1" t="n">
        <v>9.7788</v>
      </c>
      <c r="AF49" s="1" t="n">
        <v>18.2358</v>
      </c>
      <c r="AG49" s="1" t="n">
        <v>15.524</v>
      </c>
      <c r="AH49" s="1" t="n">
        <v>12.8612</v>
      </c>
      <c r="AI49" s="1" t="n">
        <v>9.617000000000001</v>
      </c>
      <c r="AJ49" s="1" t="n">
        <v>3.972</v>
      </c>
      <c r="AK49" s="1" t="n">
        <v>4.1012</v>
      </c>
      <c r="AL49" s="1" t="n">
        <v>4.9814</v>
      </c>
      <c r="AM49" s="1" t="n">
        <v>0.8785999999999999</v>
      </c>
      <c r="AN49" s="1" t="inlineStr">
        <is>
          <t>ПРОМО сентябрь</t>
        </is>
      </c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</row>
    <row r="50">
      <c r="A50" s="1" t="inlineStr">
        <is>
          <t xml:space="preserve"> 307  Колбаса Сервелат Мясорубский с мелкорубленным окороком 0,35 кг срез ТМ Стародворье   Поком</t>
        </is>
      </c>
      <c r="B50" s="1" t="inlineStr">
        <is>
          <t>шт</t>
        </is>
      </c>
      <c r="C50" s="1" t="n">
        <v>2</v>
      </c>
      <c r="D50" s="1" t="n"/>
      <c r="E50" s="1" t="n">
        <v>-2</v>
      </c>
      <c r="F50" s="1" t="n">
        <v>-4</v>
      </c>
      <c r="G50" s="1" t="n">
        <v>0.35</v>
      </c>
      <c r="H50" s="1" t="n">
        <v>40</v>
      </c>
      <c r="I50" s="1" t="inlineStr">
        <is>
          <t>НЕДОГРУЗ / матрица</t>
        </is>
      </c>
      <c r="J50" s="1" t="n"/>
      <c r="K50" s="1" t="n">
        <v>192</v>
      </c>
      <c r="L50" s="1">
        <f>E50-K50</f>
        <v/>
      </c>
      <c r="M50" s="1" t="n"/>
      <c r="N50" s="1" t="n"/>
      <c r="O50" s="1" t="n">
        <v>48.95000000000001</v>
      </c>
      <c r="P50" s="1" t="n">
        <v>-54</v>
      </c>
      <c r="Q50" s="1" t="n"/>
      <c r="R50" s="1" t="n"/>
      <c r="S50" s="1" t="n"/>
      <c r="T50" s="1" t="n">
        <v>260</v>
      </c>
      <c r="U50" s="1" t="n"/>
      <c r="V50" s="1" t="n"/>
      <c r="W50" s="1" t="n"/>
      <c r="X50" s="1" t="n">
        <v>152.6849999999999</v>
      </c>
      <c r="Y50" s="1" t="n"/>
      <c r="Z50" s="5" t="n"/>
      <c r="AA50" s="5" t="n"/>
      <c r="AB50" s="1" t="n"/>
      <c r="AC50" s="1" t="n"/>
      <c r="AD50" s="1" t="n"/>
      <c r="AE50" s="1" t="n">
        <v>31.2</v>
      </c>
      <c r="AF50" s="1" t="n">
        <v>60.8</v>
      </c>
      <c r="AG50" s="1" t="n">
        <v>78.40000000000001</v>
      </c>
      <c r="AH50" s="1" t="n">
        <v>297.4</v>
      </c>
      <c r="AI50" s="1" t="n">
        <v>286.6</v>
      </c>
      <c r="AJ50" s="1" t="n">
        <v>77.59999999999999</v>
      </c>
      <c r="AK50" s="1" t="n">
        <v>42.2</v>
      </c>
      <c r="AL50" s="1" t="n">
        <v>3.4</v>
      </c>
      <c r="AM50" s="1" t="n">
        <v>3.8</v>
      </c>
      <c r="AN50" s="1" t="inlineStr">
        <is>
          <t>1000шт под сети (Хмель 01,09,26)</t>
        </is>
      </c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</row>
    <row r="51">
      <c r="A51" s="1" t="inlineStr">
        <is>
          <t xml:space="preserve"> 309  Сосиски Сочинки с сыром 0,4 кг ТМ Стародворье  ПОКОМ</t>
        </is>
      </c>
      <c r="B51" s="1" t="inlineStr">
        <is>
          <t>шт</t>
        </is>
      </c>
      <c r="C51" s="1" t="n">
        <v>571</v>
      </c>
      <c r="D51" s="1" t="n">
        <v>3</v>
      </c>
      <c r="E51" s="1" t="n">
        <v>345</v>
      </c>
      <c r="F51" s="1" t="n">
        <v>191</v>
      </c>
      <c r="G51" s="1" t="n">
        <v>0.4</v>
      </c>
      <c r="H51" s="1" t="n">
        <v>40</v>
      </c>
      <c r="I51" s="1" t="inlineStr">
        <is>
          <t>НЕДОГРУЗ / матрица</t>
        </is>
      </c>
      <c r="J51" s="1" t="n"/>
      <c r="K51" s="1" t="n">
        <v>351</v>
      </c>
      <c r="L51" s="1">
        <f>E51-K51</f>
        <v/>
      </c>
      <c r="M51" s="1" t="n"/>
      <c r="N51" s="1" t="n"/>
      <c r="O51" s="1" t="n">
        <v>15.80000000000007</v>
      </c>
      <c r="P51" s="1" t="n">
        <v>-18</v>
      </c>
      <c r="Q51" s="1" t="n"/>
      <c r="R51" s="1" t="n"/>
      <c r="S51" s="1" t="n"/>
      <c r="T51" s="1" t="n">
        <v>260</v>
      </c>
      <c r="U51" s="1" t="n"/>
      <c r="V51" s="1" t="n"/>
      <c r="W51" s="1" t="n"/>
      <c r="X51" s="1" t="n">
        <v>468</v>
      </c>
      <c r="Y51" s="1" t="n"/>
      <c r="Z51" s="5" t="n"/>
      <c r="AA51" s="5" t="n"/>
      <c r="AB51" s="1" t="n"/>
      <c r="AC51" s="1" t="n"/>
      <c r="AD51" s="1" t="n"/>
      <c r="AE51" s="1" t="n">
        <v>79.40000000000001</v>
      </c>
      <c r="AF51" s="1" t="n">
        <v>67.40000000000001</v>
      </c>
      <c r="AG51" s="1" t="n">
        <v>75.40000000000001</v>
      </c>
      <c r="AH51" s="1" t="n">
        <v>92</v>
      </c>
      <c r="AI51" s="1" t="n">
        <v>107</v>
      </c>
      <c r="AJ51" s="1" t="n">
        <v>103</v>
      </c>
      <c r="AK51" s="1" t="n">
        <v>65.59999999999999</v>
      </c>
      <c r="AL51" s="1" t="n">
        <v>59</v>
      </c>
      <c r="AM51" s="1" t="n">
        <v>80.2</v>
      </c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</row>
    <row r="52">
      <c r="A52" s="1" t="inlineStr">
        <is>
          <t xml:space="preserve"> 312  Ветчина Филейская ВЕС ТМ  Вязанка ТС Столичная  ПОКОМ</t>
        </is>
      </c>
      <c r="B52" s="1" t="inlineStr">
        <is>
          <t>кг</t>
        </is>
      </c>
      <c r="C52" s="1" t="n">
        <v>52.873</v>
      </c>
      <c r="D52" s="1" t="n">
        <v>318.923</v>
      </c>
      <c r="E52" s="1" t="n">
        <v>205.235</v>
      </c>
      <c r="F52" s="1" t="n">
        <v>131.537</v>
      </c>
      <c r="G52" s="1" t="n">
        <v>1</v>
      </c>
      <c r="H52" s="1" t="n">
        <v>50</v>
      </c>
      <c r="I52" s="1" t="inlineStr">
        <is>
          <t>матрица</t>
        </is>
      </c>
      <c r="J52" s="1" t="n"/>
      <c r="K52" s="1" t="n">
        <v>203.75</v>
      </c>
      <c r="L52" s="1">
        <f>E52-K52</f>
        <v/>
      </c>
      <c r="M52" s="1" t="n"/>
      <c r="N52" s="1" t="n"/>
      <c r="O52" s="1" t="n">
        <v>41.56717341</v>
      </c>
      <c r="P52" s="1" t="n"/>
      <c r="Q52" s="1" t="n"/>
      <c r="R52" s="1" t="n">
        <v>76.95912658999998</v>
      </c>
      <c r="S52" s="1" t="n"/>
      <c r="T52" s="1" t="n"/>
      <c r="U52" s="1" t="n"/>
      <c r="V52" s="1" t="n"/>
      <c r="W52" s="1" t="n"/>
      <c r="X52" s="1" t="n">
        <v>0</v>
      </c>
      <c r="Y52" s="1" t="n"/>
      <c r="Z52" s="5" t="n"/>
      <c r="AA52" s="5" t="n"/>
      <c r="AB52" s="1" t="n"/>
      <c r="AC52" s="1" t="n"/>
      <c r="AD52" s="1" t="n"/>
      <c r="AE52" s="1" t="n">
        <v>19.8336</v>
      </c>
      <c r="AF52" s="1" t="n">
        <v>20.8716</v>
      </c>
      <c r="AG52" s="1" t="n">
        <v>29.9814</v>
      </c>
      <c r="AH52" s="1" t="n">
        <v>29.6774</v>
      </c>
      <c r="AI52" s="1" t="n">
        <v>19.035</v>
      </c>
      <c r="AJ52" s="1" t="n">
        <v>16.6582</v>
      </c>
      <c r="AK52" s="1" t="n">
        <v>12.968</v>
      </c>
      <c r="AL52" s="1" t="n">
        <v>15.1008</v>
      </c>
      <c r="AM52" s="1" t="n">
        <v>23.8226</v>
      </c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</row>
    <row r="53">
      <c r="A53" s="1" t="inlineStr">
        <is>
          <t xml:space="preserve"> 315  Колбаса вареная Молокуша ТМ Вязанка ВЕС, ПОКОМ</t>
        </is>
      </c>
      <c r="B53" s="1" t="inlineStr">
        <is>
          <t>кг</t>
        </is>
      </c>
      <c r="C53" s="1" t="n">
        <v>703.463</v>
      </c>
      <c r="D53" s="1" t="n">
        <v>1161.007</v>
      </c>
      <c r="E53" s="1" t="n">
        <v>1001.241</v>
      </c>
      <c r="F53" s="1" t="n">
        <v>2.827</v>
      </c>
      <c r="G53" s="1" t="n">
        <v>1</v>
      </c>
      <c r="H53" s="1" t="n">
        <v>50</v>
      </c>
      <c r="I53" s="1" t="inlineStr">
        <is>
          <t>матрица</t>
        </is>
      </c>
      <c r="J53" s="1" t="n"/>
      <c r="K53" s="1" t="n">
        <v>1114.547</v>
      </c>
      <c r="L53" s="1">
        <f>E53-K53</f>
        <v/>
      </c>
      <c r="M53" s="1" t="n"/>
      <c r="N53" s="1" t="n">
        <v>473.297</v>
      </c>
      <c r="O53" s="1" t="n">
        <v>0</v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>
        <v>1567.522848</v>
      </c>
      <c r="Y53" s="1" t="n"/>
      <c r="Z53" s="5" t="n"/>
      <c r="AA53" s="5" t="n"/>
      <c r="AB53" s="1" t="n"/>
      <c r="AC53" s="1" t="n"/>
      <c r="AD53" s="1" t="n"/>
      <c r="AE53" s="1" t="n">
        <v>141.5504</v>
      </c>
      <c r="AF53" s="1" t="n">
        <v>82.66</v>
      </c>
      <c r="AG53" s="1" t="n">
        <v>80.6148</v>
      </c>
      <c r="AH53" s="1" t="n">
        <v>94.96420000000001</v>
      </c>
      <c r="AI53" s="1" t="n">
        <v>153.3692</v>
      </c>
      <c r="AJ53" s="1" t="n">
        <v>161.0064</v>
      </c>
      <c r="AK53" s="1" t="n">
        <v>71.8312</v>
      </c>
      <c r="AL53" s="1" t="n">
        <v>69.20959999999999</v>
      </c>
      <c r="AM53" s="1" t="n">
        <v>101.3268</v>
      </c>
      <c r="AN53" s="1" t="inlineStr">
        <is>
          <t>ПРОМО сентябрь</t>
        </is>
      </c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</row>
    <row r="54">
      <c r="A54" s="6" t="inlineStr">
        <is>
          <t xml:space="preserve"> 318  Сосиски Датские ТМ Зареченские, ВЕС  ПОКОМ</t>
        </is>
      </c>
      <c r="B54" s="1" t="inlineStr">
        <is>
          <t>кг</t>
        </is>
      </c>
      <c r="C54" s="1" t="n"/>
      <c r="D54" s="1" t="n"/>
      <c r="E54" s="1" t="n"/>
      <c r="F54" s="1" t="n"/>
      <c r="G54" s="1" t="n">
        <v>0</v>
      </c>
      <c r="H54" s="1" t="n"/>
      <c r="I54" s="1" t="inlineStr">
        <is>
          <t>матрица</t>
        </is>
      </c>
      <c r="J54" s="1" t="n"/>
      <c r="K54" s="1" t="n"/>
      <c r="L54" s="1">
        <f>E54-K54</f>
        <v/>
      </c>
      <c r="M54" s="1" t="n"/>
      <c r="N54" s="1" t="n"/>
      <c r="O54" s="1" t="n">
        <v>0</v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>
        <v>0</v>
      </c>
      <c r="Y54" s="1" t="n"/>
      <c r="Z54" s="5" t="n"/>
      <c r="AA54" s="5" t="n"/>
      <c r="AB54" s="1" t="n"/>
      <c r="AC54" s="1" t="n"/>
      <c r="AD54" s="1" t="n"/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inlineStr">
        <is>
          <t>нет потребности</t>
        </is>
      </c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</row>
    <row r="55">
      <c r="A55" s="1" t="inlineStr">
        <is>
          <t xml:space="preserve"> 319  Колбаса вареная Филейская ТМ Вязанка ТС Классическая, 0,45 кг. ПОКОМ</t>
        </is>
      </c>
      <c r="B55" s="1" t="inlineStr">
        <is>
          <t>шт</t>
        </is>
      </c>
      <c r="C55" s="1" t="n">
        <v>501</v>
      </c>
      <c r="D55" s="1" t="n">
        <v>131</v>
      </c>
      <c r="E55" s="1" t="n">
        <v>320.018</v>
      </c>
      <c r="F55" s="1" t="n">
        <v>305.982</v>
      </c>
      <c r="G55" s="1" t="n">
        <v>0.45</v>
      </c>
      <c r="H55" s="1" t="n">
        <v>50</v>
      </c>
      <c r="I55" s="1" t="inlineStr">
        <is>
          <t>матрица</t>
        </is>
      </c>
      <c r="J55" s="1" t="n"/>
      <c r="K55" s="1" t="n">
        <v>323</v>
      </c>
      <c r="L55" s="1">
        <f>E55-K55</f>
        <v/>
      </c>
      <c r="M55" s="1" t="n"/>
      <c r="N55" s="1" t="n"/>
      <c r="O55" s="1" t="n">
        <v>103.03566</v>
      </c>
      <c r="P55" s="1" t="n"/>
      <c r="Q55" s="1" t="n"/>
      <c r="R55" s="1" t="n">
        <v>190.76434</v>
      </c>
      <c r="S55" s="1" t="n">
        <v>-191</v>
      </c>
      <c r="T55" s="1" t="n"/>
      <c r="U55" s="1" t="n"/>
      <c r="V55" s="1" t="n"/>
      <c r="W55" s="1" t="n"/>
      <c r="X55" s="1" t="n">
        <v>258.8761319999999</v>
      </c>
      <c r="Y55" s="1" t="n"/>
      <c r="Z55" s="5" t="n"/>
      <c r="AA55" s="5" t="n"/>
      <c r="AB55" s="1" t="n"/>
      <c r="AC55" s="1" t="n"/>
      <c r="AD55" s="1" t="n"/>
      <c r="AE55" s="1" t="n">
        <v>53.00359999999999</v>
      </c>
      <c r="AF55" s="1" t="n">
        <v>62.2</v>
      </c>
      <c r="AG55" s="1" t="n">
        <v>72.40000000000001</v>
      </c>
      <c r="AH55" s="1" t="n">
        <v>68</v>
      </c>
      <c r="AI55" s="1" t="n">
        <v>63</v>
      </c>
      <c r="AJ55" s="1" t="n">
        <v>61</v>
      </c>
      <c r="AK55" s="1" t="n">
        <v>62.8</v>
      </c>
      <c r="AL55" s="1" t="n">
        <v>62.4</v>
      </c>
      <c r="AM55" s="1" t="n">
        <v>49.2</v>
      </c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</row>
    <row r="56">
      <c r="A56" s="1" t="inlineStr">
        <is>
          <t xml:space="preserve"> 322  Колбаса вареная Молокуша 0,45кг ТМ Вязанка  ПОКОМ</t>
        </is>
      </c>
      <c r="B56" s="1" t="inlineStr">
        <is>
          <t>шт</t>
        </is>
      </c>
      <c r="C56" s="1" t="n">
        <v>508</v>
      </c>
      <c r="D56" s="1" t="n">
        <v>336</v>
      </c>
      <c r="E56" s="1" t="n">
        <v>443</v>
      </c>
      <c r="F56" s="1" t="n">
        <v>372</v>
      </c>
      <c r="G56" s="1" t="n">
        <v>0.45</v>
      </c>
      <c r="H56" s="1" t="n">
        <v>50</v>
      </c>
      <c r="I56" s="1" t="inlineStr">
        <is>
          <t>матрица</t>
        </is>
      </c>
      <c r="J56" s="1" t="n"/>
      <c r="K56" s="1" t="n">
        <v>451</v>
      </c>
      <c r="L56" s="1">
        <f>E56-K56</f>
        <v/>
      </c>
      <c r="M56" s="1" t="n"/>
      <c r="N56" s="1" t="n"/>
      <c r="O56" s="1" t="n">
        <v>111.8031600000001</v>
      </c>
      <c r="P56" s="1" t="n"/>
      <c r="Q56" s="1" t="n"/>
      <c r="R56" s="1" t="n">
        <v>206.9968400000001</v>
      </c>
      <c r="S56" s="1" t="n"/>
      <c r="T56" s="1" t="n">
        <v>121.1039999999999</v>
      </c>
      <c r="U56" s="1" t="n"/>
      <c r="V56" s="1" t="n">
        <v>484.4159999999998</v>
      </c>
      <c r="W56" s="1" t="n"/>
      <c r="X56" s="1" t="n">
        <v>309.4680000000002</v>
      </c>
      <c r="Y56" s="1" t="n"/>
      <c r="Z56" s="5" t="n"/>
      <c r="AA56" s="5" t="n"/>
      <c r="AB56" s="1" t="n"/>
      <c r="AC56" s="1" t="n"/>
      <c r="AD56" s="1" t="n"/>
      <c r="AE56" s="1" t="n">
        <v>112.4</v>
      </c>
      <c r="AF56" s="1" t="n">
        <v>111.6</v>
      </c>
      <c r="AG56" s="1" t="n">
        <v>97.40000000000001</v>
      </c>
      <c r="AH56" s="1" t="n">
        <v>85.40000000000001</v>
      </c>
      <c r="AI56" s="1" t="n">
        <v>118.6</v>
      </c>
      <c r="AJ56" s="1" t="n">
        <v>121</v>
      </c>
      <c r="AK56" s="1" t="n">
        <v>89.2</v>
      </c>
      <c r="AL56" s="1" t="n">
        <v>85.2</v>
      </c>
      <c r="AM56" s="1" t="n">
        <v>83.8</v>
      </c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</row>
    <row r="57">
      <c r="A57" s="6" t="inlineStr">
        <is>
          <t xml:space="preserve"> 328  Сардельки Сочинки Стародворье ТМ  0,4 кг ПОКОМ</t>
        </is>
      </c>
      <c r="B57" s="1" t="inlineStr">
        <is>
          <t>шт</t>
        </is>
      </c>
      <c r="C57" s="1" t="n"/>
      <c r="D57" s="1" t="n"/>
      <c r="E57" s="1" t="n"/>
      <c r="F57" s="1" t="n"/>
      <c r="G57" s="1" t="n">
        <v>0</v>
      </c>
      <c r="H57" s="1" t="n"/>
      <c r="I57" s="1" t="inlineStr">
        <is>
          <t>матрица</t>
        </is>
      </c>
      <c r="J57" s="1" t="n"/>
      <c r="K57" s="1" t="n"/>
      <c r="L57" s="1">
        <f>E57-K57</f>
        <v/>
      </c>
      <c r="M57" s="1" t="n"/>
      <c r="N57" s="1" t="n"/>
      <c r="O57" s="1" t="n">
        <v>0</v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>
        <v>0</v>
      </c>
      <c r="Y57" s="1" t="n"/>
      <c r="Z57" s="5" t="n"/>
      <c r="AA57" s="5" t="n"/>
      <c r="AB57" s="1" t="n"/>
      <c r="AC57" s="1" t="n"/>
      <c r="AD57" s="1" t="n"/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inlineStr">
        <is>
          <t>нет потребности</t>
        </is>
      </c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</row>
    <row r="58">
      <c r="A58" s="1" t="inlineStr">
        <is>
          <t xml:space="preserve"> 329  Сардельки Сочинки с сыром Стародворье ТМ, 0,4 кг. ПОКОМ</t>
        </is>
      </c>
      <c r="B58" s="1" t="inlineStr">
        <is>
          <t>шт</t>
        </is>
      </c>
      <c r="C58" s="1" t="n">
        <v>94</v>
      </c>
      <c r="D58" s="1" t="n">
        <v>3</v>
      </c>
      <c r="E58" s="1" t="n">
        <v>19</v>
      </c>
      <c r="F58" s="1" t="n">
        <v>72</v>
      </c>
      <c r="G58" s="1" t="n">
        <v>0.4</v>
      </c>
      <c r="H58" s="1" t="n">
        <v>40</v>
      </c>
      <c r="I58" s="1" t="inlineStr">
        <is>
          <t>НЕДОГРУЗ / матрица</t>
        </is>
      </c>
      <c r="J58" s="1" t="n"/>
      <c r="K58" s="1" t="n">
        <v>22</v>
      </c>
      <c r="L58" s="1">
        <f>E58-K58</f>
        <v/>
      </c>
      <c r="M58" s="1" t="n"/>
      <c r="N58" s="1" t="n"/>
      <c r="O58" s="1" t="n">
        <v>0</v>
      </c>
      <c r="P58" s="1" t="n"/>
      <c r="Q58" s="1" t="n"/>
      <c r="R58" s="1" t="n"/>
      <c r="S58" s="1" t="n"/>
      <c r="T58" s="1" t="n">
        <v>0</v>
      </c>
      <c r="U58" s="1" t="n"/>
      <c r="V58" s="1" t="n"/>
      <c r="W58" s="1" t="n"/>
      <c r="X58" s="1" t="n">
        <v>16.9</v>
      </c>
      <c r="Y58" s="1" t="n"/>
      <c r="Z58" s="5" t="n"/>
      <c r="AA58" s="5" t="n"/>
      <c r="AB58" s="1" t="n"/>
      <c r="AC58" s="1" t="n"/>
      <c r="AD58" s="1" t="n"/>
      <c r="AE58" s="1" t="n">
        <v>8</v>
      </c>
      <c r="AF58" s="1" t="n">
        <v>7.4</v>
      </c>
      <c r="AG58" s="1" t="n">
        <v>5.4</v>
      </c>
      <c r="AH58" s="1" t="n">
        <v>6</v>
      </c>
      <c r="AI58" s="1" t="n">
        <v>5.2</v>
      </c>
      <c r="AJ58" s="1" t="n">
        <v>6.6</v>
      </c>
      <c r="AK58" s="1" t="n">
        <v>2.6</v>
      </c>
      <c r="AL58" s="1" t="n">
        <v>2.8</v>
      </c>
      <c r="AM58" s="1" t="n">
        <v>8.199999999999999</v>
      </c>
      <c r="AN58" s="1" t="inlineStr">
        <is>
          <t>нужно увеличить продажи</t>
        </is>
      </c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</row>
    <row r="59">
      <c r="A59" s="1" t="inlineStr">
        <is>
          <t xml:space="preserve"> 330  Колбаса вареная Филейская ТМ Вязанка ТС Классическая ВЕС  ПОКОМ</t>
        </is>
      </c>
      <c r="B59" s="1" t="inlineStr">
        <is>
          <t>кг</t>
        </is>
      </c>
      <c r="C59" s="1" t="n">
        <v>544.732</v>
      </c>
      <c r="D59" s="1" t="n">
        <v>954.224</v>
      </c>
      <c r="E59" s="1" t="n">
        <v>1032.215</v>
      </c>
      <c r="F59" s="1" t="n">
        <v>31.588</v>
      </c>
      <c r="G59" s="1" t="n">
        <v>1</v>
      </c>
      <c r="H59" s="1" t="n">
        <v>50</v>
      </c>
      <c r="I59" s="1" t="inlineStr">
        <is>
          <t>матрица</t>
        </is>
      </c>
      <c r="J59" s="1" t="n"/>
      <c r="K59" s="1" t="n">
        <v>1001.535</v>
      </c>
      <c r="L59" s="1">
        <f>E59-K59</f>
        <v/>
      </c>
      <c r="M59" s="1" t="n"/>
      <c r="N59" s="1" t="n"/>
      <c r="O59" s="1" t="n">
        <v>70.14000000000001</v>
      </c>
      <c r="P59" s="1" t="n"/>
      <c r="Q59" s="1" t="n"/>
      <c r="R59" s="1" t="n">
        <v>129.86</v>
      </c>
      <c r="S59" s="1" t="n"/>
      <c r="T59" s="1" t="n">
        <v>232.5581915199999</v>
      </c>
      <c r="U59" s="1" t="n"/>
      <c r="V59" s="1" t="n">
        <v>930.23276608</v>
      </c>
      <c r="W59" s="1" t="n"/>
      <c r="X59" s="1" t="n">
        <v>932.2667464000004</v>
      </c>
      <c r="Y59" s="1" t="n"/>
      <c r="Z59" s="5" t="n"/>
      <c r="AA59" s="5" t="n"/>
      <c r="AB59" s="1" t="n"/>
      <c r="AC59" s="1" t="n"/>
      <c r="AD59" s="1" t="n"/>
      <c r="AE59" s="1" t="n">
        <v>204.5192</v>
      </c>
      <c r="AF59" s="1" t="n">
        <v>173.8864</v>
      </c>
      <c r="AG59" s="1" t="n">
        <v>123.2016</v>
      </c>
      <c r="AH59" s="1" t="n">
        <v>136.3632</v>
      </c>
      <c r="AI59" s="1" t="n">
        <v>140.7388</v>
      </c>
      <c r="AJ59" s="1" t="n">
        <v>154.6072</v>
      </c>
      <c r="AK59" s="1" t="n">
        <v>64.62820000000001</v>
      </c>
      <c r="AL59" s="1" t="n">
        <v>46.2846</v>
      </c>
      <c r="AM59" s="1" t="n">
        <v>73.5078</v>
      </c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</row>
    <row r="60">
      <c r="A60" s="1" t="inlineStr">
        <is>
          <t xml:space="preserve"> 334  Паштет Любительский ТМ Стародворье ламистер 0,1 кг  ПОКОМ</t>
        </is>
      </c>
      <c r="B60" s="1" t="inlineStr">
        <is>
          <t>шт</t>
        </is>
      </c>
      <c r="C60" s="1" t="n">
        <v>815</v>
      </c>
      <c r="D60" s="1" t="n">
        <v>65</v>
      </c>
      <c r="E60" s="1" t="n">
        <v>135</v>
      </c>
      <c r="F60" s="1" t="n">
        <v>528</v>
      </c>
      <c r="G60" s="1" t="n">
        <v>0.1</v>
      </c>
      <c r="H60" s="1" t="n">
        <v>731</v>
      </c>
      <c r="I60" s="1" t="inlineStr">
        <is>
          <t>матрица</t>
        </is>
      </c>
      <c r="J60" s="1" t="n"/>
      <c r="K60" s="1" t="n">
        <v>146</v>
      </c>
      <c r="L60" s="1">
        <f>E60-K60</f>
        <v/>
      </c>
      <c r="M60" s="1" t="n"/>
      <c r="N60" s="1" t="n"/>
      <c r="O60" s="1" t="n">
        <v>0</v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>
        <v>0</v>
      </c>
      <c r="Y60" s="1" t="n"/>
      <c r="Z60" s="5" t="n"/>
      <c r="AA60" s="5" t="n"/>
      <c r="AB60" s="1" t="n"/>
      <c r="AC60" s="1" t="n"/>
      <c r="AD60" s="1" t="n"/>
      <c r="AE60" s="1" t="n">
        <v>46.6</v>
      </c>
      <c r="AF60" s="1" t="n">
        <v>63</v>
      </c>
      <c r="AG60" s="1" t="n">
        <v>65.40000000000001</v>
      </c>
      <c r="AH60" s="1" t="n">
        <v>33.4</v>
      </c>
      <c r="AI60" s="1" t="n">
        <v>37</v>
      </c>
      <c r="AJ60" s="1" t="n">
        <v>62.6</v>
      </c>
      <c r="AK60" s="1" t="n">
        <v>35.2</v>
      </c>
      <c r="AL60" s="1" t="n">
        <v>18.2</v>
      </c>
      <c r="AM60" s="1" t="n">
        <v>21.2</v>
      </c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</row>
    <row r="61">
      <c r="A61" s="1" t="inlineStr">
        <is>
          <t xml:space="preserve"> 335  Колбаса Сливушка ТМ Вязанка. ВЕС.  ПОКОМ </t>
        </is>
      </c>
      <c r="B61" s="1" t="inlineStr">
        <is>
          <t>кг</t>
        </is>
      </c>
      <c r="C61" s="1" t="n">
        <v>114.774</v>
      </c>
      <c r="D61" s="1" t="n">
        <v>1225.092</v>
      </c>
      <c r="E61" s="1" t="n">
        <v>512.08</v>
      </c>
      <c r="F61" s="1" t="n">
        <v>528.567</v>
      </c>
      <c r="G61" s="1" t="n">
        <v>1</v>
      </c>
      <c r="H61" s="1" t="n">
        <v>50</v>
      </c>
      <c r="I61" s="1" t="inlineStr">
        <is>
          <t>матрица</t>
        </is>
      </c>
      <c r="J61" s="1" t="n"/>
      <c r="K61" s="1" t="n">
        <v>527.35</v>
      </c>
      <c r="L61" s="1">
        <f>E61-K61</f>
        <v/>
      </c>
      <c r="M61" s="1" t="n"/>
      <c r="N61" s="1" t="n"/>
      <c r="O61" s="1" t="n">
        <v>260.8559555699999</v>
      </c>
      <c r="P61" s="1" t="n"/>
      <c r="Q61" s="1" t="n"/>
      <c r="R61" s="1" t="n">
        <v>482.9591444299997</v>
      </c>
      <c r="S61" s="1" t="n"/>
      <c r="T61" s="1" t="n">
        <v>60</v>
      </c>
      <c r="U61" s="1" t="n"/>
      <c r="V61" s="1" t="n">
        <v>240</v>
      </c>
      <c r="W61" s="1" t="n"/>
      <c r="X61" s="1" t="n">
        <v>0</v>
      </c>
      <c r="Y61" s="1" t="n"/>
      <c r="Z61" s="5" t="n"/>
      <c r="AA61" s="5" t="n"/>
      <c r="AB61" s="1" t="n"/>
      <c r="AC61" s="1" t="n"/>
      <c r="AD61" s="1" t="n"/>
      <c r="AE61" s="1" t="n">
        <v>87.879</v>
      </c>
      <c r="AF61" s="1" t="n">
        <v>99.55499999999999</v>
      </c>
      <c r="AG61" s="1" t="n">
        <v>115.2872</v>
      </c>
      <c r="AH61" s="1" t="n">
        <v>98.02459999999999</v>
      </c>
      <c r="AI61" s="1" t="n">
        <v>102.1282</v>
      </c>
      <c r="AJ61" s="1" t="n">
        <v>92.13460000000001</v>
      </c>
      <c r="AK61" s="1" t="n">
        <v>28.6614</v>
      </c>
      <c r="AL61" s="1" t="n">
        <v>42.1032</v>
      </c>
      <c r="AM61" s="1" t="n">
        <v>122.7258</v>
      </c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</row>
    <row r="62">
      <c r="A62" s="1" t="inlineStr">
        <is>
          <t xml:space="preserve"> 336  Ветчина Сливушка с индейкой ТМ Вязанка. ВЕС  ПОКОМ</t>
        </is>
      </c>
      <c r="B62" s="1" t="inlineStr">
        <is>
          <t>кг</t>
        </is>
      </c>
      <c r="C62" s="1" t="n"/>
      <c r="D62" s="1" t="n">
        <v>271.88</v>
      </c>
      <c r="E62" s="1" t="n">
        <v>16.041</v>
      </c>
      <c r="F62" s="1" t="n">
        <v>252.679</v>
      </c>
      <c r="G62" s="1" t="n">
        <v>1</v>
      </c>
      <c r="H62" s="1" t="n">
        <v>55</v>
      </c>
      <c r="I62" s="1" t="inlineStr">
        <is>
          <t>матрица</t>
        </is>
      </c>
      <c r="J62" s="1" t="n"/>
      <c r="K62" s="1" t="n">
        <v>15.9</v>
      </c>
      <c r="L62" s="1">
        <f>E62-K62</f>
        <v/>
      </c>
      <c r="M62" s="1" t="n"/>
      <c r="N62" s="1" t="n"/>
      <c r="O62" s="1" t="n">
        <v>44.73978096</v>
      </c>
      <c r="P62" s="1" t="n"/>
      <c r="Q62" s="1" t="n"/>
      <c r="R62" s="1" t="n">
        <v>82.83301904000001</v>
      </c>
      <c r="S62" s="1" t="n"/>
      <c r="T62" s="1" t="n"/>
      <c r="U62" s="1" t="n"/>
      <c r="V62" s="1" t="n"/>
      <c r="W62" s="1" t="n"/>
      <c r="X62" s="1" t="n">
        <v>0</v>
      </c>
      <c r="Y62" s="1" t="n"/>
      <c r="Z62" s="5" t="n"/>
      <c r="AA62" s="5" t="n"/>
      <c r="AB62" s="1" t="n"/>
      <c r="AC62" s="1" t="n"/>
      <c r="AD62" s="1" t="n"/>
      <c r="AE62" s="1" t="n">
        <v>1.5432</v>
      </c>
      <c r="AF62" s="1" t="n">
        <v>4.090400000000001</v>
      </c>
      <c r="AG62" s="1" t="n">
        <v>20.759</v>
      </c>
      <c r="AH62" s="1" t="n">
        <v>17.7484</v>
      </c>
      <c r="AI62" s="1" t="n">
        <v>2.9816</v>
      </c>
      <c r="AJ62" s="1" t="n">
        <v>5.404</v>
      </c>
      <c r="AK62" s="1" t="n">
        <v>9.448</v>
      </c>
      <c r="AL62" s="1" t="n">
        <v>7.5764</v>
      </c>
      <c r="AM62" s="1" t="n">
        <v>5.4626</v>
      </c>
      <c r="AN62" s="1" t="inlineStr">
        <is>
          <t>нужно увеличить продажи</t>
        </is>
      </c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</row>
    <row r="63">
      <c r="A63" s="1" t="inlineStr">
        <is>
          <t xml:space="preserve"> 338  Паштет печеночный с морковью ТМ Стародворье ламистер 0,1 кг.  ПОКОМ</t>
        </is>
      </c>
      <c r="B63" s="1" t="inlineStr">
        <is>
          <t>шт</t>
        </is>
      </c>
      <c r="C63" s="1" t="n">
        <v>631</v>
      </c>
      <c r="D63" s="1" t="n">
        <v>63</v>
      </c>
      <c r="E63" s="1" t="n">
        <v>124</v>
      </c>
      <c r="F63" s="1" t="n">
        <v>554</v>
      </c>
      <c r="G63" s="1" t="n">
        <v>0.1</v>
      </c>
      <c r="H63" s="1" t="n">
        <v>731</v>
      </c>
      <c r="I63" s="1" t="inlineStr">
        <is>
          <t>матрица</t>
        </is>
      </c>
      <c r="J63" s="1" t="n"/>
      <c r="K63" s="1" t="n">
        <v>131</v>
      </c>
      <c r="L63" s="1">
        <f>E63-K63</f>
        <v/>
      </c>
      <c r="M63" s="1" t="n"/>
      <c r="N63" s="1" t="n"/>
      <c r="O63" s="1" t="n">
        <v>0</v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>
        <v>0</v>
      </c>
      <c r="Y63" s="1" t="n"/>
      <c r="Z63" s="5" t="n"/>
      <c r="AA63" s="5" t="n"/>
      <c r="AB63" s="1" t="n"/>
      <c r="AC63" s="1" t="n"/>
      <c r="AD63" s="1" t="n"/>
      <c r="AE63" s="1" t="n">
        <v>27.2</v>
      </c>
      <c r="AF63" s="1" t="n">
        <v>35</v>
      </c>
      <c r="AG63" s="1" t="n">
        <v>40.2</v>
      </c>
      <c r="AH63" s="1" t="n">
        <v>25.8</v>
      </c>
      <c r="AI63" s="1" t="n">
        <v>29</v>
      </c>
      <c r="AJ63" s="1" t="n">
        <v>47</v>
      </c>
      <c r="AK63" s="1" t="n">
        <v>28.2</v>
      </c>
      <c r="AL63" s="1" t="n">
        <v>12</v>
      </c>
      <c r="AM63" s="1" t="n">
        <v>17.2</v>
      </c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</row>
    <row r="64">
      <c r="A64" s="6" t="inlineStr">
        <is>
          <t xml:space="preserve"> 339  Колбаса вареная Филейская ТМ Вязанка ТС Классическая, 0,40 кг.  ПОКОМ</t>
        </is>
      </c>
      <c r="B64" s="1" t="inlineStr">
        <is>
          <t>шт</t>
        </is>
      </c>
      <c r="C64" s="1" t="n"/>
      <c r="D64" s="1" t="n"/>
      <c r="E64" s="1" t="n"/>
      <c r="F64" s="1" t="n"/>
      <c r="G64" s="1" t="n">
        <v>0.4</v>
      </c>
      <c r="H64" s="1" t="n">
        <v>50</v>
      </c>
      <c r="I64" s="1" t="inlineStr">
        <is>
          <t>матрица</t>
        </is>
      </c>
      <c r="J64" s="1" t="n"/>
      <c r="K64" s="1" t="n"/>
      <c r="L64" s="1">
        <f>E64-K64</f>
        <v/>
      </c>
      <c r="M64" s="1" t="n"/>
      <c r="N64" s="1" t="n"/>
      <c r="O64" s="1" t="n">
        <v>0</v>
      </c>
      <c r="P64" s="1" t="n"/>
      <c r="Q64" s="1" t="n"/>
      <c r="R64" s="1" t="n"/>
      <c r="S64" s="1" t="n"/>
      <c r="T64" s="1" t="n">
        <v>10</v>
      </c>
      <c r="U64" s="1" t="n"/>
      <c r="V64" s="1" t="n"/>
      <c r="W64" s="1" t="n"/>
      <c r="X64" s="1" t="n"/>
      <c r="Y64" s="1" t="n"/>
      <c r="Z64" s="5" t="n"/>
      <c r="AA64" s="5" t="n"/>
      <c r="AB64" s="1" t="n"/>
      <c r="AC64" s="1" t="n"/>
      <c r="AD64" s="1" t="n"/>
      <c r="AE64" s="1" t="n">
        <v>0.8</v>
      </c>
      <c r="AF64" s="1" t="n">
        <v>1.4</v>
      </c>
      <c r="AG64" s="1" t="n">
        <v>1</v>
      </c>
      <c r="AH64" s="1" t="n">
        <v>0.6</v>
      </c>
      <c r="AI64" s="1" t="n">
        <v>0.2</v>
      </c>
      <c r="AJ64" s="1" t="n">
        <v>0.2</v>
      </c>
      <c r="AK64" s="1" t="n">
        <v>0.2</v>
      </c>
      <c r="AL64" s="1" t="n">
        <v>0.2</v>
      </c>
      <c r="AM64" s="1" t="n">
        <v>0.2</v>
      </c>
      <c r="AN64" s="1" t="inlineStr">
        <is>
          <t>15шт списано (19,09,26)</t>
        </is>
      </c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</row>
    <row r="65">
      <c r="A65" s="1" t="inlineStr">
        <is>
          <t xml:space="preserve"> 340  Сосиски Сочинки Молочные ТМ Стародворье, ВЕС ПОКОМ</t>
        </is>
      </c>
      <c r="B65" s="1" t="inlineStr">
        <is>
          <t>кг</t>
        </is>
      </c>
      <c r="C65" s="1" t="n">
        <v>400.702</v>
      </c>
      <c r="D65" s="1" t="n">
        <v>400.106</v>
      </c>
      <c r="E65" s="1" t="n">
        <v>454.171</v>
      </c>
      <c r="F65" s="1" t="n">
        <v>113.387</v>
      </c>
      <c r="G65" s="1" t="n">
        <v>1</v>
      </c>
      <c r="H65" s="1" t="n">
        <v>40</v>
      </c>
      <c r="I65" s="1" t="inlineStr">
        <is>
          <t>НЕДОГРУЗ / матрица</t>
        </is>
      </c>
      <c r="J65" s="1" t="n"/>
      <c r="K65" s="1" t="n">
        <v>454.812</v>
      </c>
      <c r="L65" s="1">
        <f>E65-K65</f>
        <v/>
      </c>
      <c r="M65" s="1" t="n"/>
      <c r="N65" s="1" t="n">
        <v>174.812</v>
      </c>
      <c r="O65" s="1" t="n">
        <v>0</v>
      </c>
      <c r="P65" s="1" t="n"/>
      <c r="Q65" s="1" t="n"/>
      <c r="R65" s="1" t="n"/>
      <c r="S65" s="1" t="n"/>
      <c r="T65" s="1" t="n">
        <v>65</v>
      </c>
      <c r="U65" s="1" t="n"/>
      <c r="V65" s="1" t="n"/>
      <c r="W65" s="1" t="n"/>
      <c r="X65" s="1" t="n">
        <v>650.7844200000002</v>
      </c>
      <c r="Y65" s="1" t="n"/>
      <c r="Z65" s="5" t="n"/>
      <c r="AA65" s="5" t="n"/>
      <c r="AB65" s="1" t="n"/>
      <c r="AC65" s="1" t="n"/>
      <c r="AD65" s="1" t="n"/>
      <c r="AE65" s="1" t="n">
        <v>77.28120000000001</v>
      </c>
      <c r="AF65" s="1" t="n">
        <v>50.8704</v>
      </c>
      <c r="AG65" s="1" t="n">
        <v>19.0906</v>
      </c>
      <c r="AH65" s="1" t="n">
        <v>23.8036</v>
      </c>
      <c r="AI65" s="1" t="n">
        <v>71.3028</v>
      </c>
      <c r="AJ65" s="1" t="n">
        <v>74.1026</v>
      </c>
      <c r="AK65" s="1" t="n">
        <v>40.98399999999999</v>
      </c>
      <c r="AL65" s="1" t="n">
        <v>8.309999999999999</v>
      </c>
      <c r="AM65" s="1" t="n">
        <v>26.265</v>
      </c>
      <c r="AN65" s="1" t="inlineStr">
        <is>
          <t>ПРОМО сентябрь</t>
        </is>
      </c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</row>
    <row r="66">
      <c r="A66" s="1" t="inlineStr">
        <is>
          <t xml:space="preserve"> 341 Сосиски Сочинки Сливочные ТМ Стародворье ВЕС ПОКОМ</t>
        </is>
      </c>
      <c r="B66" s="1" t="inlineStr">
        <is>
          <t>кг</t>
        </is>
      </c>
      <c r="C66" s="1" t="n">
        <v>15.822</v>
      </c>
      <c r="D66" s="1" t="n">
        <v>232.833</v>
      </c>
      <c r="E66" s="1" t="n">
        <v>103.976</v>
      </c>
      <c r="F66" s="1" t="n">
        <v>93.751</v>
      </c>
      <c r="G66" s="1" t="n">
        <v>1</v>
      </c>
      <c r="H66" s="1" t="n">
        <v>40</v>
      </c>
      <c r="I66" s="1" t="inlineStr">
        <is>
          <t>НЕДОГРУЗ / матрица</t>
        </is>
      </c>
      <c r="J66" s="1" t="n"/>
      <c r="K66" s="1" t="n">
        <v>157.7</v>
      </c>
      <c r="L66" s="1">
        <f>E66-K66</f>
        <v/>
      </c>
      <c r="M66" s="1" t="n"/>
      <c r="N66" s="1" t="n"/>
      <c r="O66" s="1" t="n">
        <v>400</v>
      </c>
      <c r="P66" s="1" t="n">
        <v>-405</v>
      </c>
      <c r="Q66" s="1" t="n"/>
      <c r="R66" s="1" t="n">
        <v>200</v>
      </c>
      <c r="S66" s="1" t="n"/>
      <c r="T66" s="1" t="n">
        <v>260</v>
      </c>
      <c r="U66" s="1" t="n"/>
      <c r="V66" s="1" t="n"/>
      <c r="W66" s="1" t="n"/>
      <c r="X66" s="1" t="n">
        <v>0</v>
      </c>
      <c r="Y66" s="1" t="n"/>
      <c r="Z66" s="5" t="n"/>
      <c r="AA66" s="5" t="n"/>
      <c r="AB66" s="1" t="n"/>
      <c r="AC66" s="1" t="n"/>
      <c r="AD66" s="1" t="n"/>
      <c r="AE66" s="1" t="n">
        <v>1.9228</v>
      </c>
      <c r="AF66" s="1" t="n">
        <v>32.8458</v>
      </c>
      <c r="AG66" s="1" t="n">
        <v>64.9126</v>
      </c>
      <c r="AH66" s="1" t="n">
        <v>19.1128</v>
      </c>
      <c r="AI66" s="1" t="n">
        <v>32.8048</v>
      </c>
      <c r="AJ66" s="1" t="n">
        <v>35.22799999999999</v>
      </c>
      <c r="AK66" s="1" t="n">
        <v>10.414</v>
      </c>
      <c r="AL66" s="1" t="n">
        <v>0.266</v>
      </c>
      <c r="AM66" s="1" t="n">
        <v>12.8588</v>
      </c>
      <c r="AN66" s="1" t="inlineStr">
        <is>
          <t>ПРОМО сентябрь</t>
        </is>
      </c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</row>
    <row r="67">
      <c r="A67" s="1" t="inlineStr">
        <is>
          <t xml:space="preserve"> 342 Сосиски Сочинки Молочные ТМ Стародворье 0,4 кг ПОКОМ</t>
        </is>
      </c>
      <c r="B67" s="1" t="inlineStr">
        <is>
          <t>шт</t>
        </is>
      </c>
      <c r="C67" s="1" t="n">
        <v>1523</v>
      </c>
      <c r="D67" s="1" t="n">
        <v>2</v>
      </c>
      <c r="E67" s="1" t="n">
        <v>713</v>
      </c>
      <c r="F67" s="1" t="n">
        <v>737</v>
      </c>
      <c r="G67" s="1" t="n">
        <v>0.4</v>
      </c>
      <c r="H67" s="1" t="n">
        <v>40</v>
      </c>
      <c r="I67" s="1" t="inlineStr">
        <is>
          <t>НЕДОГРУЗ / матрица</t>
        </is>
      </c>
      <c r="J67" s="1" t="n"/>
      <c r="K67" s="1" t="n">
        <v>727</v>
      </c>
      <c r="L67" s="1">
        <f>E67-K67</f>
        <v/>
      </c>
      <c r="M67" s="1" t="n"/>
      <c r="N67" s="1" t="n"/>
      <c r="O67" s="1" t="n">
        <v>0</v>
      </c>
      <c r="P67" s="1" t="n"/>
      <c r="Q67" s="1" t="n"/>
      <c r="R67" s="1" t="n"/>
      <c r="S67" s="1" t="n"/>
      <c r="T67" s="1" t="n">
        <v>0</v>
      </c>
      <c r="U67" s="1" t="n"/>
      <c r="V67" s="1" t="n"/>
      <c r="W67" s="1" t="n"/>
      <c r="X67" s="1" t="n">
        <v>100</v>
      </c>
      <c r="Y67" s="1" t="n"/>
      <c r="Z67" s="5" t="n"/>
      <c r="AA67" s="5" t="n"/>
      <c r="AB67" s="1" t="n"/>
      <c r="AC67" s="1" t="n"/>
      <c r="AD67" s="1" t="n"/>
      <c r="AE67" s="1" t="n">
        <v>143.8</v>
      </c>
      <c r="AF67" s="1" t="n">
        <v>123.8</v>
      </c>
      <c r="AG67" s="1" t="n">
        <v>114.2</v>
      </c>
      <c r="AH67" s="1" t="n">
        <v>94.8</v>
      </c>
      <c r="AI67" s="1" t="n">
        <v>209</v>
      </c>
      <c r="AJ67" s="1" t="n">
        <v>283.4</v>
      </c>
      <c r="AK67" s="1" t="n">
        <v>167</v>
      </c>
      <c r="AL67" s="1" t="n">
        <v>155.6</v>
      </c>
      <c r="AM67" s="1" t="n">
        <v>157.4</v>
      </c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</row>
    <row r="68">
      <c r="A68" s="1" t="inlineStr">
        <is>
          <t xml:space="preserve"> 343 Сосиски Сочинки Сливочные ТМ Стародворье  0,4 кг ПОКОМ</t>
        </is>
      </c>
      <c r="B68" s="1" t="inlineStr">
        <is>
          <t>шт</t>
        </is>
      </c>
      <c r="C68" s="1" t="n">
        <v>289</v>
      </c>
      <c r="D68" s="1" t="n">
        <v>252</v>
      </c>
      <c r="E68" s="1" t="n">
        <v>385</v>
      </c>
      <c r="F68" s="1" t="n">
        <v>128</v>
      </c>
      <c r="G68" s="1" t="n">
        <v>0.4</v>
      </c>
      <c r="H68" s="1" t="n">
        <v>40</v>
      </c>
      <c r="I68" s="1" t="inlineStr">
        <is>
          <t>НЕДОГРУЗ / матрица</t>
        </is>
      </c>
      <c r="J68" s="1" t="n"/>
      <c r="K68" s="1" t="n">
        <v>382</v>
      </c>
      <c r="L68" s="1">
        <f>E68-K68</f>
        <v/>
      </c>
      <c r="M68" s="1" t="n"/>
      <c r="N68" s="1" t="n"/>
      <c r="O68" s="1" t="n">
        <v>0</v>
      </c>
      <c r="P68" s="1" t="n"/>
      <c r="Q68" s="1" t="n"/>
      <c r="R68" s="1" t="n"/>
      <c r="S68" s="1" t="n"/>
      <c r="T68" s="1" t="n">
        <v>413.4</v>
      </c>
      <c r="U68" s="1" t="n"/>
      <c r="V68" s="1" t="n">
        <v>206.7</v>
      </c>
      <c r="W68" s="1" t="n"/>
      <c r="X68" s="1" t="n">
        <v>86.96999999999997</v>
      </c>
      <c r="Y68" s="1" t="n"/>
      <c r="Z68" s="5" t="n"/>
      <c r="AA68" s="5" t="n"/>
      <c r="AB68" s="1" t="n"/>
      <c r="AC68" s="1" t="n"/>
      <c r="AD68" s="1" t="n"/>
      <c r="AE68" s="1" t="n">
        <v>82</v>
      </c>
      <c r="AF68" s="1" t="n">
        <v>72</v>
      </c>
      <c r="AG68" s="1" t="n">
        <v>53.8</v>
      </c>
      <c r="AH68" s="1" t="n">
        <v>26.4</v>
      </c>
      <c r="AI68" s="1" t="n">
        <v>52.6</v>
      </c>
      <c r="AJ68" s="1" t="n">
        <v>97</v>
      </c>
      <c r="AK68" s="1" t="n">
        <v>65.8</v>
      </c>
      <c r="AL68" s="1" t="n">
        <v>20</v>
      </c>
      <c r="AM68" s="1" t="n">
        <v>15.6</v>
      </c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</row>
    <row r="69">
      <c r="A69" s="1" t="inlineStr">
        <is>
          <t xml:space="preserve"> 344  Колбаса Сочинка по-европейски с сочной грудинкой ТМ Стародворье, ВЕС ПОКОМ</t>
        </is>
      </c>
      <c r="B69" s="1" t="inlineStr">
        <is>
          <t>кг</t>
        </is>
      </c>
      <c r="C69" s="1" t="n"/>
      <c r="D69" s="1" t="n">
        <v>458.459</v>
      </c>
      <c r="E69" s="1" t="n">
        <v>119.47</v>
      </c>
      <c r="F69" s="1" t="n">
        <v>218.165</v>
      </c>
      <c r="G69" s="1" t="n">
        <v>1</v>
      </c>
      <c r="H69" s="1" t="n">
        <v>40</v>
      </c>
      <c r="I69" s="1" t="inlineStr">
        <is>
          <t>НЕДОГРУЗ / матрица</t>
        </is>
      </c>
      <c r="J69" s="1" t="n"/>
      <c r="K69" s="1" t="n">
        <v>114.9</v>
      </c>
      <c r="L69" s="1">
        <f>E69-K69</f>
        <v/>
      </c>
      <c r="M69" s="1" t="n"/>
      <c r="N69" s="1" t="n"/>
      <c r="O69" s="1" t="n">
        <v>192.1018000000001</v>
      </c>
      <c r="P69" s="1" t="n"/>
      <c r="Q69" s="1" t="n"/>
      <c r="R69" s="1" t="n"/>
      <c r="S69" s="1" t="n"/>
      <c r="T69" s="1" t="n">
        <v>0</v>
      </c>
      <c r="U69" s="1" t="n"/>
      <c r="V69" s="1" t="n"/>
      <c r="W69" s="1" t="n"/>
      <c r="X69" s="1" t="n">
        <v>0</v>
      </c>
      <c r="Y69" s="1" t="n"/>
      <c r="Z69" s="5" t="n"/>
      <c r="AA69" s="5" t="n"/>
      <c r="AB69" s="1" t="n"/>
      <c r="AC69" s="1" t="n"/>
      <c r="AD69" s="1" t="n"/>
      <c r="AE69" s="1" t="n">
        <v>12.9074</v>
      </c>
      <c r="AF69" s="1" t="n">
        <v>12.6274</v>
      </c>
      <c r="AG69" s="1" t="n">
        <v>29.1814</v>
      </c>
      <c r="AH69" s="1" t="n">
        <v>13.0938</v>
      </c>
      <c r="AI69" s="1" t="n">
        <v>1.0998</v>
      </c>
      <c r="AJ69" s="1" t="n">
        <v>6.0128</v>
      </c>
      <c r="AK69" s="1" t="n">
        <v>19.4216</v>
      </c>
      <c r="AL69" s="1" t="n">
        <v>9.282</v>
      </c>
      <c r="AM69" s="1" t="n">
        <v>10.1296</v>
      </c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</row>
    <row r="70">
      <c r="A70" s="1" t="inlineStr">
        <is>
          <t xml:space="preserve"> 345  Колбаса Сочинка по-фински с сочным окроком ТМ Стародворье ВЕС ПОКОМ</t>
        </is>
      </c>
      <c r="B70" s="1" t="inlineStr">
        <is>
          <t>кг</t>
        </is>
      </c>
      <c r="C70" s="1" t="n"/>
      <c r="D70" s="1" t="n">
        <v>157.357</v>
      </c>
      <c r="E70" s="1" t="n">
        <v>48.233</v>
      </c>
      <c r="F70" s="1" t="n">
        <v>-3.038</v>
      </c>
      <c r="G70" s="1" t="n">
        <v>1</v>
      </c>
      <c r="H70" s="1" t="n">
        <v>40</v>
      </c>
      <c r="I70" s="1" t="inlineStr">
        <is>
          <t>НЕДОГРУЗ / матрица</t>
        </is>
      </c>
      <c r="J70" s="1" t="n"/>
      <c r="K70" s="1" t="n">
        <v>58.9</v>
      </c>
      <c r="L70" s="1">
        <f>E70-K70</f>
        <v/>
      </c>
      <c r="M70" s="1" t="n"/>
      <c r="N70" s="1" t="n"/>
      <c r="O70" s="1" t="n">
        <v>60</v>
      </c>
      <c r="P70" s="1" t="n">
        <v>-64.8</v>
      </c>
      <c r="Q70" s="1" t="n"/>
      <c r="R70" s="1" t="n">
        <v>30</v>
      </c>
      <c r="S70" s="1" t="n">
        <v>-30</v>
      </c>
      <c r="T70" s="1" t="n">
        <v>52</v>
      </c>
      <c r="U70" s="1" t="n"/>
      <c r="V70" s="1" t="n"/>
      <c r="W70" s="1" t="n"/>
      <c r="X70" s="1" t="n">
        <v>54.76873999999998</v>
      </c>
      <c r="Y70" s="1" t="n"/>
      <c r="Z70" s="5" t="n"/>
      <c r="AA70" s="5" t="n"/>
      <c r="AB70" s="1" t="n"/>
      <c r="AC70" s="1" t="n"/>
      <c r="AD70" s="1" t="n"/>
      <c r="AE70" s="1" t="n">
        <v>9.243399999999999</v>
      </c>
      <c r="AF70" s="1" t="n">
        <v>12.1216</v>
      </c>
      <c r="AG70" s="1" t="n">
        <v>9.060999999999998</v>
      </c>
      <c r="AH70" s="1" t="n">
        <v>10.6732</v>
      </c>
      <c r="AI70" s="1" t="n">
        <v>19.8272</v>
      </c>
      <c r="AJ70" s="1" t="n">
        <v>18.5786</v>
      </c>
      <c r="AK70" s="1" t="n">
        <v>13.1068</v>
      </c>
      <c r="AL70" s="1" t="n">
        <v>10.0668</v>
      </c>
      <c r="AM70" s="1" t="n">
        <v>14.3358</v>
      </c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</row>
    <row r="71">
      <c r="A71" s="1" t="inlineStr">
        <is>
          <t xml:space="preserve"> 346  Колбаса Сочинка зернистая с сочной грудинкой ТМ Стародворье.ВЕС ПОКОМ</t>
        </is>
      </c>
      <c r="B71" s="1" t="inlineStr">
        <is>
          <t>кг</t>
        </is>
      </c>
      <c r="C71" s="1" t="n">
        <v>0.85</v>
      </c>
      <c r="D71" s="1" t="n"/>
      <c r="E71" s="1" t="n">
        <v>-2.704</v>
      </c>
      <c r="F71" s="1" t="n">
        <v>-0.061</v>
      </c>
      <c r="G71" s="1" t="n">
        <v>1</v>
      </c>
      <c r="H71" s="1" t="n">
        <v>40</v>
      </c>
      <c r="I71" s="1" t="inlineStr">
        <is>
          <t>НЕДОГРУЗ / матрица</t>
        </is>
      </c>
      <c r="J71" s="1" t="n"/>
      <c r="K71" s="1" t="n">
        <v>557.5</v>
      </c>
      <c r="L71" s="1">
        <f>E71-K71</f>
        <v/>
      </c>
      <c r="M71" s="1" t="n"/>
      <c r="N71" s="1" t="n"/>
      <c r="O71" s="1" t="n">
        <v>900</v>
      </c>
      <c r="P71" s="1" t="n">
        <v>-901.8</v>
      </c>
      <c r="Q71" s="1" t="n"/>
      <c r="R71" s="1" t="n">
        <v>414</v>
      </c>
      <c r="S71" s="1" t="n">
        <v>-414</v>
      </c>
      <c r="T71" s="1" t="n">
        <v>390</v>
      </c>
      <c r="U71" s="1" t="n"/>
      <c r="V71" s="1" t="n">
        <v>195</v>
      </c>
      <c r="W71" s="1" t="n"/>
      <c r="X71" s="1" t="n">
        <v>23.34019999999996</v>
      </c>
      <c r="Y71" s="1" t="n"/>
      <c r="Z71" s="5" t="n"/>
      <c r="AA71" s="5" t="n"/>
      <c r="AB71" s="1" t="n"/>
      <c r="AC71" s="1" t="n"/>
      <c r="AD71" s="1" t="n"/>
      <c r="AE71" s="1" t="n">
        <v>50.167</v>
      </c>
      <c r="AF71" s="1" t="n">
        <v>200.3848</v>
      </c>
      <c r="AG71" s="1" t="n">
        <v>150.6652</v>
      </c>
      <c r="AH71" s="1" t="n">
        <v>10.826</v>
      </c>
      <c r="AI71" s="1" t="n">
        <v>108.8162</v>
      </c>
      <c r="AJ71" s="1" t="n">
        <v>142.378</v>
      </c>
      <c r="AK71" s="1" t="n">
        <v>60.96</v>
      </c>
      <c r="AL71" s="1" t="n">
        <v>40.2906</v>
      </c>
      <c r="AM71" s="1" t="n">
        <v>85.26300000000001</v>
      </c>
      <c r="AN71" s="1" t="inlineStr">
        <is>
          <t>ПРОМО сентябрь</t>
        </is>
      </c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</row>
    <row r="72">
      <c r="A72" s="1" t="inlineStr">
        <is>
          <t xml:space="preserve"> 347  Колбаса Сочинка рубленая с сочным окороком ТМ Стародворье ВЕС ПОКОМ</t>
        </is>
      </c>
      <c r="B72" s="1" t="inlineStr">
        <is>
          <t>кг</t>
        </is>
      </c>
      <c r="C72" s="1" t="n">
        <v>0.924</v>
      </c>
      <c r="D72" s="1" t="n"/>
      <c r="E72" s="1" t="n">
        <v>0.718</v>
      </c>
      <c r="F72" s="1" t="n">
        <v>0.206</v>
      </c>
      <c r="G72" s="1" t="n">
        <v>1</v>
      </c>
      <c r="H72" s="1" t="n">
        <v>40</v>
      </c>
      <c r="I72" s="1" t="inlineStr">
        <is>
          <t>НЕДОГРУЗ / матрица</t>
        </is>
      </c>
      <c r="J72" s="1" t="n"/>
      <c r="K72" s="1" t="n">
        <v>18.4</v>
      </c>
      <c r="L72" s="1">
        <f>E72-K72</f>
        <v/>
      </c>
      <c r="M72" s="1" t="n"/>
      <c r="N72" s="1" t="n"/>
      <c r="O72" s="1" t="n">
        <v>50</v>
      </c>
      <c r="P72" s="1" t="n">
        <v>-54</v>
      </c>
      <c r="Q72" s="1" t="n"/>
      <c r="R72" s="1" t="n"/>
      <c r="S72" s="1" t="n"/>
      <c r="T72" s="1" t="n">
        <v>39</v>
      </c>
      <c r="U72" s="1" t="n"/>
      <c r="V72" s="1" t="n"/>
      <c r="W72" s="1" t="n"/>
      <c r="X72" s="1" t="n">
        <v>26</v>
      </c>
      <c r="Y72" s="1" t="n"/>
      <c r="Z72" s="5" t="n"/>
      <c r="AA72" s="5" t="n"/>
      <c r="AB72" s="1" t="n"/>
      <c r="AC72" s="1" t="n"/>
      <c r="AD72" s="1" t="n"/>
      <c r="AE72" s="1" t="n">
        <v>0.5072</v>
      </c>
      <c r="AF72" s="1" t="n">
        <v>0.3636000000000003</v>
      </c>
      <c r="AG72" s="1" t="n">
        <v>3.6232</v>
      </c>
      <c r="AH72" s="1" t="n">
        <v>4.3748</v>
      </c>
      <c r="AI72" s="1" t="n">
        <v>13.0904</v>
      </c>
      <c r="AJ72" s="1" t="n">
        <v>12.8554</v>
      </c>
      <c r="AK72" s="1" t="n">
        <v>3.5982</v>
      </c>
      <c r="AL72" s="1" t="n">
        <v>1.6362</v>
      </c>
      <c r="AM72" s="1" t="n">
        <v>3.9884</v>
      </c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</row>
    <row r="73">
      <c r="A73" s="6" t="inlineStr">
        <is>
          <t xml:space="preserve"> 355  Колбаса Сервелат запеченный ТМ Стародворье ТС Дугушка. 0,6 кг. ПОКОМ</t>
        </is>
      </c>
      <c r="B73" s="1" t="inlineStr">
        <is>
          <t>шт</t>
        </is>
      </c>
      <c r="C73" s="1" t="n"/>
      <c r="D73" s="1" t="n"/>
      <c r="E73" s="1" t="n"/>
      <c r="F73" s="1" t="n"/>
      <c r="G73" s="1" t="n">
        <v>0</v>
      </c>
      <c r="H73" s="1" t="n"/>
      <c r="I73" s="1" t="inlineStr">
        <is>
          <t>матрица</t>
        </is>
      </c>
      <c r="J73" s="1" t="n"/>
      <c r="K73" s="1" t="n"/>
      <c r="L73" s="1">
        <f>E73-K73</f>
        <v/>
      </c>
      <c r="M73" s="1" t="n"/>
      <c r="N73" s="1" t="n"/>
      <c r="O73" s="1" t="n">
        <v>0</v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>
        <v>0</v>
      </c>
      <c r="Y73" s="1" t="n"/>
      <c r="Z73" s="5" t="n"/>
      <c r="AA73" s="5" t="n"/>
      <c r="AB73" s="1" t="n"/>
      <c r="AC73" s="1" t="n"/>
      <c r="AD73" s="1" t="n"/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inlineStr">
        <is>
          <t>нет потребности</t>
        </is>
      </c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</row>
    <row r="74">
      <c r="A74" s="1" t="inlineStr">
        <is>
          <t xml:space="preserve"> 364  Сардельки Филейские Вязанка ВЕС NDX ТМ Вязанка  ПОКОМ</t>
        </is>
      </c>
      <c r="B74" s="1" t="inlineStr">
        <is>
          <t>кг</t>
        </is>
      </c>
      <c r="C74" s="1" t="n">
        <v>159.747</v>
      </c>
      <c r="D74" s="1" t="n">
        <v>269.904</v>
      </c>
      <c r="E74" s="1" t="n">
        <v>142.653</v>
      </c>
      <c r="F74" s="1" t="n">
        <v>222.656</v>
      </c>
      <c r="G74" s="1" t="n">
        <v>1</v>
      </c>
      <c r="H74" s="1" t="n">
        <v>30</v>
      </c>
      <c r="I74" s="1" t="inlineStr">
        <is>
          <t>НЕДОГРУЗ / матрица</t>
        </is>
      </c>
      <c r="J74" s="1" t="n"/>
      <c r="K74" s="1" t="n">
        <v>248.8</v>
      </c>
      <c r="L74" s="1">
        <f>E74-K74</f>
        <v/>
      </c>
      <c r="M74" s="1" t="n"/>
      <c r="N74" s="1" t="n"/>
      <c r="O74" s="1" t="n">
        <v>187.6372</v>
      </c>
      <c r="P74" s="1" t="n"/>
      <c r="Q74" s="1" t="n"/>
      <c r="R74" s="1" t="n"/>
      <c r="S74" s="1" t="n"/>
      <c r="T74" s="1" t="n">
        <v>65</v>
      </c>
      <c r="U74" s="1" t="n"/>
      <c r="V74" s="1" t="n"/>
      <c r="W74" s="1" t="n"/>
      <c r="X74" s="1" t="n">
        <v>0</v>
      </c>
      <c r="Y74" s="1" t="n"/>
      <c r="Z74" s="5" t="n"/>
      <c r="AA74" s="5" t="n"/>
      <c r="AB74" s="1" t="n"/>
      <c r="AC74" s="1" t="n"/>
      <c r="AD74" s="1" t="n"/>
      <c r="AE74" s="1" t="n">
        <v>24.4192</v>
      </c>
      <c r="AF74" s="1" t="n">
        <v>29.7016</v>
      </c>
      <c r="AG74" s="1" t="n">
        <v>39.894</v>
      </c>
      <c r="AH74" s="1" t="n">
        <v>36.8568</v>
      </c>
      <c r="AI74" s="1" t="n">
        <v>31.7198</v>
      </c>
      <c r="AJ74" s="1" t="n">
        <v>39.7896</v>
      </c>
      <c r="AK74" s="1" t="n">
        <v>33.5028</v>
      </c>
      <c r="AL74" s="1" t="n">
        <v>31.8854</v>
      </c>
      <c r="AM74" s="1" t="n">
        <v>80.1066</v>
      </c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</row>
    <row r="75">
      <c r="A75" s="6" t="inlineStr">
        <is>
          <t xml:space="preserve"> 365  Колбаса Салями Филейбургская зернистая, 0,28 кг срез ТМ Баварушка ПОКОМ</t>
        </is>
      </c>
      <c r="B75" s="1" t="inlineStr">
        <is>
          <t>шт</t>
        </is>
      </c>
      <c r="C75" s="1" t="n"/>
      <c r="D75" s="1" t="n"/>
      <c r="E75" s="1" t="n"/>
      <c r="F75" s="1" t="n"/>
      <c r="G75" s="1" t="n">
        <v>0</v>
      </c>
      <c r="H75" s="1" t="n"/>
      <c r="I75" s="1" t="inlineStr">
        <is>
          <t>не в матрице</t>
        </is>
      </c>
      <c r="J75" s="1" t="n"/>
      <c r="K75" s="1" t="n"/>
      <c r="L75" s="1">
        <f>E75-K75</f>
        <v/>
      </c>
      <c r="M75" s="1" t="n"/>
      <c r="N75" s="1" t="n"/>
      <c r="O75" s="1" t="n">
        <v>0</v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>
        <v>0</v>
      </c>
      <c r="Y75" s="1" t="n"/>
      <c r="Z75" s="5" t="n"/>
      <c r="AA75" s="5" t="n"/>
      <c r="AB75" s="1" t="n"/>
      <c r="AC75" s="1" t="n"/>
      <c r="AD75" s="1" t="n"/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</row>
    <row r="76">
      <c r="A76" s="1" t="inlineStr">
        <is>
          <t xml:space="preserve"> 376  Колбаса Докторская Дугушка 0,6кг ГОСТ ТМ Стародворье  ПОКОМ </t>
        </is>
      </c>
      <c r="B76" s="1" t="inlineStr">
        <is>
          <t>шт</t>
        </is>
      </c>
      <c r="C76" s="1" t="n">
        <v>2483</v>
      </c>
      <c r="D76" s="1" t="n">
        <v>63</v>
      </c>
      <c r="E76" s="1" t="n">
        <v>1257</v>
      </c>
      <c r="F76" s="1" t="n">
        <v>1138</v>
      </c>
      <c r="G76" s="1" t="n">
        <v>0.6</v>
      </c>
      <c r="H76" s="1" t="n">
        <v>60</v>
      </c>
      <c r="I76" s="1" t="inlineStr">
        <is>
          <t>матрица</t>
        </is>
      </c>
      <c r="J76" s="1" t="n"/>
      <c r="K76" s="1" t="n">
        <v>1290</v>
      </c>
      <c r="L76" s="1">
        <f>E76-K76</f>
        <v/>
      </c>
      <c r="M76" s="1" t="n"/>
      <c r="N76" s="1" t="n"/>
      <c r="O76" s="1" t="n">
        <v>0</v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>
        <v>200</v>
      </c>
      <c r="Y76" s="1" t="n"/>
      <c r="Z76" s="5" t="n"/>
      <c r="AA76" s="5" t="n"/>
      <c r="AB76" s="1" t="n"/>
      <c r="AC76" s="1" t="n"/>
      <c r="AD76" s="1" t="n"/>
      <c r="AE76" s="1" t="n">
        <v>226</v>
      </c>
      <c r="AF76" s="1" t="n">
        <v>175.8</v>
      </c>
      <c r="AG76" s="1" t="n">
        <v>177.8</v>
      </c>
      <c r="AH76" s="1" t="n">
        <v>262.6</v>
      </c>
      <c r="AI76" s="1" t="n">
        <v>297.6</v>
      </c>
      <c r="AJ76" s="1" t="n">
        <v>160.4</v>
      </c>
      <c r="AK76" s="1" t="n">
        <v>152</v>
      </c>
      <c r="AL76" s="1" t="n">
        <v>139</v>
      </c>
      <c r="AM76" s="1" t="n">
        <v>114.6</v>
      </c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</row>
    <row r="77">
      <c r="A77" s="1" t="inlineStr">
        <is>
          <t xml:space="preserve"> 377  Колбаса Молочная Дугушка 0,6кг ТМ Стародворье  ПОКОМ</t>
        </is>
      </c>
      <c r="B77" s="1" t="inlineStr">
        <is>
          <t>шт</t>
        </is>
      </c>
      <c r="C77" s="1" t="n">
        <v>934</v>
      </c>
      <c r="D77" s="1" t="n">
        <v>597</v>
      </c>
      <c r="E77" s="1" t="n">
        <v>569</v>
      </c>
      <c r="F77" s="1" t="n">
        <v>853</v>
      </c>
      <c r="G77" s="1" t="n">
        <v>0.6</v>
      </c>
      <c r="H77" s="1" t="n">
        <v>60</v>
      </c>
      <c r="I77" s="1" t="inlineStr">
        <is>
          <t>матрица</t>
        </is>
      </c>
      <c r="J77" s="1" t="n"/>
      <c r="K77" s="1" t="n">
        <v>582</v>
      </c>
      <c r="L77" s="1">
        <f>E77-K77</f>
        <v/>
      </c>
      <c r="M77" s="1" t="n"/>
      <c r="N77" s="1" t="n"/>
      <c r="O77" s="1" t="n">
        <v>202.5643200000001</v>
      </c>
      <c r="P77" s="1" t="n"/>
      <c r="Q77" s="1" t="n"/>
      <c r="R77" s="1" t="n">
        <v>375.0356800000001</v>
      </c>
      <c r="S77" s="1" t="n"/>
      <c r="T77" s="1" t="n"/>
      <c r="U77" s="1" t="n"/>
      <c r="V77" s="1" t="n"/>
      <c r="W77" s="1" t="n"/>
      <c r="X77" s="1" t="n">
        <v>545.1039999999998</v>
      </c>
      <c r="Y77" s="1" t="n"/>
      <c r="Z77" s="5" t="n"/>
      <c r="AA77" s="5" t="n"/>
      <c r="AB77" s="1" t="n"/>
      <c r="AC77" s="1" t="n"/>
      <c r="AD77" s="1" t="n"/>
      <c r="AE77" s="1" t="n">
        <v>119.2</v>
      </c>
      <c r="AF77" s="1" t="n">
        <v>152.4</v>
      </c>
      <c r="AG77" s="1" t="n">
        <v>131.8</v>
      </c>
      <c r="AH77" s="1" t="n">
        <v>116.8</v>
      </c>
      <c r="AI77" s="1" t="n">
        <v>156.8</v>
      </c>
      <c r="AJ77" s="1" t="n">
        <v>202.8</v>
      </c>
      <c r="AK77" s="1" t="n">
        <v>171.6</v>
      </c>
      <c r="AL77" s="1" t="n">
        <v>133.8</v>
      </c>
      <c r="AM77" s="1" t="n">
        <v>123.8</v>
      </c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</row>
    <row r="78">
      <c r="A78" s="1" t="inlineStr">
        <is>
          <t xml:space="preserve"> 387  Колбаса вареная Мусульманская Халяль ТМ Вязанка, 0,4 кг ПОКОМ</t>
        </is>
      </c>
      <c r="B78" s="1" t="inlineStr">
        <is>
          <t>шт</t>
        </is>
      </c>
      <c r="C78" s="1" t="n">
        <v>16</v>
      </c>
      <c r="D78" s="1" t="n">
        <v>48</v>
      </c>
      <c r="E78" s="1" t="n">
        <v>16</v>
      </c>
      <c r="F78" s="1" t="n">
        <v>41</v>
      </c>
      <c r="G78" s="1" t="n">
        <v>0.4</v>
      </c>
      <c r="H78" s="1" t="n"/>
      <c r="I78" s="1" t="inlineStr">
        <is>
          <t>матрица</t>
        </is>
      </c>
      <c r="J78" s="1" t="n"/>
      <c r="K78" s="1" t="n">
        <v>28</v>
      </c>
      <c r="L78" s="1">
        <f>E78-K78</f>
        <v/>
      </c>
      <c r="M78" s="1" t="n"/>
      <c r="N78" s="1" t="n"/>
      <c r="O78" s="1" t="n">
        <v>48.19999999999999</v>
      </c>
      <c r="P78" s="1" t="n"/>
      <c r="Q78" s="1" t="n"/>
      <c r="R78" s="1" t="n"/>
      <c r="S78" s="1" t="n"/>
      <c r="T78" s="1" t="n">
        <v>24</v>
      </c>
      <c r="U78" s="1" t="n"/>
      <c r="V78" s="1" t="n">
        <v>96</v>
      </c>
      <c r="W78" s="1" t="n"/>
      <c r="X78" s="1" t="n">
        <v>0</v>
      </c>
      <c r="Y78" s="1" t="n"/>
      <c r="Z78" s="5" t="n"/>
      <c r="AA78" s="5" t="n"/>
      <c r="AB78" s="1" t="n"/>
      <c r="AC78" s="1" t="n"/>
      <c r="AD78" s="1" t="n"/>
      <c r="AE78" s="1" t="n">
        <v>9.4</v>
      </c>
      <c r="AF78" s="1" t="n">
        <v>10</v>
      </c>
      <c r="AG78" s="1" t="n">
        <v>6.6</v>
      </c>
      <c r="AH78" s="1" t="n">
        <v>5</v>
      </c>
      <c r="AI78" s="1" t="n">
        <v>4</v>
      </c>
      <c r="AJ78" s="1" t="n">
        <v>7.6</v>
      </c>
      <c r="AK78" s="1" t="n">
        <v>6.6</v>
      </c>
      <c r="AL78" s="1" t="n">
        <v>3.8</v>
      </c>
      <c r="AM78" s="1" t="n">
        <v>4</v>
      </c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</row>
    <row r="79">
      <c r="A79" s="6" t="inlineStr">
        <is>
          <t xml:space="preserve"> 388  Сосиски Восточные Халяль ТМ Вязанка 0,33 кг АК. ПОКОМ</t>
        </is>
      </c>
      <c r="B79" s="1" t="inlineStr">
        <is>
          <t>шт</t>
        </is>
      </c>
      <c r="C79" s="1" t="n"/>
      <c r="D79" s="1" t="n"/>
      <c r="E79" s="1" t="n"/>
      <c r="F79" s="1" t="n"/>
      <c r="G79" s="1" t="n">
        <v>0</v>
      </c>
      <c r="H79" s="1" t="n"/>
      <c r="I79" s="1" t="inlineStr">
        <is>
          <t>матрица</t>
        </is>
      </c>
      <c r="J79" s="1" t="n"/>
      <c r="K79" s="1" t="n">
        <v>4</v>
      </c>
      <c r="L79" s="1">
        <f>E79-K79</f>
        <v/>
      </c>
      <c r="M79" s="1" t="n"/>
      <c r="N79" s="1" t="n"/>
      <c r="O79" s="1" t="n">
        <v>0</v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>
        <v>0</v>
      </c>
      <c r="Y79" s="1" t="n"/>
      <c r="Z79" s="5" t="n"/>
      <c r="AA79" s="5" t="n"/>
      <c r="AB79" s="1" t="n"/>
      <c r="AC79" s="1" t="n"/>
      <c r="AD79" s="1" t="n"/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inlineStr">
        <is>
          <t>нет потребности</t>
        </is>
      </c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</row>
    <row r="80">
      <c r="A80" s="1" t="inlineStr">
        <is>
          <t xml:space="preserve"> 394 Колбаса полукопченая Аль-Ислами халяль ТМ Вязанка оболочка фиброуз в в/у 0,35 кг  ПОКОМ</t>
        </is>
      </c>
      <c r="B80" s="1" t="inlineStr">
        <is>
          <t>шт</t>
        </is>
      </c>
      <c r="C80" s="1" t="n"/>
      <c r="D80" s="1" t="n">
        <v>40</v>
      </c>
      <c r="E80" s="1" t="n">
        <v>29</v>
      </c>
      <c r="F80" s="1" t="n">
        <v>8</v>
      </c>
      <c r="G80" s="1" t="n">
        <v>0.35</v>
      </c>
      <c r="H80" s="1" t="n">
        <v>90</v>
      </c>
      <c r="I80" s="1" t="inlineStr">
        <is>
          <t>НЕДОГРУЗ / матрица</t>
        </is>
      </c>
      <c r="J80" s="1" t="n"/>
      <c r="K80" s="1" t="n">
        <v>40</v>
      </c>
      <c r="L80" s="1">
        <f>E80-K80</f>
        <v/>
      </c>
      <c r="M80" s="1" t="n"/>
      <c r="N80" s="1" t="n"/>
      <c r="O80" s="1" t="n">
        <v>0</v>
      </c>
      <c r="P80" s="1" t="n"/>
      <c r="Q80" s="1" t="n"/>
      <c r="R80" s="1" t="n"/>
      <c r="S80" s="1" t="n"/>
      <c r="T80" s="1" t="n">
        <v>39</v>
      </c>
      <c r="U80" s="1" t="n"/>
      <c r="V80" s="1" t="n"/>
      <c r="W80" s="1" t="n"/>
      <c r="X80" s="1" t="n">
        <v>0</v>
      </c>
      <c r="Y80" s="1" t="n"/>
      <c r="Z80" s="5" t="n"/>
      <c r="AA80" s="5" t="n"/>
      <c r="AB80" s="1" t="n"/>
      <c r="AC80" s="1" t="n"/>
      <c r="AD80" s="1" t="n"/>
      <c r="AE80" s="1" t="n">
        <v>2</v>
      </c>
      <c r="AF80" s="1" t="n">
        <v>0</v>
      </c>
      <c r="AG80" s="1" t="n">
        <v>4.6</v>
      </c>
      <c r="AH80" s="1" t="n">
        <v>8.6</v>
      </c>
      <c r="AI80" s="1" t="n">
        <v>6.4</v>
      </c>
      <c r="AJ80" s="1" t="n">
        <v>3.4</v>
      </c>
      <c r="AK80" s="1" t="n">
        <v>2</v>
      </c>
      <c r="AL80" s="1" t="n">
        <v>5.6</v>
      </c>
      <c r="AM80" s="1" t="n">
        <v>7.2</v>
      </c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</row>
    <row r="81">
      <c r="A81" s="1" t="inlineStr">
        <is>
          <t xml:space="preserve"> 395  Колбаса Докторская ГОСТ ТМ Вязанка в оболочке полиамид 0,37 кг. ПОКОМ</t>
        </is>
      </c>
      <c r="B81" s="1" t="inlineStr">
        <is>
          <t>шт</t>
        </is>
      </c>
      <c r="C81" s="1" t="n">
        <v>217</v>
      </c>
      <c r="D81" s="1" t="n">
        <v>41</v>
      </c>
      <c r="E81" s="1" t="n">
        <v>127</v>
      </c>
      <c r="F81" s="1" t="n">
        <v>126</v>
      </c>
      <c r="G81" s="1" t="n">
        <v>0.37</v>
      </c>
      <c r="H81" s="1" t="n">
        <v>50</v>
      </c>
      <c r="I81" s="1" t="inlineStr">
        <is>
          <t>матрица</t>
        </is>
      </c>
      <c r="J81" s="1" t="n"/>
      <c r="K81" s="1" t="n">
        <v>129</v>
      </c>
      <c r="L81" s="1">
        <f>E81-K81</f>
        <v/>
      </c>
      <c r="M81" s="1" t="n"/>
      <c r="N81" s="1" t="n"/>
      <c r="O81" s="1" t="n">
        <v>34.39999999999998</v>
      </c>
      <c r="P81" s="1" t="n"/>
      <c r="Q81" s="1" t="n"/>
      <c r="R81" s="1" t="n"/>
      <c r="S81" s="1" t="n"/>
      <c r="T81" s="1" t="n">
        <v>23.20000000000005</v>
      </c>
      <c r="U81" s="1" t="n"/>
      <c r="V81" s="1" t="n"/>
      <c r="W81" s="1" t="n"/>
      <c r="X81" s="1" t="n">
        <v>140.976</v>
      </c>
      <c r="Y81" s="1" t="n"/>
      <c r="Z81" s="5" t="n"/>
      <c r="AA81" s="5" t="n"/>
      <c r="AB81" s="1" t="n"/>
      <c r="AC81" s="1" t="n"/>
      <c r="AD81" s="1" t="n"/>
      <c r="AE81" s="1" t="n">
        <v>24.8</v>
      </c>
      <c r="AF81" s="1" t="n">
        <v>24.6</v>
      </c>
      <c r="AG81" s="1" t="n">
        <v>23.2</v>
      </c>
      <c r="AH81" s="1" t="n">
        <v>23.8</v>
      </c>
      <c r="AI81" s="1" t="n">
        <v>28.6</v>
      </c>
      <c r="AJ81" s="1" t="n">
        <v>31.4</v>
      </c>
      <c r="AK81" s="1" t="n">
        <v>34.2</v>
      </c>
      <c r="AL81" s="1" t="n">
        <v>25.6</v>
      </c>
      <c r="AM81" s="1" t="n">
        <v>18.2</v>
      </c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</row>
    <row r="82">
      <c r="A82" s="1" t="inlineStr">
        <is>
          <t xml:space="preserve"> 397  Ветчина Дугушка ТМ Стародворье ТС Дугушка в полиамидной оболочке 0,6 кг. ПОКОМ</t>
        </is>
      </c>
      <c r="B82" s="1" t="inlineStr">
        <is>
          <t>шт</t>
        </is>
      </c>
      <c r="C82" s="1" t="n">
        <v>193</v>
      </c>
      <c r="D82" s="1" t="n">
        <v>305</v>
      </c>
      <c r="E82" s="1" t="n">
        <v>299</v>
      </c>
      <c r="F82" s="1" t="n">
        <v>190</v>
      </c>
      <c r="G82" s="1" t="n">
        <v>0.6</v>
      </c>
      <c r="H82" s="1" t="n">
        <v>70</v>
      </c>
      <c r="I82" s="1" t="inlineStr">
        <is>
          <t>матрица</t>
        </is>
      </c>
      <c r="J82" s="1" t="n"/>
      <c r="K82" s="1" t="n">
        <v>1307</v>
      </c>
      <c r="L82" s="1">
        <f>E82-K82</f>
        <v/>
      </c>
      <c r="M82" s="1" t="n"/>
      <c r="N82" s="1" t="n"/>
      <c r="O82" s="1" t="n">
        <v>102.26412</v>
      </c>
      <c r="P82" s="1" t="n"/>
      <c r="Q82" s="1" t="n"/>
      <c r="R82" s="1" t="n">
        <v>189.3358799999999</v>
      </c>
      <c r="S82" s="1" t="n"/>
      <c r="T82" s="1" t="n">
        <v>50</v>
      </c>
      <c r="U82" s="1" t="n"/>
      <c r="V82" s="1" t="n">
        <v>200</v>
      </c>
      <c r="W82" s="1" t="n"/>
      <c r="X82" s="1" t="n">
        <v>405.6480000000003</v>
      </c>
      <c r="Y82" s="1" t="n"/>
      <c r="Z82" s="5" t="n"/>
      <c r="AA82" s="5" t="n"/>
      <c r="AB82" s="1" t="n"/>
      <c r="AC82" s="1" t="n"/>
      <c r="AD82" s="1" t="n"/>
      <c r="AE82" s="1" t="n">
        <v>70.40000000000001</v>
      </c>
      <c r="AF82" s="1" t="n">
        <v>59.2</v>
      </c>
      <c r="AG82" s="1" t="n">
        <v>51.8</v>
      </c>
      <c r="AH82" s="1" t="n">
        <v>45.2</v>
      </c>
      <c r="AI82" s="1" t="n">
        <v>52</v>
      </c>
      <c r="AJ82" s="1" t="n">
        <v>67.8</v>
      </c>
      <c r="AK82" s="1" t="n">
        <v>63.6</v>
      </c>
      <c r="AL82" s="1" t="n">
        <v>44.6</v>
      </c>
      <c r="AM82" s="1" t="n">
        <v>41.8</v>
      </c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</row>
    <row r="83">
      <c r="A83" s="1" t="inlineStr">
        <is>
          <t xml:space="preserve"> 405  Сардельки Сливушки ТМ Вязанка в оболочке айпил 0,33 кг. ПОКОМ</t>
        </is>
      </c>
      <c r="B83" s="1" t="inlineStr">
        <is>
          <t>шт</t>
        </is>
      </c>
      <c r="C83" s="1" t="n">
        <v>246</v>
      </c>
      <c r="D83" s="1" t="n">
        <v>756</v>
      </c>
      <c r="E83" s="1" t="n">
        <v>391</v>
      </c>
      <c r="F83" s="1" t="n">
        <v>504</v>
      </c>
      <c r="G83" s="1" t="n">
        <v>0.33</v>
      </c>
      <c r="H83" s="1" t="n">
        <v>40</v>
      </c>
      <c r="I83" s="1" t="inlineStr">
        <is>
          <t>матрица</t>
        </is>
      </c>
      <c r="J83" s="1" t="n"/>
      <c r="K83" s="1" t="n">
        <v>484</v>
      </c>
      <c r="L83" s="1">
        <f>E83-K83</f>
        <v/>
      </c>
      <c r="M83" s="1" t="n"/>
      <c r="N83" s="1" t="n"/>
      <c r="O83" s="1" t="n">
        <v>152.27394</v>
      </c>
      <c r="P83" s="1" t="n"/>
      <c r="Q83" s="1" t="n"/>
      <c r="R83" s="1" t="n">
        <v>281.92606</v>
      </c>
      <c r="S83" s="1" t="n"/>
      <c r="T83" s="1" t="n">
        <v>30</v>
      </c>
      <c r="U83" s="1" t="n"/>
      <c r="V83" s="1" t="n">
        <v>120</v>
      </c>
      <c r="W83" s="1" t="n"/>
      <c r="X83" s="1" t="n">
        <v>347.77</v>
      </c>
      <c r="Y83" s="1" t="n"/>
      <c r="Z83" s="5" t="n"/>
      <c r="AA83" s="5" t="n"/>
      <c r="AB83" s="1" t="n"/>
      <c r="AC83" s="1" t="n"/>
      <c r="AD83" s="1" t="n"/>
      <c r="AE83" s="1" t="n">
        <v>81</v>
      </c>
      <c r="AF83" s="1" t="n">
        <v>76.2</v>
      </c>
      <c r="AG83" s="1" t="n">
        <v>80.40000000000001</v>
      </c>
      <c r="AH83" s="1" t="n">
        <v>78.59999999999999</v>
      </c>
      <c r="AI83" s="1" t="n">
        <v>60.2</v>
      </c>
      <c r="AJ83" s="1" t="n">
        <v>23.2</v>
      </c>
      <c r="AK83" s="1" t="n">
        <v>35.4</v>
      </c>
      <c r="AL83" s="1" t="n">
        <v>69.59999999999999</v>
      </c>
      <c r="AM83" s="1" t="n">
        <v>62</v>
      </c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</row>
    <row r="84">
      <c r="A84" s="1" t="inlineStr">
        <is>
          <t xml:space="preserve"> 408  Ветчина Сливушка с индейкой ТМ Вязанка, 0,4кг  ПОКОМ</t>
        </is>
      </c>
      <c r="B84" s="1" t="inlineStr">
        <is>
          <t>шт</t>
        </is>
      </c>
      <c r="C84" s="1" t="n">
        <v>28</v>
      </c>
      <c r="D84" s="1" t="n">
        <v>20</v>
      </c>
      <c r="E84" s="1" t="n">
        <v>26</v>
      </c>
      <c r="F84" s="1" t="n">
        <v>19</v>
      </c>
      <c r="G84" s="1" t="n">
        <v>0.4</v>
      </c>
      <c r="H84" s="1" t="n">
        <v>55</v>
      </c>
      <c r="I84" s="1" t="inlineStr">
        <is>
          <t>матрица</t>
        </is>
      </c>
      <c r="J84" s="1" t="n"/>
      <c r="K84" s="1" t="n">
        <v>34</v>
      </c>
      <c r="L84" s="1">
        <f>E84-K84</f>
        <v/>
      </c>
      <c r="M84" s="1" t="n"/>
      <c r="N84" s="1" t="n"/>
      <c r="O84" s="1" t="n">
        <v>14.19999999999999</v>
      </c>
      <c r="P84" s="1" t="n"/>
      <c r="Q84" s="1" t="n"/>
      <c r="R84" s="1" t="n"/>
      <c r="S84" s="1" t="n"/>
      <c r="T84" s="1" t="n">
        <v>30</v>
      </c>
      <c r="U84" s="1" t="n"/>
      <c r="V84" s="1" t="n">
        <v>120</v>
      </c>
      <c r="W84" s="1" t="n"/>
      <c r="X84" s="1" t="n">
        <v>0</v>
      </c>
      <c r="Y84" s="1" t="n"/>
      <c r="Z84" s="5" t="n"/>
      <c r="AA84" s="5" t="n"/>
      <c r="AB84" s="1" t="n"/>
      <c r="AC84" s="1" t="n"/>
      <c r="AD84" s="1" t="n"/>
      <c r="AE84" s="1" t="n">
        <v>10.2</v>
      </c>
      <c r="AF84" s="1" t="n">
        <v>10.4</v>
      </c>
      <c r="AG84" s="1" t="n">
        <v>7.6</v>
      </c>
      <c r="AH84" s="1" t="n">
        <v>7.6</v>
      </c>
      <c r="AI84" s="1" t="n">
        <v>10.2</v>
      </c>
      <c r="AJ84" s="1" t="n">
        <v>12.6</v>
      </c>
      <c r="AK84" s="1" t="n">
        <v>9.4</v>
      </c>
      <c r="AL84" s="1" t="n">
        <v>11</v>
      </c>
      <c r="AM84" s="1" t="n">
        <v>11.2</v>
      </c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</row>
    <row r="85">
      <c r="A85" s="1" t="inlineStr">
        <is>
          <t xml:space="preserve"> 410  Сосиски Баварские с сыром ТМ Стародворье 0,35 кг. ПОКОМ</t>
        </is>
      </c>
      <c r="B85" s="1" t="inlineStr">
        <is>
          <t>шт</t>
        </is>
      </c>
      <c r="C85" s="1" t="n"/>
      <c r="D85" s="1" t="n">
        <v>108</v>
      </c>
      <c r="E85" s="1" t="n">
        <v>43</v>
      </c>
      <c r="F85" s="1" t="n">
        <v>56</v>
      </c>
      <c r="G85" s="1" t="n">
        <v>0.35</v>
      </c>
      <c r="H85" s="1" t="n">
        <v>40</v>
      </c>
      <c r="I85" s="1" t="inlineStr">
        <is>
          <t>НЕДОГРУЗ / матрица</t>
        </is>
      </c>
      <c r="J85" s="1" t="n"/>
      <c r="K85" s="1" t="n">
        <v>225</v>
      </c>
      <c r="L85" s="1">
        <f>E85-K85</f>
        <v/>
      </c>
      <c r="M85" s="1" t="n"/>
      <c r="N85" s="1" t="n"/>
      <c r="O85" s="1" t="n">
        <v>50</v>
      </c>
      <c r="P85" s="1" t="n"/>
      <c r="Q85" s="1" t="n"/>
      <c r="R85" s="1" t="n">
        <v>50</v>
      </c>
      <c r="S85" s="1" t="n"/>
      <c r="T85" s="1" t="n">
        <v>65</v>
      </c>
      <c r="U85" s="1" t="n"/>
      <c r="V85" s="1" t="n"/>
      <c r="W85" s="1" t="n"/>
      <c r="X85" s="1" t="n">
        <v>0</v>
      </c>
      <c r="Y85" s="1" t="n"/>
      <c r="Z85" s="5" t="n"/>
      <c r="AA85" s="5" t="n"/>
      <c r="AB85" s="1" t="n"/>
      <c r="AC85" s="1" t="n"/>
      <c r="AD85" s="1" t="n"/>
      <c r="AE85" s="1" t="n">
        <v>7.2</v>
      </c>
      <c r="AF85" s="1" t="n">
        <v>15.8</v>
      </c>
      <c r="AG85" s="1" t="n">
        <v>8.4</v>
      </c>
      <c r="AH85" s="1" t="n">
        <v>-0.6</v>
      </c>
      <c r="AI85" s="1" t="n">
        <v>-1.2</v>
      </c>
      <c r="AJ85" s="1" t="n">
        <v>-0.4</v>
      </c>
      <c r="AK85" s="1" t="n">
        <v>14</v>
      </c>
      <c r="AL85" s="1" t="n">
        <v>31.6</v>
      </c>
      <c r="AM85" s="1" t="n">
        <v>57.2</v>
      </c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</row>
    <row r="86">
      <c r="A86" s="1" t="inlineStr">
        <is>
          <t xml:space="preserve"> 412  Сосиски Баварские ТМ Стародворье 0,35 кг ПОКОМ</t>
        </is>
      </c>
      <c r="B86" s="1" t="inlineStr">
        <is>
          <t>шт</t>
        </is>
      </c>
      <c r="C86" s="1" t="n">
        <v>157</v>
      </c>
      <c r="D86" s="1" t="n">
        <v>76</v>
      </c>
      <c r="E86" s="1" t="n">
        <v>169</v>
      </c>
      <c r="F86" s="1" t="n">
        <v>18</v>
      </c>
      <c r="G86" s="1" t="n">
        <v>0.35</v>
      </c>
      <c r="H86" s="1" t="n">
        <v>45</v>
      </c>
      <c r="I86" s="1" t="inlineStr">
        <is>
          <t>НЕДОГРУЗ / матрица</t>
        </is>
      </c>
      <c r="J86" s="1" t="n"/>
      <c r="K86" s="1" t="n">
        <v>228</v>
      </c>
      <c r="L86" s="1">
        <f>E86-K86</f>
        <v/>
      </c>
      <c r="M86" s="1" t="n"/>
      <c r="N86" s="1" t="n"/>
      <c r="O86" s="1" t="n">
        <v>40</v>
      </c>
      <c r="P86" s="1" t="n"/>
      <c r="Q86" s="1" t="n"/>
      <c r="R86" s="1" t="n">
        <v>20</v>
      </c>
      <c r="S86" s="1" t="n">
        <v>-5.714285714285714</v>
      </c>
      <c r="T86" s="1" t="n">
        <v>455</v>
      </c>
      <c r="U86" s="1" t="n"/>
      <c r="V86" s="1" t="n">
        <v>227.5</v>
      </c>
      <c r="W86" s="1" t="n"/>
      <c r="X86" s="1" t="n">
        <v>0</v>
      </c>
      <c r="Y86" s="1" t="n"/>
      <c r="Z86" s="5" t="n"/>
      <c r="AA86" s="5" t="n"/>
      <c r="AB86" s="1" t="n"/>
      <c r="AC86" s="1" t="n"/>
      <c r="AD86" s="1" t="n"/>
      <c r="AE86" s="1" t="n">
        <v>60</v>
      </c>
      <c r="AF86" s="1" t="n">
        <v>60.2</v>
      </c>
      <c r="AG86" s="1" t="n">
        <v>18.6</v>
      </c>
      <c r="AH86" s="1" t="n">
        <v>1.2</v>
      </c>
      <c r="AI86" s="1" t="n">
        <v>24.8</v>
      </c>
      <c r="AJ86" s="1" t="n">
        <v>57.2</v>
      </c>
      <c r="AK86" s="1" t="n">
        <v>41.6</v>
      </c>
      <c r="AL86" s="1" t="n">
        <v>37.4</v>
      </c>
      <c r="AM86" s="1" t="n">
        <v>49.2</v>
      </c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</row>
    <row r="87">
      <c r="A87" s="1" t="inlineStr">
        <is>
          <t xml:space="preserve"> 430  Колбаса Стародворская с окороком 0,4 кг. ТМ Стародворье в оболочке полиамид  ПОКОМ</t>
        </is>
      </c>
      <c r="B87" s="1" t="inlineStr">
        <is>
          <t>шт</t>
        </is>
      </c>
      <c r="C87" s="1" t="n">
        <v>40</v>
      </c>
      <c r="D87" s="1" t="n">
        <v>20</v>
      </c>
      <c r="E87" s="1" t="n">
        <v>31</v>
      </c>
      <c r="F87" s="1" t="n">
        <v>29</v>
      </c>
      <c r="G87" s="1" t="n">
        <v>0.4</v>
      </c>
      <c r="H87" s="1" t="n">
        <v>55</v>
      </c>
      <c r="I87" s="1" t="inlineStr">
        <is>
          <t>матрица</t>
        </is>
      </c>
      <c r="J87" s="1" t="n"/>
      <c r="K87" s="1" t="n">
        <v>31</v>
      </c>
      <c r="L87" s="1">
        <f>E87-K87</f>
        <v/>
      </c>
      <c r="M87" s="1" t="n"/>
      <c r="N87" s="1" t="n"/>
      <c r="O87" s="1" t="n">
        <v>0</v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>
        <v>0</v>
      </c>
      <c r="Y87" s="1" t="n"/>
      <c r="Z87" s="5" t="n"/>
      <c r="AA87" s="5" t="n"/>
      <c r="AB87" s="1" t="n"/>
      <c r="AC87" s="1" t="n"/>
      <c r="AD87" s="1" t="n"/>
      <c r="AE87" s="1" t="n">
        <v>2</v>
      </c>
      <c r="AF87" s="1" t="n">
        <v>2</v>
      </c>
      <c r="AG87" s="1" t="n">
        <v>2</v>
      </c>
      <c r="AH87" s="1" t="n">
        <v>6.2</v>
      </c>
      <c r="AI87" s="1" t="n">
        <v>4.4</v>
      </c>
      <c r="AJ87" s="1" t="n">
        <v>0.2</v>
      </c>
      <c r="AK87" s="1" t="n">
        <v>4.2</v>
      </c>
      <c r="AL87" s="1" t="n">
        <v>4.2</v>
      </c>
      <c r="AM87" s="1" t="n">
        <v>0</v>
      </c>
      <c r="AN87" s="1" t="inlineStr">
        <is>
          <t>нужно увеличить продажи!!!</t>
        </is>
      </c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</row>
    <row r="88">
      <c r="A88" s="1" t="inlineStr">
        <is>
          <t xml:space="preserve"> 433 Колбаса Стародворская со шпиком  в оболочке полиамид. ТМ Стародворье ВЕС ПОКОМ</t>
        </is>
      </c>
      <c r="B88" s="1" t="inlineStr">
        <is>
          <t>кг</t>
        </is>
      </c>
      <c r="C88" s="1" t="n">
        <v>2.56</v>
      </c>
      <c r="D88" s="1" t="n"/>
      <c r="E88" s="1" t="n">
        <v>1.334</v>
      </c>
      <c r="F88" s="1" t="n">
        <v>-22.032</v>
      </c>
      <c r="G88" s="1" t="n">
        <v>1</v>
      </c>
      <c r="H88" s="1" t="n">
        <v>55</v>
      </c>
      <c r="I88" s="1" t="inlineStr">
        <is>
          <t>матрица</t>
        </is>
      </c>
      <c r="J88" s="1" t="n"/>
      <c r="K88" s="1" t="n">
        <v>1.5</v>
      </c>
      <c r="L88" s="1">
        <f>E88-K88</f>
        <v/>
      </c>
      <c r="M88" s="1" t="n"/>
      <c r="N88" s="1" t="n"/>
      <c r="O88" s="1" t="n">
        <v>0</v>
      </c>
      <c r="P88" s="1" t="n"/>
      <c r="Q88" s="1" t="n"/>
      <c r="R88" s="1" t="n"/>
      <c r="S88" s="1" t="n"/>
      <c r="T88" s="1" t="n">
        <v>5.6174</v>
      </c>
      <c r="U88" s="1" t="n"/>
      <c r="V88" s="1" t="n"/>
      <c r="W88" s="1" t="n"/>
      <c r="X88" s="1" t="n">
        <v>4</v>
      </c>
      <c r="Y88" s="1" t="n"/>
      <c r="Z88" s="5" t="n"/>
      <c r="AA88" s="5" t="n"/>
      <c r="AB88" s="1" t="n"/>
      <c r="AC88" s="1" t="n"/>
      <c r="AD88" s="1" t="n"/>
      <c r="AE88" s="1" t="n">
        <v>0.7434000000000001</v>
      </c>
      <c r="AF88" s="1" t="n">
        <v>0.7434000000000001</v>
      </c>
      <c r="AG88" s="1" t="n">
        <v>0.267</v>
      </c>
      <c r="AH88" s="1" t="n">
        <v>0.267</v>
      </c>
      <c r="AI88" s="1" t="n">
        <v>0.291</v>
      </c>
      <c r="AJ88" s="1" t="n">
        <v>0.591</v>
      </c>
      <c r="AK88" s="1" t="n">
        <v>0.3</v>
      </c>
      <c r="AL88" s="1" t="n">
        <v>0.5658000000000001</v>
      </c>
      <c r="AM88" s="1" t="n">
        <v>0.8550000000000001</v>
      </c>
      <c r="AN88" s="1" t="inlineStr">
        <is>
          <t>14 кг списано (19,09,26)</t>
        </is>
      </c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</row>
    <row r="89">
      <c r="A89" s="6" t="inlineStr">
        <is>
          <t xml:space="preserve"> 436  Колбаса Молочная стародворская с молоком, ВЕС, ТМ Стародворье  ПОКОМ</t>
        </is>
      </c>
      <c r="B89" s="1" t="inlineStr">
        <is>
          <t>кг</t>
        </is>
      </c>
      <c r="C89" s="1" t="n"/>
      <c r="D89" s="1" t="n"/>
      <c r="E89" s="1" t="n"/>
      <c r="F89" s="1" t="n"/>
      <c r="G89" s="1" t="n">
        <v>0</v>
      </c>
      <c r="H89" s="1" t="n"/>
      <c r="I89" s="1" t="inlineStr">
        <is>
          <t>матрица</t>
        </is>
      </c>
      <c r="J89" s="1" t="n"/>
      <c r="K89" s="1" t="n"/>
      <c r="L89" s="1">
        <f>E89-K89</f>
        <v/>
      </c>
      <c r="M89" s="1" t="n"/>
      <c r="N89" s="1" t="n"/>
      <c r="O89" s="1" t="n">
        <v>0</v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>
        <v>0</v>
      </c>
      <c r="Y89" s="1" t="n"/>
      <c r="Z89" s="5" t="n"/>
      <c r="AA89" s="5" t="n"/>
      <c r="AB89" s="1" t="n"/>
      <c r="AC89" s="1" t="n"/>
      <c r="AD89" s="1" t="n"/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inlineStr">
        <is>
          <t>нет потребности</t>
        </is>
      </c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</row>
    <row r="90">
      <c r="A90" s="1" t="inlineStr">
        <is>
          <t xml:space="preserve"> 449  Колбаса Дугушка Стародворская ВЕС ТС Дугушка ПОКОМ</t>
        </is>
      </c>
      <c r="B90" s="1" t="inlineStr">
        <is>
          <t>кг</t>
        </is>
      </c>
      <c r="C90" s="1" t="n">
        <v>3472.676</v>
      </c>
      <c r="D90" s="1" t="n">
        <v>3887.944</v>
      </c>
      <c r="E90" s="1" t="n">
        <v>3316.419</v>
      </c>
      <c r="F90" s="1" t="n">
        <v>2516.989</v>
      </c>
      <c r="G90" s="1" t="n">
        <v>1</v>
      </c>
      <c r="H90" s="1" t="n">
        <v>60</v>
      </c>
      <c r="I90" s="1" t="inlineStr">
        <is>
          <t>матрица</t>
        </is>
      </c>
      <c r="J90" s="1" t="n"/>
      <c r="K90" s="1" t="n">
        <v>3309.001</v>
      </c>
      <c r="L90" s="1">
        <f>E90-K90</f>
        <v/>
      </c>
      <c r="M90" s="1" t="n"/>
      <c r="N90" s="1" t="n">
        <v>757.651</v>
      </c>
      <c r="O90" s="1" t="n">
        <v>559.0635302699995</v>
      </c>
      <c r="P90" s="1" t="n"/>
      <c r="Q90" s="1" t="n"/>
      <c r="R90" s="1" t="n">
        <v>1035.072569729999</v>
      </c>
      <c r="S90" s="1" t="n"/>
      <c r="T90" s="1" t="n">
        <v>240</v>
      </c>
      <c r="U90" s="1" t="n"/>
      <c r="V90" s="1" t="n">
        <v>960</v>
      </c>
      <c r="W90" s="1" t="n"/>
      <c r="X90" s="1" t="n">
        <v>687.779306000003</v>
      </c>
      <c r="Y90" s="1" t="n"/>
      <c r="Z90" s="5" t="n"/>
      <c r="AA90" s="5" t="n"/>
      <c r="AB90" s="1" t="n"/>
      <c r="AC90" s="1" t="n"/>
      <c r="AD90" s="1" t="n"/>
      <c r="AE90" s="1" t="n">
        <v>483.4838000000001</v>
      </c>
      <c r="AF90" s="1" t="n">
        <v>522.9562</v>
      </c>
      <c r="AG90" s="1" t="n">
        <v>517.0229999999999</v>
      </c>
      <c r="AH90" s="1" t="n">
        <v>538.735</v>
      </c>
      <c r="AI90" s="1" t="n">
        <v>591.0634</v>
      </c>
      <c r="AJ90" s="1" t="n">
        <v>673.6312</v>
      </c>
      <c r="AK90" s="1" t="n">
        <v>428.864</v>
      </c>
      <c r="AL90" s="1" t="n">
        <v>368.1348</v>
      </c>
      <c r="AM90" s="1" t="n">
        <v>482.7984</v>
      </c>
      <c r="AN90" s="1" t="inlineStr">
        <is>
          <t>ПРОМО сентябрь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</row>
    <row r="91">
      <c r="A91" s="1" t="inlineStr">
        <is>
          <t xml:space="preserve"> 451 Сосиски Филейские ТМ Вязанка в оболочке целлофан 0,3 кг. ПОКОМ</t>
        </is>
      </c>
      <c r="B91" s="1" t="inlineStr">
        <is>
          <t>шт</t>
        </is>
      </c>
      <c r="C91" s="1" t="n">
        <v>635</v>
      </c>
      <c r="D91" s="1" t="n">
        <v>40</v>
      </c>
      <c r="E91" s="1" t="n">
        <v>82</v>
      </c>
      <c r="F91" s="1" t="n">
        <v>559</v>
      </c>
      <c r="G91" s="1" t="n">
        <v>0.3</v>
      </c>
      <c r="H91" s="1" t="n">
        <v>40</v>
      </c>
      <c r="I91" s="1" t="inlineStr">
        <is>
          <t>матрица</t>
        </is>
      </c>
      <c r="J91" s="1" t="n"/>
      <c r="K91" s="1" t="n">
        <v>229</v>
      </c>
      <c r="L91" s="1">
        <f>E91-K91</f>
        <v/>
      </c>
      <c r="M91" s="1" t="n"/>
      <c r="N91" s="1" t="n"/>
      <c r="O91" s="1" t="n">
        <v>0</v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>
        <v>0</v>
      </c>
      <c r="Y91" s="1" t="n"/>
      <c r="Z91" s="5" t="n"/>
      <c r="AA91" s="5" t="n"/>
      <c r="AB91" s="1" t="n"/>
      <c r="AC91" s="1" t="n"/>
      <c r="AD91" s="1" t="n"/>
      <c r="AE91" s="1" t="n">
        <v>26.8</v>
      </c>
      <c r="AF91" s="1" t="n">
        <v>38.8</v>
      </c>
      <c r="AG91" s="1" t="n">
        <v>47.6</v>
      </c>
      <c r="AH91" s="1" t="n">
        <v>64.8</v>
      </c>
      <c r="AI91" s="1" t="n">
        <v>54.6</v>
      </c>
      <c r="AJ91" s="1" t="n">
        <v>43.4</v>
      </c>
      <c r="AK91" s="1" t="n">
        <v>52.8</v>
      </c>
      <c r="AL91" s="1" t="n">
        <v>49.8</v>
      </c>
      <c r="AM91" s="1" t="n">
        <v>36.2</v>
      </c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</row>
    <row r="92">
      <c r="A92" s="1" t="inlineStr">
        <is>
          <t xml:space="preserve"> 452  Колбаса Со шпиком ВЕС большой батон ТМ Особый рецепт  ПОКОМ</t>
        </is>
      </c>
      <c r="B92" s="1" t="inlineStr">
        <is>
          <t>кг</t>
        </is>
      </c>
      <c r="C92" s="1" t="n">
        <v>1072.361</v>
      </c>
      <c r="D92" s="1" t="n">
        <v>2826.6</v>
      </c>
      <c r="E92" s="1" t="n">
        <v>1948.797</v>
      </c>
      <c r="F92" s="1" t="n">
        <v>1176.85</v>
      </c>
      <c r="G92" s="1" t="n">
        <v>1</v>
      </c>
      <c r="H92" s="1" t="n">
        <v>60</v>
      </c>
      <c r="I92" s="1" t="inlineStr">
        <is>
          <t>матрица</t>
        </is>
      </c>
      <c r="J92" s="1" t="n"/>
      <c r="K92" s="1" t="n">
        <v>1967.577</v>
      </c>
      <c r="L92" s="1">
        <f>E92-K92</f>
        <v/>
      </c>
      <c r="M92" s="1" t="n"/>
      <c r="N92" s="1" t="n">
        <v>287.277</v>
      </c>
      <c r="O92" s="1" t="n">
        <v>246.0480338400002</v>
      </c>
      <c r="P92" s="1" t="n"/>
      <c r="Q92" s="1" t="n">
        <v>300</v>
      </c>
      <c r="R92" s="1" t="n">
        <v>455.5431661600003</v>
      </c>
      <c r="S92" s="1" t="n"/>
      <c r="T92" s="1" t="n">
        <v>200</v>
      </c>
      <c r="U92" s="1" t="n">
        <v>210</v>
      </c>
      <c r="V92" s="1" t="n">
        <v>800</v>
      </c>
      <c r="W92" s="1" t="n"/>
      <c r="X92" s="1" t="n">
        <v>0</v>
      </c>
      <c r="Y92" s="1" t="n"/>
      <c r="Z92" s="5" t="n"/>
      <c r="AA92" s="5" t="n"/>
      <c r="AB92" s="1" t="n"/>
      <c r="AC92" s="1" t="n"/>
      <c r="AD92" s="1" t="n"/>
      <c r="AE92" s="1" t="n">
        <v>267.472</v>
      </c>
      <c r="AF92" s="1" t="n">
        <v>289.9846</v>
      </c>
      <c r="AG92" s="1" t="n">
        <v>263.7302</v>
      </c>
      <c r="AH92" s="1" t="n">
        <v>277.4752</v>
      </c>
      <c r="AI92" s="1" t="n">
        <v>257.9512</v>
      </c>
      <c r="AJ92" s="1" t="n">
        <v>283.8922</v>
      </c>
      <c r="AK92" s="1" t="n">
        <v>197.213</v>
      </c>
      <c r="AL92" s="1" t="n">
        <v>160.907</v>
      </c>
      <c r="AM92" s="1" t="n">
        <v>215.4</v>
      </c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</row>
    <row r="93">
      <c r="A93" s="1" t="inlineStr">
        <is>
          <t xml:space="preserve"> 456  Колбаса Филейная ТМ Особый рецепт ВЕС большой батон  ПОКОМ</t>
        </is>
      </c>
      <c r="B93" s="1" t="inlineStr">
        <is>
          <t>кг</t>
        </is>
      </c>
      <c r="C93" s="1" t="n">
        <v>1299.585</v>
      </c>
      <c r="D93" s="1" t="n">
        <v>6134.226</v>
      </c>
      <c r="E93" s="1" t="n">
        <v>4046.285</v>
      </c>
      <c r="F93" s="1" t="n">
        <v>1066.254</v>
      </c>
      <c r="G93" s="1" t="n">
        <v>1</v>
      </c>
      <c r="H93" s="1" t="n">
        <v>60</v>
      </c>
      <c r="I93" s="1" t="inlineStr">
        <is>
          <t>матрица</t>
        </is>
      </c>
      <c r="J93" s="1" t="n"/>
      <c r="K93" s="1" t="n">
        <v>4054.466</v>
      </c>
      <c r="L93" s="1">
        <f>E93-K93</f>
        <v/>
      </c>
      <c r="M93" s="1" t="n"/>
      <c r="N93" s="1" t="n">
        <v>1231.166</v>
      </c>
      <c r="O93" s="1" t="n">
        <v>507.3910065000002</v>
      </c>
      <c r="P93" s="1" t="n"/>
      <c r="Q93" s="1" t="n">
        <v>510</v>
      </c>
      <c r="R93" s="1" t="n">
        <v>939.4039935000003</v>
      </c>
      <c r="S93" s="1" t="n"/>
      <c r="T93" s="1" t="n">
        <v>420</v>
      </c>
      <c r="U93" s="1" t="n">
        <v>300</v>
      </c>
      <c r="V93" s="1" t="n">
        <v>1680</v>
      </c>
      <c r="W93" s="1" t="n"/>
      <c r="X93" s="1" t="n">
        <v>664.689476</v>
      </c>
      <c r="Y93" s="1" t="n"/>
      <c r="Z93" s="5" t="n"/>
      <c r="AA93" s="5" t="n"/>
      <c r="AB93" s="1" t="n"/>
      <c r="AC93" s="1" t="n"/>
      <c r="AD93" s="1" t="n"/>
      <c r="AE93" s="1" t="n">
        <v>485.1747999999999</v>
      </c>
      <c r="AF93" s="1" t="n">
        <v>500.6804</v>
      </c>
      <c r="AG93" s="1" t="n">
        <v>462.6180000000001</v>
      </c>
      <c r="AH93" s="1" t="n">
        <v>495.6922</v>
      </c>
      <c r="AI93" s="1" t="n">
        <v>523.894</v>
      </c>
      <c r="AJ93" s="1" t="n">
        <v>507.1012000000001</v>
      </c>
      <c r="AK93" s="1" t="n">
        <v>403.7422</v>
      </c>
      <c r="AL93" s="1" t="n">
        <v>422.8046000000001</v>
      </c>
      <c r="AM93" s="1" t="n">
        <v>423.5189999999999</v>
      </c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</row>
    <row r="94">
      <c r="A94" s="1" t="inlineStr">
        <is>
          <t xml:space="preserve"> 457  Колбаса Молочная ТМ Особый рецепт ВЕС большой батон  ПОКОМ</t>
        </is>
      </c>
      <c r="B94" s="1" t="inlineStr">
        <is>
          <t>кг</t>
        </is>
      </c>
      <c r="C94" s="1" t="n">
        <v>1392.877</v>
      </c>
      <c r="D94" s="1" t="n">
        <v>7933.934</v>
      </c>
      <c r="E94" s="1" t="n">
        <v>4869.254</v>
      </c>
      <c r="F94" s="1" t="n">
        <v>1773.822</v>
      </c>
      <c r="G94" s="1" t="n">
        <v>1</v>
      </c>
      <c r="H94" s="1" t="n">
        <v>60</v>
      </c>
      <c r="I94" s="1" t="inlineStr">
        <is>
          <t>матрица</t>
        </is>
      </c>
      <c r="J94" s="1" t="n"/>
      <c r="K94" s="1" t="n">
        <v>4855.281</v>
      </c>
      <c r="L94" s="1">
        <f>E94-K94</f>
        <v/>
      </c>
      <c r="M94" s="1" t="n"/>
      <c r="N94" s="1" t="n">
        <v>1667.381</v>
      </c>
      <c r="O94" s="1" t="n">
        <v>659.9263582800002</v>
      </c>
      <c r="P94" s="1" t="n"/>
      <c r="Q94" s="1" t="n">
        <v>1095</v>
      </c>
      <c r="R94" s="1" t="n">
        <v>1221.81404172</v>
      </c>
      <c r="S94" s="1" t="n"/>
      <c r="T94" s="1" t="n">
        <v>440</v>
      </c>
      <c r="U94" s="1" t="n">
        <v>300</v>
      </c>
      <c r="V94" s="1" t="n">
        <v>1760</v>
      </c>
      <c r="W94" s="1" t="n"/>
      <c r="X94" s="1" t="n">
        <v>745.9737680000001</v>
      </c>
      <c r="Y94" s="1" t="n"/>
      <c r="Z94" s="5" t="n"/>
      <c r="AA94" s="5" t="n"/>
      <c r="AB94" s="1" t="n"/>
      <c r="AC94" s="1" t="n"/>
      <c r="AD94" s="1" t="n"/>
      <c r="AE94" s="1" t="n">
        <v>544.5064</v>
      </c>
      <c r="AF94" s="1" t="n">
        <v>570.4930000000001</v>
      </c>
      <c r="AG94" s="1" t="n">
        <v>578.1374000000001</v>
      </c>
      <c r="AH94" s="1" t="n">
        <v>589.3163999999999</v>
      </c>
      <c r="AI94" s="1" t="n">
        <v>576.8203999999999</v>
      </c>
      <c r="AJ94" s="1" t="n">
        <v>637.0952000000001</v>
      </c>
      <c r="AK94" s="1" t="n">
        <v>500.9324</v>
      </c>
      <c r="AL94" s="1" t="n">
        <v>455.2406</v>
      </c>
      <c r="AM94" s="1" t="n">
        <v>581.5613999999999</v>
      </c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</row>
    <row r="95">
      <c r="A95" s="1" t="inlineStr">
        <is>
          <t xml:space="preserve"> 460  Колбаса Стародворская Традиционная ВЕС ТМ Стародворье в оболочке полиамид. ПОКОМ</t>
        </is>
      </c>
      <c r="B95" s="1" t="inlineStr">
        <is>
          <t>кг</t>
        </is>
      </c>
      <c r="C95" s="1" t="n">
        <v>22.624</v>
      </c>
      <c r="D95" s="1" t="n">
        <v>37.848</v>
      </c>
      <c r="E95" s="1" t="n">
        <v>14.686</v>
      </c>
      <c r="F95" s="1" t="n">
        <v>40.427</v>
      </c>
      <c r="G95" s="1" t="n">
        <v>1</v>
      </c>
      <c r="H95" s="1" t="n">
        <v>55</v>
      </c>
      <c r="I95" s="1" t="inlineStr">
        <is>
          <t>матрица</t>
        </is>
      </c>
      <c r="J95" s="1" t="n"/>
      <c r="K95" s="1" t="n">
        <v>14.6</v>
      </c>
      <c r="L95" s="1">
        <f>E95-K95</f>
        <v/>
      </c>
      <c r="M95" s="1" t="n"/>
      <c r="N95" s="1" t="n"/>
      <c r="O95" s="1" t="n">
        <v>4</v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5" t="n"/>
      <c r="AA95" s="5" t="n"/>
      <c r="AB95" s="1" t="n"/>
      <c r="AC95" s="1" t="n"/>
      <c r="AD95" s="1" t="n"/>
      <c r="AE95" s="1" t="n">
        <v>3.2064</v>
      </c>
      <c r="AF95" s="1" t="n">
        <v>3.226</v>
      </c>
      <c r="AG95" s="1" t="n">
        <v>3.7902</v>
      </c>
      <c r="AH95" s="1" t="n">
        <v>4.0486</v>
      </c>
      <c r="AI95" s="1" t="n">
        <v>4.0282</v>
      </c>
      <c r="AJ95" s="1" t="n">
        <v>3.492</v>
      </c>
      <c r="AK95" s="1" t="n">
        <v>1.6096</v>
      </c>
      <c r="AL95" s="1" t="n">
        <v>2.2846</v>
      </c>
      <c r="AM95" s="1" t="n">
        <v>4.4762</v>
      </c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</row>
    <row r="96">
      <c r="A96" s="6" t="inlineStr">
        <is>
          <t xml:space="preserve"> 463  Колбаса Молочная Традиционнаяв оболочке полиамид.ТМ Стародворье. ВЕС ПОКОМ</t>
        </is>
      </c>
      <c r="B96" s="1" t="inlineStr">
        <is>
          <t>кг</t>
        </is>
      </c>
      <c r="C96" s="1" t="n"/>
      <c r="D96" s="1" t="n"/>
      <c r="E96" s="1" t="n"/>
      <c r="F96" s="1" t="n"/>
      <c r="G96" s="1" t="n">
        <v>0</v>
      </c>
      <c r="H96" s="1" t="n"/>
      <c r="I96" s="1" t="inlineStr">
        <is>
          <t>не в матрице</t>
        </is>
      </c>
      <c r="J96" s="1" t="n"/>
      <c r="K96" s="1" t="n"/>
      <c r="L96" s="1">
        <f>E96-K96</f>
        <v/>
      </c>
      <c r="M96" s="1" t="n"/>
      <c r="N96" s="1" t="n"/>
      <c r="O96" s="1" t="n">
        <v>0</v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>
        <v>0</v>
      </c>
      <c r="Y96" s="1" t="n"/>
      <c r="Z96" s="5" t="n"/>
      <c r="AA96" s="5" t="n"/>
      <c r="AB96" s="1" t="n"/>
      <c r="AC96" s="1" t="n"/>
      <c r="AD96" s="1" t="n"/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</row>
    <row r="97">
      <c r="A97" s="6" t="inlineStr">
        <is>
          <t xml:space="preserve"> 485  Колбаса Молочная по-стародворски ТМ Стародворье в оболочке полиамид. ВЕС ПОКОМ </t>
        </is>
      </c>
      <c r="B97" s="1" t="inlineStr">
        <is>
          <t>кг</t>
        </is>
      </c>
      <c r="C97" s="1" t="n"/>
      <c r="D97" s="1" t="n"/>
      <c r="E97" s="1" t="n"/>
      <c r="F97" s="1" t="n"/>
      <c r="G97" s="1" t="n">
        <v>0</v>
      </c>
      <c r="H97" s="1" t="n"/>
      <c r="I97" s="1" t="inlineStr">
        <is>
          <t>не в матрице</t>
        </is>
      </c>
      <c r="J97" s="1" t="n"/>
      <c r="K97" s="1" t="n"/>
      <c r="L97" s="1">
        <f>E97-K97</f>
        <v/>
      </c>
      <c r="M97" s="1" t="n"/>
      <c r="N97" s="1" t="n"/>
      <c r="O97" s="1" t="n">
        <v>0</v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>
        <v>0</v>
      </c>
      <c r="Y97" s="1" t="n"/>
      <c r="Z97" s="5" t="n"/>
      <c r="AA97" s="5" t="n"/>
      <c r="AB97" s="1" t="n"/>
      <c r="AC97" s="1" t="n"/>
      <c r="AD97" s="1" t="n"/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-0.08599999999999999</v>
      </c>
      <c r="AJ97" s="1" t="n">
        <v>-0.08599999999999999</v>
      </c>
      <c r="AK97" s="1" t="n">
        <v>0</v>
      </c>
      <c r="AL97" s="1" t="n">
        <v>-0.269</v>
      </c>
      <c r="AM97" s="1" t="n">
        <v>-0.4722000000000001</v>
      </c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</row>
    <row r="98">
      <c r="A98" s="6" t="inlineStr">
        <is>
          <t xml:space="preserve"> 498  Колбаса Сочинка рубленая с сочным окороком 0,3кг ТМ Стародворье  ПОКОМ</t>
        </is>
      </c>
      <c r="B98" s="1" t="inlineStr">
        <is>
          <t>шт</t>
        </is>
      </c>
      <c r="C98" s="1" t="n"/>
      <c r="D98" s="1" t="n"/>
      <c r="E98" s="1" t="n">
        <v>-2</v>
      </c>
      <c r="F98" s="1" t="n"/>
      <c r="G98" s="1" t="n">
        <v>0.3</v>
      </c>
      <c r="H98" s="1" t="n">
        <v>40</v>
      </c>
      <c r="I98" s="1" t="inlineStr">
        <is>
          <t>НЕДОГРУЗ / матрица</t>
        </is>
      </c>
      <c r="J98" s="1" t="n"/>
      <c r="K98" s="1" t="n">
        <v>92</v>
      </c>
      <c r="L98" s="1">
        <f>E98-K98</f>
        <v/>
      </c>
      <c r="M98" s="1" t="n"/>
      <c r="N98" s="1" t="n"/>
      <c r="O98" s="1" t="n">
        <v>80</v>
      </c>
      <c r="P98" s="1" t="n">
        <v>-84</v>
      </c>
      <c r="Q98" s="1" t="n"/>
      <c r="R98" s="1" t="n">
        <v>40</v>
      </c>
      <c r="S98" s="1" t="n">
        <v>-40</v>
      </c>
      <c r="T98" s="1" t="n">
        <v>104</v>
      </c>
      <c r="U98" s="1" t="n"/>
      <c r="V98" s="1" t="n"/>
      <c r="W98" s="1" t="n"/>
      <c r="X98" s="1" t="n">
        <v>104</v>
      </c>
      <c r="Y98" s="1" t="n"/>
      <c r="Z98" s="5" t="n"/>
      <c r="AA98" s="5" t="n"/>
      <c r="AB98" s="1" t="n"/>
      <c r="AC98" s="1" t="n"/>
      <c r="AD98" s="1" t="n"/>
      <c r="AE98" s="1" t="n">
        <v>0</v>
      </c>
      <c r="AF98" s="1" t="n">
        <v>0</v>
      </c>
      <c r="AG98" s="1" t="n">
        <v>0</v>
      </c>
      <c r="AH98" s="1" t="n">
        <v>-0.4</v>
      </c>
      <c r="AI98" s="1" t="n">
        <v>-0.4</v>
      </c>
      <c r="AJ98" s="1" t="n">
        <v>0</v>
      </c>
      <c r="AK98" s="1" t="n">
        <v>-0.2</v>
      </c>
      <c r="AL98" s="1" t="n">
        <v>-0.6</v>
      </c>
      <c r="AM98" s="1" t="n">
        <v>-0.4</v>
      </c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</row>
    <row r="99">
      <c r="A99" s="1" t="inlineStr">
        <is>
          <t xml:space="preserve"> 517  Сосиски С сыром ТМ Ядрена копоть 0,3кг  ПОКОМ</t>
        </is>
      </c>
      <c r="B99" s="1" t="inlineStr">
        <is>
          <t>шт</t>
        </is>
      </c>
      <c r="C99" s="1" t="n">
        <v>52</v>
      </c>
      <c r="D99" s="1" t="n"/>
      <c r="E99" s="1" t="n">
        <v>15</v>
      </c>
      <c r="F99" s="1" t="n">
        <v>22</v>
      </c>
      <c r="G99" s="1" t="n">
        <v>0.3</v>
      </c>
      <c r="H99" s="1" t="n">
        <v>40</v>
      </c>
      <c r="I99" s="1" t="inlineStr">
        <is>
          <t>матрица</t>
        </is>
      </c>
      <c r="J99" s="1" t="n"/>
      <c r="K99" s="1" t="n">
        <v>28</v>
      </c>
      <c r="L99" s="1">
        <f>E99-K99</f>
        <v/>
      </c>
      <c r="M99" s="1" t="n"/>
      <c r="N99" s="1" t="n"/>
      <c r="O99" s="1" t="n">
        <v>0</v>
      </c>
      <c r="P99" s="1" t="n"/>
      <c r="Q99" s="1" t="n"/>
      <c r="R99" s="1" t="n"/>
      <c r="S99" s="1" t="n"/>
      <c r="T99" s="1" t="n">
        <v>10.59999999999999</v>
      </c>
      <c r="U99" s="1" t="n"/>
      <c r="V99" s="1" t="n"/>
      <c r="W99" s="1" t="n"/>
      <c r="X99" s="1" t="n">
        <v>60.36000000000001</v>
      </c>
      <c r="Y99" s="1" t="n"/>
      <c r="Z99" s="5" t="n"/>
      <c r="AA99" s="5" t="n"/>
      <c r="AB99" s="1" t="n"/>
      <c r="AC99" s="1" t="n"/>
      <c r="AD99" s="1" t="n"/>
      <c r="AE99" s="1" t="n">
        <v>8</v>
      </c>
      <c r="AF99" s="1" t="n">
        <v>5.6</v>
      </c>
      <c r="AG99" s="1" t="n">
        <v>4.2</v>
      </c>
      <c r="AH99" s="1" t="n">
        <v>6.4</v>
      </c>
      <c r="AI99" s="1" t="n">
        <v>8.800000000000001</v>
      </c>
      <c r="AJ99" s="1" t="n">
        <v>6</v>
      </c>
      <c r="AK99" s="1" t="n">
        <v>1.6</v>
      </c>
      <c r="AL99" s="1" t="n">
        <v>2.2</v>
      </c>
      <c r="AM99" s="1" t="n">
        <v>6.8</v>
      </c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</row>
    <row r="100">
      <c r="A100" s="1" t="inlineStr">
        <is>
          <t xml:space="preserve"> 523  Колбаса Сальчичон нарезка 0,07кг ТМ Стародворье  ПОКОМ </t>
        </is>
      </c>
      <c r="B100" s="1" t="inlineStr">
        <is>
          <t>шт</t>
        </is>
      </c>
      <c r="C100" s="1" t="n">
        <v>23</v>
      </c>
      <c r="D100" s="1" t="n">
        <v>2</v>
      </c>
      <c r="E100" s="1" t="n">
        <v>4</v>
      </c>
      <c r="F100" s="1" t="n">
        <v>20</v>
      </c>
      <c r="G100" s="1" t="n">
        <v>0.07000000000000001</v>
      </c>
      <c r="H100" s="1" t="n">
        <v>90</v>
      </c>
      <c r="I100" s="1" t="inlineStr">
        <is>
          <t>НЕДОГРУЗ / матрица</t>
        </is>
      </c>
      <c r="J100" s="1" t="n"/>
      <c r="K100" s="1" t="n">
        <v>89</v>
      </c>
      <c r="L100" s="1">
        <f>E100-K100</f>
        <v/>
      </c>
      <c r="M100" s="1" t="n"/>
      <c r="N100" s="1" t="n"/>
      <c r="O100" s="1" t="n">
        <v>90.19999999999999</v>
      </c>
      <c r="P100" s="1" t="n">
        <v>-89.99999999999999</v>
      </c>
      <c r="Q100" s="1" t="n"/>
      <c r="R100" s="1" t="n">
        <v>50</v>
      </c>
      <c r="S100" s="1" t="n">
        <v>-50</v>
      </c>
      <c r="T100" s="1" t="n">
        <v>130</v>
      </c>
      <c r="U100" s="1" t="n"/>
      <c r="V100" s="1" t="n"/>
      <c r="W100" s="1" t="n"/>
      <c r="X100" s="1" t="n">
        <v>104</v>
      </c>
      <c r="Y100" s="1" t="n"/>
      <c r="Z100" s="5" t="n"/>
      <c r="AA100" s="5" t="n"/>
      <c r="AB100" s="1" t="n"/>
      <c r="AC100" s="1" t="n"/>
      <c r="AD100" s="1" t="n"/>
      <c r="AE100" s="1" t="n">
        <v>8.4</v>
      </c>
      <c r="AF100" s="1" t="n">
        <v>20.4</v>
      </c>
      <c r="AG100" s="1" t="n">
        <v>12.6</v>
      </c>
      <c r="AH100" s="1" t="n">
        <v>0.4</v>
      </c>
      <c r="AI100" s="1" t="n">
        <v>3</v>
      </c>
      <c r="AJ100" s="1" t="n">
        <v>4.8</v>
      </c>
      <c r="AK100" s="1" t="n">
        <v>17.4</v>
      </c>
      <c r="AL100" s="1" t="n">
        <v>32</v>
      </c>
      <c r="AM100" s="1" t="n">
        <v>45.8</v>
      </c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</row>
    <row r="101">
      <c r="A101" s="1" t="inlineStr">
        <is>
          <t xml:space="preserve"> 524  Колбаса Сервелат Ореховый нарезка 0,07кг ТМ Стародворье  ПОКОМ</t>
        </is>
      </c>
      <c r="B101" s="1" t="inlineStr">
        <is>
          <t>шт</t>
        </is>
      </c>
      <c r="C101" s="1" t="n">
        <v>104</v>
      </c>
      <c r="D101" s="1" t="n">
        <v>163</v>
      </c>
      <c r="E101" s="1" t="n">
        <v>115</v>
      </c>
      <c r="F101" s="1" t="n">
        <v>138</v>
      </c>
      <c r="G101" s="1" t="n">
        <v>0.07000000000000001</v>
      </c>
      <c r="H101" s="1" t="n">
        <v>90</v>
      </c>
      <c r="I101" s="1" t="inlineStr">
        <is>
          <t>НЕДОГРУЗ / матрица</t>
        </is>
      </c>
      <c r="J101" s="1" t="n"/>
      <c r="K101" s="1" t="n">
        <v>118</v>
      </c>
      <c r="L101" s="1">
        <f>E101-K101</f>
        <v/>
      </c>
      <c r="M101" s="1" t="n"/>
      <c r="N101" s="1" t="n"/>
      <c r="O101" s="1" t="n">
        <v>145.0999999999999</v>
      </c>
      <c r="P101" s="1" t="n">
        <v>-144</v>
      </c>
      <c r="Q101" s="1" t="n"/>
      <c r="R101" s="1" t="n"/>
      <c r="S101" s="1" t="n"/>
      <c r="T101" s="1" t="n">
        <v>130</v>
      </c>
      <c r="U101" s="1" t="n"/>
      <c r="V101" s="1" t="n"/>
      <c r="W101" s="1" t="n"/>
      <c r="X101" s="1" t="n">
        <v>39</v>
      </c>
      <c r="Y101" s="1" t="n"/>
      <c r="Z101" s="5" t="n"/>
      <c r="AA101" s="5" t="n"/>
      <c r="AB101" s="1" t="n"/>
      <c r="AC101" s="1" t="n"/>
      <c r="AD101" s="1" t="n"/>
      <c r="AE101" s="1" t="n">
        <v>19</v>
      </c>
      <c r="AF101" s="1" t="n">
        <v>27.6</v>
      </c>
      <c r="AG101" s="1" t="n">
        <v>35.2</v>
      </c>
      <c r="AH101" s="1" t="n">
        <v>34.2</v>
      </c>
      <c r="AI101" s="1" t="n">
        <v>44.6</v>
      </c>
      <c r="AJ101" s="1" t="n">
        <v>28.2</v>
      </c>
      <c r="AK101" s="1" t="n">
        <v>6.6</v>
      </c>
      <c r="AL101" s="1" t="n">
        <v>30</v>
      </c>
      <c r="AM101" s="1" t="n">
        <v>51.8</v>
      </c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</row>
    <row r="102">
      <c r="A102" s="1" t="inlineStr">
        <is>
          <t xml:space="preserve"> 525  Колбаса Фуэт нарезка 0,07кг ТМ Стародворье  ПОКОМ</t>
        </is>
      </c>
      <c r="B102" s="1" t="inlineStr">
        <is>
          <t>шт</t>
        </is>
      </c>
      <c r="C102" s="1" t="n">
        <v>69</v>
      </c>
      <c r="D102" s="1" t="n">
        <v>468</v>
      </c>
      <c r="E102" s="1" t="n">
        <v>83</v>
      </c>
      <c r="F102" s="1" t="n">
        <v>448</v>
      </c>
      <c r="G102" s="1" t="n">
        <v>0.07000000000000001</v>
      </c>
      <c r="H102" s="1" t="n">
        <v>90</v>
      </c>
      <c r="I102" s="1" t="inlineStr">
        <is>
          <t>НЕДОГРУЗ / матрица</t>
        </is>
      </c>
      <c r="J102" s="1" t="n"/>
      <c r="K102" s="1" t="n">
        <v>85</v>
      </c>
      <c r="L102" s="1">
        <f>E102-K102</f>
        <v/>
      </c>
      <c r="M102" s="1" t="n"/>
      <c r="N102" s="1" t="n"/>
      <c r="O102" s="1" t="n">
        <v>383.2</v>
      </c>
      <c r="P102" s="1" t="n"/>
      <c r="Q102" s="1" t="n"/>
      <c r="R102" s="1" t="n"/>
      <c r="S102" s="1" t="n"/>
      <c r="T102" s="1" t="n">
        <v>65</v>
      </c>
      <c r="U102" s="1" t="n"/>
      <c r="V102" s="1" t="n"/>
      <c r="W102" s="1" t="n"/>
      <c r="X102" s="1" t="n">
        <v>0</v>
      </c>
      <c r="Y102" s="1" t="n"/>
      <c r="Z102" s="5" t="n"/>
      <c r="AA102" s="5" t="n"/>
      <c r="AB102" s="1" t="n"/>
      <c r="AC102" s="1" t="n"/>
      <c r="AD102" s="1" t="n"/>
      <c r="AE102" s="1" t="n">
        <v>11</v>
      </c>
      <c r="AF102" s="1" t="n">
        <v>38</v>
      </c>
      <c r="AG102" s="1" t="n">
        <v>42.6</v>
      </c>
      <c r="AH102" s="1" t="n">
        <v>11.4</v>
      </c>
      <c r="AI102" s="1" t="n">
        <v>17.8</v>
      </c>
      <c r="AJ102" s="1" t="n">
        <v>18.2</v>
      </c>
      <c r="AK102" s="1" t="n">
        <v>23</v>
      </c>
      <c r="AL102" s="1" t="n">
        <v>39.2</v>
      </c>
      <c r="AM102" s="1" t="n">
        <v>42</v>
      </c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</row>
    <row r="103">
      <c r="A103" s="6" t="inlineStr">
        <is>
          <t xml:space="preserve"> 526  Корейка вяленая выдержанная нарезка 0,05кг ТМ Стародворье  ПОКОМ</t>
        </is>
      </c>
      <c r="B103" s="1" t="inlineStr">
        <is>
          <t>шт</t>
        </is>
      </c>
      <c r="C103" s="1" t="n"/>
      <c r="D103" s="1" t="n"/>
      <c r="E103" s="1" t="n"/>
      <c r="F103" s="1" t="n"/>
      <c r="G103" s="1" t="n">
        <v>0</v>
      </c>
      <c r="H103" s="1" t="n">
        <v>90</v>
      </c>
      <c r="I103" s="1" t="inlineStr">
        <is>
          <t>не в матрице</t>
        </is>
      </c>
      <c r="J103" s="1" t="n"/>
      <c r="K103" s="1" t="n"/>
      <c r="L103" s="1">
        <f>E103-K103</f>
        <v/>
      </c>
      <c r="M103" s="1" t="n"/>
      <c r="N103" s="1" t="n"/>
      <c r="O103" s="1" t="n">
        <v>0</v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>
        <v>0</v>
      </c>
      <c r="Y103" s="1" t="n"/>
      <c r="Z103" s="5" t="n"/>
      <c r="AA103" s="5" t="n"/>
      <c r="AB103" s="1" t="n"/>
      <c r="AC103" s="1" t="n"/>
      <c r="AD103" s="1" t="n"/>
      <c r="AE103" s="1" t="n">
        <v>0</v>
      </c>
      <c r="AF103" s="1" t="n">
        <v>-0.4</v>
      </c>
      <c r="AG103" s="1" t="n">
        <v>-0.4</v>
      </c>
      <c r="AH103" s="1" t="n">
        <v>-0.4</v>
      </c>
      <c r="AI103" s="1" t="n">
        <v>-0.6</v>
      </c>
      <c r="AJ103" s="1" t="n">
        <v>-0.2</v>
      </c>
      <c r="AK103" s="1" t="n">
        <v>0</v>
      </c>
      <c r="AL103" s="1" t="n">
        <v>-0.2</v>
      </c>
      <c r="AM103" s="1" t="n">
        <v>-0.2</v>
      </c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</row>
    <row r="104">
      <c r="A104" s="1" t="inlineStr">
        <is>
          <t xml:space="preserve"> 544  Сосиски Мясные для гриля ТС Ядрена копоть 0,3 кг  ПОКОМ</t>
        </is>
      </c>
      <c r="B104" s="1" t="inlineStr">
        <is>
          <t>шт</t>
        </is>
      </c>
      <c r="C104" s="1" t="n">
        <v>25</v>
      </c>
      <c r="D104" s="1" t="n">
        <v>6</v>
      </c>
      <c r="E104" s="1" t="n">
        <v>25</v>
      </c>
      <c r="F104" s="1" t="n">
        <v>6</v>
      </c>
      <c r="G104" s="1" t="n">
        <v>0.3</v>
      </c>
      <c r="H104" s="1" t="n">
        <v>40</v>
      </c>
      <c r="I104" s="1" t="inlineStr">
        <is>
          <t>матрица</t>
        </is>
      </c>
      <c r="J104" s="1" t="n"/>
      <c r="K104" s="1" t="n">
        <v>36</v>
      </c>
      <c r="L104" s="1">
        <f>E104-K104</f>
        <v/>
      </c>
      <c r="M104" s="1" t="n"/>
      <c r="N104" s="1" t="n"/>
      <c r="O104" s="1" t="n">
        <v>4.400000000000006</v>
      </c>
      <c r="P104" s="1" t="n"/>
      <c r="Q104" s="1" t="n"/>
      <c r="R104" s="1" t="n"/>
      <c r="S104" s="1" t="n"/>
      <c r="T104" s="1" t="n">
        <v>44</v>
      </c>
      <c r="U104" s="1" t="n"/>
      <c r="V104" s="1" t="n"/>
      <c r="W104" s="1" t="n"/>
      <c r="X104" s="1" t="n">
        <v>24.51599999999999</v>
      </c>
      <c r="Y104" s="1" t="n"/>
      <c r="Z104" s="5" t="n"/>
      <c r="AA104" s="5" t="n"/>
      <c r="AB104" s="1" t="n"/>
      <c r="AC104" s="1" t="n"/>
      <c r="AD104" s="1" t="n"/>
      <c r="AE104" s="1" t="n">
        <v>6.8</v>
      </c>
      <c r="AF104" s="1" t="n">
        <v>6.4</v>
      </c>
      <c r="AG104" s="1" t="n">
        <v>4.2</v>
      </c>
      <c r="AH104" s="1" t="n">
        <v>4</v>
      </c>
      <c r="AI104" s="1" t="n">
        <v>2.4</v>
      </c>
      <c r="AJ104" s="1" t="n">
        <v>2.4</v>
      </c>
      <c r="AK104" s="1" t="n">
        <v>6.8</v>
      </c>
      <c r="AL104" s="1" t="n">
        <v>4.2</v>
      </c>
      <c r="AM104" s="1" t="n">
        <v>1.2</v>
      </c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</row>
    <row r="105">
      <c r="A105" s="1" t="inlineStr">
        <is>
          <t xml:space="preserve"> 547  Колбаса Мясная Классическая ТМ Вязанка в оболочке полиамид. ВЕС  ПОКОМ</t>
        </is>
      </c>
      <c r="B105" s="1" t="inlineStr">
        <is>
          <t>кг</t>
        </is>
      </c>
      <c r="C105" s="1" t="n">
        <v>35.244</v>
      </c>
      <c r="D105" s="1" t="n"/>
      <c r="E105" s="1" t="n">
        <v>20.849</v>
      </c>
      <c r="F105" s="1" t="n">
        <v>14.395</v>
      </c>
      <c r="G105" s="1" t="n">
        <v>1</v>
      </c>
      <c r="H105" s="1" t="n">
        <v>55</v>
      </c>
      <c r="I105" s="1" t="inlineStr">
        <is>
          <t>НЕДОГРУЗ / матрица</t>
        </is>
      </c>
      <c r="J105" s="1" t="n"/>
      <c r="K105" s="1" t="n">
        <v>18.4</v>
      </c>
      <c r="L105" s="1">
        <f>E105-K105</f>
        <v/>
      </c>
      <c r="M105" s="1" t="n"/>
      <c r="N105" s="1" t="n"/>
      <c r="O105" s="1" t="n">
        <v>0</v>
      </c>
      <c r="P105" s="1" t="n"/>
      <c r="Q105" s="1" t="n"/>
      <c r="R105" s="1" t="n"/>
      <c r="S105" s="1" t="n"/>
      <c r="T105" s="1" t="n">
        <v>0</v>
      </c>
      <c r="U105" s="1" t="n"/>
      <c r="V105" s="1" t="n"/>
      <c r="W105" s="1" t="n"/>
      <c r="X105" s="1" t="n">
        <v>16.17381999999999</v>
      </c>
      <c r="Y105" s="1" t="n"/>
      <c r="Z105" s="5" t="n"/>
      <c r="AA105" s="5" t="n"/>
      <c r="AB105" s="1" t="n"/>
      <c r="AC105" s="1" t="n"/>
      <c r="AD105" s="1" t="n"/>
      <c r="AE105" s="1" t="n">
        <v>3.3782</v>
      </c>
      <c r="AF105" s="1" t="n">
        <v>2.556</v>
      </c>
      <c r="AG105" s="1" t="n">
        <v>2.0268</v>
      </c>
      <c r="AH105" s="1" t="n">
        <v>3.2402</v>
      </c>
      <c r="AI105" s="1" t="n">
        <v>3.1644</v>
      </c>
      <c r="AJ105" s="1" t="n">
        <v>1.3438</v>
      </c>
      <c r="AK105" s="1" t="n">
        <v>1.509</v>
      </c>
      <c r="AL105" s="1" t="n">
        <v>4.0606</v>
      </c>
      <c r="AM105" s="1" t="n">
        <v>3.5046</v>
      </c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</row>
    <row r="106">
      <c r="A106" s="1" t="inlineStr">
        <is>
          <t xml:space="preserve"> 551  Колбаса Сливушка ТМ Вязанка в модифицированной газовой среде 0,11 кг нарезка  ПОКОМ</t>
        </is>
      </c>
      <c r="B106" s="1" t="inlineStr">
        <is>
          <t>шт</t>
        </is>
      </c>
      <c r="C106" s="1" t="n">
        <v>412</v>
      </c>
      <c r="D106" s="1" t="n">
        <v>46</v>
      </c>
      <c r="E106" s="1" t="n">
        <v>34</v>
      </c>
      <c r="F106" s="1" t="n">
        <v>12</v>
      </c>
      <c r="G106" s="1" t="n">
        <v>0.11</v>
      </c>
      <c r="H106" s="1" t="n">
        <v>30</v>
      </c>
      <c r="I106" s="1" t="inlineStr">
        <is>
          <t>матрица</t>
        </is>
      </c>
      <c r="J106" s="1" t="n"/>
      <c r="K106" s="1" t="n">
        <v>93</v>
      </c>
      <c r="L106" s="1">
        <f>E106-K106</f>
        <v/>
      </c>
      <c r="M106" s="1" t="n"/>
      <c r="N106" s="1" t="n"/>
      <c r="O106" s="1" t="n">
        <v>39</v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>
        <v>0</v>
      </c>
      <c r="Y106" s="1" t="n"/>
      <c r="Z106" s="5" t="n"/>
      <c r="AA106" s="5" t="n"/>
      <c r="AB106" s="1" t="n"/>
      <c r="AC106" s="1" t="n"/>
      <c r="AD106" s="1" t="n"/>
      <c r="AE106" s="1" t="n">
        <v>7.2</v>
      </c>
      <c r="AF106" s="1" t="n">
        <v>32.6</v>
      </c>
      <c r="AG106" s="1" t="n">
        <v>33</v>
      </c>
      <c r="AH106" s="1" t="n">
        <v>11.2</v>
      </c>
      <c r="AI106" s="1" t="n">
        <v>28.2</v>
      </c>
      <c r="AJ106" s="1" t="n">
        <v>51.2</v>
      </c>
      <c r="AK106" s="1" t="n">
        <v>43.4</v>
      </c>
      <c r="AL106" s="1" t="n">
        <v>17</v>
      </c>
      <c r="AM106" s="1" t="n">
        <v>11.6</v>
      </c>
      <c r="AN106" s="1" t="inlineStr">
        <is>
          <t>нужно увеличить продажи!!!</t>
        </is>
      </c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</row>
    <row r="107">
      <c r="A107" s="6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7" s="1" t="inlineStr">
        <is>
          <t>шт</t>
        </is>
      </c>
      <c r="C107" s="1" t="n"/>
      <c r="D107" s="1" t="n"/>
      <c r="E107" s="1" t="n"/>
      <c r="F107" s="1" t="n"/>
      <c r="G107" s="1" t="n">
        <v>0</v>
      </c>
      <c r="H107" s="1" t="n"/>
      <c r="I107" s="1" t="inlineStr">
        <is>
          <t>матрица</t>
        </is>
      </c>
      <c r="J107" s="1" t="n"/>
      <c r="K107" s="1" t="n"/>
      <c r="L107" s="1">
        <f>E107-K107</f>
        <v/>
      </c>
      <c r="M107" s="1" t="n"/>
      <c r="N107" s="1" t="n"/>
      <c r="O107" s="1" t="n">
        <v>0</v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>
        <v>0</v>
      </c>
      <c r="Y107" s="1" t="n"/>
      <c r="Z107" s="5" t="n"/>
      <c r="AA107" s="5" t="n"/>
      <c r="AB107" s="1" t="n"/>
      <c r="AC107" s="1" t="n"/>
      <c r="AD107" s="1" t="n"/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inlineStr">
        <is>
          <t>нет потребности</t>
        </is>
      </c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</row>
    <row r="108">
      <c r="A108" s="1" t="inlineStr">
        <is>
          <t xml:space="preserve"> 553  Ассорти колбас Мясорубская коллекция: Сервелат Делюкс, С балыком 0,08 кг нарезка  ПОКОМ</t>
        </is>
      </c>
      <c r="B108" s="1" t="inlineStr">
        <is>
          <t>шт</t>
        </is>
      </c>
      <c r="C108" s="1" t="n">
        <v>648</v>
      </c>
      <c r="D108" s="1" t="n">
        <v>104</v>
      </c>
      <c r="E108" s="1" t="n">
        <v>196</v>
      </c>
      <c r="F108" s="1" t="n">
        <v>517</v>
      </c>
      <c r="G108" s="1" t="n">
        <v>0.08</v>
      </c>
      <c r="H108" s="1" t="n">
        <v>45</v>
      </c>
      <c r="I108" s="1" t="inlineStr">
        <is>
          <t>матрица</t>
        </is>
      </c>
      <c r="J108" s="1" t="n"/>
      <c r="K108" s="1" t="n">
        <v>212</v>
      </c>
      <c r="L108" s="1">
        <f>E108-K108</f>
        <v/>
      </c>
      <c r="M108" s="1" t="n"/>
      <c r="N108" s="1" t="n"/>
      <c r="O108" s="1" t="n">
        <v>88.40000000000009</v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>
        <v>0</v>
      </c>
      <c r="Y108" s="1" t="n"/>
      <c r="Z108" s="5" t="n"/>
      <c r="AA108" s="5" t="n"/>
      <c r="AB108" s="1" t="n"/>
      <c r="AC108" s="1" t="n"/>
      <c r="AD108" s="1" t="n"/>
      <c r="AE108" s="1" t="n">
        <v>39</v>
      </c>
      <c r="AF108" s="1" t="n">
        <v>55</v>
      </c>
      <c r="AG108" s="1" t="n">
        <v>67.2</v>
      </c>
      <c r="AH108" s="1" t="n">
        <v>78.40000000000001</v>
      </c>
      <c r="AI108" s="1" t="n">
        <v>93.40000000000001</v>
      </c>
      <c r="AJ108" s="1" t="n">
        <v>89.40000000000001</v>
      </c>
      <c r="AK108" s="1" t="n">
        <v>91.2</v>
      </c>
      <c r="AL108" s="1" t="n">
        <v>65.8</v>
      </c>
      <c r="AM108" s="1" t="n">
        <v>55.2</v>
      </c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</row>
    <row r="109">
      <c r="A109" s="1" t="inlineStr">
        <is>
          <t xml:space="preserve"> 554  Колбаса Сервелат Мясорубский ТМ Стародворье в упаковке скин 0,08 кг нарезка  ПОКОМ</t>
        </is>
      </c>
      <c r="B109" s="1" t="inlineStr">
        <is>
          <t>шт</t>
        </is>
      </c>
      <c r="C109" s="1" t="n">
        <v>728</v>
      </c>
      <c r="D109" s="1" t="n">
        <v>10</v>
      </c>
      <c r="E109" s="1" t="n">
        <v>140</v>
      </c>
      <c r="F109" s="1" t="n">
        <v>581</v>
      </c>
      <c r="G109" s="1" t="n">
        <v>0.08</v>
      </c>
      <c r="H109" s="1" t="n">
        <v>45</v>
      </c>
      <c r="I109" s="1" t="inlineStr">
        <is>
          <t>матрица</t>
        </is>
      </c>
      <c r="J109" s="1" t="n"/>
      <c r="K109" s="1" t="n">
        <v>150</v>
      </c>
      <c r="L109" s="1">
        <f>E109-K109</f>
        <v/>
      </c>
      <c r="M109" s="1" t="n"/>
      <c r="N109" s="1" t="n"/>
      <c r="O109" s="1" t="n">
        <v>0</v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>
        <v>0</v>
      </c>
      <c r="Y109" s="1" t="n"/>
      <c r="Z109" s="5" t="n"/>
      <c r="AA109" s="5" t="n"/>
      <c r="AB109" s="1" t="n"/>
      <c r="AC109" s="1" t="n"/>
      <c r="AD109" s="1" t="n"/>
      <c r="AE109" s="1" t="n">
        <v>20.6</v>
      </c>
      <c r="AF109" s="1" t="n">
        <v>41</v>
      </c>
      <c r="AG109" s="1" t="n">
        <v>50.6</v>
      </c>
      <c r="AH109" s="1" t="n">
        <v>60.4</v>
      </c>
      <c r="AI109" s="1" t="n">
        <v>86.8</v>
      </c>
      <c r="AJ109" s="1" t="n">
        <v>88.8</v>
      </c>
      <c r="AK109" s="1" t="n">
        <v>80</v>
      </c>
      <c r="AL109" s="1" t="n">
        <v>44.6</v>
      </c>
      <c r="AM109" s="1" t="n">
        <v>42</v>
      </c>
      <c r="AN109" s="1" t="inlineStr">
        <is>
          <t>нужно увеличить продажи!!!</t>
        </is>
      </c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</row>
    <row r="110">
      <c r="A110" s="1" t="inlineStr">
        <is>
          <t xml:space="preserve"> 555  Колбаса Молокуша ТМ Вязанка в модифицированной газовой среде 0,17 кг нарезка  ПОКОМ</t>
        </is>
      </c>
      <c r="B110" s="1" t="inlineStr">
        <is>
          <t>шт</t>
        </is>
      </c>
      <c r="C110" s="1" t="n">
        <v>381</v>
      </c>
      <c r="D110" s="1" t="n">
        <v>58</v>
      </c>
      <c r="E110" s="1" t="n">
        <v>34</v>
      </c>
      <c r="F110" s="1" t="n">
        <v>94</v>
      </c>
      <c r="G110" s="1" t="n">
        <v>0.17</v>
      </c>
      <c r="H110" s="1" t="n">
        <v>30</v>
      </c>
      <c r="I110" s="1" t="inlineStr">
        <is>
          <t>матрица</t>
        </is>
      </c>
      <c r="J110" s="1" t="n"/>
      <c r="K110" s="1" t="n">
        <v>57</v>
      </c>
      <c r="L110" s="1">
        <f>E110-K110</f>
        <v/>
      </c>
      <c r="M110" s="1" t="n"/>
      <c r="N110" s="1" t="n"/>
      <c r="O110" s="1" t="n">
        <v>40.6812</v>
      </c>
      <c r="P110" s="1" t="n">
        <v>-2</v>
      </c>
      <c r="Q110" s="1" t="n"/>
      <c r="R110" s="1" t="n">
        <v>75.3188</v>
      </c>
      <c r="S110" s="1" t="n">
        <v>-82.35294117647058</v>
      </c>
      <c r="T110" s="1" t="n"/>
      <c r="U110" s="1" t="n"/>
      <c r="V110" s="1" t="n"/>
      <c r="W110" s="1" t="n"/>
      <c r="X110" s="1" t="n">
        <v>0</v>
      </c>
      <c r="Y110" s="1" t="n"/>
      <c r="Z110" s="5" t="n"/>
      <c r="AA110" s="5" t="n"/>
      <c r="AB110" s="1" t="n"/>
      <c r="AC110" s="1" t="n"/>
      <c r="AD110" s="1" t="n"/>
      <c r="AE110" s="1" t="n">
        <v>8.199999999999999</v>
      </c>
      <c r="AF110" s="1" t="n">
        <v>27.8</v>
      </c>
      <c r="AG110" s="1" t="n">
        <v>35</v>
      </c>
      <c r="AH110" s="1" t="n">
        <v>11.4</v>
      </c>
      <c r="AI110" s="1" t="n">
        <v>28</v>
      </c>
      <c r="AJ110" s="1" t="n">
        <v>48.4</v>
      </c>
      <c r="AK110" s="1" t="n">
        <v>49.4</v>
      </c>
      <c r="AL110" s="1" t="n">
        <v>25.6</v>
      </c>
      <c r="AM110" s="1" t="n">
        <v>19.2</v>
      </c>
      <c r="AN110" s="1" t="inlineStr">
        <is>
          <t>нужно увеличить продажи!!!</t>
        </is>
      </c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</row>
    <row r="111">
      <c r="A111" s="1" t="inlineStr">
        <is>
          <t xml:space="preserve"> 556  Колбаса Сервелат Ореховый ТМ Вязанка в оболочке фиброуз в вакуумной упаковке, ВЕС  ПОКОМ</t>
        </is>
      </c>
      <c r="B111" s="1" t="inlineStr">
        <is>
          <t>кг</t>
        </is>
      </c>
      <c r="C111" s="1" t="n">
        <v>95.592</v>
      </c>
      <c r="D111" s="1" t="n">
        <v>66.943</v>
      </c>
      <c r="E111" s="1" t="n">
        <v>98.526</v>
      </c>
      <c r="F111" s="1" t="n">
        <v>-0.879</v>
      </c>
      <c r="G111" s="1" t="n">
        <v>1</v>
      </c>
      <c r="H111" s="1" t="n">
        <v>40</v>
      </c>
      <c r="I111" s="1" t="inlineStr">
        <is>
          <t>НЕДОГРУЗ / матрица</t>
        </is>
      </c>
      <c r="J111" s="1" t="n"/>
      <c r="K111" s="1" t="n">
        <v>217.931</v>
      </c>
      <c r="L111" s="1">
        <f>E111-K111</f>
        <v/>
      </c>
      <c r="M111" s="1" t="n"/>
      <c r="N111" s="1" t="n">
        <v>25.331</v>
      </c>
      <c r="O111" s="1" t="n">
        <v>0</v>
      </c>
      <c r="P111" s="1" t="n"/>
      <c r="Q111" s="1" t="n"/>
      <c r="R111" s="1" t="n"/>
      <c r="S111" s="1" t="n"/>
      <c r="T111" s="1" t="n">
        <v>325</v>
      </c>
      <c r="U111" s="1" t="n"/>
      <c r="V111" s="1" t="n">
        <v>162.5</v>
      </c>
      <c r="W111" s="1" t="n"/>
      <c r="X111" s="1" t="n">
        <v>303.6703800000001</v>
      </c>
      <c r="Y111" s="1" t="n"/>
      <c r="Z111" s="5" t="n"/>
      <c r="AA111" s="5" t="n"/>
      <c r="AB111" s="1" t="n"/>
      <c r="AC111" s="1" t="n"/>
      <c r="AD111" s="1" t="n"/>
      <c r="AE111" s="1" t="n">
        <v>60.0178</v>
      </c>
      <c r="AF111" s="1" t="n">
        <v>53.8266</v>
      </c>
      <c r="AG111" s="1" t="n">
        <v>11.5198</v>
      </c>
      <c r="AH111" s="1" t="n">
        <v>44.9686</v>
      </c>
      <c r="AI111" s="1" t="n">
        <v>78.88800000000001</v>
      </c>
      <c r="AJ111" s="1" t="n">
        <v>74.9614</v>
      </c>
      <c r="AK111" s="1" t="n">
        <v>27.7522</v>
      </c>
      <c r="AL111" s="1" t="n">
        <v>9.1274</v>
      </c>
      <c r="AM111" s="1" t="n">
        <v>22.7928</v>
      </c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</row>
    <row r="112">
      <c r="A112" s="1" t="inlineStr">
        <is>
          <t xml:space="preserve"> 557  Колбаса Сервелат Финский ТМ Вязанка в оболочке фиброуз в вакуумной упаковке, ВЕС  ПОКОМ</t>
        </is>
      </c>
      <c r="B112" s="1" t="inlineStr">
        <is>
          <t>кг</t>
        </is>
      </c>
      <c r="C112" s="1" t="n">
        <v>-0.267</v>
      </c>
      <c r="D112" s="1" t="n">
        <v>14.89</v>
      </c>
      <c r="E112" s="1" t="n">
        <v>-0.821</v>
      </c>
      <c r="F112" s="1" t="n">
        <v>-0.267</v>
      </c>
      <c r="G112" s="1" t="n">
        <v>1</v>
      </c>
      <c r="H112" s="1" t="n">
        <v>40</v>
      </c>
      <c r="I112" s="1" t="inlineStr">
        <is>
          <t>НЕДОГРУЗ / матрица</t>
        </is>
      </c>
      <c r="J112" s="1" t="n"/>
      <c r="K112" s="1" t="n">
        <v>72.90000000000001</v>
      </c>
      <c r="L112" s="1">
        <f>E112-K112</f>
        <v/>
      </c>
      <c r="M112" s="1" t="n"/>
      <c r="N112" s="1" t="n"/>
      <c r="O112" s="1" t="n">
        <v>0</v>
      </c>
      <c r="P112" s="1" t="n"/>
      <c r="Q112" s="1" t="n"/>
      <c r="R112" s="1" t="n"/>
      <c r="S112" s="1" t="n"/>
      <c r="T112" s="1" t="n">
        <v>195</v>
      </c>
      <c r="U112" s="1" t="n"/>
      <c r="V112" s="1" t="n"/>
      <c r="W112" s="1" t="n"/>
      <c r="X112" s="1" t="n">
        <v>260</v>
      </c>
      <c r="Y112" s="1" t="n"/>
      <c r="Z112" s="5" t="n"/>
      <c r="AA112" s="5" t="n"/>
      <c r="AB112" s="1" t="n"/>
      <c r="AC112" s="1" t="n"/>
      <c r="AD112" s="1" t="n"/>
      <c r="AE112" s="1" t="n">
        <v>30.2492</v>
      </c>
      <c r="AF112" s="1" t="n">
        <v>33.2272</v>
      </c>
      <c r="AG112" s="1" t="n">
        <v>28.0884</v>
      </c>
      <c r="AH112" s="1" t="n">
        <v>45.4628</v>
      </c>
      <c r="AI112" s="1" t="n">
        <v>36.3204</v>
      </c>
      <c r="AJ112" s="1" t="n">
        <v>32.1192</v>
      </c>
      <c r="AK112" s="1" t="n">
        <v>27.3282</v>
      </c>
      <c r="AL112" s="1" t="n">
        <v>22.5826</v>
      </c>
      <c r="AM112" s="1" t="n">
        <v>18.3916</v>
      </c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</row>
    <row r="113">
      <c r="A113" s="6" t="inlineStr">
        <is>
          <t xml:space="preserve"> 558  Колбаса Балыковая НОВАЯ ВЕС Вязанка фиброуз в/у ПОКОМ</t>
        </is>
      </c>
      <c r="B113" s="1" t="inlineStr">
        <is>
          <t>кг</t>
        </is>
      </c>
      <c r="C113" s="1" t="n"/>
      <c r="D113" s="1" t="n"/>
      <c r="E113" s="1" t="n">
        <v>-0.707</v>
      </c>
      <c r="F113" s="1" t="n"/>
      <c r="G113" s="1" t="n">
        <v>1</v>
      </c>
      <c r="H113" s="1" t="n">
        <v>40</v>
      </c>
      <c r="I113" s="1" t="inlineStr">
        <is>
          <t>НЕДОГРУЗ / матрица</t>
        </is>
      </c>
      <c r="J113" s="1" t="n"/>
      <c r="K113" s="1" t="n">
        <v>16.1</v>
      </c>
      <c r="L113" s="1">
        <f>E113-K113</f>
        <v/>
      </c>
      <c r="M113" s="1" t="n"/>
      <c r="N113" s="1" t="n"/>
      <c r="O113" s="1" t="n">
        <v>40</v>
      </c>
      <c r="P113" s="1" t="n">
        <v>-42</v>
      </c>
      <c r="Q113" s="1" t="n"/>
      <c r="R113" s="1" t="n">
        <v>20</v>
      </c>
      <c r="S113" s="1" t="n">
        <v>-20</v>
      </c>
      <c r="T113" s="1" t="n">
        <v>26</v>
      </c>
      <c r="U113" s="1" t="n"/>
      <c r="V113" s="1" t="n"/>
      <c r="W113" s="1" t="n"/>
      <c r="X113" s="1" t="n">
        <v>50</v>
      </c>
      <c r="Y113" s="1" t="n"/>
      <c r="Z113" s="5" t="n"/>
      <c r="AA113" s="5" t="n"/>
      <c r="AB113" s="1" t="n"/>
      <c r="AC113" s="1" t="n"/>
      <c r="AD113" s="1" t="n"/>
      <c r="AE113" s="1" t="n">
        <v>-0.2846</v>
      </c>
      <c r="AF113" s="1" t="n">
        <v>-0.1432</v>
      </c>
      <c r="AG113" s="1" t="n">
        <v>-0.5881999999999999</v>
      </c>
      <c r="AH113" s="1" t="n">
        <v>-0.7282</v>
      </c>
      <c r="AI113" s="1" t="n">
        <v>-0.8486</v>
      </c>
      <c r="AJ113" s="1" t="n">
        <v>-0.992</v>
      </c>
      <c r="AK113" s="1" t="n">
        <v>-0.2918</v>
      </c>
      <c r="AL113" s="1" t="n">
        <v>0.2772</v>
      </c>
      <c r="AM113" s="1" t="n">
        <v>6.3256</v>
      </c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</row>
    <row r="114">
      <c r="A114" s="1" t="inlineStr">
        <is>
          <t xml:space="preserve"> 564  Сосиски Сочные 0,3 кг ТМ Вязанка  ПОКОМ</t>
        </is>
      </c>
      <c r="B114" s="1" t="inlineStr">
        <is>
          <t>шт</t>
        </is>
      </c>
      <c r="C114" s="1" t="n"/>
      <c r="D114" s="1" t="n">
        <v>54</v>
      </c>
      <c r="E114" s="1" t="n"/>
      <c r="F114" s="1" t="n">
        <v>54</v>
      </c>
      <c r="G114" s="1" t="n">
        <v>0.3</v>
      </c>
      <c r="H114" s="1" t="n">
        <v>45</v>
      </c>
      <c r="I114" s="1" t="inlineStr">
        <is>
          <t>матрица</t>
        </is>
      </c>
      <c r="J114" s="1" t="n"/>
      <c r="K114" s="1" t="n">
        <v>36</v>
      </c>
      <c r="L114" s="1">
        <f>E114-K114</f>
        <v/>
      </c>
      <c r="M114" s="1" t="n"/>
      <c r="N114" s="1" t="n"/>
      <c r="O114" s="1" t="n">
        <v>53.8</v>
      </c>
      <c r="P114" s="1" t="n"/>
      <c r="Q114" s="1" t="n"/>
      <c r="R114" s="1" t="n"/>
      <c r="S114" s="1" t="n"/>
      <c r="T114" s="1" t="n">
        <v>71.60000000000001</v>
      </c>
      <c r="U114" s="1" t="n"/>
      <c r="V114" s="1" t="n"/>
      <c r="W114" s="1" t="n"/>
      <c r="X114" s="1" t="n">
        <v>0</v>
      </c>
      <c r="Y114" s="1" t="n"/>
      <c r="Z114" s="5" t="n"/>
      <c r="AA114" s="5" t="n"/>
      <c r="AB114" s="1" t="n"/>
      <c r="AC114" s="1" t="n"/>
      <c r="AD114" s="1" t="n"/>
      <c r="AE114" s="1" t="n">
        <v>4.8</v>
      </c>
      <c r="AF114" s="1" t="n">
        <v>11.4</v>
      </c>
      <c r="AG114" s="1" t="n">
        <v>7.2</v>
      </c>
      <c r="AH114" s="1" t="n">
        <v>2.2</v>
      </c>
      <c r="AI114" s="1" t="n">
        <v>5</v>
      </c>
      <c r="AJ114" s="1" t="n">
        <v>11.4</v>
      </c>
      <c r="AK114" s="1" t="n">
        <v>8.199999999999999</v>
      </c>
      <c r="AL114" s="1" t="n">
        <v>0.4</v>
      </c>
      <c r="AM114" s="1" t="n">
        <v>1.2</v>
      </c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</row>
    <row r="115">
      <c r="A115" s="1" t="inlineStr">
        <is>
          <t xml:space="preserve"> 567 Колбаса Со шпиком Стародворская ТМ Стародворье в оболочке полиамид ВЕС  ПОКОМ</t>
        </is>
      </c>
      <c r="B115" s="1" t="inlineStr">
        <is>
          <t>кг</t>
        </is>
      </c>
      <c r="C115" s="1" t="n">
        <v>12.16</v>
      </c>
      <c r="D115" s="1" t="n"/>
      <c r="E115" s="1" t="n">
        <v>2.671</v>
      </c>
      <c r="F115" s="1" t="n">
        <v>9.489000000000001</v>
      </c>
      <c r="G115" s="1" t="n">
        <v>1</v>
      </c>
      <c r="H115" s="1" t="n">
        <v>55</v>
      </c>
      <c r="I115" s="1" t="inlineStr">
        <is>
          <t>матрица</t>
        </is>
      </c>
      <c r="J115" s="1" t="n"/>
      <c r="K115" s="1" t="n">
        <v>4</v>
      </c>
      <c r="L115" s="1">
        <f>E115-K115</f>
        <v/>
      </c>
      <c r="M115" s="1" t="n"/>
      <c r="N115" s="1" t="n"/>
      <c r="O115" s="1" t="n">
        <v>0</v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5" t="n"/>
      <c r="AA115" s="5" t="n"/>
      <c r="AB115" s="1" t="n"/>
      <c r="AC115" s="1" t="n"/>
      <c r="AD115" s="1" t="n"/>
      <c r="AE115" s="1" t="n">
        <v>0.8169999999999999</v>
      </c>
      <c r="AF115" s="1" t="n">
        <v>0.548</v>
      </c>
      <c r="AG115" s="1" t="n">
        <v>0.5396</v>
      </c>
      <c r="AH115" s="1" t="n">
        <v>0.5396</v>
      </c>
      <c r="AI115" s="1" t="n">
        <v>0.5438</v>
      </c>
      <c r="AJ115" s="1" t="n">
        <v>0.5438</v>
      </c>
      <c r="AK115" s="1" t="n">
        <v>1.096</v>
      </c>
      <c r="AL115" s="1" t="n">
        <v>1.096</v>
      </c>
      <c r="AM115" s="1" t="n">
        <v>0.2768</v>
      </c>
      <c r="AN115" s="1" t="inlineStr">
        <is>
          <t>нужно увеличить продажи</t>
        </is>
      </c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</row>
    <row r="116">
      <c r="A116" s="1" t="inlineStr">
        <is>
          <t xml:space="preserve"> 569  Колбаса Балыковая ТМ Вязанка в оболочке фиброуз в вакуумной упаковке 0,28 кг срез.  ПОКОМ</t>
        </is>
      </c>
      <c r="B116" s="1" t="inlineStr">
        <is>
          <t>шт</t>
        </is>
      </c>
      <c r="C116" s="1" t="n">
        <v>669</v>
      </c>
      <c r="D116" s="1" t="n">
        <v>6</v>
      </c>
      <c r="E116" s="1" t="n">
        <v>717</v>
      </c>
      <c r="F116" s="1" t="n">
        <v>-77</v>
      </c>
      <c r="G116" s="1" t="n">
        <v>0.28</v>
      </c>
      <c r="H116" s="1" t="n">
        <v>40</v>
      </c>
      <c r="I116" s="1" t="inlineStr">
        <is>
          <t>НЕДОГРУЗ / матрица</t>
        </is>
      </c>
      <c r="J116" s="1" t="n"/>
      <c r="K116" s="1" t="n">
        <v>735</v>
      </c>
      <c r="L116" s="1">
        <f>E116-K116</f>
        <v/>
      </c>
      <c r="M116" s="1" t="n"/>
      <c r="N116" s="1" t="n"/>
      <c r="O116" s="1" t="n">
        <v>0</v>
      </c>
      <c r="P116" s="1" t="n"/>
      <c r="Q116" s="1" t="n"/>
      <c r="R116" s="1" t="n"/>
      <c r="S116" s="1" t="n"/>
      <c r="T116" s="1" t="n">
        <v>492.1799999999999</v>
      </c>
      <c r="U116" s="1" t="n"/>
      <c r="V116" s="1" t="n">
        <v>246.0899999999999</v>
      </c>
      <c r="W116" s="1" t="n">
        <v>-253.5714285714286</v>
      </c>
      <c r="X116" s="1" t="n">
        <v>603.1090000000002</v>
      </c>
      <c r="Y116" s="1" t="n"/>
      <c r="Z116" s="5" t="n"/>
      <c r="AA116" s="5" t="n"/>
      <c r="AB116" s="1" t="n"/>
      <c r="AC116" s="1" t="n"/>
      <c r="AD116" s="1" t="n"/>
      <c r="AE116" s="1" t="n">
        <v>118.6</v>
      </c>
      <c r="AF116" s="1" t="n">
        <v>92.59999999999999</v>
      </c>
      <c r="AG116" s="1" t="n">
        <v>36.8</v>
      </c>
      <c r="AH116" s="1" t="n">
        <v>29.6</v>
      </c>
      <c r="AI116" s="1" t="n">
        <v>101</v>
      </c>
      <c r="AJ116" s="1" t="n">
        <v>125.4</v>
      </c>
      <c r="AK116" s="1" t="n">
        <v>60.4</v>
      </c>
      <c r="AL116" s="1" t="n">
        <v>3.4</v>
      </c>
      <c r="AM116" s="1" t="n">
        <v>27.6</v>
      </c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</row>
    <row r="117">
      <c r="A117" s="1" t="inlineStr">
        <is>
          <t xml:space="preserve"> 570  Колбаса Сервелат Финский ТМ Вязанка в оболочке фиброуз в вак. упаковке 0,28 кг срез  ПОКОМ</t>
        </is>
      </c>
      <c r="B117" s="1" t="inlineStr">
        <is>
          <t>шт</t>
        </is>
      </c>
      <c r="C117" s="1" t="n">
        <v>-2</v>
      </c>
      <c r="D117" s="1" t="n">
        <v>450.088</v>
      </c>
      <c r="E117" s="1" t="n">
        <v>471</v>
      </c>
      <c r="F117" s="1" t="n">
        <v>-89.91200000000001</v>
      </c>
      <c r="G117" s="1" t="n">
        <v>0.28</v>
      </c>
      <c r="H117" s="1" t="n">
        <v>40</v>
      </c>
      <c r="I117" s="1" t="inlineStr">
        <is>
          <t>НЕДОГРУЗ / матрица</t>
        </is>
      </c>
      <c r="J117" s="1" t="n"/>
      <c r="K117" s="1" t="n">
        <v>594</v>
      </c>
      <c r="L117" s="1">
        <f>E117-K117</f>
        <v/>
      </c>
      <c r="M117" s="1" t="n"/>
      <c r="N117" s="1" t="n"/>
      <c r="O117" s="1" t="n">
        <v>0</v>
      </c>
      <c r="P117" s="1" t="n"/>
      <c r="Q117" s="1" t="n"/>
      <c r="R117" s="1" t="n"/>
      <c r="S117" s="1" t="n"/>
      <c r="T117" s="1" t="n">
        <v>65</v>
      </c>
      <c r="U117" s="1" t="n"/>
      <c r="V117" s="1" t="n"/>
      <c r="W117" s="1" t="n"/>
      <c r="X117" s="1" t="n">
        <v>453.5856000000001</v>
      </c>
      <c r="Y117" s="1" t="n"/>
      <c r="Z117" s="5" t="n"/>
      <c r="AA117" s="5" t="n"/>
      <c r="AB117" s="1" t="n"/>
      <c r="AC117" s="1" t="n"/>
      <c r="AD117" s="1" t="n"/>
      <c r="AE117" s="1" t="n">
        <v>49</v>
      </c>
      <c r="AF117" s="1" t="n">
        <v>21.2</v>
      </c>
      <c r="AG117" s="1" t="n">
        <v>42.8</v>
      </c>
      <c r="AH117" s="1" t="n">
        <v>71.2</v>
      </c>
      <c r="AI117" s="1" t="n">
        <v>36.8</v>
      </c>
      <c r="AJ117" s="1" t="n">
        <v>31.8</v>
      </c>
      <c r="AK117" s="1" t="n">
        <v>27.2</v>
      </c>
      <c r="AL117" s="1" t="n">
        <v>0.6</v>
      </c>
      <c r="AM117" s="1" t="n">
        <v>0</v>
      </c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</row>
    <row r="118">
      <c r="A118" s="1" t="inlineStr">
        <is>
          <t xml:space="preserve"> 571  Колбаса Сервелат Ореховый ТМ Вязанка в оболочке фиброуз в вак. упаковке 0,28 кг срез  ПОКОМ</t>
        </is>
      </c>
      <c r="B118" s="1" t="inlineStr">
        <is>
          <t>шт</t>
        </is>
      </c>
      <c r="C118" s="1" t="n">
        <v>107</v>
      </c>
      <c r="D118" s="1" t="n">
        <v>1</v>
      </c>
      <c r="E118" s="1" t="n">
        <v>355</v>
      </c>
      <c r="F118" s="1" t="n">
        <v>-247</v>
      </c>
      <c r="G118" s="1" t="n">
        <v>0.28</v>
      </c>
      <c r="H118" s="1" t="n">
        <v>40</v>
      </c>
      <c r="I118" s="1" t="inlineStr">
        <is>
          <t>НЕДОГРУЗ / матрица</t>
        </is>
      </c>
      <c r="J118" s="1" t="n"/>
      <c r="K118" s="1" t="n">
        <v>393</v>
      </c>
      <c r="L118" s="1">
        <f>E118-K118</f>
        <v/>
      </c>
      <c r="M118" s="1" t="n"/>
      <c r="N118" s="1" t="n"/>
      <c r="O118" s="1" t="n">
        <v>137.7</v>
      </c>
      <c r="P118" s="1" t="n">
        <v>-144</v>
      </c>
      <c r="Q118" s="1" t="n"/>
      <c r="R118" s="1" t="n"/>
      <c r="S118" s="1" t="n"/>
      <c r="T118" s="1" t="n">
        <v>390</v>
      </c>
      <c r="U118" s="1" t="n"/>
      <c r="V118" s="1" t="n">
        <v>195</v>
      </c>
      <c r="W118" s="1" t="n">
        <v>-196.4285714285714</v>
      </c>
      <c r="X118" s="1" t="n">
        <v>520</v>
      </c>
      <c r="Y118" s="1" t="n"/>
      <c r="Z118" s="5" t="n"/>
      <c r="AA118" s="5" t="n"/>
      <c r="AB118" s="1" t="n"/>
      <c r="AC118" s="1" t="n"/>
      <c r="AD118" s="1" t="n"/>
      <c r="AE118" s="1" t="n">
        <v>136.4</v>
      </c>
      <c r="AF118" s="1" t="n">
        <v>115</v>
      </c>
      <c r="AG118" s="1" t="n">
        <v>61.6</v>
      </c>
      <c r="AH118" s="1" t="n">
        <v>65.40000000000001</v>
      </c>
      <c r="AI118" s="1" t="n">
        <v>102</v>
      </c>
      <c r="AJ118" s="1" t="n">
        <v>112.2</v>
      </c>
      <c r="AK118" s="1" t="n">
        <v>55.2</v>
      </c>
      <c r="AL118" s="1" t="n">
        <v>0.2</v>
      </c>
      <c r="AM118" s="1" t="n">
        <v>26</v>
      </c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</row>
    <row r="119">
      <c r="A119" s="1" t="inlineStr">
        <is>
          <t xml:space="preserve"> 574  Колбаса Сервелат Финский ТМ Вязанка в упаковке скин 0,09 кг нарезка  ПОКОМ</t>
        </is>
      </c>
      <c r="B119" s="1" t="inlineStr">
        <is>
          <t>шт</t>
        </is>
      </c>
      <c r="C119" s="1" t="n">
        <v>659</v>
      </c>
      <c r="D119" s="1" t="n">
        <v>25</v>
      </c>
      <c r="E119" s="1" t="n">
        <v>70</v>
      </c>
      <c r="F119" s="1" t="n">
        <v>577</v>
      </c>
      <c r="G119" s="1" t="n">
        <v>0.09</v>
      </c>
      <c r="H119" s="1" t="n">
        <v>45</v>
      </c>
      <c r="I119" s="1" t="inlineStr">
        <is>
          <t>матрица</t>
        </is>
      </c>
      <c r="J119" s="1" t="n"/>
      <c r="K119" s="1" t="n">
        <v>96</v>
      </c>
      <c r="L119" s="1">
        <f>E119-K119</f>
        <v/>
      </c>
      <c r="M119" s="1" t="n"/>
      <c r="N119" s="1" t="n"/>
      <c r="O119" s="1" t="n">
        <v>0</v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>
        <v>0</v>
      </c>
      <c r="Y119" s="1" t="n"/>
      <c r="Z119" s="5" t="n"/>
      <c r="AA119" s="5" t="n"/>
      <c r="AB119" s="1" t="n"/>
      <c r="AC119" s="1" t="n"/>
      <c r="AD119" s="1" t="n"/>
      <c r="AE119" s="1" t="n">
        <v>15</v>
      </c>
      <c r="AF119" s="1" t="n">
        <v>37.2</v>
      </c>
      <c r="AG119" s="1" t="n">
        <v>45.6</v>
      </c>
      <c r="AH119" s="1" t="n">
        <v>44.2</v>
      </c>
      <c r="AI119" s="1" t="n">
        <v>73.2</v>
      </c>
      <c r="AJ119" s="1" t="n">
        <v>85.59999999999999</v>
      </c>
      <c r="AK119" s="1" t="n">
        <v>59.6</v>
      </c>
      <c r="AL119" s="1" t="n">
        <v>28.2</v>
      </c>
      <c r="AM119" s="1" t="n">
        <v>32.6</v>
      </c>
      <c r="AN119" s="1" t="inlineStr">
        <is>
          <t>нужно увеличить продажи!!!</t>
        </is>
      </c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</row>
    <row r="120">
      <c r="A120" s="1" t="inlineStr">
        <is>
          <t xml:space="preserve"> 577  Колбаса Молочная Стародворская ТМ Стародворье в оболочке полиамид НД ВЕС.  ПОКОМ</t>
        </is>
      </c>
      <c r="B120" s="1" t="inlineStr">
        <is>
          <t>кг</t>
        </is>
      </c>
      <c r="C120" s="1" t="n">
        <v>8.278</v>
      </c>
      <c r="D120" s="1" t="n"/>
      <c r="E120" s="1" t="n">
        <v>2.76</v>
      </c>
      <c r="F120" s="1" t="n">
        <v>5.518</v>
      </c>
      <c r="G120" s="1" t="n">
        <v>0</v>
      </c>
      <c r="H120" s="1" t="n">
        <v>55</v>
      </c>
      <c r="I120" s="1" t="inlineStr">
        <is>
          <t>не в матрице</t>
        </is>
      </c>
      <c r="J120" s="1" t="n"/>
      <c r="K120" s="1" t="n">
        <v>12.2</v>
      </c>
      <c r="L120" s="1">
        <f>E120-K120</f>
        <v/>
      </c>
      <c r="M120" s="1" t="n"/>
      <c r="N120" s="1" t="n"/>
      <c r="O120" s="1" t="n">
        <v>0</v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>
        <v>0</v>
      </c>
      <c r="Y120" s="1" t="n"/>
      <c r="Z120" s="5" t="n"/>
      <c r="AA120" s="5" t="n"/>
      <c r="AB120" s="1" t="n"/>
      <c r="AC120" s="1" t="n"/>
      <c r="AD120" s="1" t="n"/>
      <c r="AE120" s="1" t="n">
        <v>0.265</v>
      </c>
      <c r="AF120" s="1" t="n">
        <v>-0.004</v>
      </c>
      <c r="AG120" s="1" t="n">
        <v>-0.269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</row>
    <row r="121">
      <c r="A121" s="1" t="inlineStr">
        <is>
          <t xml:space="preserve"> 579  Колбаса Ветчинно-рубленая ТМ Особый рецепт в оболочке полиамид.ВЕС  ПОКОМ</t>
        </is>
      </c>
      <c r="B121" s="1" t="inlineStr">
        <is>
          <t>кг</t>
        </is>
      </c>
      <c r="C121" s="1" t="n">
        <v>22.635</v>
      </c>
      <c r="D121" s="1" t="n">
        <v>50.022</v>
      </c>
      <c r="E121" s="1" t="n">
        <v>31.9</v>
      </c>
      <c r="F121" s="1" t="n">
        <v>35.875</v>
      </c>
      <c r="G121" s="1" t="n">
        <v>1</v>
      </c>
      <c r="H121" s="1" t="n">
        <v>60</v>
      </c>
      <c r="I121" s="1" t="inlineStr">
        <is>
          <t>матрица</t>
        </is>
      </c>
      <c r="J121" s="1" t="n"/>
      <c r="K121" s="1" t="n">
        <v>37.5</v>
      </c>
      <c r="L121" s="1">
        <f>E121-K121</f>
        <v/>
      </c>
      <c r="M121" s="1" t="n"/>
      <c r="N121" s="1" t="n"/>
      <c r="O121" s="1" t="n">
        <v>0</v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>
        <v>24.65625000000001</v>
      </c>
      <c r="Y121" s="1" t="n"/>
      <c r="Z121" s="5" t="n"/>
      <c r="AA121" s="5" t="n"/>
      <c r="AB121" s="1" t="n"/>
      <c r="AC121" s="1" t="n"/>
      <c r="AD121" s="1" t="n"/>
      <c r="AE121" s="1" t="n">
        <v>5.825</v>
      </c>
      <c r="AF121" s="1" t="n">
        <v>4.3908</v>
      </c>
      <c r="AG121" s="1" t="n">
        <v>7.3688</v>
      </c>
      <c r="AH121" s="1" t="n">
        <v>7.8538</v>
      </c>
      <c r="AI121" s="1" t="n">
        <v>6.3716</v>
      </c>
      <c r="AJ121" s="1" t="n">
        <v>5.3946</v>
      </c>
      <c r="AK121" s="1" t="n">
        <v>5.028</v>
      </c>
      <c r="AL121" s="1" t="n">
        <v>5.529</v>
      </c>
      <c r="AM121" s="1" t="n">
        <v>6.0906</v>
      </c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</row>
    <row r="122">
      <c r="A122" s="1" t="inlineStr">
        <is>
          <t xml:space="preserve"> 580  Ветчина Нежная с индейкой ТМ Особый рецепт в оболочке полиамид.ВЕС  ПОКОМ</t>
        </is>
      </c>
      <c r="B122" s="1" t="inlineStr">
        <is>
          <t>кг</t>
        </is>
      </c>
      <c r="C122" s="1" t="n">
        <v>42.5</v>
      </c>
      <c r="D122" s="1" t="n">
        <v>60.064</v>
      </c>
      <c r="E122" s="1" t="n">
        <v>10.045</v>
      </c>
      <c r="F122" s="1" t="n">
        <v>92.51900000000001</v>
      </c>
      <c r="G122" s="1" t="n">
        <v>1</v>
      </c>
      <c r="H122" s="1" t="n">
        <v>50</v>
      </c>
      <c r="I122" s="1" t="inlineStr">
        <is>
          <t>матрица</t>
        </is>
      </c>
      <c r="J122" s="1" t="n"/>
      <c r="K122" s="1" t="n">
        <v>10</v>
      </c>
      <c r="L122" s="1">
        <f>E122-K122</f>
        <v/>
      </c>
      <c r="M122" s="1" t="n"/>
      <c r="N122" s="1" t="n"/>
      <c r="O122" s="1" t="n">
        <v>27.3612</v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>
        <v>0</v>
      </c>
      <c r="Y122" s="1" t="n"/>
      <c r="Z122" s="5" t="n"/>
      <c r="AA122" s="5" t="n"/>
      <c r="AB122" s="1" t="n"/>
      <c r="AC122" s="1" t="n"/>
      <c r="AD122" s="1" t="n"/>
      <c r="AE122" s="1" t="n">
        <v>1.9832</v>
      </c>
      <c r="AF122" s="1" t="n">
        <v>2.9632</v>
      </c>
      <c r="AG122" s="1" t="n">
        <v>5.9216</v>
      </c>
      <c r="AH122" s="1" t="n">
        <v>5.3568</v>
      </c>
      <c r="AI122" s="1" t="n">
        <v>2.4122</v>
      </c>
      <c r="AJ122" s="1" t="n">
        <v>1.9868</v>
      </c>
      <c r="AK122" s="1" t="n">
        <v>1.4796</v>
      </c>
      <c r="AL122" s="1" t="n">
        <v>0.9948</v>
      </c>
      <c r="AM122" s="1" t="n">
        <v>3.9886</v>
      </c>
      <c r="AN122" s="1" t="inlineStr">
        <is>
          <t>нужно увеличить продажи!!!</t>
        </is>
      </c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</row>
    <row r="123">
      <c r="A123" s="1" t="inlineStr">
        <is>
          <t xml:space="preserve"> 583  Колбаса Балыковая ТМ Вязанка в упаковке скин 0,09 кг нарезка  ПОКОМ</t>
        </is>
      </c>
      <c r="B123" s="1" t="inlineStr">
        <is>
          <t>шт</t>
        </is>
      </c>
      <c r="C123" s="1" t="n">
        <v>499</v>
      </c>
      <c r="D123" s="1" t="n"/>
      <c r="E123" s="1" t="n">
        <v>75</v>
      </c>
      <c r="F123" s="1" t="n">
        <v>420</v>
      </c>
      <c r="G123" s="1" t="n">
        <v>0.09</v>
      </c>
      <c r="H123" s="1" t="n">
        <v>45</v>
      </c>
      <c r="I123" s="1" t="inlineStr">
        <is>
          <t>матрица</t>
        </is>
      </c>
      <c r="J123" s="1" t="n"/>
      <c r="K123" s="1" t="n">
        <v>76</v>
      </c>
      <c r="L123" s="1">
        <f>E123-K123</f>
        <v/>
      </c>
      <c r="M123" s="1" t="n"/>
      <c r="N123" s="1" t="n"/>
      <c r="O123" s="1" t="n">
        <v>0</v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>
        <v>0</v>
      </c>
      <c r="Y123" s="1" t="n"/>
      <c r="Z123" s="5" t="n"/>
      <c r="AA123" s="5" t="n"/>
      <c r="AB123" s="1" t="n"/>
      <c r="AC123" s="1" t="n"/>
      <c r="AD123" s="1" t="n"/>
      <c r="AE123" s="1" t="n">
        <v>7.8</v>
      </c>
      <c r="AF123" s="1" t="n">
        <v>30</v>
      </c>
      <c r="AG123" s="1" t="n">
        <v>40</v>
      </c>
      <c r="AH123" s="1" t="n">
        <v>17.2</v>
      </c>
      <c r="AI123" s="1" t="n">
        <v>42.6</v>
      </c>
      <c r="AJ123" s="1" t="n">
        <v>84.40000000000001</v>
      </c>
      <c r="AK123" s="1" t="n">
        <v>65.2</v>
      </c>
      <c r="AL123" s="1" t="n">
        <v>29</v>
      </c>
      <c r="AM123" s="1" t="n">
        <v>42.4</v>
      </c>
      <c r="AN123" s="1" t="inlineStr">
        <is>
          <t>нужно увеличить продажи!!!</t>
        </is>
      </c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</row>
    <row r="124">
      <c r="A124" s="1" t="inlineStr">
        <is>
          <t xml:space="preserve"> 584  Колбаса Сервелат Ореховый ТМ Вязанка в упаковке скин 0,09 кг нарезка  ПОКОМ</t>
        </is>
      </c>
      <c r="B124" s="1" t="inlineStr">
        <is>
          <t>шт</t>
        </is>
      </c>
      <c r="C124" s="1" t="n">
        <v>456</v>
      </c>
      <c r="D124" s="1" t="n">
        <v>30</v>
      </c>
      <c r="E124" s="1" t="n">
        <v>81</v>
      </c>
      <c r="F124" s="1" t="n">
        <v>390</v>
      </c>
      <c r="G124" s="1" t="n">
        <v>0.09</v>
      </c>
      <c r="H124" s="1" t="n">
        <v>45</v>
      </c>
      <c r="I124" s="1" t="inlineStr">
        <is>
          <t>матрица</t>
        </is>
      </c>
      <c r="J124" s="1" t="n"/>
      <c r="K124" s="1" t="n">
        <v>78</v>
      </c>
      <c r="L124" s="1">
        <f>E124-K124</f>
        <v/>
      </c>
      <c r="M124" s="1" t="n"/>
      <c r="N124" s="1" t="n"/>
      <c r="O124" s="1" t="n">
        <v>24.79999999999995</v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>
        <v>0</v>
      </c>
      <c r="Y124" s="1" t="n"/>
      <c r="Z124" s="5" t="n"/>
      <c r="AA124" s="5" t="n"/>
      <c r="AB124" s="1" t="n"/>
      <c r="AC124" s="1" t="n"/>
      <c r="AD124" s="1" t="n"/>
      <c r="AE124" s="1" t="n">
        <v>9.4</v>
      </c>
      <c r="AF124" s="1" t="n">
        <v>30</v>
      </c>
      <c r="AG124" s="1" t="n">
        <v>39.4</v>
      </c>
      <c r="AH124" s="1" t="n">
        <v>27.8</v>
      </c>
      <c r="AI124" s="1" t="n">
        <v>52.8</v>
      </c>
      <c r="AJ124" s="1" t="n">
        <v>83</v>
      </c>
      <c r="AK124" s="1" t="n">
        <v>59</v>
      </c>
      <c r="AL124" s="1" t="n">
        <v>24</v>
      </c>
      <c r="AM124" s="1" t="n">
        <v>39.8</v>
      </c>
      <c r="AN124" s="1" t="inlineStr">
        <is>
          <t>нужно увеличить продажи!!!</t>
        </is>
      </c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</row>
    <row r="125">
      <c r="A125" s="1" t="inlineStr">
        <is>
          <t xml:space="preserve"> 585  Колбаса Молочная ТМ Стародворье в оболочке вектор НД ВЕС.  ПОКОМ</t>
        </is>
      </c>
      <c r="B125" s="1" t="inlineStr">
        <is>
          <t>кг</t>
        </is>
      </c>
      <c r="C125" s="1" t="n">
        <v>199.654</v>
      </c>
      <c r="D125" s="1" t="n">
        <v>2.741</v>
      </c>
      <c r="E125" s="1" t="n">
        <v>133.746</v>
      </c>
      <c r="F125" s="1" t="n">
        <v>51.865</v>
      </c>
      <c r="G125" s="1" t="n">
        <v>1</v>
      </c>
      <c r="H125" s="1" t="n">
        <v>60</v>
      </c>
      <c r="I125" s="1" t="inlineStr">
        <is>
          <t>матрица</t>
        </is>
      </c>
      <c r="J125" s="1" t="n"/>
      <c r="K125" s="1" t="n">
        <v>128.699</v>
      </c>
      <c r="L125" s="1">
        <f>E125-K125</f>
        <v/>
      </c>
      <c r="M125" s="1" t="n"/>
      <c r="N125" s="1" t="n"/>
      <c r="O125" s="1" t="n">
        <v>0</v>
      </c>
      <c r="P125" s="1" t="n"/>
      <c r="Q125" s="1" t="n"/>
      <c r="R125" s="1" t="n"/>
      <c r="S125" s="1" t="n"/>
      <c r="T125" s="1" t="n">
        <v>27.47299999999998</v>
      </c>
      <c r="U125" s="1" t="n"/>
      <c r="V125" s="1" t="n"/>
      <c r="W125" s="1" t="n"/>
      <c r="X125" s="1" t="n">
        <v>112.019092</v>
      </c>
      <c r="Y125" s="1" t="n"/>
      <c r="Z125" s="5" t="n"/>
      <c r="AA125" s="5" t="n"/>
      <c r="AB125" s="1" t="n"/>
      <c r="AC125" s="1" t="n"/>
      <c r="AD125" s="1" t="n"/>
      <c r="AE125" s="1" t="n">
        <v>20.5116</v>
      </c>
      <c r="AF125" s="1" t="n">
        <v>20.523</v>
      </c>
      <c r="AG125" s="1" t="n">
        <v>19.6838</v>
      </c>
      <c r="AH125" s="1" t="n">
        <v>23.8588</v>
      </c>
      <c r="AI125" s="1" t="n">
        <v>30.0722</v>
      </c>
      <c r="AJ125" s="1" t="n">
        <v>28.822</v>
      </c>
      <c r="AK125" s="1" t="n">
        <v>19.3716</v>
      </c>
      <c r="AL125" s="1" t="n">
        <v>16.9956</v>
      </c>
      <c r="AM125" s="1" t="n">
        <v>23.0038</v>
      </c>
      <c r="AN125" s="1" t="inlineStr">
        <is>
          <t>ПРОМО сентябрь</t>
        </is>
      </c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</row>
    <row r="126">
      <c r="A126" s="1" t="inlineStr">
        <is>
          <t xml:space="preserve"> 586  Колбаса Мясная ТМ Стародворье в оболочке вектор НД ВЕС.  ПОКОМ</t>
        </is>
      </c>
      <c r="B126" s="1" t="inlineStr">
        <is>
          <t>кг</t>
        </is>
      </c>
      <c r="C126" s="1" t="n">
        <v>957.08</v>
      </c>
      <c r="D126" s="1" t="n">
        <v>331.373</v>
      </c>
      <c r="E126" s="1" t="n">
        <v>725.449</v>
      </c>
      <c r="F126" s="1" t="n">
        <v>521.568</v>
      </c>
      <c r="G126" s="1" t="n">
        <v>1</v>
      </c>
      <c r="H126" s="1" t="n">
        <v>60</v>
      </c>
      <c r="I126" s="1" t="inlineStr">
        <is>
          <t>матрица</t>
        </is>
      </c>
      <c r="J126" s="1" t="n"/>
      <c r="K126" s="1" t="n">
        <v>711.639</v>
      </c>
      <c r="L126" s="1">
        <f>E126-K126</f>
        <v/>
      </c>
      <c r="M126" s="1" t="n"/>
      <c r="N126" s="1" t="n"/>
      <c r="O126" s="1" t="n">
        <v>77.64974951999989</v>
      </c>
      <c r="P126" s="1" t="n"/>
      <c r="Q126" s="1" t="n"/>
      <c r="R126" s="1" t="n">
        <v>143.7638504799997</v>
      </c>
      <c r="S126" s="1" t="n">
        <v>-123</v>
      </c>
      <c r="T126" s="1" t="n">
        <v>101.626436</v>
      </c>
      <c r="U126" s="1" t="n"/>
      <c r="V126" s="1" t="n">
        <v>406.505744</v>
      </c>
      <c r="W126" s="1" t="n"/>
      <c r="X126" s="1" t="n">
        <v>465.9238980000003</v>
      </c>
      <c r="Y126" s="1" t="n"/>
      <c r="Z126" s="5" t="n"/>
      <c r="AA126" s="5" t="n"/>
      <c r="AB126" s="1" t="n"/>
      <c r="AC126" s="1" t="n"/>
      <c r="AD126" s="1" t="n"/>
      <c r="AE126" s="1" t="n">
        <v>141.9094</v>
      </c>
      <c r="AF126" s="1" t="n">
        <v>146.8214</v>
      </c>
      <c r="AG126" s="1" t="n">
        <v>140.7408</v>
      </c>
      <c r="AH126" s="1" t="n">
        <v>154.9894</v>
      </c>
      <c r="AI126" s="1" t="n">
        <v>181.7092</v>
      </c>
      <c r="AJ126" s="1" t="n">
        <v>175.9854</v>
      </c>
      <c r="AK126" s="1" t="n">
        <v>98.4862</v>
      </c>
      <c r="AL126" s="1" t="n">
        <v>89.58680000000001</v>
      </c>
      <c r="AM126" s="1" t="n">
        <v>117.7424</v>
      </c>
      <c r="AN126" s="1" t="inlineStr">
        <is>
          <t>ПРОМО сентябрь</t>
        </is>
      </c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</row>
    <row r="127">
      <c r="A127" s="1" t="inlineStr">
        <is>
          <t xml:space="preserve"> 588 Колбаса Со шпиком ТМ Стародворье в оболочке вектор ВЕС  ПОКОМ</t>
        </is>
      </c>
      <c r="B127" s="1" t="inlineStr">
        <is>
          <t>кг</t>
        </is>
      </c>
      <c r="C127" s="1" t="n">
        <v>83.985</v>
      </c>
      <c r="D127" s="1" t="n">
        <v>60.643</v>
      </c>
      <c r="E127" s="1" t="n">
        <v>52.314</v>
      </c>
      <c r="F127" s="1" t="n">
        <v>84.76600000000001</v>
      </c>
      <c r="G127" s="1" t="n">
        <v>1</v>
      </c>
      <c r="H127" s="1" t="n">
        <v>60</v>
      </c>
      <c r="I127" s="1" t="inlineStr">
        <is>
          <t>матрица</t>
        </is>
      </c>
      <c r="J127" s="1" t="n"/>
      <c r="K127" s="1" t="n">
        <v>58.8</v>
      </c>
      <c r="L127" s="1">
        <f>E127-K127</f>
        <v/>
      </c>
      <c r="M127" s="1" t="n"/>
      <c r="N127" s="1" t="n"/>
      <c r="O127" s="1" t="n">
        <v>37.0056</v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>
        <v>17.09528</v>
      </c>
      <c r="Y127" s="1" t="n"/>
      <c r="Z127" s="5" t="n"/>
      <c r="AA127" s="5" t="n"/>
      <c r="AB127" s="1" t="n"/>
      <c r="AC127" s="1" t="n"/>
      <c r="AD127" s="1" t="n"/>
      <c r="AE127" s="1" t="n">
        <v>9.423999999999999</v>
      </c>
      <c r="AF127" s="1" t="n">
        <v>11.5632</v>
      </c>
      <c r="AG127" s="1" t="n">
        <v>12.903</v>
      </c>
      <c r="AH127" s="1" t="n">
        <v>13.7246</v>
      </c>
      <c r="AI127" s="1" t="n">
        <v>13.781</v>
      </c>
      <c r="AJ127" s="1" t="n">
        <v>13.2046</v>
      </c>
      <c r="AK127" s="1" t="n">
        <v>10.8356</v>
      </c>
      <c r="AL127" s="1" t="n">
        <v>10.377</v>
      </c>
      <c r="AM127" s="1" t="n">
        <v>15.2936</v>
      </c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</row>
    <row r="128">
      <c r="A128" s="1" t="inlineStr">
        <is>
          <t xml:space="preserve"> 597  Колбаса Классическая ТМ Особый рецепт в оболочке полиамид ВЕС. ПОКОМ</t>
        </is>
      </c>
      <c r="B128" s="1" t="inlineStr">
        <is>
          <t>кг</t>
        </is>
      </c>
      <c r="C128" s="1" t="n">
        <v>988.553</v>
      </c>
      <c r="D128" s="1" t="n">
        <v>1013.68</v>
      </c>
      <c r="E128" s="1" t="n">
        <v>1008.742</v>
      </c>
      <c r="F128" s="1" t="n">
        <v>898.552</v>
      </c>
      <c r="G128" s="1" t="n">
        <v>1</v>
      </c>
      <c r="H128" s="1" t="n">
        <v>60</v>
      </c>
      <c r="I128" s="1" t="inlineStr">
        <is>
          <t>матрица</t>
        </is>
      </c>
      <c r="J128" s="1" t="n"/>
      <c r="K128" s="1" t="n">
        <v>1027.7</v>
      </c>
      <c r="L128" s="1">
        <f>E128-K128</f>
        <v/>
      </c>
      <c r="M128" s="1" t="n"/>
      <c r="N128" s="1" t="n"/>
      <c r="O128" s="1" t="n">
        <v>270.13975611</v>
      </c>
      <c r="P128" s="1" t="n"/>
      <c r="Q128" s="1" t="n"/>
      <c r="R128" s="1" t="n">
        <v>500.14754389</v>
      </c>
      <c r="S128" s="1" t="n"/>
      <c r="T128" s="1" t="n">
        <v>260</v>
      </c>
      <c r="U128" s="1" t="n"/>
      <c r="V128" s="1" t="n">
        <v>1040</v>
      </c>
      <c r="W128" s="1" t="n"/>
      <c r="X128" s="1" t="n">
        <v>0</v>
      </c>
      <c r="Y128" s="1" t="n"/>
      <c r="Z128" s="5" t="n"/>
      <c r="AA128" s="5" t="n"/>
      <c r="AB128" s="1" t="n"/>
      <c r="AC128" s="1" t="n"/>
      <c r="AD128" s="1" t="n"/>
      <c r="AE128" s="1" t="n">
        <v>194.7694</v>
      </c>
      <c r="AF128" s="1" t="n">
        <v>203.8662</v>
      </c>
      <c r="AG128" s="1" t="n">
        <v>195.4562</v>
      </c>
      <c r="AH128" s="1" t="n">
        <v>194.1246</v>
      </c>
      <c r="AI128" s="1" t="n">
        <v>210.819</v>
      </c>
      <c r="AJ128" s="1" t="n">
        <v>218.6348</v>
      </c>
      <c r="AK128" s="1" t="n">
        <v>145.6972</v>
      </c>
      <c r="AL128" s="1" t="n">
        <v>131.5632</v>
      </c>
      <c r="AM128" s="1" t="n">
        <v>184.2188</v>
      </c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</row>
    <row r="129">
      <c r="A129" s="1" t="inlineStr">
        <is>
          <t xml:space="preserve"> 614  Буженина в пряном маринаде 0,25 кг консервы из мяса индейки ТМ Стародворье  ПОКОМ</t>
        </is>
      </c>
      <c r="B129" s="1" t="inlineStr">
        <is>
          <t>шт</t>
        </is>
      </c>
      <c r="C129" s="1" t="n">
        <v>200</v>
      </c>
      <c r="D129" s="1" t="n"/>
      <c r="E129" s="1" t="n">
        <v>2</v>
      </c>
      <c r="F129" s="1" t="n">
        <v>198</v>
      </c>
      <c r="G129" s="1" t="n">
        <v>0.25</v>
      </c>
      <c r="H129" s="1" t="n">
        <v>1096</v>
      </c>
      <c r="I129" s="1" t="inlineStr">
        <is>
          <t>матрица</t>
        </is>
      </c>
      <c r="J129" s="1" t="n"/>
      <c r="K129" s="1" t="n">
        <v>2</v>
      </c>
      <c r="L129" s="1">
        <f>E129-K129</f>
        <v/>
      </c>
      <c r="M129" s="1" t="n"/>
      <c r="N129" s="1" t="n"/>
      <c r="O129" s="1" t="n">
        <v>0</v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>
        <v>0</v>
      </c>
      <c r="Y129" s="1" t="n"/>
      <c r="Z129" s="5" t="n"/>
      <c r="AA129" s="5" t="n"/>
      <c r="AB129" s="1" t="n"/>
      <c r="AC129" s="1" t="n"/>
      <c r="AD129" s="1" t="n"/>
      <c r="AE129" s="1" t="n">
        <v>0</v>
      </c>
      <c r="AF129" s="1" t="n">
        <v>0.8</v>
      </c>
      <c r="AG129" s="1" t="n">
        <v>0.8</v>
      </c>
      <c r="AH129" s="1" t="n">
        <v>1</v>
      </c>
      <c r="AI129" s="1" t="n">
        <v>5.6</v>
      </c>
      <c r="AJ129" s="1" t="n">
        <v>10</v>
      </c>
      <c r="AK129" s="1" t="n">
        <v>6</v>
      </c>
      <c r="AL129" s="1" t="n">
        <v>1.2</v>
      </c>
      <c r="AM129" s="1" t="n">
        <v>3.6</v>
      </c>
      <c r="AN129" s="1" t="inlineStr">
        <is>
          <t>нужно увеличить продажи!!! / ПРОМО сентябрь</t>
        </is>
      </c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</row>
    <row r="130">
      <c r="A130" s="1" t="inlineStr">
        <is>
          <t xml:space="preserve"> 615  Гречка по-купечески с говядиной и овощами 0,325кг ТМ Стародворье  ПОКОМ</t>
        </is>
      </c>
      <c r="B130" s="1" t="inlineStr">
        <is>
          <t>шт</t>
        </is>
      </c>
      <c r="C130" s="1" t="n">
        <v>115</v>
      </c>
      <c r="D130" s="1" t="n"/>
      <c r="E130" s="1" t="n">
        <v>2</v>
      </c>
      <c r="F130" s="1" t="n">
        <v>113</v>
      </c>
      <c r="G130" s="1" t="n">
        <v>0.325</v>
      </c>
      <c r="H130" s="1" t="n">
        <v>1096</v>
      </c>
      <c r="I130" s="1" t="inlineStr">
        <is>
          <t>матрица</t>
        </is>
      </c>
      <c r="J130" s="1" t="n"/>
      <c r="K130" s="1" t="n">
        <v>2</v>
      </c>
      <c r="L130" s="1">
        <f>E130-K130</f>
        <v/>
      </c>
      <c r="M130" s="1" t="n"/>
      <c r="N130" s="1" t="n"/>
      <c r="O130" s="1" t="n">
        <v>0</v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>
        <v>0</v>
      </c>
      <c r="Y130" s="1" t="n"/>
      <c r="Z130" s="5" t="n"/>
      <c r="AA130" s="5" t="n"/>
      <c r="AB130" s="1" t="n"/>
      <c r="AC130" s="1" t="n"/>
      <c r="AD130" s="1" t="n"/>
      <c r="AE130" s="1" t="n">
        <v>0</v>
      </c>
      <c r="AF130" s="1" t="n">
        <v>1</v>
      </c>
      <c r="AG130" s="1" t="n">
        <v>1</v>
      </c>
      <c r="AH130" s="1" t="n">
        <v>1</v>
      </c>
      <c r="AI130" s="1" t="n">
        <v>5.2</v>
      </c>
      <c r="AJ130" s="1" t="n">
        <v>7.2</v>
      </c>
      <c r="AK130" s="1" t="n">
        <v>3.8</v>
      </c>
      <c r="AL130" s="1" t="n">
        <v>1</v>
      </c>
      <c r="AM130" s="1" t="n">
        <v>2.8</v>
      </c>
      <c r="AN130" s="1" t="inlineStr">
        <is>
          <t>нужно увеличить продажи!!! / ПРОМО сентябрь</t>
        </is>
      </c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</row>
    <row r="131">
      <c r="A131" s="1" t="inlineStr">
        <is>
          <t xml:space="preserve"> 616  Индейка томлёная в собственном соку 0,25кг ТМ Стародлворье Консервый из мяс.птицы  ПОКОМ</t>
        </is>
      </c>
      <c r="B131" s="1" t="inlineStr">
        <is>
          <t>шт</t>
        </is>
      </c>
      <c r="C131" s="1" t="n">
        <v>176</v>
      </c>
      <c r="D131" s="1" t="n"/>
      <c r="E131" s="1" t="n">
        <v>7</v>
      </c>
      <c r="F131" s="1" t="n">
        <v>169</v>
      </c>
      <c r="G131" s="1" t="n">
        <v>0.25</v>
      </c>
      <c r="H131" s="1" t="n">
        <v>1096</v>
      </c>
      <c r="I131" s="1" t="inlineStr">
        <is>
          <t>матрица</t>
        </is>
      </c>
      <c r="J131" s="1" t="n"/>
      <c r="K131" s="1" t="n">
        <v>7</v>
      </c>
      <c r="L131" s="1">
        <f>E131-K131</f>
        <v/>
      </c>
      <c r="M131" s="1" t="n"/>
      <c r="N131" s="1" t="n"/>
      <c r="O131" s="1" t="n">
        <v>0</v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>
        <v>0</v>
      </c>
      <c r="Y131" s="1" t="n"/>
      <c r="Z131" s="5" t="n"/>
      <c r="AA131" s="5" t="n"/>
      <c r="AB131" s="1" t="n"/>
      <c r="AC131" s="1" t="n"/>
      <c r="AD131" s="1" t="n"/>
      <c r="AE131" s="1" t="n">
        <v>5</v>
      </c>
      <c r="AF131" s="1" t="n">
        <v>5.8</v>
      </c>
      <c r="AG131" s="1" t="n">
        <v>1.8</v>
      </c>
      <c r="AH131" s="1" t="n">
        <v>2</v>
      </c>
      <c r="AI131" s="1" t="n">
        <v>6.4</v>
      </c>
      <c r="AJ131" s="1" t="n">
        <v>12.4</v>
      </c>
      <c r="AK131" s="1" t="n">
        <v>8.6</v>
      </c>
      <c r="AL131" s="1" t="n">
        <v>2</v>
      </c>
      <c r="AM131" s="1" t="n">
        <v>8</v>
      </c>
      <c r="AN131" s="1" t="inlineStr">
        <is>
          <t>нужно увеличить продажи!!! / ПРОМО сентябрь</t>
        </is>
      </c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</row>
    <row r="132">
      <c r="A132" s="7" t="inlineStr">
        <is>
          <t xml:space="preserve"> 633  Колбаса Мясная Классическая ТМ Вязанка в оболочке полиамид УМВ.ВЕС.  ПОКОМ</t>
        </is>
      </c>
      <c r="B132" s="1" t="inlineStr">
        <is>
          <t>кг</t>
        </is>
      </c>
      <c r="C132" s="1" t="n"/>
      <c r="D132" s="1" t="n">
        <v>5.99</v>
      </c>
      <c r="E132" s="1" t="n"/>
      <c r="F132" s="1" t="n">
        <v>5.99</v>
      </c>
      <c r="G132" s="1" t="n"/>
      <c r="H132" s="1" t="n"/>
      <c r="I132" s="1" t="n"/>
      <c r="J132" s="1" t="n"/>
      <c r="K132" s="1" t="n"/>
      <c r="L132" s="1">
        <f>E132-K132</f>
        <v/>
      </c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5" t="n"/>
      <c r="AA132" s="5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</row>
    <row r="133">
      <c r="A133" s="6" t="inlineStr">
        <is>
          <t>495  Колбаса Сочинка по-европейски с сочной грудинкой 0,3кг ТМ Стародворье  ПОКОМ</t>
        </is>
      </c>
      <c r="B133" s="1" t="inlineStr">
        <is>
          <t>шт</t>
        </is>
      </c>
      <c r="C133" s="1" t="n"/>
      <c r="D133" s="1" t="n"/>
      <c r="E133" s="1" t="n"/>
      <c r="F133" s="1" t="n"/>
      <c r="G133" s="1" t="n">
        <v>0.3</v>
      </c>
      <c r="H133" s="1" t="n">
        <v>40</v>
      </c>
      <c r="I133" s="1" t="inlineStr">
        <is>
          <t>НЕДОГРУЗ / матрица</t>
        </is>
      </c>
      <c r="J133" s="1" t="n"/>
      <c r="K133" s="1" t="n">
        <v>24</v>
      </c>
      <c r="L133" s="1">
        <f>E133-K133</f>
        <v/>
      </c>
      <c r="M133" s="1" t="n"/>
      <c r="N133" s="1" t="n"/>
      <c r="O133" s="1" t="n">
        <v>30</v>
      </c>
      <c r="P133" s="1" t="n">
        <v>-30</v>
      </c>
      <c r="Q133" s="1" t="n"/>
      <c r="R133" s="1" t="n"/>
      <c r="S133" s="1" t="n"/>
      <c r="T133" s="1" t="n">
        <v>52</v>
      </c>
      <c r="U133" s="1" t="n"/>
      <c r="V133" s="1" t="n"/>
      <c r="W133" s="1" t="n"/>
      <c r="X133" s="1" t="n">
        <v>52</v>
      </c>
      <c r="Y133" s="1" t="n"/>
      <c r="Z133" s="5" t="n"/>
      <c r="AA133" s="5" t="n"/>
      <c r="AB133" s="1" t="n"/>
      <c r="AC133" s="1" t="n"/>
      <c r="AD133" s="1" t="n"/>
      <c r="AE133" s="1" t="n">
        <v>3.6</v>
      </c>
      <c r="AF133" s="1" t="n">
        <v>3.4</v>
      </c>
      <c r="AG133" s="1" t="n">
        <v>-0.2</v>
      </c>
      <c r="AH133" s="1" t="n">
        <v>13.2</v>
      </c>
      <c r="AI133" s="1" t="n">
        <v>28.8</v>
      </c>
      <c r="AJ133" s="1" t="n">
        <v>16.8</v>
      </c>
      <c r="AK133" s="1" t="n">
        <v>0</v>
      </c>
      <c r="AL133" s="1" t="n">
        <v>-0.4</v>
      </c>
      <c r="AM133" s="1" t="n">
        <v>-0.4</v>
      </c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</row>
    <row r="134">
      <c r="A134" s="6" t="inlineStr">
        <is>
          <t>496  Колбаса Сочинка по-фински с сочным окроком 0,3кг ТМ Стародворье  ПОКОМ</t>
        </is>
      </c>
      <c r="B134" s="1" t="inlineStr">
        <is>
          <t>шт</t>
        </is>
      </c>
      <c r="C134" s="1" t="n"/>
      <c r="D134" s="1" t="n"/>
      <c r="E134" s="1" t="n"/>
      <c r="F134" s="1" t="n"/>
      <c r="G134" s="1" t="n">
        <v>0.3</v>
      </c>
      <c r="H134" s="1" t="n">
        <v>40</v>
      </c>
      <c r="I134" s="1" t="inlineStr">
        <is>
          <t>НЕДОГРУЗ / матрица</t>
        </is>
      </c>
      <c r="J134" s="1" t="n"/>
      <c r="K134" s="1" t="n">
        <v>15</v>
      </c>
      <c r="L134" s="1">
        <f>E134-K134</f>
        <v/>
      </c>
      <c r="M134" s="1" t="n"/>
      <c r="N134" s="1" t="n"/>
      <c r="O134" s="1" t="n">
        <v>50</v>
      </c>
      <c r="P134" s="1" t="n">
        <v>-54</v>
      </c>
      <c r="Q134" s="1" t="n"/>
      <c r="R134" s="1" t="n"/>
      <c r="S134" s="1" t="n"/>
      <c r="T134" s="1" t="n">
        <v>52</v>
      </c>
      <c r="U134" s="1" t="n"/>
      <c r="V134" s="1" t="n"/>
      <c r="W134" s="1" t="n"/>
      <c r="X134" s="1" t="n">
        <v>39</v>
      </c>
      <c r="Y134" s="1" t="n"/>
      <c r="Z134" s="5" t="n"/>
      <c r="AA134" s="5" t="n"/>
      <c r="AB134" s="1" t="n"/>
      <c r="AC134" s="1" t="n"/>
      <c r="AD134" s="1" t="n"/>
      <c r="AE134" s="1" t="n">
        <v>-0.4</v>
      </c>
      <c r="AF134" s="1" t="n">
        <v>-1</v>
      </c>
      <c r="AG134" s="1" t="n">
        <v>0.6</v>
      </c>
      <c r="AH134" s="1" t="n">
        <v>9.199999999999999</v>
      </c>
      <c r="AI134" s="1" t="n">
        <v>8</v>
      </c>
      <c r="AJ134" s="1" t="n">
        <v>0</v>
      </c>
      <c r="AK134" s="1" t="n">
        <v>-0.2</v>
      </c>
      <c r="AL134" s="1" t="n">
        <v>-1.2</v>
      </c>
      <c r="AM134" s="1" t="n">
        <v>-0.2</v>
      </c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</row>
    <row r="135">
      <c r="A135" s="1" t="inlineStr">
        <is>
          <t>503 Колбаса Филейская со шпиком ТМ Вязанка в оболочке полиамид.ПОКОМ</t>
        </is>
      </c>
      <c r="B135" s="1" t="inlineStr">
        <is>
          <t>кг</t>
        </is>
      </c>
      <c r="C135" s="1" t="n">
        <v>25.855</v>
      </c>
      <c r="D135" s="1" t="n">
        <v>110.335</v>
      </c>
      <c r="E135" s="1" t="n">
        <v>55.761</v>
      </c>
      <c r="F135" s="1" t="n">
        <v>79.03400000000001</v>
      </c>
      <c r="G135" s="1" t="n">
        <v>1</v>
      </c>
      <c r="H135" s="1" t="n">
        <v>50</v>
      </c>
      <c r="I135" s="1" t="inlineStr">
        <is>
          <t>матрица</t>
        </is>
      </c>
      <c r="J135" s="1" t="n"/>
      <c r="K135" s="1" t="n">
        <v>64.2</v>
      </c>
      <c r="L135" s="1">
        <f>E135-K135</f>
        <v/>
      </c>
      <c r="M135" s="1" t="n"/>
      <c r="N135" s="1" t="n"/>
      <c r="O135" s="1" t="n">
        <v>69.44440000000003</v>
      </c>
      <c r="P135" s="1" t="n"/>
      <c r="Q135" s="1" t="n"/>
      <c r="R135" s="1" t="n"/>
      <c r="S135" s="1" t="n"/>
      <c r="T135" s="1" t="n">
        <v>63.88399999999999</v>
      </c>
      <c r="U135" s="1" t="n"/>
      <c r="V135" s="1" t="n"/>
      <c r="W135" s="1" t="n"/>
      <c r="X135" s="1" t="n">
        <v>40.21803599999996</v>
      </c>
      <c r="Y135" s="1" t="n"/>
      <c r="Z135" s="5" t="n"/>
      <c r="AA135" s="5" t="n"/>
      <c r="AB135" s="1" t="n"/>
      <c r="AC135" s="1" t="n"/>
      <c r="AD135" s="1" t="n"/>
      <c r="AE135" s="1" t="n">
        <v>15.0028</v>
      </c>
      <c r="AF135" s="1" t="n">
        <v>16.1088</v>
      </c>
      <c r="AG135" s="1" t="n">
        <v>13.9884</v>
      </c>
      <c r="AH135" s="1" t="n">
        <v>11.2852</v>
      </c>
      <c r="AI135" s="1" t="n">
        <v>10.9006</v>
      </c>
      <c r="AJ135" s="1" t="n">
        <v>11.6642</v>
      </c>
      <c r="AK135" s="1" t="n">
        <v>8.691800000000001</v>
      </c>
      <c r="AL135" s="1" t="n">
        <v>8.6746</v>
      </c>
      <c r="AM135" s="1" t="n">
        <v>10.7754</v>
      </c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</row>
    <row r="136">
      <c r="A136" s="6" t="inlineStr">
        <is>
          <t>515  Колбаса Сервелат Мясорубский Делюкс 0,3кг ТМ Стародворье  ПОКОМ</t>
        </is>
      </c>
      <c r="B136" s="1" t="inlineStr">
        <is>
          <t>шт</t>
        </is>
      </c>
      <c r="C136" s="1" t="n"/>
      <c r="D136" s="1" t="n"/>
      <c r="E136" s="1" t="n">
        <v>-1</v>
      </c>
      <c r="F136" s="1" t="n"/>
      <c r="G136" s="1" t="n">
        <v>0.3</v>
      </c>
      <c r="H136" s="1" t="n">
        <v>40</v>
      </c>
      <c r="I136" s="1" t="inlineStr">
        <is>
          <t>НЕДОГРУЗ / матрица</t>
        </is>
      </c>
      <c r="J136" s="1" t="n"/>
      <c r="K136" s="1" t="n"/>
      <c r="L136" s="1">
        <f>E136-K136</f>
        <v/>
      </c>
      <c r="M136" s="1" t="n"/>
      <c r="N136" s="1" t="n"/>
      <c r="O136" s="1" t="n">
        <v>20</v>
      </c>
      <c r="P136" s="1" t="n">
        <v>-24</v>
      </c>
      <c r="Q136" s="1" t="n"/>
      <c r="R136" s="1" t="n"/>
      <c r="S136" s="1" t="n"/>
      <c r="T136" s="1" t="n">
        <v>13</v>
      </c>
      <c r="U136" s="1" t="n"/>
      <c r="V136" s="1" t="n"/>
      <c r="W136" s="1" t="n"/>
      <c r="X136" s="1" t="n">
        <v>13</v>
      </c>
      <c r="Y136" s="1" t="n"/>
      <c r="Z136" s="5" t="n"/>
      <c r="AA136" s="5" t="n"/>
      <c r="AB136" s="1" t="n"/>
      <c r="AC136" s="1" t="n"/>
      <c r="AD136" s="1" t="n"/>
      <c r="AE136" s="1" t="n">
        <v>-0.2</v>
      </c>
      <c r="AF136" s="1" t="n">
        <v>0.2</v>
      </c>
      <c r="AG136" s="1" t="n">
        <v>0.2</v>
      </c>
      <c r="AH136" s="1" t="n">
        <v>-0.2</v>
      </c>
      <c r="AI136" s="1" t="n">
        <v>0.6</v>
      </c>
      <c r="AJ136" s="1" t="n">
        <v>5.8</v>
      </c>
      <c r="AK136" s="1" t="n">
        <v>7.2</v>
      </c>
      <c r="AL136" s="1" t="n">
        <v>4.6</v>
      </c>
      <c r="AM136" s="1" t="n">
        <v>2.6</v>
      </c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</row>
    <row r="137">
      <c r="A137" s="1" t="inlineStr">
        <is>
          <t>519  Грудинка 0,12 кг нарезка ТМ Стародворье  ПОКОМ</t>
        </is>
      </c>
      <c r="B137" s="1" t="inlineStr">
        <is>
          <t>шт</t>
        </is>
      </c>
      <c r="C137" s="1" t="n">
        <v>50</v>
      </c>
      <c r="D137" s="1" t="n">
        <v>2</v>
      </c>
      <c r="E137" s="1" t="n">
        <v>35</v>
      </c>
      <c r="F137" s="1" t="n">
        <v>12</v>
      </c>
      <c r="G137" s="1" t="n">
        <v>0.12</v>
      </c>
      <c r="H137" s="1" t="n">
        <v>45</v>
      </c>
      <c r="I137" s="1" t="inlineStr">
        <is>
          <t>НЕДОГРУЗ / матрица</t>
        </is>
      </c>
      <c r="J137" s="1" t="n"/>
      <c r="K137" s="1" t="n">
        <v>40</v>
      </c>
      <c r="L137" s="1">
        <f>E137-K137</f>
        <v/>
      </c>
      <c r="M137" s="1" t="n"/>
      <c r="N137" s="1" t="n"/>
      <c r="O137" s="1" t="n">
        <v>0</v>
      </c>
      <c r="P137" s="1" t="n"/>
      <c r="Q137" s="1" t="n"/>
      <c r="R137" s="1" t="n"/>
      <c r="S137" s="1" t="n"/>
      <c r="T137" s="1" t="n">
        <v>62.14000000000001</v>
      </c>
      <c r="U137" s="1" t="n"/>
      <c r="V137" s="1" t="n"/>
      <c r="W137" s="1" t="n"/>
      <c r="X137" s="1" t="n">
        <v>24.77799999999998</v>
      </c>
      <c r="Y137" s="1" t="n"/>
      <c r="Z137" s="5" t="n"/>
      <c r="AA137" s="5" t="n"/>
      <c r="AB137" s="1" t="n"/>
      <c r="AC137" s="1" t="n"/>
      <c r="AD137" s="1" t="n"/>
      <c r="AE137" s="1" t="n">
        <v>9.6</v>
      </c>
      <c r="AF137" s="1" t="n">
        <v>8.800000000000001</v>
      </c>
      <c r="AG137" s="1" t="n">
        <v>6.6</v>
      </c>
      <c r="AH137" s="1" t="n">
        <v>8.4</v>
      </c>
      <c r="AI137" s="1" t="n">
        <v>10.4</v>
      </c>
      <c r="AJ137" s="1" t="n">
        <v>13.2</v>
      </c>
      <c r="AK137" s="1" t="n">
        <v>9.800000000000001</v>
      </c>
      <c r="AL137" s="1" t="n">
        <v>7.2</v>
      </c>
      <c r="AM137" s="1" t="n">
        <v>8</v>
      </c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</row>
    <row r="138">
      <c r="A138" s="1" t="inlineStr">
        <is>
          <t>БОНУС_ 334  Паштет Любительский ТМ Стародворье ламистер 0,1 кг  ПОКОМ</t>
        </is>
      </c>
      <c r="B138" s="1" t="inlineStr">
        <is>
          <t>шт</t>
        </is>
      </c>
      <c r="C138" s="1" t="n">
        <v>12</v>
      </c>
      <c r="D138" s="1" t="n">
        <v>202</v>
      </c>
      <c r="E138" s="1" t="n">
        <v>62</v>
      </c>
      <c r="F138" s="1" t="n">
        <v>147</v>
      </c>
      <c r="G138" s="1" t="n">
        <v>0</v>
      </c>
      <c r="H138" s="1" t="n"/>
      <c r="I138" s="1" t="inlineStr">
        <is>
          <t>бонус</t>
        </is>
      </c>
      <c r="J138" s="1" t="inlineStr">
        <is>
          <t xml:space="preserve"> 334  Паштет Любительский ТМ Стародворье ламистер 0,1 кг  ПОКОМ</t>
        </is>
      </c>
      <c r="K138" s="1" t="n">
        <v>65</v>
      </c>
      <c r="L138" s="1">
        <f>E138-K138</f>
        <v/>
      </c>
      <c r="M138" s="1" t="n"/>
      <c r="N138" s="1" t="n"/>
      <c r="O138" s="1" t="n">
        <v>0</v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>
        <v>0</v>
      </c>
      <c r="Y138" s="1" t="n"/>
      <c r="Z138" s="5" t="n"/>
      <c r="AA138" s="5" t="n"/>
      <c r="AB138" s="1" t="n"/>
      <c r="AC138" s="1" t="n"/>
      <c r="AD138" s="1" t="n"/>
      <c r="AE138" s="1" t="n">
        <v>14.8</v>
      </c>
      <c r="AF138" s="1" t="n">
        <v>21.6</v>
      </c>
      <c r="AG138" s="1" t="n">
        <v>19.8</v>
      </c>
      <c r="AH138" s="1" t="n">
        <v>10.4</v>
      </c>
      <c r="AI138" s="1" t="n">
        <v>11.2</v>
      </c>
      <c r="AJ138" s="1" t="n">
        <v>14.6</v>
      </c>
      <c r="AK138" s="1" t="n">
        <v>5.2</v>
      </c>
      <c r="AL138" s="1" t="n">
        <v>0</v>
      </c>
      <c r="AM138" s="1" t="n">
        <v>0</v>
      </c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</row>
    <row r="139">
      <c r="A139" s="1" t="inlineStr">
        <is>
          <t>БОНУС_615  Гречка по-купечески с говядиной и овощами 0,325кг ТМ Стародворье  ПОКОМ</t>
        </is>
      </c>
      <c r="B139" s="1" t="inlineStr">
        <is>
          <t>шт</t>
        </is>
      </c>
      <c r="C139" s="1" t="n">
        <v>30</v>
      </c>
      <c r="D139" s="1" t="n"/>
      <c r="E139" s="1" t="n">
        <v>1</v>
      </c>
      <c r="F139" s="1" t="n">
        <v>29</v>
      </c>
      <c r="G139" s="1" t="n">
        <v>0</v>
      </c>
      <c r="H139" s="1" t="n"/>
      <c r="I139" s="1" t="inlineStr">
        <is>
          <t>бонус</t>
        </is>
      </c>
      <c r="J139" s="1" t="inlineStr">
        <is>
          <t xml:space="preserve"> 615  Гречка по-купечески с говядиной и овощами 0,325кг ТМ Стародворье  ПОКОМ</t>
        </is>
      </c>
      <c r="K139" s="1" t="n">
        <v>1</v>
      </c>
      <c r="L139" s="1">
        <f>E139-K139</f>
        <v/>
      </c>
      <c r="M139" s="1" t="n"/>
      <c r="N139" s="1" t="n"/>
      <c r="O139" s="1" t="n">
        <v>0</v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>
        <v>0</v>
      </c>
      <c r="Y139" s="1" t="n"/>
      <c r="Z139" s="5" t="n"/>
      <c r="AA139" s="5" t="n"/>
      <c r="AB139" s="1" t="n"/>
      <c r="AC139" s="1" t="n"/>
      <c r="AD139" s="1" t="n"/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0.2</v>
      </c>
      <c r="AL139" s="1" t="n">
        <v>0.4</v>
      </c>
      <c r="AM139" s="1" t="n">
        <v>2.4</v>
      </c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2026-09-29T11:16:33Z</dcterms:created>
  <dcterms:modified xsi:type="dcterms:W3CDTF">2026-09-29T11:16:36Z</dcterms:modified>
</cp:coreProperties>
</file>