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Донецк в уценку\"/>
    </mc:Choice>
  </mc:AlternateContent>
  <xr:revisionPtr revIDLastSave="0" documentId="13_ncr:1_{F6266244-A949-479E-B74A-412416B03ED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3" i="1"/>
  <c r="E4" i="1"/>
  <c r="E2" i="1"/>
  <c r="E14" i="1" s="1"/>
</calcChain>
</file>

<file path=xl/sharedStrings.xml><?xml version="1.0" encoding="utf-8"?>
<sst xmlns="http://schemas.openxmlformats.org/spreadsheetml/2006/main" count="38" uniqueCount="27">
  <si>
    <t>Номенклатура</t>
  </si>
  <si>
    <t>Количество</t>
  </si>
  <si>
    <t>Ед. изм.</t>
  </si>
  <si>
    <t xml:space="preserve"> 485  Колбаса Молочная по-стародворски ТМ Стародворье в оболочке полиамид. ВЕС ПОКОМ </t>
  </si>
  <si>
    <t>кг</t>
  </si>
  <si>
    <t xml:space="preserve"> 577  Колбаса Молочная Стародворская ТМ Стародворье в оболочке полиамид НД ВЕС.  ПОКОМ</t>
  </si>
  <si>
    <t xml:space="preserve"> 397  Ветчина Дугушка ТМ Стародворье ТС Дугушка в полиамидной оболочке 0,6 кг. ПОКОМ</t>
  </si>
  <si>
    <t>шт</t>
  </si>
  <si>
    <t>6228 МЯСНОЕ АССОРТИ к/з с/н мгс 1/90 10шт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</si>
  <si>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</si>
  <si>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</si>
  <si>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7276 СЛИВОЧНЫЕ ПМ сос п/о мгс 0,3кг 7шт  Останкино</t>
  </si>
  <si>
    <t>7489 СЫРРРВЕЛАТ Папа Может в/к в/у 0,28кг 8шт.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</si>
  <si>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</si>
  <si>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</si>
  <si>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Сыр "Пармезан" 40% кусок 180 гр  ОСТАНКИНО</t>
  </si>
  <si>
    <t>Сыр твердый "Пармезан", с масовой долей жира 35% Останкино</t>
  </si>
  <si>
    <t>заказал предыдущий закупщик (возможно по ошибке / на момент приходов не было продаж)</t>
  </si>
  <si>
    <t>расчет делался предыдущим закупщиком</t>
  </si>
  <si>
    <t>24,07,26 поступил приход от завода - 36кг с датой изготовления 19,02,26</t>
  </si>
  <si>
    <t>13,06,26 получили 180шт с датой изг. 30,03,26 + 27,06,26 получили 60шт с датой изг. 30,03,26</t>
  </si>
  <si>
    <t>мой первый расчет 29,06,26 / новинка, продажи первой недели 31шт/дн (всего 158шт) / заказал 280шт., далее команда перестала продавать данное скю</t>
  </si>
  <si>
    <t>кратность</t>
  </si>
  <si>
    <t>комментарии</t>
  </si>
  <si>
    <t>заказал предыдущий закупщик (возможно по ошибке / на момент приходов не было продаж), перемещение на Крым 400 кг из 1000, продажи упали с 18 кг в день, до 4 кг</t>
  </si>
  <si>
    <t>расчет делался предыдущим закупщиком, продажи упали с 500 шт в день, до 50 шт</t>
  </si>
  <si>
    <t>вес,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</si>
</sst>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"/>
  <sheetViews>
    <sheetView tabSelected="1" workbookViewId="0">
      <selection activeCell="F19" sqref="F19"/>
    </sheetView>
  </sheetViews>
  <sheetFormatPr defaultColWidth="10.5" defaultRowHeight="11.45" customHeight="1" x14ac:dyDescent="0.2"/>
  <cols>
    <col min="1" max="1" width="80" style="1" customWidth="1"/>
    <col min="2" max="2" width="12.33203125" style="1" customWidth="1"/>
    <col min="3" max="3" width="5.1640625" style="1" customWidth="1"/>
    <col min="6" max="6" width="151.33203125" bestFit="1" customWidth="1"/>
  </cols>
  <sheetData>
    <row r="1" spans="1:6" ht="12.95" customHeight="1" x14ac:dyDescent="0.2">
      <c r="A1" s="2" t="s">
        <v>0</v>
      </c>
      <c r="B1" s="2" t="s">
        <v>1</v>
      </c>
      <c r="C1" s="2" t="s">
        <v>2</v>
      </c>
      <c r="D1" s="6" t="s">
        <v>22</v>
      </c>
      <c r="E1" s="6" t="s">
        <v>26</v>
      </c>
      <c r="F1" s="6" t="s">
        <v>23</v>
      </c>
    </row>
    <row r="2" spans="1:6" ht="11.1" customHeight="1" x14ac:dyDescent="0.2">
      <c r="A2" s="3" t="s">
        <v>3</v>
      </c>
      <c r="B2" s="4">
        <v>383.09899999999999</v>
      </c>
      <c r="C2" s="7" t="s">
        <v>4</v>
      </c>
      <c r="D2" s="8">
        <v>1</v>
      </c>
      <c r="E2" s="8">
        <f>D2*B2</f>
        <v>383.09899999999999</v>
      </c>
      <c r="F2" s="8" t="s">
        <v>24</v>
      </c>
    </row>
    <row r="3" spans="1:6" ht="11.1" customHeight="1" x14ac:dyDescent="0.2">
      <c r="A3" s="3" t="s">
        <v>5</v>
      </c>
      <c r="B3" s="4">
        <v>43.091000000000001</v>
      </c>
      <c r="C3" s="7" t="s">
        <v>4</v>
      </c>
      <c r="D3" s="8">
        <v>1</v>
      </c>
      <c r="E3" s="8">
        <f t="shared" ref="E3:E4" si="0">D3*B3</f>
        <v>43.091000000000001</v>
      </c>
      <c r="F3" s="8" t="s">
        <v>17</v>
      </c>
    </row>
    <row r="4" spans="1:6" ht="11.1" customHeight="1" x14ac:dyDescent="0.2">
      <c r="A4" s="3" t="s">
        <v>6</v>
      </c>
      <c r="B4" s="4">
        <v>6</v>
      </c>
      <c r="C4" s="7" t="s">
        <v>7</v>
      </c>
      <c r="D4" s="8">
        <v>0.3</v>
      </c>
      <c r="E4" s="8">
        <f t="shared" si="0"/>
        <v>1.7999999999999998</v>
      </c>
      <c r="F4" s="8"/>
    </row>
    <row r="5" spans="1:6" ht="11.45" customHeight="1" x14ac:dyDescent="0.2">
      <c r="A5" s="3" t="s">
        <v>8</v>
      </c>
      <c r="B5" s="4">
        <v>138</v>
      </c>
      <c r="C5" s="7" t="s">
        <v>7</v>
      </c>
      <c r="D5" s="8">
        <v>0.09</v>
      </c>
      <c r="E5" s="8">
        <f>D5*B5</f>
        <v>12.42</v>
      </c>
      <c r="F5" s="8"/>
    </row>
    <row r="6" spans="1:6" ht="11.45" customHeight="1" x14ac:dyDescent="0.2">
      <c r="A6" s="3" t="s">
        <v>9</v>
      </c>
      <c r="B6" s="4">
        <v>78</v>
      </c>
      <c r="C6" s="7" t="s">
        <v>7</v>
      </c>
      <c r="D6" s="8">
        <v>0.1</v>
      </c>
      <c r="E6" s="8">
        <f t="shared" ref="E6:E11" si="1">D6*B6</f>
        <v>7.8000000000000007</v>
      </c>
      <c r="F6" s="8"/>
    </row>
    <row r="7" spans="1:6" ht="11.45" customHeight="1" x14ac:dyDescent="0.2">
      <c r="A7" s="3" t="s">
        <v>10</v>
      </c>
      <c r="B7" s="5">
        <v>1108</v>
      </c>
      <c r="C7" s="7" t="s">
        <v>7</v>
      </c>
      <c r="D7" s="8">
        <v>0.3</v>
      </c>
      <c r="E7" s="8">
        <f t="shared" si="1"/>
        <v>332.4</v>
      </c>
      <c r="F7" s="8" t="s">
        <v>25</v>
      </c>
    </row>
    <row r="8" spans="1:6" ht="11.45" customHeight="1" x14ac:dyDescent="0.2">
      <c r="A8" s="3" t="s">
        <v>11</v>
      </c>
      <c r="B8" s="4">
        <v>5</v>
      </c>
      <c r="C8" s="7" t="s">
        <v>7</v>
      </c>
      <c r="D8" s="8">
        <v>0.3</v>
      </c>
      <c r="E8" s="8">
        <f t="shared" si="1"/>
        <v>1.5</v>
      </c>
      <c r="F8" s="8"/>
    </row>
    <row r="9" spans="1:6" ht="11.45" customHeight="1" x14ac:dyDescent="0.2">
      <c r="A9" s="3" t="s">
        <v>12</v>
      </c>
      <c r="B9" s="4">
        <v>155</v>
      </c>
      <c r="C9" s="7" t="s">
        <v>7</v>
      </c>
      <c r="D9" s="8">
        <v>0.28000000000000003</v>
      </c>
      <c r="E9" s="8">
        <f t="shared" si="1"/>
        <v>43.400000000000006</v>
      </c>
      <c r="F9" s="8" t="s">
        <v>21</v>
      </c>
    </row>
    <row r="10" spans="1:6" ht="11.45" customHeight="1" x14ac:dyDescent="0.2">
      <c r="A10" s="3" t="s">
        <v>13</v>
      </c>
      <c r="B10" s="4">
        <v>46</v>
      </c>
      <c r="C10" s="7" t="s">
        <v>7</v>
      </c>
      <c r="D10" s="8">
        <v>0.42</v>
      </c>
      <c r="E10" s="8">
        <f t="shared" si="1"/>
        <v>19.32</v>
      </c>
      <c r="F10" s="8" t="s">
        <v>18</v>
      </c>
    </row>
    <row r="11" spans="1:6" ht="11.45" customHeight="1" x14ac:dyDescent="0.2">
      <c r="A11" s="3" t="s">
        <v>14</v>
      </c>
      <c r="B11" s="4">
        <v>83</v>
      </c>
      <c r="C11" s="7" t="s">
        <v>7</v>
      </c>
      <c r="D11" s="8">
        <v>0.3</v>
      </c>
      <c r="E11" s="8">
        <f t="shared" si="1"/>
        <v>24.9</v>
      </c>
      <c r="F11" s="8" t="s">
        <v>18</v>
      </c>
    </row>
    <row r="12" spans="1:6" ht="11.45" customHeight="1" x14ac:dyDescent="0.2">
      <c r="A12" s="3" t="s">
        <v>15</v>
      </c>
      <c r="B12" s="4">
        <v>138</v>
      </c>
      <c r="C12" s="7" t="s">
        <v>7</v>
      </c>
      <c r="D12" s="8">
        <v>0.18</v>
      </c>
      <c r="E12" s="8">
        <f>D12*B12</f>
        <v>24.84</v>
      </c>
      <c r="F12" s="8" t="s">
        <v>20</v>
      </c>
    </row>
    <row r="13" spans="1:6" ht="11.45" customHeight="1" x14ac:dyDescent="0.2">
      <c r="A13" s="3" t="s">
        <v>16</v>
      </c>
      <c r="B13" s="4">
        <v>32.33</v>
      </c>
      <c r="C13" s="7" t="s">
        <v>4</v>
      </c>
      <c r="D13" s="8">
        <v>1</v>
      </c>
      <c r="E13" s="8">
        <f>D13*B13</f>
        <v>32.33</v>
      </c>
      <c r="F13" s="8" t="s">
        <v>19</v>
      </c>
    </row>
    <row r="14" spans="1:6" ht="11.45" customHeight="1" x14ac:dyDescent="0.2">
      <c r="E14">
        <f>SUM(E2:E13)</f>
        <v>926.90000000000009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2026-08-25T13:50:15Z</dcterms:modified>
</cp:coreProperties>
</file>