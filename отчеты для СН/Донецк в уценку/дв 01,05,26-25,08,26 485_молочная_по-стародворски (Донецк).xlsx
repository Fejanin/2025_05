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отчеты для СН\Донецк в уценку\"/>
    </mc:Choice>
  </mc:AlternateContent>
  <xr:revisionPtr revIDLastSave="0" documentId="13_ncr:1_{DD245EF3-4C76-438E-A4E9-31DF077CC21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DSheet" sheetId="1" r:id="rId1"/>
    <sheet name="Лист1" sheetId="2" r:id="rId2"/>
  </sheets>
  <definedNames>
    <definedName name="_xlnm._FilterDatabase" localSheetId="0" hidden="1">TDSheet!$A$8:$O$140</definedName>
  </definedNames>
  <calcPr calcId="191029" refMode="R1C1"/>
</workbook>
</file>

<file path=xl/calcChain.xml><?xml version="1.0" encoding="utf-8"?>
<calcChain xmlns="http://schemas.openxmlformats.org/spreadsheetml/2006/main">
  <c r="R3" i="2" l="1"/>
  <c r="P3" i="2"/>
  <c r="N3" i="2"/>
  <c r="L3" i="2"/>
  <c r="J3" i="2"/>
  <c r="H3" i="2"/>
  <c r="F3" i="2"/>
  <c r="Q138" i="1"/>
  <c r="Q120" i="1"/>
  <c r="Q102" i="1"/>
  <c r="Q95" i="1"/>
  <c r="Q79" i="1"/>
  <c r="Q21" i="1"/>
  <c r="Q1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0" i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</calcChain>
</file>

<file path=xl/sharedStrings.xml><?xml version="1.0" encoding="utf-8"?>
<sst xmlns="http://schemas.openxmlformats.org/spreadsheetml/2006/main" count="156" uniqueCount="149">
  <si>
    <t>Ведомость по товарам на складах</t>
  </si>
  <si>
    <t>Параметры:</t>
  </si>
  <si>
    <t>Период: 01.05.2026 - 25.08.2026</t>
  </si>
  <si>
    <t>Количество товаров: В единицах хранения</t>
  </si>
  <si>
    <t>Отбор:</t>
  </si>
  <si>
    <t>Склад В списке "АСП Донецк ПОКОМ" И
Номенклатура Равно " 485  Колбаса Молочная по-стародворски ТМ Стародворье в оболочке полиамид. ВЕС ПОКОМ "</t>
  </si>
  <si>
    <t>Регистратор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</si>
  <si>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</si>
  <si>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</si>
  <si>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</si>
  <si>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</si>
  <si>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</si>
  <si>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</si>
  <si>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Приходный ордер на товары №00-00010789 от 05.06.2026</t>
  </si>
  <si>
    <t>Приходный ордер на товары №00-00010910 от 09.06.2026</t>
  </si>
  <si>
    <t>Приходный ордер на товары №00-00011290 от 16.06.2026</t>
  </si>
  <si>
    <t>Приходный ордер на товары №00-00011399 от 18.06.2026</t>
  </si>
  <si>
    <t>Расходный ордер на товары №00-00271269 от 24.06.2026</t>
  </si>
  <si>
    <t>Приходный ордер на товары №00-00011634 от 24.06.2026</t>
  </si>
  <si>
    <t>Расходный ордер на товары №00-00272479 от 25.06.2026</t>
  </si>
  <si>
    <t>Расходный ордер на товары №00-00272480 от 25.06.2026</t>
  </si>
  <si>
    <t>Расходный ордер на товары №00-00274230 от 26.06.2026</t>
  </si>
  <si>
    <t>Пересчет товаров №00-00001210 от 29.06.2026</t>
  </si>
  <si>
    <t>Расходный ордер на товары №00-00278375 от 30.06.2026</t>
  </si>
  <si>
    <t>Расходный ордер на товары №00-00278140 от 30.06.2026</t>
  </si>
  <si>
    <t>Расходный ордер на товары №00-00289588 от 07.07.2026</t>
  </si>
  <si>
    <t>Расходный ордер на товары №00-00292188 от 08.07.2026</t>
  </si>
  <si>
    <t>Расходный ордер на товары №00-00292640 от 08.07.2026</t>
  </si>
  <si>
    <t>Расходный ордер на товары №00-00293498 от 09.07.2026</t>
  </si>
  <si>
    <t>Расходный ордер на товары №00-00293509 от 09.07.2026</t>
  </si>
  <si>
    <t>Расходный ордер на товары №00-00292939 от 09.07.2026</t>
  </si>
  <si>
    <t>Расходный ордер на товары №00-00292949 от 09.07.2026</t>
  </si>
  <si>
    <t>Расходный ордер на товары №00-00292953 от 09.07.2026</t>
  </si>
  <si>
    <t>Расходный ордер на товары №00-00292962 от 09.07.2026</t>
  </si>
  <si>
    <t>Расходный ордер на товары №00-00292931 от 09.07.2026</t>
  </si>
  <si>
    <t>Расходный ордер на товары №00-00292971 от 09.07.2026</t>
  </si>
  <si>
    <t>Расходный ордер на товары №00-00293716 от 09.07.2026</t>
  </si>
  <si>
    <t>Расходный ордер на товары №00-00293507 от 09.07.2026</t>
  </si>
  <si>
    <t>Расходный ордер на товары №00-00293510 от 09.07.2026</t>
  </si>
  <si>
    <t>Расходный ордер на товары №00-00293718 от 09.07.2026</t>
  </si>
  <si>
    <t>Расходный ордер на товары №00-00294180 от 09.07.2026</t>
  </si>
  <si>
    <t>Расходный ордер на товары №00-00294561 от 09.07.2026</t>
  </si>
  <si>
    <t>Расходный ордер на товары №00-00294765 от 09.07.2026</t>
  </si>
  <si>
    <t>Расходный ордер на товары №00-00294763 от 09.07.2026</t>
  </si>
  <si>
    <t>Расходный ордер на товары №00-00294764 от 09.07.2026</t>
  </si>
  <si>
    <t>Расходный ордер на товары №00-00294476 от 09.07.2026</t>
  </si>
  <si>
    <t>Расходный ордер на товары №00-00294161 от 09.07.2026</t>
  </si>
  <si>
    <t>Расходный ордер на товары №00-00294187 от 09.07.2026</t>
  </si>
  <si>
    <t>Расходный ордер на товары №00-00293747 от 09.07.2026</t>
  </si>
  <si>
    <t>Расходный ордер на товары №00-00293746 от 09.07.2026</t>
  </si>
  <si>
    <t>Расходный ордер на товары №00-00293719 от 09.07.2026</t>
  </si>
  <si>
    <t>Расходный ордер на товары №00-00294183 от 09.07.2026</t>
  </si>
  <si>
    <t>Расходный ордер на товары №00-00294228 от 09.07.2026</t>
  </si>
  <si>
    <t>Расходный ордер на товары №00-00293748 от 09.07.2026</t>
  </si>
  <si>
    <t>Расходный ордер на товары №00-00294198 от 09.07.2026</t>
  </si>
  <si>
    <t>Расходный ордер на товары №00-00293704 от 09.07.2026</t>
  </si>
  <si>
    <t>Расходный ордер на товары №00-00294179 от 09.07.2026</t>
  </si>
  <si>
    <t>Расходный ордер на товары №00-00294231 от 09.07.2026</t>
  </si>
  <si>
    <t>Расходный ордер на товары №00-00295642 от 10.07.2026</t>
  </si>
  <si>
    <t>Расходный ордер на товары №00-00295105 от 10.07.2026</t>
  </si>
  <si>
    <t>Расходный ордер на товары №00-00296232 от 09.07.2026</t>
  </si>
  <si>
    <t>Расходный ордер на товары №00-00296045 от 10.07.2026</t>
  </si>
  <si>
    <t>Расходный ордер на товары №00-00295677 от 10.07.2026</t>
  </si>
  <si>
    <t>Расходный ордер на товары №00-00295656 от 10.07.2026</t>
  </si>
  <si>
    <t>Расходный ордер на товары №00-00295644 от 10.07.2026</t>
  </si>
  <si>
    <t>Расходный ордер на товары №00-00295657 от 10.07.2026</t>
  </si>
  <si>
    <t>Расходный ордер на товары №00-00295678 от 10.07.2026</t>
  </si>
  <si>
    <t>Расходный ордер на товары №00-00296010 от 10.07.2026</t>
  </si>
  <si>
    <t>Расходный ордер на товары №00-00295671 от 10.07.2026</t>
  </si>
  <si>
    <t>Расходный ордер на товары №00-00296301 от 10.07.2026</t>
  </si>
  <si>
    <t>Расходный ордер на товары №00-00296055 от 10.07.2026</t>
  </si>
  <si>
    <t>Расходный ордер на товары №00-00296716 от 10.07.2026</t>
  </si>
  <si>
    <t>Расходный ордер на товары №00-00296662 от 10.07.2026</t>
  </si>
  <si>
    <t>Расходный ордер на товары №00-00296878 от 10.07.2026</t>
  </si>
  <si>
    <t>Приходный ордер на товары №00-00012691 от 10.07.2026</t>
  </si>
  <si>
    <t>Расходный ордер на товары №00-00297463 от 11.07.2026</t>
  </si>
  <si>
    <t>Расходный ордер на товары №00-00297450 от 11.07.2026</t>
  </si>
  <si>
    <t>Расходный ордер на товары №00-00298277 от 11.07.2026</t>
  </si>
  <si>
    <t>Расходный ордер на товары №00-00298322 от 11.07.2026</t>
  </si>
  <si>
    <t>Расходный ордер на товары №00-00298600 от 11.07.2026</t>
  </si>
  <si>
    <t>Расходный ордер на товары №00-00298577 от 11.07.2026</t>
  </si>
  <si>
    <t>Расходный ордер на товары №00-00298559 от 11.07.2026</t>
  </si>
  <si>
    <t>Расходный ордер на товары №00-00298800 от 11.07.2026</t>
  </si>
  <si>
    <t>Пересчет товаров №00-00001252 от 12.07.2026</t>
  </si>
  <si>
    <t>Расходный ордер на товары №00-00300957 от 14.07.2026</t>
  </si>
  <si>
    <t>Расходный ордер на товары №00-00301693 от 15.07.2026</t>
  </si>
  <si>
    <t>Расходный ордер на товары №00-00301687 от 15.07.2026</t>
  </si>
  <si>
    <t>Расходный ордер на товары №00-00302162 от 15.07.2026</t>
  </si>
  <si>
    <t>Расходный ордер на товары №00-00301455 от 15.07.2026</t>
  </si>
  <si>
    <t>Расходный ордер на товары №00-00302989 от 15.07.2026</t>
  </si>
  <si>
    <t>Расходный ордер на товары №00-00302986 от 15.07.2026</t>
  </si>
  <si>
    <t>Расходный ордер на товары №00-00302984 от 15.07.2026</t>
  </si>
  <si>
    <t>Расходный ордер на товары №00-00301486 от 15.07.2026</t>
  </si>
  <si>
    <t>Приходный ордер на товары №00-00012945 от 15.07.2026</t>
  </si>
  <si>
    <t>Приходный ордер на товары №00-00012952 от 15.07.2026</t>
  </si>
  <si>
    <t>Расходный ордер на товары №00-00304542 от 16.07.2026</t>
  </si>
  <si>
    <t>Расходный ордер на товары №00-00304543 от 16.07.2026</t>
  </si>
  <si>
    <t>Расходный ордер на товары №00-00305172 от 16.07.2026</t>
  </si>
  <si>
    <t>Расходный ордер на товары №00-00307657 от 17.07.2026</t>
  </si>
  <si>
    <t>Расходный ордер на товары №00-00310309 от 21.07.2026</t>
  </si>
  <si>
    <t>Расходный ордер на товары №00-00314964 от 23.07.2026</t>
  </si>
  <si>
    <t>Расходный ордер на товары №00-00315773 от 23.07.2026</t>
  </si>
  <si>
    <t>Приходный ордер на товары №00-00014070 от 23.07.2026</t>
  </si>
  <si>
    <t>Расходный ордер на товары №00-00317598 от 24.07.2026</t>
  </si>
  <si>
    <t>Расходный ордер на товары №00-00317278 от 24.07.2026</t>
  </si>
  <si>
    <t>Расходный ордер на товары №00-00319654 от 25.07.2026</t>
  </si>
  <si>
    <t>Расходный ордер на товары №00-00321627 от 28.07.2026</t>
  </si>
  <si>
    <t>Расходный ордер на товары №00-00322524 от 28.07.2026</t>
  </si>
  <si>
    <t>Расходный ордер на товары №00-00323019 от 28.07.2026</t>
  </si>
  <si>
    <t>Расходный ордер на товары №00-00323812 от 28.07.2026</t>
  </si>
  <si>
    <t>Расходный ордер на товары №00-00324427 от 29.07.2026</t>
  </si>
  <si>
    <t>Расходный ордер на товары №00-00323694 от 29.07.2026</t>
  </si>
  <si>
    <t>Расходный ордер на товары №00-00324052 от 29.07.2026</t>
  </si>
  <si>
    <t>Приходный ордер на товары №00-00014462 от 28.07.2026</t>
  </si>
  <si>
    <t>Расходный ордер на товары №00-00325849 от 30.07.2026</t>
  </si>
  <si>
    <t>Расходный ордер на товары №00-00326183 от 30.07.2026</t>
  </si>
  <si>
    <t>Расходный ордер на товары №00-00326098 от 30.07.2026</t>
  </si>
  <si>
    <t>Расходный ордер на товары №00-00326099 от 30.07.2026</t>
  </si>
  <si>
    <t>Расходный ордер на товары №00-00327346 от 30.07.2026</t>
  </si>
  <si>
    <t>Расходный ордер на товары №00-00326345 от 30.07.2026</t>
  </si>
  <si>
    <t>Расходный ордер на товары №00-00328453 от 30.07.2026</t>
  </si>
  <si>
    <t>Расходный ордер на товары №00-00328139 от 31.07.2026</t>
  </si>
  <si>
    <t>Расходный ордер на товары №00-00329008 от 31.07.2026</t>
  </si>
  <si>
    <t>Расходный ордер на товары №00-00330551 от 01.08.2026</t>
  </si>
  <si>
    <t>Расходный ордер на товары №00-00331860 от 04.08.2026</t>
  </si>
  <si>
    <t>Расходный ордер на товары №00-00332378 от 04.08.2026</t>
  </si>
  <si>
    <t>Расходный ордер на товары №00-00334712 от 05.08.2026</t>
  </si>
  <si>
    <t>Расходный ордер на товары №00-00333997 от 05.08.2026</t>
  </si>
  <si>
    <t>Расходный ордер на товары №00-00334272 от 05.08.2026</t>
  </si>
  <si>
    <t>Расходный ордер на товары №00-00333535 от 05.08.2026</t>
  </si>
  <si>
    <t>Расходный ордер на товары №00-00335123 от 05.08.2026</t>
  </si>
  <si>
    <t>Расходный ордер на товары №00-00335092 от 05.08.2026</t>
  </si>
  <si>
    <t>Расходный ордер на товары №00-00335121 от 05.08.2026</t>
  </si>
  <si>
    <t>Расходный ордер на товары №00-00336054 от 06.08.2026</t>
  </si>
  <si>
    <t>Расходный ордер на товары №00-00336137 от 06.08.2026</t>
  </si>
  <si>
    <t>Расходный ордер на товары №00-00336134 от 06.08.2026</t>
  </si>
  <si>
    <t>Приходный ордер на товары №00-00015154 от 05.08.2026</t>
  </si>
  <si>
    <t>Расходный ордер на товары №00-00336136 от 06.08.2026</t>
  </si>
  <si>
    <t>Расходный ордер на товары №00-00336123 от 06.08.2026</t>
  </si>
  <si>
    <t>Расходный ордер на товары №00-00338077 от 07.08.2026</t>
  </si>
  <si>
    <t>Приходный ордер на товары №00-00015565 от 06.08.2026</t>
  </si>
  <si>
    <t>Расходный ордер на товары №00-00338631 от 07.08.2026</t>
  </si>
  <si>
    <t>Расходный ордер на товары №00-00339261 от 06.08.2026</t>
  </si>
  <si>
    <t>Итого</t>
  </si>
  <si>
    <t>Номенклатура</t>
  </si>
  <si>
    <t>485  Колбаса Молочная по-стародворски ТМ Стародворье в оболочке полиамид. ВЕС ПОКОМ</t>
  </si>
  <si>
    <t>ПРОДАЖИ В РАЗРЕЗЕ НЕДЕЛЬ</t>
  </si>
  <si>
    <t>перемещение</t>
  </si>
  <si>
    <t>в уценку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</si>
</sst>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8" x14ac:knownFonts="1">
    <font>
      <sz val="8"/>
      <name val="Arial"/>
    </font>
    <font>
      <b/>
      <sz val="18"/>
      <name val="Arial"/>
    </font>
    <font>
      <sz val="10"/>
      <name val="Arial"/>
    </font>
    <font>
      <sz val="14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4" fontId="0" fillId="0" borderId="0" xfId="0" applyNumberFormat="1"/>
    <xf numFmtId="0" fontId="0" fillId="0" borderId="6" xfId="0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165" fontId="0" fillId="3" borderId="5" xfId="0" applyNumberFormat="1" applyFill="1" applyBorder="1" applyAlignment="1">
      <alignment horizontal="right" vertical="top"/>
    </xf>
    <xf numFmtId="0" fontId="0" fillId="3" borderId="6" xfId="0" applyFill="1" applyBorder="1" applyAlignment="1">
      <alignment horizontal="right" vertical="top"/>
    </xf>
    <xf numFmtId="0" fontId="0" fillId="3" borderId="7" xfId="0" applyFill="1" applyBorder="1" applyAlignment="1">
      <alignment horizontal="right" vertical="top"/>
    </xf>
    <xf numFmtId="164" fontId="0" fillId="3" borderId="5" xfId="0" applyNumberFormat="1" applyFill="1" applyBorder="1" applyAlignment="1">
      <alignment horizontal="right" vertical="top"/>
    </xf>
    <xf numFmtId="0" fontId="0" fillId="3" borderId="5" xfId="0" applyFill="1" applyBorder="1" applyAlignment="1">
      <alignment horizontal="right" vertical="top"/>
    </xf>
    <xf numFmtId="0" fontId="2" fillId="2" borderId="5" xfId="0" applyFont="1" applyFill="1" applyBorder="1" applyAlignment="1">
      <alignment vertical="top" wrapText="1"/>
    </xf>
    <xf numFmtId="0" fontId="0" fillId="0" borderId="9" xfId="0" applyBorder="1"/>
    <xf numFmtId="0" fontId="4" fillId="0" borderId="9" xfId="0" applyFont="1" applyBorder="1"/>
    <xf numFmtId="14" fontId="0" fillId="0" borderId="9" xfId="0" applyNumberFormat="1" applyBorder="1"/>
    <xf numFmtId="0" fontId="0" fillId="4" borderId="6" xfId="0" applyFill="1" applyBorder="1" applyAlignment="1">
      <alignment horizontal="left" vertical="top" wrapText="1"/>
    </xf>
    <xf numFmtId="165" fontId="0" fillId="4" borderId="5" xfId="0" applyNumberFormat="1" applyFill="1" applyBorder="1" applyAlignment="1">
      <alignment horizontal="right" vertical="top"/>
    </xf>
    <xf numFmtId="0" fontId="0" fillId="4" borderId="6" xfId="0" applyFill="1" applyBorder="1" applyAlignment="1">
      <alignment horizontal="right" vertical="top"/>
    </xf>
    <xf numFmtId="0" fontId="0" fillId="4" borderId="7" xfId="0" applyFill="1" applyBorder="1" applyAlignment="1">
      <alignment horizontal="right" vertical="top"/>
    </xf>
    <xf numFmtId="164" fontId="0" fillId="4" borderId="5" xfId="0" applyNumberFormat="1" applyFill="1" applyBorder="1" applyAlignment="1">
      <alignment horizontal="right" vertical="top"/>
    </xf>
    <xf numFmtId="0" fontId="0" fillId="4" borderId="5" xfId="0" applyFill="1" applyBorder="1" applyAlignment="1">
      <alignment horizontal="right" vertical="top"/>
    </xf>
    <xf numFmtId="164" fontId="0" fillId="0" borderId="0" xfId="0" applyNumberFormat="1"/>
    <xf numFmtId="0" fontId="6" fillId="0" borderId="0" xfId="0" applyFont="1" applyAlignment="1">
      <alignment horizontal="left"/>
    </xf>
    <xf numFmtId="0" fontId="7" fillId="2" borderId="5" xfId="0" applyFont="1" applyFill="1" applyBorder="1" applyAlignment="1">
      <alignment horizontal="left" vertical="top" wrapText="1"/>
    </xf>
    <xf numFmtId="164" fontId="6" fillId="0" borderId="5" xfId="0" applyNumberFormat="1" applyFont="1" applyBorder="1" applyAlignment="1">
      <alignment horizontal="right" vertical="top"/>
    </xf>
    <xf numFmtId="164" fontId="6" fillId="3" borderId="5" xfId="0" applyNumberFormat="1" applyFont="1" applyFill="1" applyBorder="1" applyAlignment="1">
      <alignment horizontal="right" vertical="top"/>
    </xf>
    <xf numFmtId="164" fontId="6" fillId="4" borderId="5" xfId="0" applyNumberFormat="1" applyFont="1" applyFill="1" applyBorder="1" applyAlignment="1">
      <alignment horizontal="right" vertical="top"/>
    </xf>
    <xf numFmtId="14" fontId="0" fillId="0" borderId="0" xfId="0" applyNumberFormat="1" applyAlignment="1">
      <alignment horizontal="left"/>
    </xf>
    <xf numFmtId="14" fontId="0" fillId="3" borderId="0" xfId="0" applyNumberFormat="1" applyFill="1"/>
    <xf numFmtId="14" fontId="4" fillId="4" borderId="0" xfId="0" applyNumberFormat="1" applyFont="1" applyFill="1"/>
    <xf numFmtId="14" fontId="0" fillId="3" borderId="8" xfId="0" applyNumberFormat="1" applyFill="1" applyBorder="1" applyAlignment="1">
      <alignment horizontal="right" vertical="top"/>
    </xf>
    <xf numFmtId="0" fontId="0" fillId="0" borderId="5" xfId="0" applyBorder="1" applyAlignment="1">
      <alignment horizontal="left" vertical="top" wrapText="1"/>
    </xf>
    <xf numFmtId="164" fontId="0" fillId="4" borderId="5" xfId="0" applyNumberFormat="1" applyFill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  <xf numFmtId="165" fontId="2" fillId="2" borderId="5" xfId="0" applyNumberFormat="1" applyFont="1" applyFill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0" fillId="3" borderId="5" xfId="0" applyNumberFormat="1" applyFill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165" fontId="0" fillId="4" borderId="5" xfId="0" applyNumberFormat="1" applyFill="1" applyBorder="1" applyAlignment="1">
      <alignment horizontal="right" vertical="top"/>
    </xf>
    <xf numFmtId="165" fontId="0" fillId="3" borderId="5" xfId="0" applyNumberFormat="1" applyFill="1" applyBorder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Q140"/>
  <sheetViews>
    <sheetView topLeftCell="A98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48.5" style="1" customWidth="1"/>
    <col min="4" max="5" width="15.5" style="1" customWidth="1"/>
    <col min="6" max="7" width="7" style="1" customWidth="1"/>
    <col min="8" max="8" width="7.6640625" style="1" customWidth="1"/>
    <col min="9" max="9" width="6.5" style="1" customWidth="1"/>
    <col min="10" max="10" width="14" style="36" customWidth="1"/>
    <col min="11" max="15" width="14" style="1" customWidth="1"/>
    <col min="16" max="16" width="12.83203125" style="17" customWidth="1"/>
  </cols>
  <sheetData>
    <row r="1" spans="1:16" s="1" customFormat="1" ht="9.9499999999999993" customHeight="1" x14ac:dyDescent="0.2">
      <c r="J1" s="36"/>
      <c r="P1" s="41"/>
    </row>
    <row r="2" spans="1:16" ht="24.95" customHeight="1" x14ac:dyDescent="0.2">
      <c r="A2" s="2" t="s">
        <v>0</v>
      </c>
      <c r="B2" s="2"/>
      <c r="C2" s="2"/>
      <c r="D2" s="2"/>
      <c r="E2" s="2"/>
      <c r="F2" s="2"/>
    </row>
    <row r="3" spans="1:16" s="1" customFormat="1" ht="9.9499999999999993" customHeight="1" x14ac:dyDescent="0.2">
      <c r="J3" s="36"/>
      <c r="P3" s="41"/>
    </row>
    <row r="4" spans="1:16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  <c r="G4" s="3"/>
      <c r="H4" s="3"/>
    </row>
    <row r="5" spans="1:16" ht="12.95" customHeight="1" outlineLevel="1" x14ac:dyDescent="0.2">
      <c r="C5" s="3" t="s">
        <v>3</v>
      </c>
      <c r="D5" s="3"/>
      <c r="E5" s="3"/>
      <c r="F5" s="3"/>
      <c r="G5" s="3"/>
      <c r="H5" s="3"/>
    </row>
    <row r="6" spans="1:16" ht="26.1" customHeight="1" outlineLevel="1" x14ac:dyDescent="0.2">
      <c r="A6" s="3" t="s">
        <v>4</v>
      </c>
      <c r="B6" s="3"/>
      <c r="C6" s="54" t="s">
        <v>5</v>
      </c>
      <c r="D6" s="55"/>
      <c r="E6" s="55"/>
      <c r="F6" s="55"/>
      <c r="G6" s="55"/>
      <c r="H6" s="55"/>
      <c r="I6" s="55"/>
    </row>
    <row r="7" spans="1:16" s="1" customFormat="1" ht="9.9499999999999993" customHeight="1" x14ac:dyDescent="0.2">
      <c r="J7" s="36"/>
      <c r="P7" s="41"/>
    </row>
    <row r="8" spans="1:16" ht="12.95" customHeight="1" x14ac:dyDescent="0.2">
      <c r="A8" s="56" t="s">
        <v>6</v>
      </c>
      <c r="B8" s="56"/>
      <c r="C8" s="56"/>
      <c r="D8" s="5"/>
      <c r="E8" s="5"/>
      <c r="F8" s="25" t="s">
        <v>7</v>
      </c>
      <c r="G8" s="25"/>
      <c r="H8" s="25"/>
      <c r="I8" s="25"/>
      <c r="J8" s="37" t="s">
        <v>11</v>
      </c>
      <c r="K8" s="25"/>
      <c r="L8" s="60" t="s">
        <v>8</v>
      </c>
      <c r="M8" s="60"/>
      <c r="N8" s="60"/>
      <c r="O8" s="60"/>
    </row>
    <row r="9" spans="1:16" ht="26.1" hidden="1" customHeight="1" x14ac:dyDescent="0.2">
      <c r="A9" s="57"/>
      <c r="B9" s="58"/>
      <c r="C9" s="59"/>
      <c r="D9" s="4"/>
      <c r="E9" s="4"/>
      <c r="F9" s="60" t="s">
        <v>9</v>
      </c>
      <c r="G9" s="60"/>
      <c r="H9" s="60" t="s">
        <v>10</v>
      </c>
      <c r="I9" s="60"/>
      <c r="J9" s="6" t="s">
        <v>11</v>
      </c>
      <c r="K9" s="6" t="s">
        <v>12</v>
      </c>
      <c r="L9" s="6" t="s">
        <v>9</v>
      </c>
      <c r="M9" s="6" t="s">
        <v>10</v>
      </c>
      <c r="N9" s="6" t="s">
        <v>11</v>
      </c>
      <c r="O9" s="6" t="s">
        <v>12</v>
      </c>
      <c r="P9"/>
    </row>
    <row r="10" spans="1:16" ht="11.1" hidden="1" customHeight="1" x14ac:dyDescent="0.2">
      <c r="A10" s="45" t="s">
        <v>13</v>
      </c>
      <c r="B10" s="45"/>
      <c r="C10" s="45"/>
      <c r="D10" s="18" t="str">
        <f>RIGHT(A10,10)</f>
        <v>05.06.2026</v>
      </c>
      <c r="E10" s="18" t="str">
        <f>LEFT(A10,9)</f>
        <v>Приходный</v>
      </c>
      <c r="F10" s="7"/>
      <c r="G10" s="8"/>
      <c r="H10" s="49">
        <v>32.29</v>
      </c>
      <c r="I10" s="49"/>
      <c r="J10" s="10"/>
      <c r="K10" s="9">
        <v>32.29</v>
      </c>
      <c r="L10" s="10"/>
      <c r="M10" s="9">
        <v>32.29</v>
      </c>
      <c r="N10" s="10"/>
      <c r="O10" s="9">
        <v>32.29</v>
      </c>
      <c r="P10"/>
    </row>
    <row r="11" spans="1:16" ht="11.1" hidden="1" customHeight="1" x14ac:dyDescent="0.2">
      <c r="A11" s="45" t="s">
        <v>14</v>
      </c>
      <c r="B11" s="45"/>
      <c r="C11" s="45"/>
      <c r="D11" s="18" t="str">
        <f t="shared" ref="D11:D74" si="0">RIGHT(A11,10)</f>
        <v>09.06.2026</v>
      </c>
      <c r="E11" s="18" t="str">
        <f t="shared" ref="E11:E74" si="1">LEFT(A11,9)</f>
        <v>Приходный</v>
      </c>
      <c r="F11" s="49">
        <v>32.29</v>
      </c>
      <c r="G11" s="49"/>
      <c r="H11" s="49">
        <v>150.58000000000001</v>
      </c>
      <c r="I11" s="49"/>
      <c r="J11" s="10"/>
      <c r="K11" s="9">
        <v>182.87</v>
      </c>
      <c r="L11" s="9">
        <v>32.29</v>
      </c>
      <c r="M11" s="9">
        <v>150.58000000000001</v>
      </c>
      <c r="N11" s="10"/>
      <c r="O11" s="9">
        <v>182.87</v>
      </c>
      <c r="P11"/>
    </row>
    <row r="12" spans="1:16" ht="11.1" hidden="1" customHeight="1" x14ac:dyDescent="0.2">
      <c r="A12" s="45" t="s">
        <v>15</v>
      </c>
      <c r="B12" s="45"/>
      <c r="C12" s="45"/>
      <c r="D12" s="18" t="str">
        <f t="shared" si="0"/>
        <v>16.06.2026</v>
      </c>
      <c r="E12" s="18" t="str">
        <f t="shared" si="1"/>
        <v>Приходный</v>
      </c>
      <c r="F12" s="49">
        <v>182.87</v>
      </c>
      <c r="G12" s="49"/>
      <c r="H12" s="49">
        <v>205.14</v>
      </c>
      <c r="I12" s="49"/>
      <c r="J12" s="10"/>
      <c r="K12" s="9">
        <v>388.01</v>
      </c>
      <c r="L12" s="9">
        <v>182.87</v>
      </c>
      <c r="M12" s="9">
        <v>205.14</v>
      </c>
      <c r="N12" s="10"/>
      <c r="O12" s="9">
        <v>388.01</v>
      </c>
      <c r="P12"/>
    </row>
    <row r="13" spans="1:16" ht="11.1" hidden="1" customHeight="1" x14ac:dyDescent="0.2">
      <c r="A13" s="45" t="s">
        <v>16</v>
      </c>
      <c r="B13" s="45"/>
      <c r="C13" s="45"/>
      <c r="D13" s="18" t="str">
        <f t="shared" si="0"/>
        <v>18.06.2026</v>
      </c>
      <c r="E13" s="18" t="str">
        <f t="shared" si="1"/>
        <v>Приходный</v>
      </c>
      <c r="F13" s="49">
        <v>388.01</v>
      </c>
      <c r="G13" s="49"/>
      <c r="H13" s="49">
        <v>305.995</v>
      </c>
      <c r="I13" s="49"/>
      <c r="J13" s="10"/>
      <c r="K13" s="9">
        <v>694.005</v>
      </c>
      <c r="L13" s="9">
        <v>388.01</v>
      </c>
      <c r="M13" s="9">
        <v>305.995</v>
      </c>
      <c r="N13" s="10"/>
      <c r="O13" s="9">
        <v>694.005</v>
      </c>
      <c r="P13"/>
    </row>
    <row r="14" spans="1:16" ht="11.1" customHeight="1" x14ac:dyDescent="0.2">
      <c r="A14" s="45" t="s">
        <v>17</v>
      </c>
      <c r="B14" s="45"/>
      <c r="C14" s="45"/>
      <c r="D14" s="18" t="str">
        <f t="shared" si="0"/>
        <v>24.06.2026</v>
      </c>
      <c r="E14" s="18" t="str">
        <f t="shared" si="1"/>
        <v>Расходный</v>
      </c>
      <c r="F14" s="49">
        <v>694.005</v>
      </c>
      <c r="G14" s="49"/>
      <c r="H14" s="7"/>
      <c r="I14" s="8"/>
      <c r="J14" s="38">
        <v>1.35</v>
      </c>
      <c r="K14" s="9">
        <v>692.65499999999997</v>
      </c>
      <c r="L14" s="9">
        <v>694.005</v>
      </c>
      <c r="M14" s="10"/>
      <c r="N14" s="9">
        <v>1.35</v>
      </c>
      <c r="O14" s="9">
        <v>692.65499999999997</v>
      </c>
    </row>
    <row r="15" spans="1:16" ht="11.1" hidden="1" customHeight="1" x14ac:dyDescent="0.2">
      <c r="A15" s="45" t="s">
        <v>18</v>
      </c>
      <c r="B15" s="45"/>
      <c r="C15" s="45"/>
      <c r="D15" s="18" t="str">
        <f t="shared" si="0"/>
        <v>24.06.2026</v>
      </c>
      <c r="E15" s="18" t="str">
        <f t="shared" si="1"/>
        <v>Приходный</v>
      </c>
      <c r="F15" s="49">
        <v>692.65499999999997</v>
      </c>
      <c r="G15" s="49"/>
      <c r="H15" s="49">
        <v>410.13400000000001</v>
      </c>
      <c r="I15" s="49"/>
      <c r="J15" s="10"/>
      <c r="K15" s="11">
        <v>1102.789</v>
      </c>
      <c r="L15" s="9">
        <v>692.65499999999997</v>
      </c>
      <c r="M15" s="9">
        <v>410.13400000000001</v>
      </c>
      <c r="N15" s="10"/>
      <c r="O15" s="11">
        <v>1102.789</v>
      </c>
      <c r="P15"/>
    </row>
    <row r="16" spans="1:16" ht="11.1" customHeight="1" x14ac:dyDescent="0.2">
      <c r="A16" s="45" t="s">
        <v>19</v>
      </c>
      <c r="B16" s="45"/>
      <c r="C16" s="45"/>
      <c r="D16" s="18" t="str">
        <f t="shared" si="0"/>
        <v>25.06.2026</v>
      </c>
      <c r="E16" s="18" t="str">
        <f t="shared" si="1"/>
        <v>Расходный</v>
      </c>
      <c r="F16" s="51">
        <v>1102.789</v>
      </c>
      <c r="G16" s="51"/>
      <c r="H16" s="7"/>
      <c r="I16" s="8"/>
      <c r="J16" s="38">
        <v>1.3420000000000001</v>
      </c>
      <c r="K16" s="11">
        <v>1101.4469999999999</v>
      </c>
      <c r="L16" s="11">
        <v>1102.789</v>
      </c>
      <c r="M16" s="10"/>
      <c r="N16" s="9">
        <v>1.3420000000000001</v>
      </c>
      <c r="O16" s="11">
        <v>1101.4469999999999</v>
      </c>
    </row>
    <row r="17" spans="1:17" ht="11.1" customHeight="1" x14ac:dyDescent="0.2">
      <c r="A17" s="45" t="s">
        <v>20</v>
      </c>
      <c r="B17" s="45"/>
      <c r="C17" s="45"/>
      <c r="D17" s="18" t="str">
        <f t="shared" si="0"/>
        <v>25.06.2026</v>
      </c>
      <c r="E17" s="18" t="str">
        <f t="shared" si="1"/>
        <v>Расходный</v>
      </c>
      <c r="F17" s="51">
        <v>1101.4469999999999</v>
      </c>
      <c r="G17" s="51"/>
      <c r="H17" s="7"/>
      <c r="I17" s="8"/>
      <c r="J17" s="38">
        <v>2.6949999999999998</v>
      </c>
      <c r="K17" s="11">
        <v>1098.752</v>
      </c>
      <c r="L17" s="11">
        <v>1101.4469999999999</v>
      </c>
      <c r="M17" s="10"/>
      <c r="N17" s="9">
        <v>2.6949999999999998</v>
      </c>
      <c r="O17" s="11">
        <v>1098.752</v>
      </c>
    </row>
    <row r="18" spans="1:17" ht="11.1" customHeight="1" x14ac:dyDescent="0.2">
      <c r="A18" s="45" t="s">
        <v>21</v>
      </c>
      <c r="B18" s="45"/>
      <c r="C18" s="45"/>
      <c r="D18" s="19" t="str">
        <f t="shared" si="0"/>
        <v>26.06.2026</v>
      </c>
      <c r="E18" s="19" t="str">
        <f t="shared" si="1"/>
        <v>Расходный</v>
      </c>
      <c r="F18" s="53">
        <v>1098.752</v>
      </c>
      <c r="G18" s="53"/>
      <c r="H18" s="21"/>
      <c r="I18" s="22"/>
      <c r="J18" s="39">
        <v>1.34</v>
      </c>
      <c r="K18" s="20">
        <v>1097.412</v>
      </c>
      <c r="L18" s="20">
        <v>1098.752</v>
      </c>
      <c r="M18" s="24"/>
      <c r="N18" s="23">
        <v>1.34</v>
      </c>
      <c r="O18" s="20">
        <v>1097.412</v>
      </c>
      <c r="P18" s="42">
        <v>46201</v>
      </c>
      <c r="Q18" s="35">
        <f>SUM(J14:J18)</f>
        <v>6.7270000000000003</v>
      </c>
    </row>
    <row r="19" spans="1:17" ht="11.1" hidden="1" customHeight="1" x14ac:dyDescent="0.2">
      <c r="A19" s="45" t="s">
        <v>22</v>
      </c>
      <c r="B19" s="45"/>
      <c r="C19" s="45"/>
      <c r="D19" s="18" t="str">
        <f t="shared" si="0"/>
        <v>29.06.2026</v>
      </c>
      <c r="E19" s="18" t="str">
        <f t="shared" si="1"/>
        <v xml:space="preserve">Пересчет </v>
      </c>
      <c r="F19" s="51">
        <v>1097.412</v>
      </c>
      <c r="G19" s="51"/>
      <c r="H19" s="7"/>
      <c r="I19" s="8"/>
      <c r="J19" s="9">
        <v>1.3779999999999999</v>
      </c>
      <c r="K19" s="11">
        <v>1096.0340000000001</v>
      </c>
      <c r="L19" s="11">
        <v>1097.412</v>
      </c>
      <c r="M19" s="10"/>
      <c r="N19" s="9">
        <v>1.3779999999999999</v>
      </c>
      <c r="O19" s="11">
        <v>1096.0340000000001</v>
      </c>
      <c r="P19"/>
    </row>
    <row r="20" spans="1:17" ht="11.1" customHeight="1" x14ac:dyDescent="0.2">
      <c r="A20" s="45" t="s">
        <v>23</v>
      </c>
      <c r="B20" s="45"/>
      <c r="C20" s="45"/>
      <c r="D20" s="18" t="str">
        <f t="shared" si="0"/>
        <v>30.06.2026</v>
      </c>
      <c r="E20" s="18" t="str">
        <f t="shared" si="1"/>
        <v>Расходный</v>
      </c>
      <c r="F20" s="51">
        <v>1096.0340000000001</v>
      </c>
      <c r="G20" s="51"/>
      <c r="H20" s="7"/>
      <c r="I20" s="8"/>
      <c r="J20" s="38">
        <v>1.355</v>
      </c>
      <c r="K20" s="11">
        <v>1094.6790000000001</v>
      </c>
      <c r="L20" s="11">
        <v>1096.0340000000001</v>
      </c>
      <c r="M20" s="10"/>
      <c r="N20" s="9">
        <v>1.355</v>
      </c>
      <c r="O20" s="11">
        <v>1094.6790000000001</v>
      </c>
    </row>
    <row r="21" spans="1:17" ht="11.1" customHeight="1" x14ac:dyDescent="0.2">
      <c r="A21" s="45" t="s">
        <v>24</v>
      </c>
      <c r="B21" s="45"/>
      <c r="C21" s="45"/>
      <c r="D21" s="19" t="str">
        <f t="shared" si="0"/>
        <v>30.06.2026</v>
      </c>
      <c r="E21" s="19" t="str">
        <f t="shared" si="1"/>
        <v>Расходный</v>
      </c>
      <c r="F21" s="53">
        <v>1094.6790000000001</v>
      </c>
      <c r="G21" s="53"/>
      <c r="H21" s="21"/>
      <c r="I21" s="22"/>
      <c r="J21" s="39">
        <v>4</v>
      </c>
      <c r="K21" s="20">
        <v>1090.6790000000001</v>
      </c>
      <c r="L21" s="20">
        <v>1094.6790000000001</v>
      </c>
      <c r="M21" s="24"/>
      <c r="N21" s="23">
        <v>4</v>
      </c>
      <c r="O21" s="20">
        <v>1090.6790000000001</v>
      </c>
      <c r="P21" s="42">
        <v>46208</v>
      </c>
      <c r="Q21" s="35">
        <f>SUM(J20:J21)</f>
        <v>5.3550000000000004</v>
      </c>
    </row>
    <row r="22" spans="1:17" ht="11.1" customHeight="1" x14ac:dyDescent="0.2">
      <c r="A22" s="45" t="s">
        <v>25</v>
      </c>
      <c r="B22" s="45"/>
      <c r="C22" s="45"/>
      <c r="D22" s="18" t="str">
        <f t="shared" si="0"/>
        <v>07.07.2026</v>
      </c>
      <c r="E22" s="18" t="str">
        <f t="shared" si="1"/>
        <v>Расходный</v>
      </c>
      <c r="F22" s="51">
        <v>1090.6790000000001</v>
      </c>
      <c r="G22" s="51"/>
      <c r="H22" s="7"/>
      <c r="I22" s="8"/>
      <c r="J22" s="38">
        <v>2.6859999999999999</v>
      </c>
      <c r="K22" s="11">
        <v>1087.9929999999999</v>
      </c>
      <c r="L22" s="11">
        <v>1090.6790000000001</v>
      </c>
      <c r="M22" s="10"/>
      <c r="N22" s="9">
        <v>2.6859999999999999</v>
      </c>
      <c r="O22" s="11">
        <v>1087.9929999999999</v>
      </c>
    </row>
    <row r="23" spans="1:17" ht="11.1" customHeight="1" x14ac:dyDescent="0.2">
      <c r="A23" s="45" t="s">
        <v>26</v>
      </c>
      <c r="B23" s="45"/>
      <c r="C23" s="45"/>
      <c r="D23" s="18" t="str">
        <f t="shared" si="0"/>
        <v>08.07.2026</v>
      </c>
      <c r="E23" s="18" t="str">
        <f t="shared" si="1"/>
        <v>Расходный</v>
      </c>
      <c r="F23" s="51">
        <v>1087.9929999999999</v>
      </c>
      <c r="G23" s="51"/>
      <c r="H23" s="7"/>
      <c r="I23" s="8"/>
      <c r="J23" s="38">
        <v>1.33</v>
      </c>
      <c r="K23" s="11">
        <v>1086.663</v>
      </c>
      <c r="L23" s="11">
        <v>1087.9929999999999</v>
      </c>
      <c r="M23" s="10"/>
      <c r="N23" s="9">
        <v>1.33</v>
      </c>
      <c r="O23" s="11">
        <v>1086.663</v>
      </c>
    </row>
    <row r="24" spans="1:17" ht="11.1" customHeight="1" x14ac:dyDescent="0.2">
      <c r="A24" s="45" t="s">
        <v>27</v>
      </c>
      <c r="B24" s="45"/>
      <c r="C24" s="45"/>
      <c r="D24" s="18" t="str">
        <f t="shared" si="0"/>
        <v>08.07.2026</v>
      </c>
      <c r="E24" s="18" t="str">
        <f t="shared" si="1"/>
        <v>Расходный</v>
      </c>
      <c r="F24" s="51">
        <v>1086.663</v>
      </c>
      <c r="G24" s="51"/>
      <c r="H24" s="7"/>
      <c r="I24" s="8"/>
      <c r="J24" s="38">
        <v>1.34</v>
      </c>
      <c r="K24" s="11">
        <v>1085.3230000000001</v>
      </c>
      <c r="L24" s="11">
        <v>1086.663</v>
      </c>
      <c r="M24" s="10"/>
      <c r="N24" s="9">
        <v>1.34</v>
      </c>
      <c r="O24" s="11">
        <v>1085.3230000000001</v>
      </c>
    </row>
    <row r="25" spans="1:17" ht="11.1" customHeight="1" x14ac:dyDescent="0.2">
      <c r="A25" s="45" t="s">
        <v>28</v>
      </c>
      <c r="B25" s="45"/>
      <c r="C25" s="45"/>
      <c r="D25" s="18" t="str">
        <f t="shared" si="0"/>
        <v>09.07.2026</v>
      </c>
      <c r="E25" s="18" t="str">
        <f t="shared" si="1"/>
        <v>Расходный</v>
      </c>
      <c r="F25" s="51">
        <v>1085.3230000000001</v>
      </c>
      <c r="G25" s="51"/>
      <c r="H25" s="7"/>
      <c r="I25" s="8"/>
      <c r="J25" s="38">
        <v>1.355</v>
      </c>
      <c r="K25" s="11">
        <v>1083.9680000000001</v>
      </c>
      <c r="L25" s="11">
        <v>1085.3230000000001</v>
      </c>
      <c r="M25" s="10"/>
      <c r="N25" s="9">
        <v>1.355</v>
      </c>
      <c r="O25" s="11">
        <v>1083.9680000000001</v>
      </c>
    </row>
    <row r="26" spans="1:17" ht="11.1" customHeight="1" x14ac:dyDescent="0.2">
      <c r="A26" s="45" t="s">
        <v>29</v>
      </c>
      <c r="B26" s="45"/>
      <c r="C26" s="45"/>
      <c r="D26" s="18" t="str">
        <f t="shared" si="0"/>
        <v>09.07.2026</v>
      </c>
      <c r="E26" s="18" t="str">
        <f t="shared" si="1"/>
        <v>Расходный</v>
      </c>
      <c r="F26" s="51">
        <v>1083.9680000000001</v>
      </c>
      <c r="G26" s="51"/>
      <c r="H26" s="7"/>
      <c r="I26" s="8"/>
      <c r="J26" s="38">
        <v>1.34</v>
      </c>
      <c r="K26" s="11">
        <v>1082.6279999999999</v>
      </c>
      <c r="L26" s="11">
        <v>1083.9680000000001</v>
      </c>
      <c r="M26" s="10"/>
      <c r="N26" s="9">
        <v>1.34</v>
      </c>
      <c r="O26" s="11">
        <v>1082.6279999999999</v>
      </c>
    </row>
    <row r="27" spans="1:17" ht="11.1" customHeight="1" x14ac:dyDescent="0.2">
      <c r="A27" s="45" t="s">
        <v>30</v>
      </c>
      <c r="B27" s="45"/>
      <c r="C27" s="45"/>
      <c r="D27" s="18" t="str">
        <f t="shared" si="0"/>
        <v>09.07.2026</v>
      </c>
      <c r="E27" s="18" t="str">
        <f t="shared" si="1"/>
        <v>Расходный</v>
      </c>
      <c r="F27" s="51">
        <v>1082.6279999999999</v>
      </c>
      <c r="G27" s="51"/>
      <c r="H27" s="7"/>
      <c r="I27" s="8"/>
      <c r="J27" s="38">
        <v>1.33</v>
      </c>
      <c r="K27" s="11">
        <v>1081.298</v>
      </c>
      <c r="L27" s="11">
        <v>1082.6279999999999</v>
      </c>
      <c r="M27" s="10"/>
      <c r="N27" s="9">
        <v>1.33</v>
      </c>
      <c r="O27" s="11">
        <v>1081.298</v>
      </c>
    </row>
    <row r="28" spans="1:17" ht="11.1" customHeight="1" x14ac:dyDescent="0.2">
      <c r="A28" s="45" t="s">
        <v>31</v>
      </c>
      <c r="B28" s="45"/>
      <c r="C28" s="45"/>
      <c r="D28" s="18" t="str">
        <f t="shared" si="0"/>
        <v>09.07.2026</v>
      </c>
      <c r="E28" s="18" t="str">
        <f t="shared" si="1"/>
        <v>Расходный</v>
      </c>
      <c r="F28" s="51">
        <v>1081.298</v>
      </c>
      <c r="G28" s="51"/>
      <c r="H28" s="7"/>
      <c r="I28" s="8"/>
      <c r="J28" s="38">
        <v>2.69</v>
      </c>
      <c r="K28" s="11">
        <v>1078.6079999999999</v>
      </c>
      <c r="L28" s="11">
        <v>1081.298</v>
      </c>
      <c r="M28" s="10"/>
      <c r="N28" s="9">
        <v>2.69</v>
      </c>
      <c r="O28" s="11">
        <v>1078.6079999999999</v>
      </c>
    </row>
    <row r="29" spans="1:17" ht="11.1" customHeight="1" x14ac:dyDescent="0.2">
      <c r="A29" s="45" t="s">
        <v>32</v>
      </c>
      <c r="B29" s="45"/>
      <c r="C29" s="45"/>
      <c r="D29" s="18" t="str">
        <f t="shared" si="0"/>
        <v>09.07.2026</v>
      </c>
      <c r="E29" s="18" t="str">
        <f t="shared" si="1"/>
        <v>Расходный</v>
      </c>
      <c r="F29" s="51">
        <v>1078.6079999999999</v>
      </c>
      <c r="G29" s="51"/>
      <c r="H29" s="7"/>
      <c r="I29" s="8"/>
      <c r="J29" s="38">
        <v>1.41</v>
      </c>
      <c r="K29" s="11">
        <v>1077.1980000000001</v>
      </c>
      <c r="L29" s="11">
        <v>1078.6079999999999</v>
      </c>
      <c r="M29" s="10"/>
      <c r="N29" s="9">
        <v>1.41</v>
      </c>
      <c r="O29" s="11">
        <v>1077.1980000000001</v>
      </c>
    </row>
    <row r="30" spans="1:17" ht="11.1" customHeight="1" x14ac:dyDescent="0.2">
      <c r="A30" s="45" t="s">
        <v>33</v>
      </c>
      <c r="B30" s="45"/>
      <c r="C30" s="45"/>
      <c r="D30" s="18" t="str">
        <f t="shared" si="0"/>
        <v>09.07.2026</v>
      </c>
      <c r="E30" s="18" t="str">
        <f t="shared" si="1"/>
        <v>Расходный</v>
      </c>
      <c r="F30" s="51">
        <v>1077.1980000000001</v>
      </c>
      <c r="G30" s="51"/>
      <c r="H30" s="7"/>
      <c r="I30" s="8"/>
      <c r="J30" s="38">
        <v>1.405</v>
      </c>
      <c r="K30" s="11">
        <v>1075.7929999999999</v>
      </c>
      <c r="L30" s="11">
        <v>1077.1980000000001</v>
      </c>
      <c r="M30" s="10"/>
      <c r="N30" s="9">
        <v>1.405</v>
      </c>
      <c r="O30" s="11">
        <v>1075.7929999999999</v>
      </c>
    </row>
    <row r="31" spans="1:17" ht="11.1" customHeight="1" x14ac:dyDescent="0.2">
      <c r="A31" s="45" t="s">
        <v>34</v>
      </c>
      <c r="B31" s="45"/>
      <c r="C31" s="45"/>
      <c r="D31" s="18" t="str">
        <f t="shared" si="0"/>
        <v>09.07.2026</v>
      </c>
      <c r="E31" s="18" t="str">
        <f t="shared" si="1"/>
        <v>Расходный</v>
      </c>
      <c r="F31" s="51">
        <v>1075.7929999999999</v>
      </c>
      <c r="G31" s="51"/>
      <c r="H31" s="7"/>
      <c r="I31" s="8"/>
      <c r="J31" s="38">
        <v>1.343</v>
      </c>
      <c r="K31" s="11">
        <v>1074.45</v>
      </c>
      <c r="L31" s="11">
        <v>1075.7929999999999</v>
      </c>
      <c r="M31" s="10"/>
      <c r="N31" s="9">
        <v>1.343</v>
      </c>
      <c r="O31" s="11">
        <v>1074.45</v>
      </c>
    </row>
    <row r="32" spans="1:17" ht="11.1" customHeight="1" x14ac:dyDescent="0.2">
      <c r="A32" s="45" t="s">
        <v>35</v>
      </c>
      <c r="B32" s="45"/>
      <c r="C32" s="45"/>
      <c r="D32" s="18" t="str">
        <f t="shared" si="0"/>
        <v>09.07.2026</v>
      </c>
      <c r="E32" s="18" t="str">
        <f t="shared" si="1"/>
        <v>Расходный</v>
      </c>
      <c r="F32" s="51">
        <v>1074.45</v>
      </c>
      <c r="G32" s="51"/>
      <c r="H32" s="7"/>
      <c r="I32" s="8"/>
      <c r="J32" s="38">
        <v>1.33</v>
      </c>
      <c r="K32" s="11">
        <v>1073.1199999999999</v>
      </c>
      <c r="L32" s="11">
        <v>1074.45</v>
      </c>
      <c r="M32" s="10"/>
      <c r="N32" s="9">
        <v>1.33</v>
      </c>
      <c r="O32" s="11">
        <v>1073.1199999999999</v>
      </c>
    </row>
    <row r="33" spans="1:15" ht="11.1" customHeight="1" x14ac:dyDescent="0.2">
      <c r="A33" s="45" t="s">
        <v>36</v>
      </c>
      <c r="B33" s="45"/>
      <c r="C33" s="45"/>
      <c r="D33" s="18" t="str">
        <f t="shared" si="0"/>
        <v>09.07.2026</v>
      </c>
      <c r="E33" s="18" t="str">
        <f t="shared" si="1"/>
        <v>Расходный</v>
      </c>
      <c r="F33" s="51">
        <v>1073.1199999999999</v>
      </c>
      <c r="G33" s="51"/>
      <c r="H33" s="7"/>
      <c r="I33" s="8"/>
      <c r="J33" s="38">
        <v>1.34</v>
      </c>
      <c r="K33" s="11">
        <v>1071.78</v>
      </c>
      <c r="L33" s="11">
        <v>1073.1199999999999</v>
      </c>
      <c r="M33" s="10"/>
      <c r="N33" s="9">
        <v>1.34</v>
      </c>
      <c r="O33" s="11">
        <v>1071.78</v>
      </c>
    </row>
    <row r="34" spans="1:15" ht="11.1" customHeight="1" x14ac:dyDescent="0.2">
      <c r="A34" s="45" t="s">
        <v>37</v>
      </c>
      <c r="B34" s="45"/>
      <c r="C34" s="45"/>
      <c r="D34" s="18" t="str">
        <f t="shared" si="0"/>
        <v>09.07.2026</v>
      </c>
      <c r="E34" s="18" t="str">
        <f t="shared" si="1"/>
        <v>Расходный</v>
      </c>
      <c r="F34" s="51">
        <v>1071.78</v>
      </c>
      <c r="G34" s="51"/>
      <c r="H34" s="7"/>
      <c r="I34" s="8"/>
      <c r="J34" s="38">
        <v>1.3360000000000001</v>
      </c>
      <c r="K34" s="11">
        <v>1070.444</v>
      </c>
      <c r="L34" s="11">
        <v>1071.78</v>
      </c>
      <c r="M34" s="10"/>
      <c r="N34" s="9">
        <v>1.3360000000000001</v>
      </c>
      <c r="O34" s="11">
        <v>1070.444</v>
      </c>
    </row>
    <row r="35" spans="1:15" ht="11.1" customHeight="1" x14ac:dyDescent="0.2">
      <c r="A35" s="45" t="s">
        <v>38</v>
      </c>
      <c r="B35" s="45"/>
      <c r="C35" s="45"/>
      <c r="D35" s="18" t="str">
        <f t="shared" si="0"/>
        <v>09.07.2026</v>
      </c>
      <c r="E35" s="18" t="str">
        <f t="shared" si="1"/>
        <v>Расходный</v>
      </c>
      <c r="F35" s="51">
        <v>1070.444</v>
      </c>
      <c r="G35" s="51"/>
      <c r="H35" s="7"/>
      <c r="I35" s="8"/>
      <c r="J35" s="38">
        <v>1.3460000000000001</v>
      </c>
      <c r="K35" s="11">
        <v>1069.098</v>
      </c>
      <c r="L35" s="11">
        <v>1070.444</v>
      </c>
      <c r="M35" s="10"/>
      <c r="N35" s="9">
        <v>1.3460000000000001</v>
      </c>
      <c r="O35" s="11">
        <v>1069.098</v>
      </c>
    </row>
    <row r="36" spans="1:15" ht="11.1" customHeight="1" x14ac:dyDescent="0.2">
      <c r="A36" s="45" t="s">
        <v>39</v>
      </c>
      <c r="B36" s="45"/>
      <c r="C36" s="45"/>
      <c r="D36" s="18" t="str">
        <f t="shared" si="0"/>
        <v>09.07.2026</v>
      </c>
      <c r="E36" s="18" t="str">
        <f t="shared" si="1"/>
        <v>Расходный</v>
      </c>
      <c r="F36" s="51">
        <v>1069.098</v>
      </c>
      <c r="G36" s="51"/>
      <c r="H36" s="7"/>
      <c r="I36" s="8"/>
      <c r="J36" s="38">
        <v>1.35</v>
      </c>
      <c r="K36" s="11">
        <v>1067.748</v>
      </c>
      <c r="L36" s="11">
        <v>1069.098</v>
      </c>
      <c r="M36" s="10"/>
      <c r="N36" s="9">
        <v>1.35</v>
      </c>
      <c r="O36" s="11">
        <v>1067.748</v>
      </c>
    </row>
    <row r="37" spans="1:15" ht="11.1" customHeight="1" x14ac:dyDescent="0.2">
      <c r="A37" s="45" t="s">
        <v>40</v>
      </c>
      <c r="B37" s="45"/>
      <c r="C37" s="45"/>
      <c r="D37" s="18" t="str">
        <f t="shared" si="0"/>
        <v>09.07.2026</v>
      </c>
      <c r="E37" s="18" t="str">
        <f t="shared" si="1"/>
        <v>Расходный</v>
      </c>
      <c r="F37" s="51">
        <v>1067.748</v>
      </c>
      <c r="G37" s="51"/>
      <c r="H37" s="7"/>
      <c r="I37" s="8"/>
      <c r="J37" s="38">
        <v>1.35</v>
      </c>
      <c r="K37" s="11">
        <v>1066.3979999999999</v>
      </c>
      <c r="L37" s="11">
        <v>1067.748</v>
      </c>
      <c r="M37" s="10"/>
      <c r="N37" s="9">
        <v>1.35</v>
      </c>
      <c r="O37" s="11">
        <v>1066.3979999999999</v>
      </c>
    </row>
    <row r="38" spans="1:15" ht="11.1" customHeight="1" x14ac:dyDescent="0.2">
      <c r="A38" s="45" t="s">
        <v>41</v>
      </c>
      <c r="B38" s="45"/>
      <c r="C38" s="45"/>
      <c r="D38" s="18" t="str">
        <f t="shared" si="0"/>
        <v>09.07.2026</v>
      </c>
      <c r="E38" s="18" t="str">
        <f t="shared" si="1"/>
        <v>Расходный</v>
      </c>
      <c r="F38" s="51">
        <v>1066.3979999999999</v>
      </c>
      <c r="G38" s="51"/>
      <c r="H38" s="7"/>
      <c r="I38" s="8"/>
      <c r="J38" s="38">
        <v>1.3460000000000001</v>
      </c>
      <c r="K38" s="11">
        <v>1065.0519999999999</v>
      </c>
      <c r="L38" s="11">
        <v>1066.3979999999999</v>
      </c>
      <c r="M38" s="10"/>
      <c r="N38" s="9">
        <v>1.3460000000000001</v>
      </c>
      <c r="O38" s="11">
        <v>1065.0519999999999</v>
      </c>
    </row>
    <row r="39" spans="1:15" ht="11.1" customHeight="1" x14ac:dyDescent="0.2">
      <c r="A39" s="45" t="s">
        <v>42</v>
      </c>
      <c r="B39" s="45"/>
      <c r="C39" s="45"/>
      <c r="D39" s="18" t="str">
        <f t="shared" si="0"/>
        <v>09.07.2026</v>
      </c>
      <c r="E39" s="18" t="str">
        <f t="shared" si="1"/>
        <v>Расходный</v>
      </c>
      <c r="F39" s="51">
        <v>1065.0519999999999</v>
      </c>
      <c r="G39" s="51"/>
      <c r="H39" s="7"/>
      <c r="I39" s="8"/>
      <c r="J39" s="38">
        <v>1.3540000000000001</v>
      </c>
      <c r="K39" s="11">
        <v>1063.6980000000001</v>
      </c>
      <c r="L39" s="11">
        <v>1065.0519999999999</v>
      </c>
      <c r="M39" s="10"/>
      <c r="N39" s="9">
        <v>1.3540000000000001</v>
      </c>
      <c r="O39" s="11">
        <v>1063.6980000000001</v>
      </c>
    </row>
    <row r="40" spans="1:15" ht="11.1" customHeight="1" x14ac:dyDescent="0.2">
      <c r="A40" s="45" t="s">
        <v>43</v>
      </c>
      <c r="B40" s="45"/>
      <c r="C40" s="45"/>
      <c r="D40" s="18" t="str">
        <f t="shared" si="0"/>
        <v>09.07.2026</v>
      </c>
      <c r="E40" s="18" t="str">
        <f t="shared" si="1"/>
        <v>Расходный</v>
      </c>
      <c r="F40" s="51">
        <v>1063.6980000000001</v>
      </c>
      <c r="G40" s="51"/>
      <c r="H40" s="7"/>
      <c r="I40" s="8"/>
      <c r="J40" s="38">
        <v>1.35</v>
      </c>
      <c r="K40" s="11">
        <v>1062.348</v>
      </c>
      <c r="L40" s="11">
        <v>1063.6980000000001</v>
      </c>
      <c r="M40" s="10"/>
      <c r="N40" s="9">
        <v>1.35</v>
      </c>
      <c r="O40" s="11">
        <v>1062.348</v>
      </c>
    </row>
    <row r="41" spans="1:15" ht="11.1" customHeight="1" x14ac:dyDescent="0.2">
      <c r="A41" s="45" t="s">
        <v>44</v>
      </c>
      <c r="B41" s="45"/>
      <c r="C41" s="45"/>
      <c r="D41" s="18" t="str">
        <f t="shared" si="0"/>
        <v>09.07.2026</v>
      </c>
      <c r="E41" s="18" t="str">
        <f t="shared" si="1"/>
        <v>Расходный</v>
      </c>
      <c r="F41" s="51">
        <v>1062.348</v>
      </c>
      <c r="G41" s="51"/>
      <c r="H41" s="7"/>
      <c r="I41" s="8"/>
      <c r="J41" s="38">
        <v>1.34</v>
      </c>
      <c r="K41" s="11">
        <v>1061.008</v>
      </c>
      <c r="L41" s="11">
        <v>1062.348</v>
      </c>
      <c r="M41" s="10"/>
      <c r="N41" s="9">
        <v>1.34</v>
      </c>
      <c r="O41" s="11">
        <v>1061.008</v>
      </c>
    </row>
    <row r="42" spans="1:15" ht="11.1" customHeight="1" x14ac:dyDescent="0.2">
      <c r="A42" s="45" t="s">
        <v>45</v>
      </c>
      <c r="B42" s="45"/>
      <c r="C42" s="45"/>
      <c r="D42" s="18" t="str">
        <f t="shared" si="0"/>
        <v>09.07.2026</v>
      </c>
      <c r="E42" s="18" t="str">
        <f t="shared" si="1"/>
        <v>Расходный</v>
      </c>
      <c r="F42" s="51">
        <v>1061.008</v>
      </c>
      <c r="G42" s="51"/>
      <c r="H42" s="7"/>
      <c r="I42" s="8"/>
      <c r="J42" s="38">
        <v>1.35</v>
      </c>
      <c r="K42" s="11">
        <v>1059.6579999999999</v>
      </c>
      <c r="L42" s="11">
        <v>1061.008</v>
      </c>
      <c r="M42" s="10"/>
      <c r="N42" s="9">
        <v>1.35</v>
      </c>
      <c r="O42" s="11">
        <v>1059.6579999999999</v>
      </c>
    </row>
    <row r="43" spans="1:15" ht="11.1" customHeight="1" x14ac:dyDescent="0.2">
      <c r="A43" s="45" t="s">
        <v>46</v>
      </c>
      <c r="B43" s="45"/>
      <c r="C43" s="45"/>
      <c r="D43" s="18" t="str">
        <f t="shared" si="0"/>
        <v>09.07.2026</v>
      </c>
      <c r="E43" s="18" t="str">
        <f t="shared" si="1"/>
        <v>Расходный</v>
      </c>
      <c r="F43" s="51">
        <v>1059.6579999999999</v>
      </c>
      <c r="G43" s="51"/>
      <c r="H43" s="7"/>
      <c r="I43" s="8"/>
      <c r="J43" s="38">
        <v>1.34</v>
      </c>
      <c r="K43" s="11">
        <v>1058.318</v>
      </c>
      <c r="L43" s="11">
        <v>1059.6579999999999</v>
      </c>
      <c r="M43" s="10"/>
      <c r="N43" s="9">
        <v>1.34</v>
      </c>
      <c r="O43" s="11">
        <v>1058.318</v>
      </c>
    </row>
    <row r="44" spans="1:15" ht="11.1" customHeight="1" x14ac:dyDescent="0.2">
      <c r="A44" s="45" t="s">
        <v>47</v>
      </c>
      <c r="B44" s="45"/>
      <c r="C44" s="45"/>
      <c r="D44" s="18" t="str">
        <f t="shared" si="0"/>
        <v>09.07.2026</v>
      </c>
      <c r="E44" s="18" t="str">
        <f t="shared" si="1"/>
        <v>Расходный</v>
      </c>
      <c r="F44" s="51">
        <v>1058.318</v>
      </c>
      <c r="G44" s="51"/>
      <c r="H44" s="7"/>
      <c r="I44" s="8"/>
      <c r="J44" s="38">
        <v>1.345</v>
      </c>
      <c r="K44" s="11">
        <v>1056.973</v>
      </c>
      <c r="L44" s="11">
        <v>1058.318</v>
      </c>
      <c r="M44" s="10"/>
      <c r="N44" s="9">
        <v>1.345</v>
      </c>
      <c r="O44" s="11">
        <v>1056.973</v>
      </c>
    </row>
    <row r="45" spans="1:15" ht="11.1" customHeight="1" x14ac:dyDescent="0.2">
      <c r="A45" s="45" t="s">
        <v>48</v>
      </c>
      <c r="B45" s="45"/>
      <c r="C45" s="45"/>
      <c r="D45" s="18" t="str">
        <f t="shared" si="0"/>
        <v>09.07.2026</v>
      </c>
      <c r="E45" s="18" t="str">
        <f t="shared" si="1"/>
        <v>Расходный</v>
      </c>
      <c r="F45" s="51">
        <v>1056.973</v>
      </c>
      <c r="G45" s="51"/>
      <c r="H45" s="7"/>
      <c r="I45" s="8"/>
      <c r="J45" s="38">
        <v>1.35</v>
      </c>
      <c r="K45" s="11">
        <v>1055.623</v>
      </c>
      <c r="L45" s="11">
        <v>1056.973</v>
      </c>
      <c r="M45" s="10"/>
      <c r="N45" s="9">
        <v>1.35</v>
      </c>
      <c r="O45" s="11">
        <v>1055.623</v>
      </c>
    </row>
    <row r="46" spans="1:15" ht="11.1" customHeight="1" x14ac:dyDescent="0.2">
      <c r="A46" s="45" t="s">
        <v>49</v>
      </c>
      <c r="B46" s="45"/>
      <c r="C46" s="45"/>
      <c r="D46" s="18" t="str">
        <f t="shared" si="0"/>
        <v>09.07.2026</v>
      </c>
      <c r="E46" s="18" t="str">
        <f t="shared" si="1"/>
        <v>Расходный</v>
      </c>
      <c r="F46" s="51">
        <v>1055.623</v>
      </c>
      <c r="G46" s="51"/>
      <c r="H46" s="7"/>
      <c r="I46" s="8"/>
      <c r="J46" s="38">
        <v>1.35</v>
      </c>
      <c r="K46" s="11">
        <v>1054.2729999999999</v>
      </c>
      <c r="L46" s="11">
        <v>1055.623</v>
      </c>
      <c r="M46" s="10"/>
      <c r="N46" s="9">
        <v>1.35</v>
      </c>
      <c r="O46" s="11">
        <v>1054.2729999999999</v>
      </c>
    </row>
    <row r="47" spans="1:15" ht="11.1" customHeight="1" x14ac:dyDescent="0.2">
      <c r="A47" s="45" t="s">
        <v>50</v>
      </c>
      <c r="B47" s="45"/>
      <c r="C47" s="45"/>
      <c r="D47" s="18" t="str">
        <f t="shared" si="0"/>
        <v>09.07.2026</v>
      </c>
      <c r="E47" s="18" t="str">
        <f t="shared" si="1"/>
        <v>Расходный</v>
      </c>
      <c r="F47" s="51">
        <v>1054.2729999999999</v>
      </c>
      <c r="G47" s="51"/>
      <c r="H47" s="7"/>
      <c r="I47" s="8"/>
      <c r="J47" s="38">
        <v>1.335</v>
      </c>
      <c r="K47" s="11">
        <v>1052.9380000000001</v>
      </c>
      <c r="L47" s="11">
        <v>1054.2729999999999</v>
      </c>
      <c r="M47" s="10"/>
      <c r="N47" s="9">
        <v>1.335</v>
      </c>
      <c r="O47" s="11">
        <v>1052.9380000000001</v>
      </c>
    </row>
    <row r="48" spans="1:15" ht="11.1" customHeight="1" x14ac:dyDescent="0.2">
      <c r="A48" s="45" t="s">
        <v>51</v>
      </c>
      <c r="B48" s="45"/>
      <c r="C48" s="45"/>
      <c r="D48" s="18" t="str">
        <f t="shared" si="0"/>
        <v>09.07.2026</v>
      </c>
      <c r="E48" s="18" t="str">
        <f t="shared" si="1"/>
        <v>Расходный</v>
      </c>
      <c r="F48" s="51">
        <v>1052.9380000000001</v>
      </c>
      <c r="G48" s="51"/>
      <c r="H48" s="7"/>
      <c r="I48" s="8"/>
      <c r="J48" s="38">
        <v>1.35</v>
      </c>
      <c r="K48" s="11">
        <v>1051.588</v>
      </c>
      <c r="L48" s="11">
        <v>1052.9380000000001</v>
      </c>
      <c r="M48" s="10"/>
      <c r="N48" s="9">
        <v>1.35</v>
      </c>
      <c r="O48" s="11">
        <v>1051.588</v>
      </c>
    </row>
    <row r="49" spans="1:16" ht="11.1" customHeight="1" x14ac:dyDescent="0.2">
      <c r="A49" s="45" t="s">
        <v>52</v>
      </c>
      <c r="B49" s="45"/>
      <c r="C49" s="45"/>
      <c r="D49" s="18" t="str">
        <f t="shared" si="0"/>
        <v>09.07.2026</v>
      </c>
      <c r="E49" s="18" t="str">
        <f t="shared" si="1"/>
        <v>Расходный</v>
      </c>
      <c r="F49" s="51">
        <v>1051.588</v>
      </c>
      <c r="G49" s="51"/>
      <c r="H49" s="7"/>
      <c r="I49" s="8"/>
      <c r="J49" s="38">
        <v>1.35</v>
      </c>
      <c r="K49" s="11">
        <v>1050.2380000000001</v>
      </c>
      <c r="L49" s="11">
        <v>1051.588</v>
      </c>
      <c r="M49" s="10"/>
      <c r="N49" s="9">
        <v>1.35</v>
      </c>
      <c r="O49" s="11">
        <v>1050.2380000000001</v>
      </c>
    </row>
    <row r="50" spans="1:16" ht="11.1" customHeight="1" x14ac:dyDescent="0.2">
      <c r="A50" s="45" t="s">
        <v>53</v>
      </c>
      <c r="B50" s="45"/>
      <c r="C50" s="45"/>
      <c r="D50" s="18" t="str">
        <f t="shared" si="0"/>
        <v>09.07.2026</v>
      </c>
      <c r="E50" s="18" t="str">
        <f t="shared" si="1"/>
        <v>Расходный</v>
      </c>
      <c r="F50" s="51">
        <v>1050.2380000000001</v>
      </c>
      <c r="G50" s="51"/>
      <c r="H50" s="7"/>
      <c r="I50" s="8"/>
      <c r="J50" s="38">
        <v>1.35</v>
      </c>
      <c r="K50" s="11">
        <v>1048.8879999999999</v>
      </c>
      <c r="L50" s="11">
        <v>1050.2380000000001</v>
      </c>
      <c r="M50" s="10"/>
      <c r="N50" s="9">
        <v>1.35</v>
      </c>
      <c r="O50" s="11">
        <v>1048.8879999999999</v>
      </c>
    </row>
    <row r="51" spans="1:16" ht="11.1" customHeight="1" x14ac:dyDescent="0.2">
      <c r="A51" s="45" t="s">
        <v>54</v>
      </c>
      <c r="B51" s="45"/>
      <c r="C51" s="45"/>
      <c r="D51" s="18" t="str">
        <f t="shared" si="0"/>
        <v>09.07.2026</v>
      </c>
      <c r="E51" s="18" t="str">
        <f t="shared" si="1"/>
        <v>Расходный</v>
      </c>
      <c r="F51" s="51">
        <v>1048.8879999999999</v>
      </c>
      <c r="G51" s="51"/>
      <c r="H51" s="7"/>
      <c r="I51" s="8"/>
      <c r="J51" s="38">
        <v>1.34</v>
      </c>
      <c r="K51" s="11">
        <v>1047.548</v>
      </c>
      <c r="L51" s="11">
        <v>1048.8879999999999</v>
      </c>
      <c r="M51" s="10"/>
      <c r="N51" s="9">
        <v>1.34</v>
      </c>
      <c r="O51" s="11">
        <v>1047.548</v>
      </c>
    </row>
    <row r="52" spans="1:16" ht="11.1" customHeight="1" x14ac:dyDescent="0.2">
      <c r="A52" s="45" t="s">
        <v>55</v>
      </c>
      <c r="B52" s="45"/>
      <c r="C52" s="45"/>
      <c r="D52" s="18" t="str">
        <f t="shared" si="0"/>
        <v>09.07.2026</v>
      </c>
      <c r="E52" s="18" t="str">
        <f t="shared" si="1"/>
        <v>Расходный</v>
      </c>
      <c r="F52" s="51">
        <v>1047.548</v>
      </c>
      <c r="G52" s="51"/>
      <c r="H52" s="7"/>
      <c r="I52" s="8"/>
      <c r="J52" s="38">
        <v>1.35</v>
      </c>
      <c r="K52" s="11">
        <v>1046.1980000000001</v>
      </c>
      <c r="L52" s="11">
        <v>1047.548</v>
      </c>
      <c r="M52" s="10"/>
      <c r="N52" s="9">
        <v>1.35</v>
      </c>
      <c r="O52" s="11">
        <v>1046.1980000000001</v>
      </c>
    </row>
    <row r="53" spans="1:16" ht="11.1" customHeight="1" x14ac:dyDescent="0.2">
      <c r="A53" s="45" t="s">
        <v>56</v>
      </c>
      <c r="B53" s="45"/>
      <c r="C53" s="45"/>
      <c r="D53" s="18" t="str">
        <f t="shared" si="0"/>
        <v>09.07.2026</v>
      </c>
      <c r="E53" s="18" t="str">
        <f t="shared" si="1"/>
        <v>Расходный</v>
      </c>
      <c r="F53" s="51">
        <v>1046.1980000000001</v>
      </c>
      <c r="G53" s="51"/>
      <c r="H53" s="7"/>
      <c r="I53" s="8"/>
      <c r="J53" s="38">
        <v>1.34</v>
      </c>
      <c r="K53" s="11">
        <v>1044.8579999999999</v>
      </c>
      <c r="L53" s="11">
        <v>1046.1980000000001</v>
      </c>
      <c r="M53" s="10"/>
      <c r="N53" s="9">
        <v>1.34</v>
      </c>
      <c r="O53" s="11">
        <v>1044.8579999999999</v>
      </c>
    </row>
    <row r="54" spans="1:16" ht="11.1" customHeight="1" x14ac:dyDescent="0.2">
      <c r="A54" s="45" t="s">
        <v>57</v>
      </c>
      <c r="B54" s="45"/>
      <c r="C54" s="45"/>
      <c r="D54" s="18" t="str">
        <f t="shared" si="0"/>
        <v>09.07.2026</v>
      </c>
      <c r="E54" s="18" t="str">
        <f t="shared" si="1"/>
        <v>Расходный</v>
      </c>
      <c r="F54" s="51">
        <v>1044.8579999999999</v>
      </c>
      <c r="G54" s="51"/>
      <c r="H54" s="7"/>
      <c r="I54" s="8"/>
      <c r="J54" s="38">
        <v>1.345</v>
      </c>
      <c r="K54" s="11">
        <v>1043.5129999999999</v>
      </c>
      <c r="L54" s="11">
        <v>1044.8579999999999</v>
      </c>
      <c r="M54" s="10"/>
      <c r="N54" s="9">
        <v>1.345</v>
      </c>
      <c r="O54" s="11">
        <v>1043.5129999999999</v>
      </c>
    </row>
    <row r="55" spans="1:16" ht="11.1" customHeight="1" x14ac:dyDescent="0.2">
      <c r="A55" s="45" t="s">
        <v>58</v>
      </c>
      <c r="B55" s="45"/>
      <c r="C55" s="45"/>
      <c r="D55" s="18" t="str">
        <f t="shared" si="0"/>
        <v>10.07.2026</v>
      </c>
      <c r="E55" s="18" t="str">
        <f t="shared" si="1"/>
        <v>Расходный</v>
      </c>
      <c r="F55" s="51">
        <v>1043.5129999999999</v>
      </c>
      <c r="G55" s="51"/>
      <c r="H55" s="7"/>
      <c r="I55" s="8"/>
      <c r="J55" s="38">
        <v>1.345</v>
      </c>
      <c r="K55" s="11">
        <v>1042.1679999999999</v>
      </c>
      <c r="L55" s="11">
        <v>1043.5129999999999</v>
      </c>
      <c r="M55" s="10"/>
      <c r="N55" s="9">
        <v>1.345</v>
      </c>
      <c r="O55" s="11">
        <v>1042.1679999999999</v>
      </c>
    </row>
    <row r="56" spans="1:16" ht="11.1" customHeight="1" x14ac:dyDescent="0.2">
      <c r="A56" s="45" t="s">
        <v>59</v>
      </c>
      <c r="B56" s="45"/>
      <c r="C56" s="45"/>
      <c r="D56" s="18" t="str">
        <f t="shared" si="0"/>
        <v>10.07.2026</v>
      </c>
      <c r="E56" s="18" t="str">
        <f t="shared" si="1"/>
        <v>Расходный</v>
      </c>
      <c r="F56" s="51">
        <v>1042.1679999999999</v>
      </c>
      <c r="G56" s="51"/>
      <c r="H56" s="7"/>
      <c r="I56" s="8"/>
      <c r="J56" s="38">
        <v>1.345</v>
      </c>
      <c r="K56" s="11">
        <v>1040.8230000000001</v>
      </c>
      <c r="L56" s="11">
        <v>1042.1679999999999</v>
      </c>
      <c r="M56" s="10"/>
      <c r="N56" s="9">
        <v>1.345</v>
      </c>
      <c r="O56" s="11">
        <v>1040.8230000000001</v>
      </c>
    </row>
    <row r="57" spans="1:16" ht="11.1" customHeight="1" x14ac:dyDescent="0.2">
      <c r="A57" s="45" t="s">
        <v>60</v>
      </c>
      <c r="B57" s="45"/>
      <c r="C57" s="45"/>
      <c r="D57" s="29" t="str">
        <f t="shared" si="0"/>
        <v>09.07.2026</v>
      </c>
      <c r="E57" s="29" t="str">
        <f t="shared" si="1"/>
        <v>Расходный</v>
      </c>
      <c r="F57" s="52">
        <v>1040.8230000000001</v>
      </c>
      <c r="G57" s="52"/>
      <c r="H57" s="31"/>
      <c r="I57" s="32"/>
      <c r="J57" s="40">
        <v>403.15499999999997</v>
      </c>
      <c r="K57" s="33">
        <v>637.66800000000001</v>
      </c>
      <c r="L57" s="30">
        <v>1040.8230000000001</v>
      </c>
      <c r="M57" s="34"/>
      <c r="N57" s="33">
        <v>403.15499999999997</v>
      </c>
      <c r="O57" s="33">
        <v>637.66800000000001</v>
      </c>
      <c r="P57" s="43" t="s">
        <v>147</v>
      </c>
    </row>
    <row r="58" spans="1:16" ht="11.1" customHeight="1" x14ac:dyDescent="0.2">
      <c r="A58" s="45" t="s">
        <v>61</v>
      </c>
      <c r="B58" s="45"/>
      <c r="C58" s="45"/>
      <c r="D58" s="18" t="str">
        <f t="shared" si="0"/>
        <v>10.07.2026</v>
      </c>
      <c r="E58" s="18" t="str">
        <f t="shared" si="1"/>
        <v>Расходный</v>
      </c>
      <c r="F58" s="49">
        <v>637.66800000000001</v>
      </c>
      <c r="G58" s="49"/>
      <c r="H58" s="7"/>
      <c r="I58" s="8"/>
      <c r="J58" s="38">
        <v>1.345</v>
      </c>
      <c r="K58" s="9">
        <v>636.32299999999998</v>
      </c>
      <c r="L58" s="9">
        <v>637.66800000000001</v>
      </c>
      <c r="M58" s="10"/>
      <c r="N58" s="9">
        <v>1.345</v>
      </c>
      <c r="O58" s="9">
        <v>636.32299999999998</v>
      </c>
    </row>
    <row r="59" spans="1:16" ht="11.1" customHeight="1" x14ac:dyDescent="0.2">
      <c r="A59" s="45" t="s">
        <v>62</v>
      </c>
      <c r="B59" s="45"/>
      <c r="C59" s="45"/>
      <c r="D59" s="18" t="str">
        <f t="shared" si="0"/>
        <v>10.07.2026</v>
      </c>
      <c r="E59" s="18" t="str">
        <f t="shared" si="1"/>
        <v>Расходный</v>
      </c>
      <c r="F59" s="49">
        <v>636.32299999999998</v>
      </c>
      <c r="G59" s="49"/>
      <c r="H59" s="7"/>
      <c r="I59" s="8"/>
      <c r="J59" s="38">
        <v>1.35</v>
      </c>
      <c r="K59" s="9">
        <v>634.97299999999996</v>
      </c>
      <c r="L59" s="9">
        <v>636.32299999999998</v>
      </c>
      <c r="M59" s="10"/>
      <c r="N59" s="9">
        <v>1.35</v>
      </c>
      <c r="O59" s="9">
        <v>634.97299999999996</v>
      </c>
    </row>
    <row r="60" spans="1:16" ht="11.1" customHeight="1" x14ac:dyDescent="0.2">
      <c r="A60" s="45" t="s">
        <v>63</v>
      </c>
      <c r="B60" s="45"/>
      <c r="C60" s="45"/>
      <c r="D60" s="18" t="str">
        <f t="shared" si="0"/>
        <v>10.07.2026</v>
      </c>
      <c r="E60" s="18" t="str">
        <f t="shared" si="1"/>
        <v>Расходный</v>
      </c>
      <c r="F60" s="49">
        <v>634.97299999999996</v>
      </c>
      <c r="G60" s="49"/>
      <c r="H60" s="7"/>
      <c r="I60" s="8"/>
      <c r="J60" s="38">
        <v>1.345</v>
      </c>
      <c r="K60" s="9">
        <v>633.62800000000004</v>
      </c>
      <c r="L60" s="9">
        <v>634.97299999999996</v>
      </c>
      <c r="M60" s="10"/>
      <c r="N60" s="9">
        <v>1.345</v>
      </c>
      <c r="O60" s="9">
        <v>633.62800000000004</v>
      </c>
    </row>
    <row r="61" spans="1:16" ht="11.1" customHeight="1" x14ac:dyDescent="0.2">
      <c r="A61" s="45" t="s">
        <v>64</v>
      </c>
      <c r="B61" s="45"/>
      <c r="C61" s="45"/>
      <c r="D61" s="18" t="str">
        <f t="shared" si="0"/>
        <v>10.07.2026</v>
      </c>
      <c r="E61" s="18" t="str">
        <f t="shared" si="1"/>
        <v>Расходный</v>
      </c>
      <c r="F61" s="49">
        <v>633.62800000000004</v>
      </c>
      <c r="G61" s="49"/>
      <c r="H61" s="7"/>
      <c r="I61" s="8"/>
      <c r="J61" s="38">
        <v>1.355</v>
      </c>
      <c r="K61" s="9">
        <v>632.27300000000002</v>
      </c>
      <c r="L61" s="9">
        <v>633.62800000000004</v>
      </c>
      <c r="M61" s="10"/>
      <c r="N61" s="9">
        <v>1.355</v>
      </c>
      <c r="O61" s="9">
        <v>632.27300000000002</v>
      </c>
    </row>
    <row r="62" spans="1:16" ht="11.1" customHeight="1" x14ac:dyDescent="0.2">
      <c r="A62" s="45" t="s">
        <v>65</v>
      </c>
      <c r="B62" s="45"/>
      <c r="C62" s="45"/>
      <c r="D62" s="18" t="str">
        <f t="shared" si="0"/>
        <v>10.07.2026</v>
      </c>
      <c r="E62" s="18" t="str">
        <f t="shared" si="1"/>
        <v>Расходный</v>
      </c>
      <c r="F62" s="49">
        <v>632.27300000000002</v>
      </c>
      <c r="G62" s="49"/>
      <c r="H62" s="7"/>
      <c r="I62" s="8"/>
      <c r="J62" s="38">
        <v>1.35</v>
      </c>
      <c r="K62" s="9">
        <v>630.923</v>
      </c>
      <c r="L62" s="9">
        <v>632.27300000000002</v>
      </c>
      <c r="M62" s="10"/>
      <c r="N62" s="9">
        <v>1.35</v>
      </c>
      <c r="O62" s="9">
        <v>630.923</v>
      </c>
    </row>
    <row r="63" spans="1:16" ht="11.1" customHeight="1" x14ac:dyDescent="0.2">
      <c r="A63" s="45" t="s">
        <v>66</v>
      </c>
      <c r="B63" s="45"/>
      <c r="C63" s="45"/>
      <c r="D63" s="18" t="str">
        <f t="shared" si="0"/>
        <v>10.07.2026</v>
      </c>
      <c r="E63" s="18" t="str">
        <f t="shared" si="1"/>
        <v>Расходный</v>
      </c>
      <c r="F63" s="49">
        <v>630.923</v>
      </c>
      <c r="G63" s="49"/>
      <c r="H63" s="7"/>
      <c r="I63" s="8"/>
      <c r="J63" s="38">
        <v>1.3480000000000001</v>
      </c>
      <c r="K63" s="9">
        <v>629.57500000000005</v>
      </c>
      <c r="L63" s="9">
        <v>630.923</v>
      </c>
      <c r="M63" s="10"/>
      <c r="N63" s="9">
        <v>1.3480000000000001</v>
      </c>
      <c r="O63" s="9">
        <v>629.57500000000005</v>
      </c>
    </row>
    <row r="64" spans="1:16" ht="11.1" customHeight="1" x14ac:dyDescent="0.2">
      <c r="A64" s="45" t="s">
        <v>67</v>
      </c>
      <c r="B64" s="45"/>
      <c r="C64" s="45"/>
      <c r="D64" s="18" t="str">
        <f t="shared" si="0"/>
        <v>10.07.2026</v>
      </c>
      <c r="E64" s="18" t="str">
        <f t="shared" si="1"/>
        <v>Расходный</v>
      </c>
      <c r="F64" s="49">
        <v>629.57500000000005</v>
      </c>
      <c r="G64" s="49"/>
      <c r="H64" s="7"/>
      <c r="I64" s="8"/>
      <c r="J64" s="38">
        <v>2.7050000000000001</v>
      </c>
      <c r="K64" s="9">
        <v>626.87</v>
      </c>
      <c r="L64" s="9">
        <v>629.57500000000005</v>
      </c>
      <c r="M64" s="10"/>
      <c r="N64" s="9">
        <v>2.7050000000000001</v>
      </c>
      <c r="O64" s="9">
        <v>626.87</v>
      </c>
    </row>
    <row r="65" spans="1:17" ht="11.1" customHeight="1" x14ac:dyDescent="0.2">
      <c r="A65" s="45" t="s">
        <v>68</v>
      </c>
      <c r="B65" s="45"/>
      <c r="C65" s="45"/>
      <c r="D65" s="18" t="str">
        <f t="shared" si="0"/>
        <v>10.07.2026</v>
      </c>
      <c r="E65" s="18" t="str">
        <f t="shared" si="1"/>
        <v>Расходный</v>
      </c>
      <c r="F65" s="49">
        <v>626.87</v>
      </c>
      <c r="G65" s="49"/>
      <c r="H65" s="7"/>
      <c r="I65" s="8"/>
      <c r="J65" s="38">
        <v>1.35</v>
      </c>
      <c r="K65" s="9">
        <v>625.52</v>
      </c>
      <c r="L65" s="9">
        <v>626.87</v>
      </c>
      <c r="M65" s="10"/>
      <c r="N65" s="9">
        <v>1.35</v>
      </c>
      <c r="O65" s="9">
        <v>625.52</v>
      </c>
    </row>
    <row r="66" spans="1:17" ht="11.1" customHeight="1" x14ac:dyDescent="0.2">
      <c r="A66" s="45" t="s">
        <v>69</v>
      </c>
      <c r="B66" s="45"/>
      <c r="C66" s="45"/>
      <c r="D66" s="18" t="str">
        <f t="shared" si="0"/>
        <v>10.07.2026</v>
      </c>
      <c r="E66" s="18" t="str">
        <f t="shared" si="1"/>
        <v>Расходный</v>
      </c>
      <c r="F66" s="49">
        <v>625.52</v>
      </c>
      <c r="G66" s="49"/>
      <c r="H66" s="7"/>
      <c r="I66" s="8"/>
      <c r="J66" s="38">
        <v>1.34</v>
      </c>
      <c r="K66" s="9">
        <v>624.17999999999995</v>
      </c>
      <c r="L66" s="9">
        <v>625.52</v>
      </c>
      <c r="M66" s="10"/>
      <c r="N66" s="9">
        <v>1.34</v>
      </c>
      <c r="O66" s="9">
        <v>624.17999999999995</v>
      </c>
    </row>
    <row r="67" spans="1:17" ht="11.1" customHeight="1" x14ac:dyDescent="0.2">
      <c r="A67" s="45" t="s">
        <v>70</v>
      </c>
      <c r="B67" s="45"/>
      <c r="C67" s="45"/>
      <c r="D67" s="18" t="str">
        <f t="shared" si="0"/>
        <v>10.07.2026</v>
      </c>
      <c r="E67" s="18" t="str">
        <f t="shared" si="1"/>
        <v>Расходный</v>
      </c>
      <c r="F67" s="49">
        <v>624.17999999999995</v>
      </c>
      <c r="G67" s="49"/>
      <c r="H67" s="7"/>
      <c r="I67" s="8"/>
      <c r="J67" s="38">
        <v>1.34</v>
      </c>
      <c r="K67" s="9">
        <v>622.84</v>
      </c>
      <c r="L67" s="9">
        <v>624.17999999999995</v>
      </c>
      <c r="M67" s="10"/>
      <c r="N67" s="9">
        <v>1.34</v>
      </c>
      <c r="O67" s="9">
        <v>622.84</v>
      </c>
    </row>
    <row r="68" spans="1:17" ht="11.1" customHeight="1" x14ac:dyDescent="0.2">
      <c r="A68" s="45" t="s">
        <v>71</v>
      </c>
      <c r="B68" s="45"/>
      <c r="C68" s="45"/>
      <c r="D68" s="18" t="str">
        <f t="shared" si="0"/>
        <v>10.07.2026</v>
      </c>
      <c r="E68" s="18" t="str">
        <f t="shared" si="1"/>
        <v>Расходный</v>
      </c>
      <c r="F68" s="49">
        <v>622.84</v>
      </c>
      <c r="G68" s="49"/>
      <c r="H68" s="7"/>
      <c r="I68" s="8"/>
      <c r="J68" s="38">
        <v>1.34</v>
      </c>
      <c r="K68" s="9">
        <v>621.5</v>
      </c>
      <c r="L68" s="9">
        <v>622.84</v>
      </c>
      <c r="M68" s="10"/>
      <c r="N68" s="9">
        <v>1.34</v>
      </c>
      <c r="O68" s="9">
        <v>621.5</v>
      </c>
    </row>
    <row r="69" spans="1:17" ht="11.1" customHeight="1" x14ac:dyDescent="0.2">
      <c r="A69" s="45" t="s">
        <v>72</v>
      </c>
      <c r="B69" s="45"/>
      <c r="C69" s="45"/>
      <c r="D69" s="18" t="str">
        <f t="shared" si="0"/>
        <v>10.07.2026</v>
      </c>
      <c r="E69" s="18" t="str">
        <f t="shared" si="1"/>
        <v>Расходный</v>
      </c>
      <c r="F69" s="49">
        <v>621.5</v>
      </c>
      <c r="G69" s="49"/>
      <c r="H69" s="7"/>
      <c r="I69" s="8"/>
      <c r="J69" s="38">
        <v>1.34</v>
      </c>
      <c r="K69" s="9">
        <v>620.16</v>
      </c>
      <c r="L69" s="9">
        <v>621.5</v>
      </c>
      <c r="M69" s="10"/>
      <c r="N69" s="9">
        <v>1.34</v>
      </c>
      <c r="O69" s="9">
        <v>620.16</v>
      </c>
    </row>
    <row r="70" spans="1:17" ht="11.1" customHeight="1" x14ac:dyDescent="0.2">
      <c r="A70" s="45" t="s">
        <v>73</v>
      </c>
      <c r="B70" s="45"/>
      <c r="C70" s="45"/>
      <c r="D70" s="18" t="str">
        <f t="shared" si="0"/>
        <v>10.07.2026</v>
      </c>
      <c r="E70" s="18" t="str">
        <f t="shared" si="1"/>
        <v>Расходный</v>
      </c>
      <c r="F70" s="49">
        <v>620.16</v>
      </c>
      <c r="G70" s="49"/>
      <c r="H70" s="7"/>
      <c r="I70" s="8"/>
      <c r="J70" s="38">
        <v>1.345</v>
      </c>
      <c r="K70" s="9">
        <v>618.81500000000005</v>
      </c>
      <c r="L70" s="9">
        <v>620.16</v>
      </c>
      <c r="M70" s="10"/>
      <c r="N70" s="9">
        <v>1.345</v>
      </c>
      <c r="O70" s="9">
        <v>618.81500000000005</v>
      </c>
    </row>
    <row r="71" spans="1:17" ht="11.1" hidden="1" customHeight="1" x14ac:dyDescent="0.2">
      <c r="A71" s="45" t="s">
        <v>74</v>
      </c>
      <c r="B71" s="45"/>
      <c r="C71" s="45"/>
      <c r="D71" s="18" t="str">
        <f t="shared" si="0"/>
        <v>10.07.2026</v>
      </c>
      <c r="E71" s="18" t="str">
        <f t="shared" si="1"/>
        <v>Приходный</v>
      </c>
      <c r="F71" s="49">
        <v>618.81500000000005</v>
      </c>
      <c r="G71" s="49"/>
      <c r="H71" s="49">
        <v>1.34</v>
      </c>
      <c r="I71" s="49"/>
      <c r="J71" s="10"/>
      <c r="K71" s="9">
        <v>620.15499999999997</v>
      </c>
      <c r="L71" s="9">
        <v>618.81500000000005</v>
      </c>
      <c r="M71" s="9">
        <v>1.34</v>
      </c>
      <c r="N71" s="10"/>
      <c r="O71" s="9">
        <v>620.15499999999997</v>
      </c>
      <c r="P71"/>
    </row>
    <row r="72" spans="1:17" ht="11.1" customHeight="1" x14ac:dyDescent="0.2">
      <c r="A72" s="45" t="s">
        <v>75</v>
      </c>
      <c r="B72" s="45"/>
      <c r="C72" s="45"/>
      <c r="D72" s="18" t="str">
        <f t="shared" si="0"/>
        <v>11.07.2026</v>
      </c>
      <c r="E72" s="18" t="str">
        <f t="shared" si="1"/>
        <v>Расходный</v>
      </c>
      <c r="F72" s="49">
        <v>620.15499999999997</v>
      </c>
      <c r="G72" s="49"/>
      <c r="H72" s="7"/>
      <c r="I72" s="8"/>
      <c r="J72" s="38">
        <v>1.345</v>
      </c>
      <c r="K72" s="9">
        <v>618.80999999999995</v>
      </c>
      <c r="L72" s="9">
        <v>620.15499999999997</v>
      </c>
      <c r="M72" s="10"/>
      <c r="N72" s="9">
        <v>1.345</v>
      </c>
      <c r="O72" s="9">
        <v>618.80999999999995</v>
      </c>
    </row>
    <row r="73" spans="1:17" ht="11.1" customHeight="1" x14ac:dyDescent="0.2">
      <c r="A73" s="45" t="s">
        <v>76</v>
      </c>
      <c r="B73" s="45"/>
      <c r="C73" s="45"/>
      <c r="D73" s="18" t="str">
        <f t="shared" si="0"/>
        <v>11.07.2026</v>
      </c>
      <c r="E73" s="18" t="str">
        <f t="shared" si="1"/>
        <v>Расходный</v>
      </c>
      <c r="F73" s="49">
        <v>618.80999999999995</v>
      </c>
      <c r="G73" s="49"/>
      <c r="H73" s="7"/>
      <c r="I73" s="8"/>
      <c r="J73" s="38">
        <v>1.345</v>
      </c>
      <c r="K73" s="9">
        <v>617.46500000000003</v>
      </c>
      <c r="L73" s="9">
        <v>618.80999999999995</v>
      </c>
      <c r="M73" s="10"/>
      <c r="N73" s="9">
        <v>1.345</v>
      </c>
      <c r="O73" s="9">
        <v>617.46500000000003</v>
      </c>
    </row>
    <row r="74" spans="1:17" ht="11.1" customHeight="1" x14ac:dyDescent="0.2">
      <c r="A74" s="45" t="s">
        <v>77</v>
      </c>
      <c r="B74" s="45"/>
      <c r="C74" s="45"/>
      <c r="D74" s="18" t="str">
        <f t="shared" si="0"/>
        <v>11.07.2026</v>
      </c>
      <c r="E74" s="18" t="str">
        <f t="shared" si="1"/>
        <v>Расходный</v>
      </c>
      <c r="F74" s="49">
        <v>617.46500000000003</v>
      </c>
      <c r="G74" s="49"/>
      <c r="H74" s="7"/>
      <c r="I74" s="8"/>
      <c r="J74" s="38">
        <v>2.6749999999999998</v>
      </c>
      <c r="K74" s="9">
        <v>614.79</v>
      </c>
      <c r="L74" s="9">
        <v>617.46500000000003</v>
      </c>
      <c r="M74" s="10"/>
      <c r="N74" s="9">
        <v>2.6749999999999998</v>
      </c>
      <c r="O74" s="9">
        <v>614.79</v>
      </c>
    </row>
    <row r="75" spans="1:17" ht="11.1" customHeight="1" x14ac:dyDescent="0.2">
      <c r="A75" s="45" t="s">
        <v>78</v>
      </c>
      <c r="B75" s="45"/>
      <c r="C75" s="45"/>
      <c r="D75" s="18" t="str">
        <f t="shared" ref="D75:D138" si="2">RIGHT(A75,10)</f>
        <v>11.07.2026</v>
      </c>
      <c r="E75" s="18" t="str">
        <f t="shared" ref="E75:E138" si="3">LEFT(A75,9)</f>
        <v>Расходный</v>
      </c>
      <c r="F75" s="49">
        <v>614.79</v>
      </c>
      <c r="G75" s="49"/>
      <c r="H75" s="7"/>
      <c r="I75" s="8"/>
      <c r="J75" s="38">
        <v>1.34</v>
      </c>
      <c r="K75" s="9">
        <v>613.45000000000005</v>
      </c>
      <c r="L75" s="9">
        <v>614.79</v>
      </c>
      <c r="M75" s="10"/>
      <c r="N75" s="9">
        <v>1.34</v>
      </c>
      <c r="O75" s="9">
        <v>613.45000000000005</v>
      </c>
    </row>
    <row r="76" spans="1:17" ht="11.1" customHeight="1" x14ac:dyDescent="0.2">
      <c r="A76" s="45" t="s">
        <v>79</v>
      </c>
      <c r="B76" s="45"/>
      <c r="C76" s="45"/>
      <c r="D76" s="18" t="str">
        <f t="shared" si="2"/>
        <v>11.07.2026</v>
      </c>
      <c r="E76" s="18" t="str">
        <f t="shared" si="3"/>
        <v>Расходный</v>
      </c>
      <c r="F76" s="49">
        <v>613.45000000000005</v>
      </c>
      <c r="G76" s="49"/>
      <c r="H76" s="7"/>
      <c r="I76" s="8"/>
      <c r="J76" s="38">
        <v>1.34</v>
      </c>
      <c r="K76" s="9">
        <v>612.11</v>
      </c>
      <c r="L76" s="9">
        <v>613.45000000000005</v>
      </c>
      <c r="M76" s="10"/>
      <c r="N76" s="9">
        <v>1.34</v>
      </c>
      <c r="O76" s="9">
        <v>612.11</v>
      </c>
    </row>
    <row r="77" spans="1:17" ht="11.1" customHeight="1" x14ac:dyDescent="0.2">
      <c r="A77" s="45" t="s">
        <v>80</v>
      </c>
      <c r="B77" s="45"/>
      <c r="C77" s="45"/>
      <c r="D77" s="18" t="str">
        <f t="shared" si="2"/>
        <v>11.07.2026</v>
      </c>
      <c r="E77" s="18" t="str">
        <f t="shared" si="3"/>
        <v>Расходный</v>
      </c>
      <c r="F77" s="49">
        <v>612.11</v>
      </c>
      <c r="G77" s="49"/>
      <c r="H77" s="7"/>
      <c r="I77" s="8"/>
      <c r="J77" s="38">
        <v>2.6819999999999999</v>
      </c>
      <c r="K77" s="9">
        <v>609.428</v>
      </c>
      <c r="L77" s="9">
        <v>612.11</v>
      </c>
      <c r="M77" s="10"/>
      <c r="N77" s="9">
        <v>2.6819999999999999</v>
      </c>
      <c r="O77" s="9">
        <v>609.428</v>
      </c>
    </row>
    <row r="78" spans="1:17" ht="11.1" customHeight="1" x14ac:dyDescent="0.2">
      <c r="A78" s="45" t="s">
        <v>81</v>
      </c>
      <c r="B78" s="45"/>
      <c r="C78" s="45"/>
      <c r="D78" s="18" t="str">
        <f t="shared" si="2"/>
        <v>11.07.2026</v>
      </c>
      <c r="E78" s="18" t="str">
        <f t="shared" si="3"/>
        <v>Расходный</v>
      </c>
      <c r="F78" s="49">
        <v>609.428</v>
      </c>
      <c r="G78" s="49"/>
      <c r="H78" s="7"/>
      <c r="I78" s="8"/>
      <c r="J78" s="38">
        <v>10.785</v>
      </c>
      <c r="K78" s="9">
        <v>598.64300000000003</v>
      </c>
      <c r="L78" s="9">
        <v>609.428</v>
      </c>
      <c r="M78" s="10"/>
      <c r="N78" s="9">
        <v>10.785</v>
      </c>
      <c r="O78" s="9">
        <v>598.64300000000003</v>
      </c>
    </row>
    <row r="79" spans="1:17" ht="11.1" customHeight="1" x14ac:dyDescent="0.2">
      <c r="A79" s="45" t="s">
        <v>82</v>
      </c>
      <c r="B79" s="45"/>
      <c r="C79" s="45"/>
      <c r="D79" s="19" t="str">
        <f t="shared" si="2"/>
        <v>11.07.2026</v>
      </c>
      <c r="E79" s="19" t="str">
        <f t="shared" si="3"/>
        <v>Расходный</v>
      </c>
      <c r="F79" s="50">
        <v>598.64300000000003</v>
      </c>
      <c r="G79" s="50"/>
      <c r="H79" s="21"/>
      <c r="I79" s="22"/>
      <c r="J79" s="39">
        <v>1.34</v>
      </c>
      <c r="K79" s="23">
        <v>597.303</v>
      </c>
      <c r="L79" s="23">
        <v>598.64300000000003</v>
      </c>
      <c r="M79" s="24"/>
      <c r="N79" s="23">
        <v>1.34</v>
      </c>
      <c r="O79" s="23">
        <v>597.303</v>
      </c>
      <c r="P79" s="42">
        <v>46215</v>
      </c>
      <c r="Q79" s="35">
        <f>SUM(J58:J79)+SUM(J22:J56)</f>
        <v>91.561000000000007</v>
      </c>
    </row>
    <row r="80" spans="1:17" ht="11.1" hidden="1" customHeight="1" x14ac:dyDescent="0.2">
      <c r="A80" s="45" t="s">
        <v>83</v>
      </c>
      <c r="B80" s="45"/>
      <c r="C80" s="45"/>
      <c r="D80" s="18" t="str">
        <f t="shared" si="2"/>
        <v>12.07.2026</v>
      </c>
      <c r="E80" s="18" t="str">
        <f t="shared" si="3"/>
        <v xml:space="preserve">Пересчет </v>
      </c>
      <c r="F80" s="49">
        <v>597.303</v>
      </c>
      <c r="G80" s="49"/>
      <c r="H80" s="49">
        <v>29.681000000000001</v>
      </c>
      <c r="I80" s="49"/>
      <c r="J80" s="9">
        <v>25.675999999999998</v>
      </c>
      <c r="K80" s="9">
        <v>601.30799999999999</v>
      </c>
      <c r="L80" s="9">
        <v>597.303</v>
      </c>
      <c r="M80" s="9">
        <v>29.681000000000001</v>
      </c>
      <c r="N80" s="9">
        <v>25.675999999999998</v>
      </c>
      <c r="O80" s="9">
        <v>601.30799999999999</v>
      </c>
      <c r="P80"/>
    </row>
    <row r="81" spans="1:17" ht="11.1" customHeight="1" x14ac:dyDescent="0.2">
      <c r="A81" s="45" t="s">
        <v>84</v>
      </c>
      <c r="B81" s="45"/>
      <c r="C81" s="45"/>
      <c r="D81" s="18" t="str">
        <f t="shared" si="2"/>
        <v>14.07.2026</v>
      </c>
      <c r="E81" s="18" t="str">
        <f t="shared" si="3"/>
        <v>Расходный</v>
      </c>
      <c r="F81" s="49">
        <v>601.30799999999999</v>
      </c>
      <c r="G81" s="49"/>
      <c r="H81" s="7"/>
      <c r="I81" s="8"/>
      <c r="J81" s="38">
        <v>2.6850000000000001</v>
      </c>
      <c r="K81" s="9">
        <v>598.62300000000005</v>
      </c>
      <c r="L81" s="9">
        <v>601.30799999999999</v>
      </c>
      <c r="M81" s="10"/>
      <c r="N81" s="9">
        <v>2.6850000000000001</v>
      </c>
      <c r="O81" s="9">
        <v>598.62300000000005</v>
      </c>
    </row>
    <row r="82" spans="1:17" ht="11.1" customHeight="1" x14ac:dyDescent="0.2">
      <c r="A82" s="45" t="s">
        <v>85</v>
      </c>
      <c r="B82" s="45"/>
      <c r="C82" s="45"/>
      <c r="D82" s="18" t="str">
        <f t="shared" si="2"/>
        <v>15.07.2026</v>
      </c>
      <c r="E82" s="18" t="str">
        <f t="shared" si="3"/>
        <v>Расходный</v>
      </c>
      <c r="F82" s="49">
        <v>598.62300000000005</v>
      </c>
      <c r="G82" s="49"/>
      <c r="H82" s="7"/>
      <c r="I82" s="8"/>
      <c r="J82" s="38">
        <v>1.355</v>
      </c>
      <c r="K82" s="9">
        <v>597.26800000000003</v>
      </c>
      <c r="L82" s="9">
        <v>598.62300000000005</v>
      </c>
      <c r="M82" s="10"/>
      <c r="N82" s="9">
        <v>1.355</v>
      </c>
      <c r="O82" s="9">
        <v>597.26800000000003</v>
      </c>
    </row>
    <row r="83" spans="1:17" ht="11.1" customHeight="1" x14ac:dyDescent="0.2">
      <c r="A83" s="45" t="s">
        <v>86</v>
      </c>
      <c r="B83" s="45"/>
      <c r="C83" s="45"/>
      <c r="D83" s="18" t="str">
        <f t="shared" si="2"/>
        <v>15.07.2026</v>
      </c>
      <c r="E83" s="18" t="str">
        <f t="shared" si="3"/>
        <v>Расходный</v>
      </c>
      <c r="F83" s="49">
        <v>597.26800000000003</v>
      </c>
      <c r="G83" s="49"/>
      <c r="H83" s="7"/>
      <c r="I83" s="8"/>
      <c r="J83" s="38">
        <v>10.75</v>
      </c>
      <c r="K83" s="9">
        <v>586.51800000000003</v>
      </c>
      <c r="L83" s="9">
        <v>597.26800000000003</v>
      </c>
      <c r="M83" s="10"/>
      <c r="N83" s="9">
        <v>10.75</v>
      </c>
      <c r="O83" s="9">
        <v>586.51800000000003</v>
      </c>
    </row>
    <row r="84" spans="1:17" ht="11.1" customHeight="1" x14ac:dyDescent="0.2">
      <c r="A84" s="45" t="s">
        <v>87</v>
      </c>
      <c r="B84" s="45"/>
      <c r="C84" s="45"/>
      <c r="D84" s="18" t="str">
        <f t="shared" si="2"/>
        <v>15.07.2026</v>
      </c>
      <c r="E84" s="18" t="str">
        <f t="shared" si="3"/>
        <v>Расходный</v>
      </c>
      <c r="F84" s="49">
        <v>586.51800000000003</v>
      </c>
      <c r="G84" s="49"/>
      <c r="H84" s="7"/>
      <c r="I84" s="8"/>
      <c r="J84" s="38">
        <v>1.34</v>
      </c>
      <c r="K84" s="9">
        <v>585.178</v>
      </c>
      <c r="L84" s="9">
        <v>586.51800000000003</v>
      </c>
      <c r="M84" s="10"/>
      <c r="N84" s="9">
        <v>1.34</v>
      </c>
      <c r="O84" s="9">
        <v>585.178</v>
      </c>
    </row>
    <row r="85" spans="1:17" ht="11.1" customHeight="1" x14ac:dyDescent="0.2">
      <c r="A85" s="45" t="s">
        <v>88</v>
      </c>
      <c r="B85" s="45"/>
      <c r="C85" s="45"/>
      <c r="D85" s="18" t="str">
        <f t="shared" si="2"/>
        <v>15.07.2026</v>
      </c>
      <c r="E85" s="18" t="str">
        <f t="shared" si="3"/>
        <v>Расходный</v>
      </c>
      <c r="F85" s="49">
        <v>585.178</v>
      </c>
      <c r="G85" s="49"/>
      <c r="H85" s="7"/>
      <c r="I85" s="8"/>
      <c r="J85" s="38">
        <v>1.345</v>
      </c>
      <c r="K85" s="9">
        <v>583.83299999999997</v>
      </c>
      <c r="L85" s="9">
        <v>585.178</v>
      </c>
      <c r="M85" s="10"/>
      <c r="N85" s="9">
        <v>1.345</v>
      </c>
      <c r="O85" s="9">
        <v>583.83299999999997</v>
      </c>
    </row>
    <row r="86" spans="1:17" ht="11.1" customHeight="1" x14ac:dyDescent="0.2">
      <c r="A86" s="45" t="s">
        <v>89</v>
      </c>
      <c r="B86" s="45"/>
      <c r="C86" s="45"/>
      <c r="D86" s="18" t="str">
        <f t="shared" si="2"/>
        <v>15.07.2026</v>
      </c>
      <c r="E86" s="18" t="str">
        <f t="shared" si="3"/>
        <v>Расходный</v>
      </c>
      <c r="F86" s="49">
        <v>583.83299999999997</v>
      </c>
      <c r="G86" s="49"/>
      <c r="H86" s="7"/>
      <c r="I86" s="8"/>
      <c r="J86" s="38">
        <v>1.33</v>
      </c>
      <c r="K86" s="9">
        <v>582.50300000000004</v>
      </c>
      <c r="L86" s="9">
        <v>583.83299999999997</v>
      </c>
      <c r="M86" s="10"/>
      <c r="N86" s="9">
        <v>1.33</v>
      </c>
      <c r="O86" s="9">
        <v>582.50300000000004</v>
      </c>
    </row>
    <row r="87" spans="1:17" ht="11.1" customHeight="1" x14ac:dyDescent="0.2">
      <c r="A87" s="45" t="s">
        <v>90</v>
      </c>
      <c r="B87" s="45"/>
      <c r="C87" s="45"/>
      <c r="D87" s="18" t="str">
        <f t="shared" si="2"/>
        <v>15.07.2026</v>
      </c>
      <c r="E87" s="18" t="str">
        <f t="shared" si="3"/>
        <v>Расходный</v>
      </c>
      <c r="F87" s="49">
        <v>582.50300000000004</v>
      </c>
      <c r="G87" s="49"/>
      <c r="H87" s="7"/>
      <c r="I87" s="8"/>
      <c r="J87" s="38">
        <v>1.335</v>
      </c>
      <c r="K87" s="9">
        <v>581.16800000000001</v>
      </c>
      <c r="L87" s="9">
        <v>582.50300000000004</v>
      </c>
      <c r="M87" s="10"/>
      <c r="N87" s="9">
        <v>1.335</v>
      </c>
      <c r="O87" s="9">
        <v>581.16800000000001</v>
      </c>
    </row>
    <row r="88" spans="1:17" ht="11.1" customHeight="1" x14ac:dyDescent="0.2">
      <c r="A88" s="45" t="s">
        <v>91</v>
      </c>
      <c r="B88" s="45"/>
      <c r="C88" s="45"/>
      <c r="D88" s="18" t="str">
        <f t="shared" si="2"/>
        <v>15.07.2026</v>
      </c>
      <c r="E88" s="18" t="str">
        <f t="shared" si="3"/>
        <v>Расходный</v>
      </c>
      <c r="F88" s="49">
        <v>581.16800000000001</v>
      </c>
      <c r="G88" s="49"/>
      <c r="H88" s="7"/>
      <c r="I88" s="8"/>
      <c r="J88" s="38">
        <v>1.345</v>
      </c>
      <c r="K88" s="9">
        <v>579.82299999999998</v>
      </c>
      <c r="L88" s="9">
        <v>581.16800000000001</v>
      </c>
      <c r="M88" s="10"/>
      <c r="N88" s="9">
        <v>1.345</v>
      </c>
      <c r="O88" s="9">
        <v>579.82299999999998</v>
      </c>
    </row>
    <row r="89" spans="1:17" ht="11.1" customHeight="1" x14ac:dyDescent="0.2">
      <c r="A89" s="45" t="s">
        <v>92</v>
      </c>
      <c r="B89" s="45"/>
      <c r="C89" s="45"/>
      <c r="D89" s="18" t="str">
        <f t="shared" si="2"/>
        <v>15.07.2026</v>
      </c>
      <c r="E89" s="18" t="str">
        <f t="shared" si="3"/>
        <v>Расходный</v>
      </c>
      <c r="F89" s="49">
        <v>579.82299999999998</v>
      </c>
      <c r="G89" s="49"/>
      <c r="H89" s="7"/>
      <c r="I89" s="8"/>
      <c r="J89" s="38">
        <v>4.01</v>
      </c>
      <c r="K89" s="9">
        <v>575.81299999999999</v>
      </c>
      <c r="L89" s="9">
        <v>579.82299999999998</v>
      </c>
      <c r="M89" s="10"/>
      <c r="N89" s="9">
        <v>4.01</v>
      </c>
      <c r="O89" s="9">
        <v>575.81299999999999</v>
      </c>
    </row>
    <row r="90" spans="1:17" ht="11.1" hidden="1" customHeight="1" x14ac:dyDescent="0.2">
      <c r="A90" s="45" t="s">
        <v>93</v>
      </c>
      <c r="B90" s="45"/>
      <c r="C90" s="45"/>
      <c r="D90" s="18" t="str">
        <f t="shared" si="2"/>
        <v>15.07.2026</v>
      </c>
      <c r="E90" s="18" t="str">
        <f t="shared" si="3"/>
        <v>Приходный</v>
      </c>
      <c r="F90" s="49">
        <v>575.81299999999999</v>
      </c>
      <c r="G90" s="49"/>
      <c r="H90" s="49">
        <v>1.345</v>
      </c>
      <c r="I90" s="49"/>
      <c r="J90" s="10"/>
      <c r="K90" s="9">
        <v>577.15800000000002</v>
      </c>
      <c r="L90" s="9">
        <v>575.81299999999999</v>
      </c>
      <c r="M90" s="9">
        <v>1.345</v>
      </c>
      <c r="N90" s="10"/>
      <c r="O90" s="9">
        <v>577.15800000000002</v>
      </c>
      <c r="P90"/>
    </row>
    <row r="91" spans="1:17" ht="11.1" hidden="1" customHeight="1" x14ac:dyDescent="0.2">
      <c r="A91" s="45" t="s">
        <v>94</v>
      </c>
      <c r="B91" s="45"/>
      <c r="C91" s="45"/>
      <c r="D91" s="18" t="str">
        <f t="shared" si="2"/>
        <v>15.07.2026</v>
      </c>
      <c r="E91" s="18" t="str">
        <f t="shared" si="3"/>
        <v>Приходный</v>
      </c>
      <c r="F91" s="49">
        <v>577.15800000000002</v>
      </c>
      <c r="G91" s="49"/>
      <c r="H91" s="49">
        <v>1.355</v>
      </c>
      <c r="I91" s="49"/>
      <c r="J91" s="10"/>
      <c r="K91" s="9">
        <v>578.51300000000003</v>
      </c>
      <c r="L91" s="9">
        <v>577.15800000000002</v>
      </c>
      <c r="M91" s="9">
        <v>1.355</v>
      </c>
      <c r="N91" s="10"/>
      <c r="O91" s="9">
        <v>578.51300000000003</v>
      </c>
      <c r="P91"/>
    </row>
    <row r="92" spans="1:17" ht="11.1" customHeight="1" x14ac:dyDescent="0.2">
      <c r="A92" s="45" t="s">
        <v>95</v>
      </c>
      <c r="B92" s="45"/>
      <c r="C92" s="45"/>
      <c r="D92" s="18" t="str">
        <f t="shared" si="2"/>
        <v>16.07.2026</v>
      </c>
      <c r="E92" s="18" t="str">
        <f t="shared" si="3"/>
        <v>Расходный</v>
      </c>
      <c r="F92" s="49">
        <v>578.51300000000003</v>
      </c>
      <c r="G92" s="49"/>
      <c r="H92" s="7"/>
      <c r="I92" s="8"/>
      <c r="J92" s="38">
        <v>1.335</v>
      </c>
      <c r="K92" s="9">
        <v>577.178</v>
      </c>
      <c r="L92" s="9">
        <v>578.51300000000003</v>
      </c>
      <c r="M92" s="10"/>
      <c r="N92" s="9">
        <v>1.335</v>
      </c>
      <c r="O92" s="9">
        <v>577.178</v>
      </c>
    </row>
    <row r="93" spans="1:17" ht="11.1" customHeight="1" x14ac:dyDescent="0.2">
      <c r="A93" s="45" t="s">
        <v>96</v>
      </c>
      <c r="B93" s="45"/>
      <c r="C93" s="45"/>
      <c r="D93" s="18" t="str">
        <f t="shared" si="2"/>
        <v>16.07.2026</v>
      </c>
      <c r="E93" s="18" t="str">
        <f t="shared" si="3"/>
        <v>Расходный</v>
      </c>
      <c r="F93" s="49">
        <v>577.178</v>
      </c>
      <c r="G93" s="49"/>
      <c r="H93" s="7"/>
      <c r="I93" s="8"/>
      <c r="J93" s="38">
        <v>1.34</v>
      </c>
      <c r="K93" s="9">
        <v>575.83799999999997</v>
      </c>
      <c r="L93" s="9">
        <v>577.178</v>
      </c>
      <c r="M93" s="10"/>
      <c r="N93" s="9">
        <v>1.34</v>
      </c>
      <c r="O93" s="9">
        <v>575.83799999999997</v>
      </c>
    </row>
    <row r="94" spans="1:17" ht="11.1" customHeight="1" x14ac:dyDescent="0.2">
      <c r="A94" s="45" t="s">
        <v>97</v>
      </c>
      <c r="B94" s="45"/>
      <c r="C94" s="45"/>
      <c r="D94" s="18" t="str">
        <f t="shared" si="2"/>
        <v>16.07.2026</v>
      </c>
      <c r="E94" s="18" t="str">
        <f t="shared" si="3"/>
        <v>Расходный</v>
      </c>
      <c r="F94" s="49">
        <v>575.83799999999997</v>
      </c>
      <c r="G94" s="49"/>
      <c r="H94" s="7"/>
      <c r="I94" s="8"/>
      <c r="J94" s="38">
        <v>1.34</v>
      </c>
      <c r="K94" s="9">
        <v>574.49800000000005</v>
      </c>
      <c r="L94" s="9">
        <v>575.83799999999997</v>
      </c>
      <c r="M94" s="10"/>
      <c r="N94" s="9">
        <v>1.34</v>
      </c>
      <c r="O94" s="9">
        <v>574.49800000000005</v>
      </c>
    </row>
    <row r="95" spans="1:17" ht="11.1" customHeight="1" x14ac:dyDescent="0.2">
      <c r="A95" s="45" t="s">
        <v>98</v>
      </c>
      <c r="B95" s="45"/>
      <c r="C95" s="45"/>
      <c r="D95" s="19" t="str">
        <f t="shared" si="2"/>
        <v>17.07.2026</v>
      </c>
      <c r="E95" s="19" t="str">
        <f t="shared" si="3"/>
        <v>Расходный</v>
      </c>
      <c r="F95" s="50">
        <v>574.49800000000005</v>
      </c>
      <c r="G95" s="50"/>
      <c r="H95" s="21"/>
      <c r="I95" s="22"/>
      <c r="J95" s="39">
        <v>6.7249999999999996</v>
      </c>
      <c r="K95" s="23">
        <v>567.77300000000002</v>
      </c>
      <c r="L95" s="23">
        <v>574.49800000000005</v>
      </c>
      <c r="M95" s="24"/>
      <c r="N95" s="23">
        <v>6.7249999999999996</v>
      </c>
      <c r="O95" s="23">
        <v>567.77300000000002</v>
      </c>
      <c r="P95" s="42">
        <v>46222</v>
      </c>
      <c r="Q95" s="35">
        <f>SUM(J81:J95)</f>
        <v>36.234999999999999</v>
      </c>
    </row>
    <row r="96" spans="1:17" ht="11.1" customHeight="1" x14ac:dyDescent="0.2">
      <c r="A96" s="45" t="s">
        <v>99</v>
      </c>
      <c r="B96" s="45"/>
      <c r="C96" s="45"/>
      <c r="D96" s="18" t="str">
        <f t="shared" si="2"/>
        <v>21.07.2026</v>
      </c>
      <c r="E96" s="18" t="str">
        <f t="shared" si="3"/>
        <v>Расходный</v>
      </c>
      <c r="F96" s="49">
        <v>567.77300000000002</v>
      </c>
      <c r="G96" s="49"/>
      <c r="H96" s="7"/>
      <c r="I96" s="8"/>
      <c r="J96" s="38">
        <v>2.6949999999999998</v>
      </c>
      <c r="K96" s="9">
        <v>565.07799999999997</v>
      </c>
      <c r="L96" s="9">
        <v>567.77300000000002</v>
      </c>
      <c r="M96" s="10"/>
      <c r="N96" s="9">
        <v>2.6949999999999998</v>
      </c>
      <c r="O96" s="9">
        <v>565.07799999999997</v>
      </c>
    </row>
    <row r="97" spans="1:17" ht="11.1" customHeight="1" x14ac:dyDescent="0.2">
      <c r="A97" s="45" t="s">
        <v>100</v>
      </c>
      <c r="B97" s="45"/>
      <c r="C97" s="45"/>
      <c r="D97" s="18" t="str">
        <f t="shared" si="2"/>
        <v>23.07.2026</v>
      </c>
      <c r="E97" s="18" t="str">
        <f t="shared" si="3"/>
        <v>Расходный</v>
      </c>
      <c r="F97" s="49">
        <v>565.07799999999997</v>
      </c>
      <c r="G97" s="49"/>
      <c r="H97" s="7"/>
      <c r="I97" s="8"/>
      <c r="J97" s="38">
        <v>1.345</v>
      </c>
      <c r="K97" s="9">
        <v>563.73299999999995</v>
      </c>
      <c r="L97" s="9">
        <v>565.07799999999997</v>
      </c>
      <c r="M97" s="10"/>
      <c r="N97" s="9">
        <v>1.345</v>
      </c>
      <c r="O97" s="9">
        <v>563.73299999999995</v>
      </c>
    </row>
    <row r="98" spans="1:17" ht="11.1" customHeight="1" x14ac:dyDescent="0.2">
      <c r="A98" s="45" t="s">
        <v>101</v>
      </c>
      <c r="B98" s="45"/>
      <c r="C98" s="45"/>
      <c r="D98" s="18" t="str">
        <f t="shared" si="2"/>
        <v>23.07.2026</v>
      </c>
      <c r="E98" s="18" t="str">
        <f t="shared" si="3"/>
        <v>Расходный</v>
      </c>
      <c r="F98" s="49">
        <v>563.73299999999995</v>
      </c>
      <c r="G98" s="49"/>
      <c r="H98" s="7"/>
      <c r="I98" s="8"/>
      <c r="J98" s="38">
        <v>1.335</v>
      </c>
      <c r="K98" s="9">
        <v>562.39800000000002</v>
      </c>
      <c r="L98" s="9">
        <v>563.73299999999995</v>
      </c>
      <c r="M98" s="10"/>
      <c r="N98" s="9">
        <v>1.335</v>
      </c>
      <c r="O98" s="9">
        <v>562.39800000000002</v>
      </c>
    </row>
    <row r="99" spans="1:17" ht="11.1" hidden="1" customHeight="1" x14ac:dyDescent="0.2">
      <c r="A99" s="45" t="s">
        <v>102</v>
      </c>
      <c r="B99" s="45"/>
      <c r="C99" s="45"/>
      <c r="D99" s="18" t="str">
        <f t="shared" si="2"/>
        <v>23.07.2026</v>
      </c>
      <c r="E99" s="18" t="str">
        <f t="shared" si="3"/>
        <v>Приходный</v>
      </c>
      <c r="F99" s="49">
        <v>562.39800000000002</v>
      </c>
      <c r="G99" s="49"/>
      <c r="H99" s="49">
        <v>1.335</v>
      </c>
      <c r="I99" s="49"/>
      <c r="J99" s="10"/>
      <c r="K99" s="9">
        <v>563.73299999999995</v>
      </c>
      <c r="L99" s="9">
        <v>562.39800000000002</v>
      </c>
      <c r="M99" s="9">
        <v>1.335</v>
      </c>
      <c r="N99" s="10"/>
      <c r="O99" s="9">
        <v>563.73299999999995</v>
      </c>
      <c r="P99"/>
    </row>
    <row r="100" spans="1:17" ht="11.1" customHeight="1" x14ac:dyDescent="0.2">
      <c r="A100" s="45" t="s">
        <v>103</v>
      </c>
      <c r="B100" s="45"/>
      <c r="C100" s="45"/>
      <c r="D100" s="18" t="str">
        <f t="shared" si="2"/>
        <v>24.07.2026</v>
      </c>
      <c r="E100" s="18" t="str">
        <f t="shared" si="3"/>
        <v>Расходный</v>
      </c>
      <c r="F100" s="49">
        <v>563.73299999999995</v>
      </c>
      <c r="G100" s="49"/>
      <c r="H100" s="7"/>
      <c r="I100" s="8"/>
      <c r="J100" s="38">
        <v>5.3579999999999997</v>
      </c>
      <c r="K100" s="9">
        <v>558.375</v>
      </c>
      <c r="L100" s="9">
        <v>563.73299999999995</v>
      </c>
      <c r="M100" s="10"/>
      <c r="N100" s="9">
        <v>5.3579999999999997</v>
      </c>
      <c r="O100" s="9">
        <v>558.375</v>
      </c>
    </row>
    <row r="101" spans="1:17" ht="11.1" customHeight="1" x14ac:dyDescent="0.2">
      <c r="A101" s="45" t="s">
        <v>104</v>
      </c>
      <c r="B101" s="45"/>
      <c r="C101" s="45"/>
      <c r="D101" s="18" t="str">
        <f t="shared" si="2"/>
        <v>24.07.2026</v>
      </c>
      <c r="E101" s="18" t="str">
        <f t="shared" si="3"/>
        <v>Расходный</v>
      </c>
      <c r="F101" s="49">
        <v>558.375</v>
      </c>
      <c r="G101" s="49"/>
      <c r="H101" s="7"/>
      <c r="I101" s="8"/>
      <c r="J101" s="38">
        <v>5.3719999999999999</v>
      </c>
      <c r="K101" s="9">
        <v>553.00300000000004</v>
      </c>
      <c r="L101" s="9">
        <v>558.375</v>
      </c>
      <c r="M101" s="10"/>
      <c r="N101" s="9">
        <v>5.3719999999999999</v>
      </c>
      <c r="O101" s="9">
        <v>553.00300000000004</v>
      </c>
    </row>
    <row r="102" spans="1:17" ht="11.1" customHeight="1" x14ac:dyDescent="0.2">
      <c r="A102" s="45" t="s">
        <v>105</v>
      </c>
      <c r="B102" s="45"/>
      <c r="C102" s="45"/>
      <c r="D102" s="19" t="str">
        <f t="shared" si="2"/>
        <v>25.07.2026</v>
      </c>
      <c r="E102" s="19" t="str">
        <f t="shared" si="3"/>
        <v>Расходный</v>
      </c>
      <c r="F102" s="50">
        <v>553.00300000000004</v>
      </c>
      <c r="G102" s="50"/>
      <c r="H102" s="21"/>
      <c r="I102" s="22"/>
      <c r="J102" s="39">
        <v>1.335</v>
      </c>
      <c r="K102" s="23">
        <v>551.66800000000001</v>
      </c>
      <c r="L102" s="23">
        <v>553.00300000000004</v>
      </c>
      <c r="M102" s="24"/>
      <c r="N102" s="23">
        <v>1.335</v>
      </c>
      <c r="O102" s="23">
        <v>551.66800000000001</v>
      </c>
      <c r="P102" s="42">
        <v>46229</v>
      </c>
      <c r="Q102" s="35">
        <f>SUM(J96:J102)</f>
        <v>17.440000000000001</v>
      </c>
    </row>
    <row r="103" spans="1:17" ht="11.1" customHeight="1" x14ac:dyDescent="0.2">
      <c r="A103" s="45" t="s">
        <v>106</v>
      </c>
      <c r="B103" s="45"/>
      <c r="C103" s="45"/>
      <c r="D103" s="18" t="str">
        <f t="shared" si="2"/>
        <v>28.07.2026</v>
      </c>
      <c r="E103" s="18" t="str">
        <f t="shared" si="3"/>
        <v>Расходный</v>
      </c>
      <c r="F103" s="49">
        <v>551.66800000000001</v>
      </c>
      <c r="G103" s="49"/>
      <c r="H103" s="7"/>
      <c r="I103" s="8"/>
      <c r="J103" s="38">
        <v>1.3360000000000001</v>
      </c>
      <c r="K103" s="9">
        <v>550.33199999999999</v>
      </c>
      <c r="L103" s="9">
        <v>551.66800000000001</v>
      </c>
      <c r="M103" s="10"/>
      <c r="N103" s="9">
        <v>1.3360000000000001</v>
      </c>
      <c r="O103" s="9">
        <v>550.33199999999999</v>
      </c>
    </row>
    <row r="104" spans="1:17" ht="11.1" customHeight="1" x14ac:dyDescent="0.2">
      <c r="A104" s="45" t="s">
        <v>107</v>
      </c>
      <c r="B104" s="45"/>
      <c r="C104" s="45"/>
      <c r="D104" s="18" t="str">
        <f t="shared" si="2"/>
        <v>28.07.2026</v>
      </c>
      <c r="E104" s="18" t="str">
        <f t="shared" si="3"/>
        <v>Расходный</v>
      </c>
      <c r="F104" s="49">
        <v>550.33199999999999</v>
      </c>
      <c r="G104" s="49"/>
      <c r="H104" s="7"/>
      <c r="I104" s="8"/>
      <c r="J104" s="38">
        <v>4.0199999999999996</v>
      </c>
      <c r="K104" s="9">
        <v>546.31200000000001</v>
      </c>
      <c r="L104" s="9">
        <v>550.33199999999999</v>
      </c>
      <c r="M104" s="10"/>
      <c r="N104" s="9">
        <v>4.0199999999999996</v>
      </c>
      <c r="O104" s="9">
        <v>546.31200000000001</v>
      </c>
    </row>
    <row r="105" spans="1:17" ht="11.1" customHeight="1" x14ac:dyDescent="0.2">
      <c r="A105" s="45" t="s">
        <v>108</v>
      </c>
      <c r="B105" s="45"/>
      <c r="C105" s="45"/>
      <c r="D105" s="18" t="str">
        <f t="shared" si="2"/>
        <v>28.07.2026</v>
      </c>
      <c r="E105" s="18" t="str">
        <f t="shared" si="3"/>
        <v>Расходный</v>
      </c>
      <c r="F105" s="49">
        <v>546.31200000000001</v>
      </c>
      <c r="G105" s="49"/>
      <c r="H105" s="7"/>
      <c r="I105" s="8"/>
      <c r="J105" s="38">
        <v>1.34</v>
      </c>
      <c r="K105" s="9">
        <v>544.97199999999998</v>
      </c>
      <c r="L105" s="9">
        <v>546.31200000000001</v>
      </c>
      <c r="M105" s="10"/>
      <c r="N105" s="9">
        <v>1.34</v>
      </c>
      <c r="O105" s="9">
        <v>544.97199999999998</v>
      </c>
    </row>
    <row r="106" spans="1:17" ht="11.1" customHeight="1" x14ac:dyDescent="0.2">
      <c r="A106" s="45" t="s">
        <v>109</v>
      </c>
      <c r="B106" s="45"/>
      <c r="C106" s="45"/>
      <c r="D106" s="29" t="str">
        <f t="shared" si="2"/>
        <v>28.07.2026</v>
      </c>
      <c r="E106" s="29" t="str">
        <f t="shared" si="3"/>
        <v>Расходный</v>
      </c>
      <c r="F106" s="46">
        <v>544.97199999999998</v>
      </c>
      <c r="G106" s="46"/>
      <c r="H106" s="31"/>
      <c r="I106" s="32"/>
      <c r="J106" s="40">
        <v>34.954999999999998</v>
      </c>
      <c r="K106" s="33">
        <v>510.017</v>
      </c>
      <c r="L106" s="33">
        <v>544.97199999999998</v>
      </c>
      <c r="M106" s="34"/>
      <c r="N106" s="33">
        <v>34.954999999999998</v>
      </c>
      <c r="O106" s="33">
        <v>510.017</v>
      </c>
      <c r="P106" s="43" t="s">
        <v>148</v>
      </c>
    </row>
    <row r="107" spans="1:17" ht="11.1" customHeight="1" x14ac:dyDescent="0.2">
      <c r="A107" s="45" t="s">
        <v>110</v>
      </c>
      <c r="B107" s="45"/>
      <c r="C107" s="45"/>
      <c r="D107" s="18" t="str">
        <f t="shared" si="2"/>
        <v>29.07.2026</v>
      </c>
      <c r="E107" s="18" t="str">
        <f t="shared" si="3"/>
        <v>Расходный</v>
      </c>
      <c r="F107" s="49">
        <v>510.017</v>
      </c>
      <c r="G107" s="49"/>
      <c r="H107" s="7"/>
      <c r="I107" s="8"/>
      <c r="J107" s="38">
        <v>1.345</v>
      </c>
      <c r="K107" s="9">
        <v>508.67200000000003</v>
      </c>
      <c r="L107" s="9">
        <v>510.017</v>
      </c>
      <c r="M107" s="10"/>
      <c r="N107" s="9">
        <v>1.345</v>
      </c>
      <c r="O107" s="9">
        <v>508.67200000000003</v>
      </c>
    </row>
    <row r="108" spans="1:17" ht="11.1" customHeight="1" x14ac:dyDescent="0.2">
      <c r="A108" s="45" t="s">
        <v>111</v>
      </c>
      <c r="B108" s="45"/>
      <c r="C108" s="45"/>
      <c r="D108" s="18" t="str">
        <f t="shared" si="2"/>
        <v>29.07.2026</v>
      </c>
      <c r="E108" s="18" t="str">
        <f t="shared" si="3"/>
        <v>Расходный</v>
      </c>
      <c r="F108" s="49">
        <v>508.67200000000003</v>
      </c>
      <c r="G108" s="49"/>
      <c r="H108" s="7"/>
      <c r="I108" s="8"/>
      <c r="J108" s="38">
        <v>1.381</v>
      </c>
      <c r="K108" s="9">
        <v>507.291</v>
      </c>
      <c r="L108" s="9">
        <v>508.67200000000003</v>
      </c>
      <c r="M108" s="10"/>
      <c r="N108" s="9">
        <v>1.381</v>
      </c>
      <c r="O108" s="9">
        <v>507.291</v>
      </c>
    </row>
    <row r="109" spans="1:17" ht="11.1" customHeight="1" x14ac:dyDescent="0.2">
      <c r="A109" s="45" t="s">
        <v>112</v>
      </c>
      <c r="B109" s="45"/>
      <c r="C109" s="45"/>
      <c r="D109" s="18" t="str">
        <f t="shared" si="2"/>
        <v>29.07.2026</v>
      </c>
      <c r="E109" s="18" t="str">
        <f t="shared" si="3"/>
        <v>Расходный</v>
      </c>
      <c r="F109" s="49">
        <v>507.291</v>
      </c>
      <c r="G109" s="49"/>
      <c r="H109" s="7"/>
      <c r="I109" s="8"/>
      <c r="J109" s="38">
        <v>1.345</v>
      </c>
      <c r="K109" s="9">
        <v>505.94600000000003</v>
      </c>
      <c r="L109" s="9">
        <v>507.291</v>
      </c>
      <c r="M109" s="10"/>
      <c r="N109" s="9">
        <v>1.345</v>
      </c>
      <c r="O109" s="9">
        <v>505.94600000000003</v>
      </c>
    </row>
    <row r="110" spans="1:17" ht="11.1" hidden="1" customHeight="1" x14ac:dyDescent="0.2">
      <c r="A110" s="45" t="s">
        <v>113</v>
      </c>
      <c r="B110" s="45"/>
      <c r="C110" s="45"/>
      <c r="D110" s="18" t="str">
        <f t="shared" si="2"/>
        <v>28.07.2026</v>
      </c>
      <c r="E110" s="18" t="str">
        <f t="shared" si="3"/>
        <v>Приходный</v>
      </c>
      <c r="F110" s="49">
        <v>505.94600000000003</v>
      </c>
      <c r="G110" s="49"/>
      <c r="H110" s="49">
        <v>1.3360000000000001</v>
      </c>
      <c r="I110" s="49"/>
      <c r="J110" s="10"/>
      <c r="K110" s="9">
        <v>507.28199999999998</v>
      </c>
      <c r="L110" s="9">
        <v>505.94600000000003</v>
      </c>
      <c r="M110" s="9">
        <v>1.3360000000000001</v>
      </c>
      <c r="N110" s="10"/>
      <c r="O110" s="9">
        <v>507.28199999999998</v>
      </c>
      <c r="P110"/>
    </row>
    <row r="111" spans="1:17" ht="11.1" customHeight="1" x14ac:dyDescent="0.2">
      <c r="A111" s="45" t="s">
        <v>114</v>
      </c>
      <c r="B111" s="45"/>
      <c r="C111" s="45"/>
      <c r="D111" s="18" t="str">
        <f t="shared" si="2"/>
        <v>30.07.2026</v>
      </c>
      <c r="E111" s="18" t="str">
        <f t="shared" si="3"/>
        <v>Расходный</v>
      </c>
      <c r="F111" s="49">
        <v>507.28199999999998</v>
      </c>
      <c r="G111" s="49"/>
      <c r="H111" s="7"/>
      <c r="I111" s="8"/>
      <c r="J111" s="38">
        <v>5.3780000000000001</v>
      </c>
      <c r="K111" s="9">
        <v>501.904</v>
      </c>
      <c r="L111" s="9">
        <v>507.28199999999998</v>
      </c>
      <c r="M111" s="10"/>
      <c r="N111" s="9">
        <v>5.3780000000000001</v>
      </c>
      <c r="O111" s="9">
        <v>501.904</v>
      </c>
    </row>
    <row r="112" spans="1:17" ht="11.1" customHeight="1" x14ac:dyDescent="0.2">
      <c r="A112" s="45" t="s">
        <v>115</v>
      </c>
      <c r="B112" s="45"/>
      <c r="C112" s="45"/>
      <c r="D112" s="18" t="str">
        <f t="shared" si="2"/>
        <v>30.07.2026</v>
      </c>
      <c r="E112" s="18" t="str">
        <f t="shared" si="3"/>
        <v>Расходный</v>
      </c>
      <c r="F112" s="49">
        <v>501.904</v>
      </c>
      <c r="G112" s="49"/>
      <c r="H112" s="7"/>
      <c r="I112" s="8"/>
      <c r="J112" s="38">
        <v>2.6949999999999998</v>
      </c>
      <c r="K112" s="9">
        <v>499.209</v>
      </c>
      <c r="L112" s="9">
        <v>501.904</v>
      </c>
      <c r="M112" s="10"/>
      <c r="N112" s="9">
        <v>2.6949999999999998</v>
      </c>
      <c r="O112" s="9">
        <v>499.209</v>
      </c>
    </row>
    <row r="113" spans="1:17" ht="11.1" customHeight="1" x14ac:dyDescent="0.2">
      <c r="A113" s="45" t="s">
        <v>116</v>
      </c>
      <c r="B113" s="45"/>
      <c r="C113" s="45"/>
      <c r="D113" s="18" t="str">
        <f t="shared" si="2"/>
        <v>30.07.2026</v>
      </c>
      <c r="E113" s="18" t="str">
        <f t="shared" si="3"/>
        <v>Расходный</v>
      </c>
      <c r="F113" s="49">
        <v>499.209</v>
      </c>
      <c r="G113" s="49"/>
      <c r="H113" s="7"/>
      <c r="I113" s="8"/>
      <c r="J113" s="38">
        <v>1.34</v>
      </c>
      <c r="K113" s="9">
        <v>497.86900000000003</v>
      </c>
      <c r="L113" s="9">
        <v>499.209</v>
      </c>
      <c r="M113" s="10"/>
      <c r="N113" s="9">
        <v>1.34</v>
      </c>
      <c r="O113" s="9">
        <v>497.86900000000003</v>
      </c>
    </row>
    <row r="114" spans="1:17" ht="11.1" customHeight="1" x14ac:dyDescent="0.2">
      <c r="A114" s="45" t="s">
        <v>117</v>
      </c>
      <c r="B114" s="45"/>
      <c r="C114" s="45"/>
      <c r="D114" s="18" t="str">
        <f t="shared" si="2"/>
        <v>30.07.2026</v>
      </c>
      <c r="E114" s="18" t="str">
        <f t="shared" si="3"/>
        <v>Расходный</v>
      </c>
      <c r="F114" s="49">
        <v>497.86900000000003</v>
      </c>
      <c r="G114" s="49"/>
      <c r="H114" s="7"/>
      <c r="I114" s="8"/>
      <c r="J114" s="38">
        <v>1.35</v>
      </c>
      <c r="K114" s="9">
        <v>496.51900000000001</v>
      </c>
      <c r="L114" s="9">
        <v>497.86900000000003</v>
      </c>
      <c r="M114" s="10"/>
      <c r="N114" s="9">
        <v>1.35</v>
      </c>
      <c r="O114" s="9">
        <v>496.51900000000001</v>
      </c>
    </row>
    <row r="115" spans="1:17" ht="11.1" customHeight="1" x14ac:dyDescent="0.2">
      <c r="A115" s="45" t="s">
        <v>118</v>
      </c>
      <c r="B115" s="45"/>
      <c r="C115" s="45"/>
      <c r="D115" s="18" t="str">
        <f t="shared" si="2"/>
        <v>30.07.2026</v>
      </c>
      <c r="E115" s="18" t="str">
        <f t="shared" si="3"/>
        <v>Расходный</v>
      </c>
      <c r="F115" s="49">
        <v>496.51900000000001</v>
      </c>
      <c r="G115" s="49"/>
      <c r="H115" s="7"/>
      <c r="I115" s="8"/>
      <c r="J115" s="38">
        <v>1.33</v>
      </c>
      <c r="K115" s="9">
        <v>495.18900000000002</v>
      </c>
      <c r="L115" s="9">
        <v>496.51900000000001</v>
      </c>
      <c r="M115" s="10"/>
      <c r="N115" s="9">
        <v>1.33</v>
      </c>
      <c r="O115" s="9">
        <v>495.18900000000002</v>
      </c>
    </row>
    <row r="116" spans="1:17" ht="11.1" customHeight="1" x14ac:dyDescent="0.2">
      <c r="A116" s="45" t="s">
        <v>119</v>
      </c>
      <c r="B116" s="45"/>
      <c r="C116" s="45"/>
      <c r="D116" s="18" t="str">
        <f t="shared" si="2"/>
        <v>30.07.2026</v>
      </c>
      <c r="E116" s="18" t="str">
        <f t="shared" si="3"/>
        <v>Расходный</v>
      </c>
      <c r="F116" s="49">
        <v>495.18900000000002</v>
      </c>
      <c r="G116" s="49"/>
      <c r="H116" s="7"/>
      <c r="I116" s="8"/>
      <c r="J116" s="38">
        <v>1.335</v>
      </c>
      <c r="K116" s="9">
        <v>493.85399999999998</v>
      </c>
      <c r="L116" s="9">
        <v>495.18900000000002</v>
      </c>
      <c r="M116" s="10"/>
      <c r="N116" s="9">
        <v>1.335</v>
      </c>
      <c r="O116" s="9">
        <v>493.85399999999998</v>
      </c>
    </row>
    <row r="117" spans="1:17" ht="11.1" customHeight="1" x14ac:dyDescent="0.2">
      <c r="A117" s="45" t="s">
        <v>120</v>
      </c>
      <c r="B117" s="45"/>
      <c r="C117" s="45"/>
      <c r="D117" s="29" t="str">
        <f t="shared" si="2"/>
        <v>30.07.2026</v>
      </c>
      <c r="E117" s="29" t="str">
        <f t="shared" si="3"/>
        <v>Расходный</v>
      </c>
      <c r="F117" s="46">
        <v>493.85399999999998</v>
      </c>
      <c r="G117" s="46"/>
      <c r="H117" s="31"/>
      <c r="I117" s="32"/>
      <c r="J117" s="40">
        <v>82.254999999999995</v>
      </c>
      <c r="K117" s="33">
        <v>411.59899999999999</v>
      </c>
      <c r="L117" s="33">
        <v>493.85399999999998</v>
      </c>
      <c r="M117" s="34"/>
      <c r="N117" s="33">
        <v>82.254999999999995</v>
      </c>
      <c r="O117" s="33">
        <v>411.59899999999999</v>
      </c>
      <c r="P117" s="43" t="s">
        <v>148</v>
      </c>
    </row>
    <row r="118" spans="1:17" ht="11.1" customHeight="1" x14ac:dyDescent="0.2">
      <c r="A118" s="45" t="s">
        <v>121</v>
      </c>
      <c r="B118" s="45"/>
      <c r="C118" s="45"/>
      <c r="D118" s="18" t="str">
        <f t="shared" si="2"/>
        <v>31.07.2026</v>
      </c>
      <c r="E118" s="18" t="str">
        <f t="shared" si="3"/>
        <v>Расходный</v>
      </c>
      <c r="F118" s="49">
        <v>411.59899999999999</v>
      </c>
      <c r="G118" s="49"/>
      <c r="H118" s="7"/>
      <c r="I118" s="8"/>
      <c r="J118" s="38">
        <v>2.698</v>
      </c>
      <c r="K118" s="9">
        <v>408.90100000000001</v>
      </c>
      <c r="L118" s="9">
        <v>411.59899999999999</v>
      </c>
      <c r="M118" s="10"/>
      <c r="N118" s="9">
        <v>2.698</v>
      </c>
      <c r="O118" s="9">
        <v>408.90100000000001</v>
      </c>
    </row>
    <row r="119" spans="1:17" ht="11.1" customHeight="1" x14ac:dyDescent="0.2">
      <c r="A119" s="45" t="s">
        <v>122</v>
      </c>
      <c r="B119" s="45"/>
      <c r="C119" s="45"/>
      <c r="D119" s="18" t="str">
        <f t="shared" si="2"/>
        <v>31.07.2026</v>
      </c>
      <c r="E119" s="18" t="str">
        <f t="shared" si="3"/>
        <v>Расходный</v>
      </c>
      <c r="F119" s="49">
        <v>408.90100000000001</v>
      </c>
      <c r="G119" s="49"/>
      <c r="H119" s="7"/>
      <c r="I119" s="8"/>
      <c r="J119" s="38">
        <v>1.345</v>
      </c>
      <c r="K119" s="9">
        <v>407.55599999999998</v>
      </c>
      <c r="L119" s="9">
        <v>408.90100000000001</v>
      </c>
      <c r="M119" s="10"/>
      <c r="N119" s="9">
        <v>1.345</v>
      </c>
      <c r="O119" s="9">
        <v>407.55599999999998</v>
      </c>
    </row>
    <row r="120" spans="1:17" ht="11.1" customHeight="1" x14ac:dyDescent="0.2">
      <c r="A120" s="45" t="s">
        <v>123</v>
      </c>
      <c r="B120" s="45"/>
      <c r="C120" s="45"/>
      <c r="D120" s="19" t="str">
        <f t="shared" si="2"/>
        <v>01.08.2026</v>
      </c>
      <c r="E120" s="19" t="str">
        <f t="shared" si="3"/>
        <v>Расходный</v>
      </c>
      <c r="F120" s="50">
        <v>407.55599999999998</v>
      </c>
      <c r="G120" s="50"/>
      <c r="H120" s="21"/>
      <c r="I120" s="22"/>
      <c r="J120" s="39">
        <v>1.335</v>
      </c>
      <c r="K120" s="23">
        <v>406.221</v>
      </c>
      <c r="L120" s="23">
        <v>407.55599999999998</v>
      </c>
      <c r="M120" s="24"/>
      <c r="N120" s="23">
        <v>1.335</v>
      </c>
      <c r="O120" s="23">
        <v>406.221</v>
      </c>
      <c r="P120" s="42">
        <v>46236</v>
      </c>
      <c r="Q120" s="35">
        <f>SUM(J118:J120)+SUM(J107:J116)+SUM(J103:J105)</f>
        <v>29.573</v>
      </c>
    </row>
    <row r="121" spans="1:17" ht="11.1" customHeight="1" x14ac:dyDescent="0.2">
      <c r="A121" s="45" t="s">
        <v>124</v>
      </c>
      <c r="B121" s="45"/>
      <c r="C121" s="45"/>
      <c r="D121" s="18" t="str">
        <f t="shared" si="2"/>
        <v>04.08.2026</v>
      </c>
      <c r="E121" s="18" t="str">
        <f t="shared" si="3"/>
        <v>Расходный</v>
      </c>
      <c r="F121" s="49">
        <v>406.221</v>
      </c>
      <c r="G121" s="49"/>
      <c r="H121" s="7"/>
      <c r="I121" s="8"/>
      <c r="J121" s="38">
        <v>1.34</v>
      </c>
      <c r="K121" s="9">
        <v>404.88099999999997</v>
      </c>
      <c r="L121" s="9">
        <v>406.221</v>
      </c>
      <c r="M121" s="10"/>
      <c r="N121" s="9">
        <v>1.34</v>
      </c>
      <c r="O121" s="9">
        <v>404.88099999999997</v>
      </c>
    </row>
    <row r="122" spans="1:17" ht="11.1" customHeight="1" x14ac:dyDescent="0.2">
      <c r="A122" s="45" t="s">
        <v>125</v>
      </c>
      <c r="B122" s="45"/>
      <c r="C122" s="45"/>
      <c r="D122" s="18" t="str">
        <f t="shared" si="2"/>
        <v>04.08.2026</v>
      </c>
      <c r="E122" s="18" t="str">
        <f t="shared" si="3"/>
        <v>Расходный</v>
      </c>
      <c r="F122" s="49">
        <v>404.88099999999997</v>
      </c>
      <c r="G122" s="49"/>
      <c r="H122" s="7"/>
      <c r="I122" s="8"/>
      <c r="J122" s="38">
        <v>2.6749999999999998</v>
      </c>
      <c r="K122" s="9">
        <v>402.20600000000002</v>
      </c>
      <c r="L122" s="9">
        <v>404.88099999999997</v>
      </c>
      <c r="M122" s="10"/>
      <c r="N122" s="9">
        <v>2.6749999999999998</v>
      </c>
      <c r="O122" s="9">
        <v>402.20600000000002</v>
      </c>
    </row>
    <row r="123" spans="1:17" ht="11.1" customHeight="1" x14ac:dyDescent="0.2">
      <c r="A123" s="45" t="s">
        <v>126</v>
      </c>
      <c r="B123" s="45"/>
      <c r="C123" s="45"/>
      <c r="D123" s="18" t="str">
        <f t="shared" si="2"/>
        <v>05.08.2026</v>
      </c>
      <c r="E123" s="18" t="str">
        <f t="shared" si="3"/>
        <v>Расходный</v>
      </c>
      <c r="F123" s="49">
        <v>402.20600000000002</v>
      </c>
      <c r="G123" s="49"/>
      <c r="H123" s="7"/>
      <c r="I123" s="8"/>
      <c r="J123" s="38">
        <v>2.75</v>
      </c>
      <c r="K123" s="9">
        <v>399.45600000000002</v>
      </c>
      <c r="L123" s="9">
        <v>402.20600000000002</v>
      </c>
      <c r="M123" s="10"/>
      <c r="N123" s="9">
        <v>2.75</v>
      </c>
      <c r="O123" s="9">
        <v>399.45600000000002</v>
      </c>
    </row>
    <row r="124" spans="1:17" ht="11.1" customHeight="1" x14ac:dyDescent="0.2">
      <c r="A124" s="45" t="s">
        <v>127</v>
      </c>
      <c r="B124" s="45"/>
      <c r="C124" s="45"/>
      <c r="D124" s="18" t="str">
        <f t="shared" si="2"/>
        <v>05.08.2026</v>
      </c>
      <c r="E124" s="18" t="str">
        <f t="shared" si="3"/>
        <v>Расходный</v>
      </c>
      <c r="F124" s="49">
        <v>399.45600000000002</v>
      </c>
      <c r="G124" s="49"/>
      <c r="H124" s="7"/>
      <c r="I124" s="8"/>
      <c r="J124" s="38">
        <v>1.3340000000000001</v>
      </c>
      <c r="K124" s="9">
        <v>398.12200000000001</v>
      </c>
      <c r="L124" s="9">
        <v>399.45600000000002</v>
      </c>
      <c r="M124" s="10"/>
      <c r="N124" s="9">
        <v>1.3340000000000001</v>
      </c>
      <c r="O124" s="9">
        <v>398.12200000000001</v>
      </c>
    </row>
    <row r="125" spans="1:17" ht="11.1" customHeight="1" x14ac:dyDescent="0.2">
      <c r="A125" s="45" t="s">
        <v>128</v>
      </c>
      <c r="B125" s="45"/>
      <c r="C125" s="45"/>
      <c r="D125" s="18" t="str">
        <f t="shared" si="2"/>
        <v>05.08.2026</v>
      </c>
      <c r="E125" s="18" t="str">
        <f t="shared" si="3"/>
        <v>Расходный</v>
      </c>
      <c r="F125" s="49">
        <v>398.12200000000001</v>
      </c>
      <c r="G125" s="49"/>
      <c r="H125" s="7"/>
      <c r="I125" s="8"/>
      <c r="J125" s="38">
        <v>2.665</v>
      </c>
      <c r="K125" s="9">
        <v>395.45699999999999</v>
      </c>
      <c r="L125" s="9">
        <v>398.12200000000001</v>
      </c>
      <c r="M125" s="10"/>
      <c r="N125" s="9">
        <v>2.665</v>
      </c>
      <c r="O125" s="9">
        <v>395.45699999999999</v>
      </c>
    </row>
    <row r="126" spans="1:17" ht="11.1" customHeight="1" x14ac:dyDescent="0.2">
      <c r="A126" s="45" t="s">
        <v>129</v>
      </c>
      <c r="B126" s="45"/>
      <c r="C126" s="45"/>
      <c r="D126" s="18" t="str">
        <f t="shared" si="2"/>
        <v>05.08.2026</v>
      </c>
      <c r="E126" s="18" t="str">
        <f t="shared" si="3"/>
        <v>Расходный</v>
      </c>
      <c r="F126" s="49">
        <v>395.45699999999999</v>
      </c>
      <c r="G126" s="49"/>
      <c r="H126" s="7"/>
      <c r="I126" s="8"/>
      <c r="J126" s="38">
        <v>1.3380000000000001</v>
      </c>
      <c r="K126" s="9">
        <v>394.11900000000003</v>
      </c>
      <c r="L126" s="9">
        <v>395.45699999999999</v>
      </c>
      <c r="M126" s="10"/>
      <c r="N126" s="9">
        <v>1.3380000000000001</v>
      </c>
      <c r="O126" s="9">
        <v>394.11900000000003</v>
      </c>
    </row>
    <row r="127" spans="1:17" ht="11.1" customHeight="1" x14ac:dyDescent="0.2">
      <c r="A127" s="45" t="s">
        <v>130</v>
      </c>
      <c r="B127" s="45"/>
      <c r="C127" s="45"/>
      <c r="D127" s="18" t="str">
        <f t="shared" si="2"/>
        <v>05.08.2026</v>
      </c>
      <c r="E127" s="18" t="str">
        <f t="shared" si="3"/>
        <v>Расходный</v>
      </c>
      <c r="F127" s="49">
        <v>394.11900000000003</v>
      </c>
      <c r="G127" s="49"/>
      <c r="H127" s="7"/>
      <c r="I127" s="8"/>
      <c r="J127" s="38">
        <v>2.7250000000000001</v>
      </c>
      <c r="K127" s="9">
        <v>391.39400000000001</v>
      </c>
      <c r="L127" s="9">
        <v>394.11900000000003</v>
      </c>
      <c r="M127" s="10"/>
      <c r="N127" s="9">
        <v>2.7250000000000001</v>
      </c>
      <c r="O127" s="9">
        <v>391.39400000000001</v>
      </c>
    </row>
    <row r="128" spans="1:17" ht="11.1" customHeight="1" x14ac:dyDescent="0.2">
      <c r="A128" s="45" t="s">
        <v>131</v>
      </c>
      <c r="B128" s="45"/>
      <c r="C128" s="45"/>
      <c r="D128" s="18" t="str">
        <f t="shared" si="2"/>
        <v>05.08.2026</v>
      </c>
      <c r="E128" s="18" t="str">
        <f t="shared" si="3"/>
        <v>Расходный</v>
      </c>
      <c r="F128" s="49">
        <v>391.39400000000001</v>
      </c>
      <c r="G128" s="49"/>
      <c r="H128" s="7"/>
      <c r="I128" s="8"/>
      <c r="J128" s="38">
        <v>1.3440000000000001</v>
      </c>
      <c r="K128" s="9">
        <v>390.05</v>
      </c>
      <c r="L128" s="9">
        <v>391.39400000000001</v>
      </c>
      <c r="M128" s="10"/>
      <c r="N128" s="9">
        <v>1.3440000000000001</v>
      </c>
      <c r="O128" s="9">
        <v>390.05</v>
      </c>
    </row>
    <row r="129" spans="1:17" ht="11.1" customHeight="1" x14ac:dyDescent="0.2">
      <c r="A129" s="45" t="s">
        <v>132</v>
      </c>
      <c r="B129" s="45"/>
      <c r="C129" s="45"/>
      <c r="D129" s="18" t="str">
        <f t="shared" si="2"/>
        <v>05.08.2026</v>
      </c>
      <c r="E129" s="18" t="str">
        <f t="shared" si="3"/>
        <v>Расходный</v>
      </c>
      <c r="F129" s="49">
        <v>390.05</v>
      </c>
      <c r="G129" s="49"/>
      <c r="H129" s="7"/>
      <c r="I129" s="8"/>
      <c r="J129" s="38">
        <v>2.74</v>
      </c>
      <c r="K129" s="9">
        <v>387.31</v>
      </c>
      <c r="L129" s="9">
        <v>390.05</v>
      </c>
      <c r="M129" s="10"/>
      <c r="N129" s="9">
        <v>2.74</v>
      </c>
      <c r="O129" s="9">
        <v>387.31</v>
      </c>
    </row>
    <row r="130" spans="1:17" ht="11.1" customHeight="1" x14ac:dyDescent="0.2">
      <c r="A130" s="45" t="s">
        <v>133</v>
      </c>
      <c r="B130" s="45"/>
      <c r="C130" s="45"/>
      <c r="D130" s="18" t="str">
        <f t="shared" si="2"/>
        <v>06.08.2026</v>
      </c>
      <c r="E130" s="18" t="str">
        <f t="shared" si="3"/>
        <v>Расходный</v>
      </c>
      <c r="F130" s="49">
        <v>387.31</v>
      </c>
      <c r="G130" s="49"/>
      <c r="H130" s="7"/>
      <c r="I130" s="8"/>
      <c r="J130" s="38">
        <v>1.371</v>
      </c>
      <c r="K130" s="9">
        <v>385.93900000000002</v>
      </c>
      <c r="L130" s="9">
        <v>387.31</v>
      </c>
      <c r="M130" s="10"/>
      <c r="N130" s="9">
        <v>1.371</v>
      </c>
      <c r="O130" s="9">
        <v>385.93900000000002</v>
      </c>
    </row>
    <row r="131" spans="1:17" ht="11.1" customHeight="1" x14ac:dyDescent="0.2">
      <c r="A131" s="45" t="s">
        <v>134</v>
      </c>
      <c r="B131" s="45"/>
      <c r="C131" s="45"/>
      <c r="D131" s="18" t="str">
        <f t="shared" si="2"/>
        <v>06.08.2026</v>
      </c>
      <c r="E131" s="18" t="str">
        <f t="shared" si="3"/>
        <v>Расходный</v>
      </c>
      <c r="F131" s="49">
        <v>385.93900000000002</v>
      </c>
      <c r="G131" s="49"/>
      <c r="H131" s="7"/>
      <c r="I131" s="8"/>
      <c r="J131" s="38">
        <v>1.365</v>
      </c>
      <c r="K131" s="9">
        <v>384.57400000000001</v>
      </c>
      <c r="L131" s="9">
        <v>385.93900000000002</v>
      </c>
      <c r="M131" s="10"/>
      <c r="N131" s="9">
        <v>1.365</v>
      </c>
      <c r="O131" s="9">
        <v>384.57400000000001</v>
      </c>
    </row>
    <row r="132" spans="1:17" ht="11.1" customHeight="1" x14ac:dyDescent="0.2">
      <c r="A132" s="45" t="s">
        <v>135</v>
      </c>
      <c r="B132" s="45"/>
      <c r="C132" s="45"/>
      <c r="D132" s="18" t="str">
        <f t="shared" si="2"/>
        <v>06.08.2026</v>
      </c>
      <c r="E132" s="18" t="str">
        <f t="shared" si="3"/>
        <v>Расходный</v>
      </c>
      <c r="F132" s="49">
        <v>384.57400000000001</v>
      </c>
      <c r="G132" s="49"/>
      <c r="H132" s="7"/>
      <c r="I132" s="8"/>
      <c r="J132" s="38">
        <v>1.371</v>
      </c>
      <c r="K132" s="9">
        <v>383.20299999999997</v>
      </c>
      <c r="L132" s="9">
        <v>384.57400000000001</v>
      </c>
      <c r="M132" s="10"/>
      <c r="N132" s="9">
        <v>1.371</v>
      </c>
      <c r="O132" s="9">
        <v>383.20299999999997</v>
      </c>
    </row>
    <row r="133" spans="1:17" ht="11.1" hidden="1" customHeight="1" x14ac:dyDescent="0.2">
      <c r="A133" s="45" t="s">
        <v>136</v>
      </c>
      <c r="B133" s="45"/>
      <c r="C133" s="45"/>
      <c r="D133" s="18" t="str">
        <f t="shared" si="2"/>
        <v>05.08.2026</v>
      </c>
      <c r="E133" s="18" t="str">
        <f t="shared" si="3"/>
        <v>Приходный</v>
      </c>
      <c r="F133" s="49">
        <v>383.20299999999997</v>
      </c>
      <c r="G133" s="49"/>
      <c r="H133" s="49">
        <v>2.75</v>
      </c>
      <c r="I133" s="49"/>
      <c r="J133" s="10"/>
      <c r="K133" s="9">
        <v>385.95299999999997</v>
      </c>
      <c r="L133" s="9">
        <v>383.20299999999997</v>
      </c>
      <c r="M133" s="9">
        <v>2.75</v>
      </c>
      <c r="N133" s="10"/>
      <c r="O133" s="9">
        <v>385.95299999999997</v>
      </c>
      <c r="P133"/>
    </row>
    <row r="134" spans="1:17" ht="11.1" customHeight="1" x14ac:dyDescent="0.2">
      <c r="A134" s="45" t="s">
        <v>137</v>
      </c>
      <c r="B134" s="45"/>
      <c r="C134" s="45"/>
      <c r="D134" s="18" t="str">
        <f t="shared" si="2"/>
        <v>06.08.2026</v>
      </c>
      <c r="E134" s="18" t="str">
        <f t="shared" si="3"/>
        <v>Расходный</v>
      </c>
      <c r="F134" s="49">
        <v>385.95299999999997</v>
      </c>
      <c r="G134" s="49"/>
      <c r="H134" s="7"/>
      <c r="I134" s="8"/>
      <c r="J134" s="38">
        <v>1.377</v>
      </c>
      <c r="K134" s="9">
        <v>384.57600000000002</v>
      </c>
      <c r="L134" s="9">
        <v>385.95299999999997</v>
      </c>
      <c r="M134" s="10"/>
      <c r="N134" s="9">
        <v>1.377</v>
      </c>
      <c r="O134" s="9">
        <v>384.57600000000002</v>
      </c>
    </row>
    <row r="135" spans="1:17" ht="11.1" customHeight="1" x14ac:dyDescent="0.2">
      <c r="A135" s="45" t="s">
        <v>138</v>
      </c>
      <c r="B135" s="45"/>
      <c r="C135" s="45"/>
      <c r="D135" s="18" t="str">
        <f t="shared" si="2"/>
        <v>06.08.2026</v>
      </c>
      <c r="E135" s="18" t="str">
        <f t="shared" si="3"/>
        <v>Расходный</v>
      </c>
      <c r="F135" s="49">
        <v>384.57600000000002</v>
      </c>
      <c r="G135" s="49"/>
      <c r="H135" s="7"/>
      <c r="I135" s="8"/>
      <c r="J135" s="38">
        <v>2.702</v>
      </c>
      <c r="K135" s="9">
        <v>381.87400000000002</v>
      </c>
      <c r="L135" s="9">
        <v>384.57600000000002</v>
      </c>
      <c r="M135" s="10"/>
      <c r="N135" s="9">
        <v>2.702</v>
      </c>
      <c r="O135" s="9">
        <v>381.87400000000002</v>
      </c>
    </row>
    <row r="136" spans="1:17" ht="11.1" customHeight="1" x14ac:dyDescent="0.2">
      <c r="A136" s="45" t="s">
        <v>139</v>
      </c>
      <c r="B136" s="45"/>
      <c r="C136" s="45"/>
      <c r="D136" s="18" t="str">
        <f t="shared" si="2"/>
        <v>07.08.2026</v>
      </c>
      <c r="E136" s="18" t="str">
        <f t="shared" si="3"/>
        <v>Расходный</v>
      </c>
      <c r="F136" s="49">
        <v>381.87400000000002</v>
      </c>
      <c r="G136" s="49"/>
      <c r="H136" s="7"/>
      <c r="I136" s="8"/>
      <c r="J136" s="38">
        <v>1.355</v>
      </c>
      <c r="K136" s="9">
        <v>380.51900000000001</v>
      </c>
      <c r="L136" s="9">
        <v>381.87400000000002</v>
      </c>
      <c r="M136" s="10"/>
      <c r="N136" s="9">
        <v>1.355</v>
      </c>
      <c r="O136" s="9">
        <v>380.51900000000001</v>
      </c>
    </row>
    <row r="137" spans="1:17" ht="11.1" hidden="1" customHeight="1" x14ac:dyDescent="0.2">
      <c r="A137" s="45" t="s">
        <v>140</v>
      </c>
      <c r="B137" s="45"/>
      <c r="C137" s="45"/>
      <c r="D137" s="18" t="str">
        <f t="shared" si="2"/>
        <v>06.08.2026</v>
      </c>
      <c r="E137" s="18" t="str">
        <f t="shared" si="3"/>
        <v>Приходный</v>
      </c>
      <c r="F137" s="49">
        <v>380.51900000000001</v>
      </c>
      <c r="G137" s="49"/>
      <c r="H137" s="49">
        <v>1.371</v>
      </c>
      <c r="I137" s="49"/>
      <c r="J137" s="10"/>
      <c r="K137" s="9">
        <v>381.89</v>
      </c>
      <c r="L137" s="9">
        <v>380.51900000000001</v>
      </c>
      <c r="M137" s="9">
        <v>1.371</v>
      </c>
      <c r="N137" s="10"/>
      <c r="O137" s="9">
        <v>381.89</v>
      </c>
      <c r="P137"/>
    </row>
    <row r="138" spans="1:17" ht="11.1" customHeight="1" x14ac:dyDescent="0.2">
      <c r="A138" s="45" t="s">
        <v>141</v>
      </c>
      <c r="B138" s="45"/>
      <c r="C138" s="45"/>
      <c r="D138" s="19" t="str">
        <f t="shared" si="2"/>
        <v>07.08.2026</v>
      </c>
      <c r="E138" s="19" t="str">
        <f t="shared" si="3"/>
        <v>Расходный</v>
      </c>
      <c r="F138" s="50">
        <v>381.89</v>
      </c>
      <c r="G138" s="50"/>
      <c r="H138" s="21"/>
      <c r="I138" s="22"/>
      <c r="J138" s="39">
        <v>1.387</v>
      </c>
      <c r="K138" s="23">
        <v>380.50299999999999</v>
      </c>
      <c r="L138" s="23">
        <v>381.89</v>
      </c>
      <c r="M138" s="24"/>
      <c r="N138" s="23">
        <v>1.387</v>
      </c>
      <c r="O138" s="23">
        <v>380.50299999999999</v>
      </c>
      <c r="P138" s="44">
        <v>46243</v>
      </c>
      <c r="Q138" s="35">
        <f>SUM(J121:J138)</f>
        <v>29.838999999999995</v>
      </c>
    </row>
    <row r="139" spans="1:17" ht="11.1" customHeight="1" x14ac:dyDescent="0.2">
      <c r="A139" s="45" t="s">
        <v>142</v>
      </c>
      <c r="B139" s="45"/>
      <c r="C139" s="45"/>
      <c r="D139" s="29" t="str">
        <f t="shared" ref="D139:D140" si="4">RIGHT(A139,10)</f>
        <v>06.08.2026</v>
      </c>
      <c r="E139" s="29" t="str">
        <f t="shared" ref="E139:E140" si="5">LEFT(A139,9)</f>
        <v>Расходный</v>
      </c>
      <c r="F139" s="46">
        <v>380.50299999999999</v>
      </c>
      <c r="G139" s="46"/>
      <c r="H139" s="31"/>
      <c r="I139" s="32"/>
      <c r="J139" s="40">
        <v>383.09899999999999</v>
      </c>
      <c r="K139" s="33">
        <v>-2.5960000000000001</v>
      </c>
      <c r="L139" s="33">
        <v>380.50299999999999</v>
      </c>
      <c r="M139" s="34"/>
      <c r="N139" s="33">
        <v>383.09899999999999</v>
      </c>
      <c r="O139" s="33">
        <v>-2.5960000000000001</v>
      </c>
      <c r="P139" s="43" t="s">
        <v>148</v>
      </c>
    </row>
    <row r="140" spans="1:17" ht="12.95" hidden="1" customHeight="1" x14ac:dyDescent="0.2">
      <c r="A140" s="47" t="s">
        <v>143</v>
      </c>
      <c r="B140" s="47"/>
      <c r="C140" s="47"/>
      <c r="D140" s="18" t="str">
        <f t="shared" si="4"/>
        <v>Итого</v>
      </c>
      <c r="E140" s="18" t="str">
        <f t="shared" si="5"/>
        <v>Итого</v>
      </c>
      <c r="F140" s="12"/>
      <c r="G140" s="13"/>
      <c r="H140" s="48">
        <v>1144.652</v>
      </c>
      <c r="I140" s="48"/>
      <c r="J140" s="14">
        <v>1147.248</v>
      </c>
      <c r="K140" s="15">
        <v>-2.5960000000000001</v>
      </c>
      <c r="L140" s="16"/>
      <c r="M140" s="14">
        <v>1144.652</v>
      </c>
      <c r="N140" s="14">
        <v>1147.248</v>
      </c>
      <c r="O140" s="15">
        <v>-2.5960000000000001</v>
      </c>
      <c r="P140"/>
    </row>
  </sheetData>
  <autoFilter ref="A8:O140" xr:uid="{00000000-0001-0000-0000-000000000000}">
    <filterColumn colId="0" showButton="0"/>
    <filterColumn colId="1" showButton="0"/>
    <filterColumn colId="4">
      <filters>
        <filter val="Расходный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</autoFilter>
  <mergeCells count="279">
    <mergeCell ref="C6:I6"/>
    <mergeCell ref="A8:C9"/>
    <mergeCell ref="L8:O8"/>
    <mergeCell ref="F9:G9"/>
    <mergeCell ref="H9:I9"/>
    <mergeCell ref="A10:C10"/>
    <mergeCell ref="H10:I10"/>
    <mergeCell ref="A11:C11"/>
    <mergeCell ref="F11:G11"/>
    <mergeCell ref="H11:I11"/>
    <mergeCell ref="A12:C12"/>
    <mergeCell ref="F12:G12"/>
    <mergeCell ref="H12:I12"/>
    <mergeCell ref="A13:C13"/>
    <mergeCell ref="F13:G13"/>
    <mergeCell ref="H13:I13"/>
    <mergeCell ref="A14:C14"/>
    <mergeCell ref="F14:G14"/>
    <mergeCell ref="A15:C15"/>
    <mergeCell ref="F15:G15"/>
    <mergeCell ref="H15:I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F38:G38"/>
    <mergeCell ref="A39:C39"/>
    <mergeCell ref="F39:G39"/>
    <mergeCell ref="A40:C40"/>
    <mergeCell ref="F40:G40"/>
    <mergeCell ref="A41:C41"/>
    <mergeCell ref="F41:G41"/>
    <mergeCell ref="A42:C42"/>
    <mergeCell ref="F42:G42"/>
    <mergeCell ref="A43:C43"/>
    <mergeCell ref="F43:G43"/>
    <mergeCell ref="A44:C44"/>
    <mergeCell ref="F44:G44"/>
    <mergeCell ref="A45:C45"/>
    <mergeCell ref="F45:G45"/>
    <mergeCell ref="A46:C46"/>
    <mergeCell ref="F46:G46"/>
    <mergeCell ref="A47:C47"/>
    <mergeCell ref="F47:G47"/>
    <mergeCell ref="A48:C48"/>
    <mergeCell ref="F48:G48"/>
    <mergeCell ref="A49:C49"/>
    <mergeCell ref="F49:G49"/>
    <mergeCell ref="A50:C50"/>
    <mergeCell ref="F50:G50"/>
    <mergeCell ref="A51:C51"/>
    <mergeCell ref="F51:G5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F66:G66"/>
    <mergeCell ref="A67:C67"/>
    <mergeCell ref="F67:G67"/>
    <mergeCell ref="A68:C68"/>
    <mergeCell ref="F68:G68"/>
    <mergeCell ref="A69:C69"/>
    <mergeCell ref="F69:G69"/>
    <mergeCell ref="A70:C70"/>
    <mergeCell ref="F70:G70"/>
    <mergeCell ref="A71:C71"/>
    <mergeCell ref="F71:G71"/>
    <mergeCell ref="H71:I71"/>
    <mergeCell ref="A72:C72"/>
    <mergeCell ref="F72:G72"/>
    <mergeCell ref="A73:C73"/>
    <mergeCell ref="F73:G73"/>
    <mergeCell ref="A74:C74"/>
    <mergeCell ref="F74:G74"/>
    <mergeCell ref="A75:C75"/>
    <mergeCell ref="F75:G75"/>
    <mergeCell ref="A76:C76"/>
    <mergeCell ref="F76:G76"/>
    <mergeCell ref="A77:C77"/>
    <mergeCell ref="F77:G77"/>
    <mergeCell ref="A78:C78"/>
    <mergeCell ref="F78:G78"/>
    <mergeCell ref="A79:C79"/>
    <mergeCell ref="F79:G79"/>
    <mergeCell ref="A80:C80"/>
    <mergeCell ref="F80:G80"/>
    <mergeCell ref="H80:I80"/>
    <mergeCell ref="A81:C81"/>
    <mergeCell ref="F81:G81"/>
    <mergeCell ref="A82:C82"/>
    <mergeCell ref="F82:G82"/>
    <mergeCell ref="A83:C83"/>
    <mergeCell ref="F83:G83"/>
    <mergeCell ref="A84:C84"/>
    <mergeCell ref="F84:G84"/>
    <mergeCell ref="A85:C85"/>
    <mergeCell ref="F85:G85"/>
    <mergeCell ref="A86:C86"/>
    <mergeCell ref="F86:G86"/>
    <mergeCell ref="A87:C87"/>
    <mergeCell ref="F87:G87"/>
    <mergeCell ref="A88:C88"/>
    <mergeCell ref="F88:G88"/>
    <mergeCell ref="A89:C89"/>
    <mergeCell ref="F89:G89"/>
    <mergeCell ref="A90:C90"/>
    <mergeCell ref="F90:G90"/>
    <mergeCell ref="H90:I90"/>
    <mergeCell ref="A91:C91"/>
    <mergeCell ref="F91:G91"/>
    <mergeCell ref="H91:I91"/>
    <mergeCell ref="A92:C92"/>
    <mergeCell ref="F92:G92"/>
    <mergeCell ref="A93:C93"/>
    <mergeCell ref="F93:G93"/>
    <mergeCell ref="A94:C94"/>
    <mergeCell ref="F94:G94"/>
    <mergeCell ref="A95:C95"/>
    <mergeCell ref="F95:G95"/>
    <mergeCell ref="A96:C96"/>
    <mergeCell ref="F96:G96"/>
    <mergeCell ref="A97:C97"/>
    <mergeCell ref="F97:G97"/>
    <mergeCell ref="A98:C98"/>
    <mergeCell ref="F98:G98"/>
    <mergeCell ref="A99:C99"/>
    <mergeCell ref="F99:G99"/>
    <mergeCell ref="H99:I99"/>
    <mergeCell ref="A100:C100"/>
    <mergeCell ref="F100:G100"/>
    <mergeCell ref="A101:C101"/>
    <mergeCell ref="F101:G101"/>
    <mergeCell ref="A102:C102"/>
    <mergeCell ref="F102:G102"/>
    <mergeCell ref="A103:C103"/>
    <mergeCell ref="F103:G103"/>
    <mergeCell ref="A104:C104"/>
    <mergeCell ref="F104:G104"/>
    <mergeCell ref="A105:C105"/>
    <mergeCell ref="F105:G105"/>
    <mergeCell ref="A106:C106"/>
    <mergeCell ref="F106:G106"/>
    <mergeCell ref="A107:C107"/>
    <mergeCell ref="F107:G107"/>
    <mergeCell ref="A108:C108"/>
    <mergeCell ref="F108:G108"/>
    <mergeCell ref="A109:C109"/>
    <mergeCell ref="F109:G109"/>
    <mergeCell ref="A110:C110"/>
    <mergeCell ref="F110:G110"/>
    <mergeCell ref="H110:I110"/>
    <mergeCell ref="A111:C111"/>
    <mergeCell ref="F111:G111"/>
    <mergeCell ref="A112:C112"/>
    <mergeCell ref="F112:G112"/>
    <mergeCell ref="A113:C113"/>
    <mergeCell ref="F113:G113"/>
    <mergeCell ref="A114:C114"/>
    <mergeCell ref="F114:G114"/>
    <mergeCell ref="A115:C115"/>
    <mergeCell ref="F115:G115"/>
    <mergeCell ref="A116:C116"/>
    <mergeCell ref="F116:G116"/>
    <mergeCell ref="A117:C117"/>
    <mergeCell ref="F117:G117"/>
    <mergeCell ref="A118:C118"/>
    <mergeCell ref="F118:G118"/>
    <mergeCell ref="A119:C119"/>
    <mergeCell ref="F119:G119"/>
    <mergeCell ref="A120:C120"/>
    <mergeCell ref="F120:G120"/>
    <mergeCell ref="A121:C121"/>
    <mergeCell ref="F121:G121"/>
    <mergeCell ref="A122:C122"/>
    <mergeCell ref="F122:G122"/>
    <mergeCell ref="A123:C123"/>
    <mergeCell ref="F123:G123"/>
    <mergeCell ref="A124:C124"/>
    <mergeCell ref="F124:G124"/>
    <mergeCell ref="A125:C125"/>
    <mergeCell ref="F125:G125"/>
    <mergeCell ref="A126:C126"/>
    <mergeCell ref="F126:G126"/>
    <mergeCell ref="A127:C127"/>
    <mergeCell ref="F127:G127"/>
    <mergeCell ref="A128:C128"/>
    <mergeCell ref="F128:G128"/>
    <mergeCell ref="A129:C129"/>
    <mergeCell ref="F129:G129"/>
    <mergeCell ref="A130:C130"/>
    <mergeCell ref="F130:G130"/>
    <mergeCell ref="A131:C131"/>
    <mergeCell ref="F131:G131"/>
    <mergeCell ref="A132:C132"/>
    <mergeCell ref="F132:G132"/>
    <mergeCell ref="A133:C133"/>
    <mergeCell ref="F133:G133"/>
    <mergeCell ref="H133:I133"/>
    <mergeCell ref="A134:C134"/>
    <mergeCell ref="F134:G134"/>
    <mergeCell ref="A139:C139"/>
    <mergeCell ref="F139:G139"/>
    <mergeCell ref="A140:C140"/>
    <mergeCell ref="H140:I140"/>
    <mergeCell ref="A135:C135"/>
    <mergeCell ref="F135:G135"/>
    <mergeCell ref="A136:C136"/>
    <mergeCell ref="F136:G136"/>
    <mergeCell ref="A137:C137"/>
    <mergeCell ref="F137:G137"/>
    <mergeCell ref="H137:I137"/>
    <mergeCell ref="A138:C138"/>
    <mergeCell ref="F138:G138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BDFE-70C4-49F5-B74D-E1B602A365B1}">
  <dimension ref="A1:W3"/>
  <sheetViews>
    <sheetView tabSelected="1" workbookViewId="0">
      <selection activeCell="S20" sqref="S20"/>
    </sheetView>
  </sheetViews>
  <sheetFormatPr defaultRowHeight="11.25" x14ac:dyDescent="0.2"/>
  <cols>
    <col min="1" max="1" width="81.83203125" customWidth="1"/>
    <col min="2" max="23" width="10.1640625" bestFit="1" customWidth="1"/>
  </cols>
  <sheetData>
    <row r="1" spans="1:23" ht="18" x14ac:dyDescent="0.25">
      <c r="A1" s="26"/>
      <c r="B1" s="62" t="s">
        <v>146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x14ac:dyDescent="0.2">
      <c r="A2" s="27" t="s">
        <v>144</v>
      </c>
      <c r="B2" s="28">
        <v>46181</v>
      </c>
      <c r="C2" s="28">
        <f>B2+6</f>
        <v>46187</v>
      </c>
      <c r="D2" s="28">
        <f>C2+1</f>
        <v>46188</v>
      </c>
      <c r="E2" s="28">
        <f>D2+6</f>
        <v>46194</v>
      </c>
      <c r="F2" s="28">
        <f>E2+1</f>
        <v>46195</v>
      </c>
      <c r="G2" s="28">
        <f>F2+6</f>
        <v>46201</v>
      </c>
      <c r="H2" s="28">
        <f>G2+1</f>
        <v>46202</v>
      </c>
      <c r="I2" s="28">
        <f>H2+6</f>
        <v>46208</v>
      </c>
      <c r="J2" s="28">
        <f>I2+1</f>
        <v>46209</v>
      </c>
      <c r="K2" s="28">
        <f>J2+6</f>
        <v>46215</v>
      </c>
      <c r="L2" s="28">
        <f>K2+1</f>
        <v>46216</v>
      </c>
      <c r="M2" s="28">
        <f>L2+6</f>
        <v>46222</v>
      </c>
      <c r="N2" s="28">
        <f>M2+1</f>
        <v>46223</v>
      </c>
      <c r="O2" s="28">
        <f>N2+6</f>
        <v>46229</v>
      </c>
      <c r="P2" s="28">
        <f>O2+1</f>
        <v>46230</v>
      </c>
      <c r="Q2" s="28">
        <f>P2+6</f>
        <v>46236</v>
      </c>
      <c r="R2" s="28">
        <f>Q2+1</f>
        <v>46237</v>
      </c>
      <c r="S2" s="28">
        <f>R2+6</f>
        <v>46243</v>
      </c>
      <c r="T2" s="28">
        <f>S2+1</f>
        <v>46244</v>
      </c>
      <c r="U2" s="28">
        <f>T2+6</f>
        <v>46250</v>
      </c>
      <c r="V2" s="28">
        <f>U2+1</f>
        <v>46251</v>
      </c>
      <c r="W2" s="28">
        <f>V2+6</f>
        <v>46257</v>
      </c>
    </row>
    <row r="3" spans="1:23" x14ac:dyDescent="0.2">
      <c r="A3" s="26" t="s">
        <v>145</v>
      </c>
      <c r="B3" s="61">
        <v>0</v>
      </c>
      <c r="C3" s="61"/>
      <c r="D3" s="61">
        <v>0</v>
      </c>
      <c r="E3" s="61"/>
      <c r="F3" s="61">
        <f>VLOOKUP(G2,TDSheet!$P:$Q,2,0)</f>
        <v>6.7270000000000003</v>
      </c>
      <c r="G3" s="61"/>
      <c r="H3" s="61">
        <f>VLOOKUP(I2,TDSheet!$P:$Q,2,0)</f>
        <v>5.3550000000000004</v>
      </c>
      <c r="I3" s="61"/>
      <c r="J3" s="61">
        <f>VLOOKUP(K2,TDSheet!$P:$Q,2,0)</f>
        <v>91.561000000000007</v>
      </c>
      <c r="K3" s="61"/>
      <c r="L3" s="61">
        <f>VLOOKUP(M2,TDSheet!$P:$Q,2,0)</f>
        <v>36.234999999999999</v>
      </c>
      <c r="M3" s="61"/>
      <c r="N3" s="61">
        <f>VLOOKUP(O2,TDSheet!$P:$Q,2,0)</f>
        <v>17.440000000000001</v>
      </c>
      <c r="O3" s="61"/>
      <c r="P3" s="61">
        <f>VLOOKUP(Q2,TDSheet!$P:$Q,2,0)</f>
        <v>29.573</v>
      </c>
      <c r="Q3" s="61"/>
      <c r="R3" s="61">
        <f>VLOOKUP(S2,TDSheet!$P:$Q,2,0)</f>
        <v>29.838999999999995</v>
      </c>
      <c r="S3" s="61"/>
      <c r="T3" s="61">
        <v>0</v>
      </c>
      <c r="U3" s="61"/>
      <c r="V3" s="61">
        <v>0</v>
      </c>
      <c r="W3" s="61"/>
    </row>
  </sheetData>
  <mergeCells count="12">
    <mergeCell ref="B1:W1"/>
    <mergeCell ref="F3:G3"/>
    <mergeCell ref="B3:C3"/>
    <mergeCell ref="D3:E3"/>
    <mergeCell ref="H3:I3"/>
    <mergeCell ref="J3:K3"/>
    <mergeCell ref="L3:M3"/>
    <mergeCell ref="N3:O3"/>
    <mergeCell ref="P3:Q3"/>
    <mergeCell ref="R3:S3"/>
    <mergeCell ref="T3:U3"/>
    <mergeCell ref="V3:W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2026-08-25T18:04:04Z</dcterms:modified>
</cp:coreProperties>
</file>