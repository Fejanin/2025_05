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07,07,26 ОСТ недогруз Луганск\"/>
    </mc:Choice>
  </mc:AlternateContent>
  <xr:revisionPtr revIDLastSave="0" documentId="13_ncr:1_{B3EE7DBD-2CEB-4B4B-9B60-E6409CB143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TDSheet!$A$8:$N$105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5" i="1"/>
  <c r="N26" i="1"/>
  <c r="N27" i="1"/>
  <c r="N28" i="1"/>
  <c r="N29" i="1"/>
  <c r="N30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" i="1"/>
</calcChain>
</file>

<file path=xl/sharedStrings.xml><?xml version="1.0" encoding="utf-8"?>
<sst xmlns="http://schemas.openxmlformats.org/spreadsheetml/2006/main" count="210" uniqueCount="113">
  <si>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</si>
  <si>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</si>
  <si>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</si>
  <si>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</si>
  <si>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</si>
  <si>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</si>
  <si>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</si>
  <si>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</si>
  <si>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</si>
  <si>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</si>
  <si>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</si>
  <si>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</si>
  <si>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</si>
  <si>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</si>
  <si>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</si>
  <si>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</si>
  <si>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</si>
  <si>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</si>
  <si>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</si>
  <si>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</si>
  <si>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</si>
  <si>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</si>
  <si>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</si>
  <si>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</si>
  <si>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</si>
  <si>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</si>
  <si>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</si>
  <si>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</si>
  <si>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</si>
  <si>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</si>
  <si>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</si>
  <si>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</si>
  <si>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</si>
  <si>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</si>
  <si>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</si>
  <si>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</si>
  <si>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</si>
  <si>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</si>
  <si>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</si>
  <si>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</si>
  <si>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</si>
  <si>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</si>
  <si>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</si>
  <si>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</si>
  <si>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</si>
  <si>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</si>
  <si>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</si>
  <si>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</si>
  <si>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</si>
  <si>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</si>
  <si>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</si>
  <si>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</si>
  <si>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</si>
  <si>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</si>
  <si>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</si>
  <si>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</si>
  <si>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</si>
  <si>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</si>
  <si>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</si>
  <si>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</si>
  <si>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</si>
  <si>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</si>
  <si>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</si>
  <si>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</si>
  <si>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</si>
  <si>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</si>
  <si>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</si>
  <si>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</si>
  <si>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</si>
  <si>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</si>
  <si>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</si>
  <si>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</si>
  <si>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</si>
  <si>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</si>
  <si>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</si>
  <si>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</si>
  <si>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</si>
  <si>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</si>
  <si>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</si>
  <si>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</si>
  <si>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</si>
  <si>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</si>
  <si>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</si>
  <si>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</si>
  <si>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</si>
  <si>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</si>
  <si>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</si>
  <si>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</si>
  <si>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</si>
  <si>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</si>
  <si>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</si>
  <si>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</si>
  <si>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</si>
  <si>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</si>
  <si>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</si>
  <si>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</si>
  <si>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</si>
  <si>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</si>
  <si>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</si>
  <si>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</si>
  <si>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</si>
  <si>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</si>
  <si>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</si>
  <si>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</si>
  <si>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</si>
  <si>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</si>
  <si>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</si>
  <si>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</si>
  <si>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</si>
  <si>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</si>
  <si>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</t>
  </si>
  <si>
    <t>Итого</t>
  </si>
  <si>
    <t>разн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</si>
</sst>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left" vertical="top" wrapText="1"/>
    </xf>
    <xf numFmtId="0" fontId="0" fillId="3" borderId="0" xfId="0" applyFill="1"/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082;&#1072;&#1079;&#1072;&#1085;&#1086;-&#1086;&#1090;&#1075;&#1088;&#1091;&#1078;&#1077;&#1085;&#1086;%20&#1051;&#1091;&#1075;&#1072;&#1085;&#1089;&#1082;%2006,07,26-07,07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06.07.2026 - 07.07.2026</v>
          </cell>
        </row>
        <row r="4">
          <cell r="A4" t="str">
            <v>Документ.Склад</v>
          </cell>
          <cell r="E4" t="str">
            <v>по заказам</v>
          </cell>
          <cell r="F4" t="str">
            <v>реализация</v>
          </cell>
        </row>
        <row r="5">
          <cell r="A5" t="str">
            <v>Номенклатура</v>
          </cell>
          <cell r="E5" t="str">
            <v>Заказано</v>
          </cell>
          <cell r="F5" t="str">
            <v>Отгружено</v>
          </cell>
          <cell r="G5" t="str">
            <v>разн</v>
          </cell>
        </row>
        <row r="6">
          <cell r="A6" t="str">
            <v>АСП Луганск Останкино</v>
          </cell>
          <cell r="E6">
            <v>4605.72</v>
          </cell>
          <cell r="F6">
            <v>3021.7379999999998</v>
          </cell>
        </row>
        <row r="7">
          <cell r="A7" t="str">
            <v>Останкино ООО</v>
          </cell>
          <cell r="E7">
            <v>4605.72</v>
          </cell>
          <cell r="F7">
            <v>3021.7379999999998</v>
          </cell>
        </row>
        <row r="8">
          <cell r="A8" t="str">
            <v>ООО Останкино-Краснодар</v>
          </cell>
          <cell r="E8">
            <v>1599.42</v>
          </cell>
          <cell r="F8">
            <v>921.73800000000006</v>
          </cell>
        </row>
        <row r="9">
          <cell r="A9" t="str">
            <v>3287 САЛЯМИ ИТАЛЬЯНСКАЯ с/к в/у ОСТАНКИНО</v>
          </cell>
          <cell r="E9">
            <v>1.5</v>
          </cell>
          <cell r="F9">
            <v>1.474</v>
          </cell>
          <cell r="G9">
            <v>-2.6000000000000023E-2</v>
          </cell>
        </row>
        <row r="10">
          <cell r="A10" t="str">
            <v>4063 МЯСНАЯ Папа может вар п/о_Л   ОСТАНКИНО</v>
          </cell>
          <cell r="E10">
            <v>175.15</v>
          </cell>
          <cell r="F10">
            <v>142.309</v>
          </cell>
          <cell r="G10">
            <v>-32.841000000000008</v>
          </cell>
        </row>
        <row r="11">
          <cell r="A11" t="str">
            <v>4117 ЭКСТРА Папа может с/к в/у_Л   ОСТАНКИНО</v>
          </cell>
          <cell r="E11">
            <v>13</v>
          </cell>
          <cell r="F11">
            <v>13.068</v>
          </cell>
          <cell r="G11">
            <v>6.7999999999999616E-2</v>
          </cell>
        </row>
        <row r="12">
          <cell r="A12" t="str">
            <v>4574 Мясная со шпиком Папа может вар п/о ОСТАНКИНО</v>
          </cell>
          <cell r="E12">
            <v>83.05</v>
          </cell>
          <cell r="F12">
            <v>84.177999999999997</v>
          </cell>
          <cell r="G12">
            <v>1.1280000000000001</v>
          </cell>
        </row>
        <row r="13">
          <cell r="A13" t="str">
            <v>4813 ФИЛЕЙНАЯ Папа может вар п/о_Л   ОСТАНКИНО</v>
          </cell>
          <cell r="E13">
            <v>53.2</v>
          </cell>
          <cell r="F13">
            <v>49.651000000000003</v>
          </cell>
          <cell r="G13">
            <v>-3.5489999999999995</v>
          </cell>
        </row>
        <row r="14">
          <cell r="A14" t="str">
            <v>5452 ВЕТЧ.МЯСНАЯ Папа может п/о    ОСТАНКИНО</v>
          </cell>
          <cell r="E14">
            <v>7.9</v>
          </cell>
          <cell r="F14">
            <v>8.0619999999999994</v>
          </cell>
          <cell r="G14">
            <v>0.16199999999999903</v>
          </cell>
        </row>
        <row r="15">
          <cell r="A15" t="str">
            <v>5544 Сервелат Финский в/к в/у_45с НОВАЯ ОСТАНКИНО</v>
          </cell>
          <cell r="E15">
            <v>86.6</v>
          </cell>
          <cell r="F15">
            <v>66.176000000000002</v>
          </cell>
          <cell r="G15">
            <v>-20.423999999999992</v>
          </cell>
        </row>
        <row r="16">
          <cell r="A16" t="str">
            <v>5708 ПОСОЛЬСКАЯ Папа может с/к в/у ОСТАНКИНО</v>
          </cell>
          <cell r="E16">
            <v>25</v>
          </cell>
          <cell r="F16">
            <v>12.992000000000001</v>
          </cell>
          <cell r="G16">
            <v>-12.007999999999999</v>
          </cell>
        </row>
        <row r="17">
          <cell r="A17" t="str">
            <v>5851 ЭКСТРА Папа может вар п/о   ОСТАНКИНО</v>
          </cell>
          <cell r="E17">
            <v>147.4</v>
          </cell>
          <cell r="F17">
            <v>96.206999999999994</v>
          </cell>
          <cell r="G17">
            <v>-51.193000000000012</v>
          </cell>
        </row>
        <row r="18">
          <cell r="A18" t="str">
            <v>6008 САЛО СОЛЕНОЕ С ЧЕРНЫМ ПЕРЦЕМ мл/к в/у ОСТАНКИНО</v>
          </cell>
          <cell r="E18">
            <v>0.8</v>
          </cell>
          <cell r="F18">
            <v>0.65800000000000003</v>
          </cell>
          <cell r="G18">
            <v>-0.14200000000000002</v>
          </cell>
        </row>
        <row r="19">
          <cell r="A19" t="str">
            <v>6220 ГОВЯЖЬЯ папа может вар п/о  Останкино</v>
          </cell>
          <cell r="E19">
            <v>49.1</v>
          </cell>
          <cell r="F19">
            <v>2.694</v>
          </cell>
          <cell r="G19">
            <v>-46.405999999999999</v>
          </cell>
        </row>
        <row r="20">
          <cell r="A20" t="str">
            <v>6303 Мясные Папа может сос п/о мгс 1,5*3  Останкино</v>
          </cell>
          <cell r="E20">
            <v>155.69999999999999</v>
          </cell>
          <cell r="G20">
            <v>-155.69999999999999</v>
          </cell>
        </row>
        <row r="21">
          <cell r="A21" t="str">
            <v>6498 МОЛОЧНАЯ Папа может вар п/о  ОСТАНКИНО</v>
          </cell>
          <cell r="E21">
            <v>22.4</v>
          </cell>
          <cell r="F21">
            <v>17.202000000000002</v>
          </cell>
          <cell r="G21">
            <v>-5.1979999999999968</v>
          </cell>
        </row>
        <row r="22">
          <cell r="A22" t="str">
            <v>6527 ШПИКАЧКИ СОЧНЫЕ ПМ сар б/о мгс 1*3 45с ОСТАНКИНО</v>
          </cell>
          <cell r="E22">
            <v>12.1</v>
          </cell>
          <cell r="F22">
            <v>11.538</v>
          </cell>
          <cell r="G22">
            <v>-0.56199999999999939</v>
          </cell>
        </row>
        <row r="23">
          <cell r="A23" t="str">
            <v>6550 МЯСНЫЕ Папа может сар б/о мгс 1*3 О 45с  Останкино</v>
          </cell>
          <cell r="E23">
            <v>36</v>
          </cell>
          <cell r="F23">
            <v>37.951999999999998</v>
          </cell>
          <cell r="G23">
            <v>1.9519999999999982</v>
          </cell>
        </row>
        <row r="24">
          <cell r="A24" t="str">
            <v>6608 С ГОВЯДИНОЙ ОРИГИН. сар б/о мгс 1*3_45с  ОСТАНКИНО</v>
          </cell>
          <cell r="E24">
            <v>19.2</v>
          </cell>
          <cell r="F24">
            <v>16.548999999999999</v>
          </cell>
          <cell r="G24">
            <v>-2.6509999999999998</v>
          </cell>
        </row>
        <row r="25">
          <cell r="A25" t="str">
            <v>6620 РЕБРЫШКИ к/в в/у_30с  Останкино</v>
          </cell>
          <cell r="E25">
            <v>3.4</v>
          </cell>
          <cell r="F25">
            <v>3.5339999999999998</v>
          </cell>
          <cell r="G25">
            <v>0.1339999999999999</v>
          </cell>
        </row>
        <row r="26">
          <cell r="A26" t="str">
            <v>6661 СОЧНЫЙ ГРИЛЬ ПМ сос п/о мгс 1,5*4_Маяк Останкино</v>
          </cell>
          <cell r="E26">
            <v>114.1</v>
          </cell>
          <cell r="F26">
            <v>45.427</v>
          </cell>
          <cell r="G26">
            <v>-68.673000000000002</v>
          </cell>
        </row>
        <row r="27">
          <cell r="A27" t="str">
            <v>6829  МОЛОЧНЫЕ КЛАССИЧЕСКИЕ сос п/о мгс 2*4 С  Останккино</v>
          </cell>
          <cell r="E27">
            <v>158</v>
          </cell>
          <cell r="F27">
            <v>100.92700000000001</v>
          </cell>
          <cell r="G27">
            <v>-57.072999999999993</v>
          </cell>
        </row>
        <row r="28">
          <cell r="A28" t="str">
            <v>6946 СЕРВЕЛАТ КРЕМЛЕВСКИЙ в/к в/у ВЕС  0,84кг ОСТАНКИНО</v>
          </cell>
          <cell r="E28">
            <v>12.72</v>
          </cell>
          <cell r="F28">
            <v>11.992000000000001</v>
          </cell>
          <cell r="G28">
            <v>-0.72799999999999976</v>
          </cell>
        </row>
        <row r="29">
          <cell r="A29" t="str">
            <v>7001 КЛАССИЧЕСКИЕ Папа может сар б/о мгс 1*3  Останкино</v>
          </cell>
          <cell r="E29">
            <v>10</v>
          </cell>
          <cell r="F29">
            <v>5.2549999999999999</v>
          </cell>
          <cell r="G29">
            <v>-4.7450000000000001</v>
          </cell>
        </row>
        <row r="30">
          <cell r="A30" t="str">
            <v>7070 СОЧНЫЕ ПМ сос п/о 1,5*4_А_50с  Останкино</v>
          </cell>
          <cell r="E30">
            <v>103.5</v>
          </cell>
          <cell r="F30">
            <v>71.798000000000002</v>
          </cell>
          <cell r="G30">
            <v>-31.701999999999998</v>
          </cell>
        </row>
        <row r="31">
          <cell r="A31" t="str">
            <v>7075 МОЛОЧ.ПРЕМИУМ ПМ сос п/о мгс 1,5*4_О_50с  Останкино</v>
          </cell>
          <cell r="E31">
            <v>3</v>
          </cell>
          <cell r="F31">
            <v>3.1389999999999998</v>
          </cell>
          <cell r="G31">
            <v>0.13899999999999979</v>
          </cell>
        </row>
        <row r="32">
          <cell r="A32" t="str">
            <v>7082 СЛИВОЧНЫЕ ПМ сос п/о мгс 1,5*4_50с  Останкино</v>
          </cell>
          <cell r="E32">
            <v>31.5</v>
          </cell>
          <cell r="G32">
            <v>-31.5</v>
          </cell>
        </row>
        <row r="33">
          <cell r="A33" t="str">
            <v>7083 СЛИВОЧНЫЕ ПМ сос п/о мгс 1.5*4_А_50с  ОСТАНКИНО</v>
          </cell>
          <cell r="E33">
            <v>108</v>
          </cell>
          <cell r="F33">
            <v>15.545</v>
          </cell>
          <cell r="G33">
            <v>-92.454999999999998</v>
          </cell>
        </row>
        <row r="34">
          <cell r="A34" t="str">
            <v>7157 СЕРВЕЛАТ ЗЕРНИСТЫЙ ПМ в/к в/у_50с  Останкино</v>
          </cell>
          <cell r="E34">
            <v>69.900000000000006</v>
          </cell>
          <cell r="F34">
            <v>66.774000000000001</v>
          </cell>
          <cell r="G34">
            <v>-3.1260000000000048</v>
          </cell>
        </row>
        <row r="35">
          <cell r="A35" t="str">
            <v>7166 СЕРВЕЛАТ ОХОТНИЧИЙ ПМ в/к в/у_50с  Останкино</v>
          </cell>
          <cell r="E35">
            <v>65.7</v>
          </cell>
          <cell r="F35">
            <v>36.637</v>
          </cell>
          <cell r="G35">
            <v>-29.063000000000002</v>
          </cell>
        </row>
        <row r="36">
          <cell r="A36" t="str">
            <v>БОНУС_6954 СОЧНЫЕ Папа может сос п/о мгс 1.5*4_Х5  ОСТАНКИНО</v>
          </cell>
          <cell r="E36">
            <v>31.5</v>
          </cell>
          <cell r="G36">
            <v>-31.5</v>
          </cell>
        </row>
        <row r="37">
          <cell r="A37" t="str">
            <v>ООО Останкино-Краснодар (ШТ)</v>
          </cell>
          <cell r="E37">
            <v>2768.5</v>
          </cell>
          <cell r="F37">
            <v>2001</v>
          </cell>
          <cell r="G37">
            <v>-767.5</v>
          </cell>
        </row>
        <row r="38">
          <cell r="A38" t="str">
            <v>3215 ВЕТЧ.МЯСНАЯ Папа может п/о 0.4кг 8шт.    ОСТАНКИНО</v>
          </cell>
          <cell r="E38">
            <v>32</v>
          </cell>
          <cell r="F38">
            <v>32</v>
          </cell>
          <cell r="G38">
            <v>0</v>
          </cell>
        </row>
        <row r="39">
          <cell r="A39" t="str">
            <v>3986 Ароматная с/к в/у 1/250 ОСТАНКИНО</v>
          </cell>
          <cell r="E39">
            <v>13</v>
          </cell>
          <cell r="F39">
            <v>13</v>
          </cell>
          <cell r="G39">
            <v>0</v>
          </cell>
        </row>
        <row r="40">
          <cell r="A40" t="str">
            <v>4993 САЛЯМИ ИТАЛЬЯНСКАЯ с/к в/у 1/250*8_120c ОСТАНКИНО</v>
          </cell>
          <cell r="E40">
            <v>7</v>
          </cell>
          <cell r="F40">
            <v>6</v>
          </cell>
          <cell r="G40">
            <v>-1</v>
          </cell>
        </row>
        <row r="41">
          <cell r="A41" t="str">
            <v>5483 ЭКСТРА Папа может с/к в/у 1/250 8шт.   ОСТАНКИНО</v>
          </cell>
          <cell r="E41">
            <v>54</v>
          </cell>
          <cell r="F41">
            <v>28</v>
          </cell>
          <cell r="G41">
            <v>-26</v>
          </cell>
        </row>
        <row r="42">
          <cell r="A42" t="str">
            <v>5495 ВЕТЧ.С ИНДЕЙКОЙ Папа может п/о 400*6  Останкино</v>
          </cell>
          <cell r="E42">
            <v>30</v>
          </cell>
          <cell r="F42">
            <v>28</v>
          </cell>
          <cell r="G42">
            <v>-2</v>
          </cell>
        </row>
        <row r="43">
          <cell r="A43" t="str">
            <v>5819 Сосиски Папа может 400г Мясные  ОСТАНКИНО</v>
          </cell>
          <cell r="E43">
            <v>11</v>
          </cell>
          <cell r="F43">
            <v>9</v>
          </cell>
          <cell r="G43">
            <v>-2</v>
          </cell>
        </row>
        <row r="44">
          <cell r="A44" t="str">
            <v>5931 ОХОТНИЧЬЯ Папа может с/к в/у 1/220 8шт.   ОСТАНКИНО</v>
          </cell>
          <cell r="E44">
            <v>139</v>
          </cell>
          <cell r="F44">
            <v>132</v>
          </cell>
          <cell r="G44">
            <v>-7</v>
          </cell>
        </row>
        <row r="45">
          <cell r="A45" t="str">
            <v>6221 НЕОПОЛИТАНСКИЙ ДУЭТ с/к с/н мгс 1/90  Останкино</v>
          </cell>
          <cell r="E45">
            <v>58</v>
          </cell>
          <cell r="F45">
            <v>50</v>
          </cell>
          <cell r="G45">
            <v>-8</v>
          </cell>
        </row>
        <row r="46">
          <cell r="A46" t="str">
            <v>6228 МЯСНОЕ АССОРТИ к/з с/н мгс 1/90 10шт  Останкино</v>
          </cell>
          <cell r="E46">
            <v>26</v>
          </cell>
          <cell r="F46">
            <v>25</v>
          </cell>
          <cell r="G46">
            <v>-1</v>
          </cell>
        </row>
        <row r="47">
          <cell r="A47" t="str">
            <v>6279 КОРЕЙКА ПО-ОСТ.к/в в/с с/н в/у 1/150_45с  Останкино</v>
          </cell>
          <cell r="E47">
            <v>43</v>
          </cell>
          <cell r="G47">
            <v>-43</v>
          </cell>
        </row>
        <row r="48">
          <cell r="A48" t="str">
            <v>6324 ДОКТОРСКАЯ ГОСТ вар п/о 0,4кг 8шт  Останкино</v>
          </cell>
          <cell r="E48">
            <v>16</v>
          </cell>
          <cell r="G48">
            <v>-16</v>
          </cell>
        </row>
        <row r="49">
          <cell r="A49" t="str">
            <v>6325 ДОКТОРСКАЯ ПРЕМИУМ вар п/о 0.4кг 8шт.  ОСТАНКИНО</v>
          </cell>
          <cell r="E49">
            <v>102</v>
          </cell>
          <cell r="F49">
            <v>70</v>
          </cell>
          <cell r="G49">
            <v>-32</v>
          </cell>
        </row>
        <row r="50">
          <cell r="A50" t="str">
            <v>6333 МЯСНАЯ Папа может вар п/о 0.4кг 8шт.  ОСТАНКИНО</v>
          </cell>
          <cell r="E50">
            <v>79</v>
          </cell>
          <cell r="F50">
            <v>76</v>
          </cell>
          <cell r="G50">
            <v>-3</v>
          </cell>
        </row>
        <row r="51">
          <cell r="A51" t="str">
            <v>6353 ЭКСТРА Папа может вар п/о 0.4кг 8шт.  ОСТАНКИНО</v>
          </cell>
          <cell r="E51">
            <v>37</v>
          </cell>
          <cell r="F51">
            <v>7</v>
          </cell>
          <cell r="G51">
            <v>-30</v>
          </cell>
        </row>
        <row r="52">
          <cell r="A52" t="str">
            <v>6392 ФИЛЕЙНАЯ Папа может вар п/о 0,4кг  ОСТАНКИНО</v>
          </cell>
          <cell r="E52">
            <v>95</v>
          </cell>
          <cell r="F52">
            <v>94</v>
          </cell>
          <cell r="G52">
            <v>-1</v>
          </cell>
        </row>
        <row r="53">
          <cell r="A53" t="str">
            <v>6453 ЭКСТРА Папа может с/к с/н в/у 1/100 14шт.   ОСТАНКИНО</v>
          </cell>
          <cell r="E53">
            <v>129</v>
          </cell>
          <cell r="F53">
            <v>29</v>
          </cell>
          <cell r="G53">
            <v>-100</v>
          </cell>
        </row>
        <row r="54">
          <cell r="A54" t="str">
            <v>6454 АРОМАТНАЯ с/к с/н в/у 1/100 10шт.  ОСТАНКИНО</v>
          </cell>
          <cell r="E54">
            <v>52</v>
          </cell>
          <cell r="F54">
            <v>43</v>
          </cell>
          <cell r="G54">
            <v>-9</v>
          </cell>
        </row>
        <row r="55">
          <cell r="A55" t="str">
            <v>6459 СЕРВЕЛАТ ШВЕЙЦАРСК. в/к с/н в/у 1/100*10  Останкино</v>
          </cell>
          <cell r="E55">
            <v>3</v>
          </cell>
          <cell r="F55">
            <v>3</v>
          </cell>
          <cell r="G55">
            <v>0</v>
          </cell>
        </row>
        <row r="56">
          <cell r="A56" t="str">
            <v>6475 Сосиски Папа может 400г С сыром  ОСТАНКИНО</v>
          </cell>
          <cell r="E56">
            <v>16</v>
          </cell>
          <cell r="G56">
            <v>-16</v>
          </cell>
        </row>
        <row r="57">
          <cell r="A57" t="str">
            <v>6495 ВЕТЧ.МРАМОРНАЯ в/у срез 0,3кг 6шт_45с  Останкино</v>
          </cell>
          <cell r="E57">
            <v>57</v>
          </cell>
          <cell r="F57">
            <v>56</v>
          </cell>
          <cell r="G57">
            <v>-1</v>
          </cell>
        </row>
        <row r="58">
          <cell r="A58" t="str">
            <v>6602 БАВАРСКИЕ ПМ сос ц/о мгс 0,35кг 8шт  Останкино</v>
          </cell>
          <cell r="E58">
            <v>2</v>
          </cell>
          <cell r="G58">
            <v>-2</v>
          </cell>
        </row>
        <row r="59">
          <cell r="A59" t="str">
            <v>6609 С ГОВЯДИНОЙ ПМ сар б/о мгс 0,4 кг_45с</v>
          </cell>
          <cell r="E59">
            <v>4</v>
          </cell>
          <cell r="G59">
            <v>-4</v>
          </cell>
        </row>
        <row r="60">
          <cell r="A60" t="str">
            <v>6616 МОЛОЧНЫЕ КЛАССИЧЕСКИЕ сос п/о в/у 0,3 кг  Останкино</v>
          </cell>
          <cell r="E60">
            <v>95</v>
          </cell>
          <cell r="F60">
            <v>79</v>
          </cell>
          <cell r="G60">
            <v>-16</v>
          </cell>
        </row>
        <row r="61">
          <cell r="A61" t="str">
            <v>6697 СЕРВЕЛАТ ФИНСКИЙ ПМ в/к в/у 0,35кг 8шт  ОСТАНКИНО</v>
          </cell>
          <cell r="E61">
            <v>108</v>
          </cell>
          <cell r="F61">
            <v>104</v>
          </cell>
          <cell r="G61">
            <v>-4</v>
          </cell>
        </row>
        <row r="62">
          <cell r="A62" t="str">
            <v>6701 СЕРВЕЛАТ ШВАРЦЕР ПМ в/к в/у 0.28кг 8шт.  ОСТАНКИНО</v>
          </cell>
          <cell r="E62">
            <v>2</v>
          </cell>
          <cell r="G62">
            <v>-2</v>
          </cell>
        </row>
        <row r="63">
          <cell r="A63" t="str">
            <v>6713 СОЧНЫЙ ГРИЛЬ ПМ сос п/о мгс 0,41кг 8 шт.  ОСТАНКИНО</v>
          </cell>
          <cell r="E63">
            <v>127</v>
          </cell>
          <cell r="F63">
            <v>123</v>
          </cell>
          <cell r="G63">
            <v>-4</v>
          </cell>
        </row>
        <row r="64">
          <cell r="A64" t="str">
            <v>6724 МОЛОЧНЫЕ ПМ сос п/о мгс 0,41кг 10шт  Останкино</v>
          </cell>
          <cell r="E64">
            <v>36</v>
          </cell>
          <cell r="F64">
            <v>30</v>
          </cell>
          <cell r="G64">
            <v>-6</v>
          </cell>
        </row>
        <row r="65">
          <cell r="A65" t="str">
            <v>6765 РУБЛЕНЫЕ сос ц/о мгс 0,36кг 6шт  Останкино</v>
          </cell>
          <cell r="E65">
            <v>48</v>
          </cell>
          <cell r="F65">
            <v>48</v>
          </cell>
          <cell r="G65">
            <v>0</v>
          </cell>
        </row>
        <row r="66">
          <cell r="A66" t="str">
            <v>6787 СЕРВЕЛАТ КРЕМЛЕВСКИЙ в/к в/у 0,33кг 8шт  Останкино</v>
          </cell>
          <cell r="E66">
            <v>16</v>
          </cell>
          <cell r="F66">
            <v>13</v>
          </cell>
          <cell r="G66">
            <v>-3</v>
          </cell>
        </row>
        <row r="67">
          <cell r="A67" t="str">
            <v>6793 БАЛЫКОВАЯ в/к в/у 0,33кг 8шт  Останкино</v>
          </cell>
          <cell r="E67">
            <v>11</v>
          </cell>
          <cell r="G67">
            <v>-11</v>
          </cell>
        </row>
        <row r="68">
          <cell r="A68" t="str">
            <v>6797 С ИНДЕЙКОЙ Папа может вар п/о 0,4кг 8шт. ОСТАНКИНО</v>
          </cell>
          <cell r="E68">
            <v>28</v>
          </cell>
          <cell r="F68">
            <v>27</v>
          </cell>
          <cell r="G68">
            <v>-1</v>
          </cell>
        </row>
        <row r="69">
          <cell r="A69" t="str">
            <v>6807 СЕРВЕЛАТ ЕВРОПЕЙСКИЙ в/к в/у 0,33кг 8шт  Останкино</v>
          </cell>
          <cell r="E69">
            <v>8</v>
          </cell>
          <cell r="F69">
            <v>4</v>
          </cell>
          <cell r="G69">
            <v>-4</v>
          </cell>
        </row>
        <row r="70">
          <cell r="A70" t="str">
            <v>6834 ПОСОЛЬСКАЯ с/к с/н в/у 1/100 10шт  Останкино</v>
          </cell>
          <cell r="E70">
            <v>7</v>
          </cell>
          <cell r="F70">
            <v>6</v>
          </cell>
          <cell r="G70">
            <v>-1</v>
          </cell>
        </row>
        <row r="71">
          <cell r="A71" t="str">
            <v>6837 ФИЛЕЙНЫЕ Папа Может сос ц/о мгс 0,4кг  Останкино</v>
          </cell>
          <cell r="E71">
            <v>19</v>
          </cell>
          <cell r="F71">
            <v>17</v>
          </cell>
          <cell r="G71">
            <v>-2</v>
          </cell>
        </row>
        <row r="72">
          <cell r="A72" t="str">
            <v>6925 ВЕТЧ.КЛАССИЧЕСКАЯ в/у 0,6кг 8шт. ОСТАНКИНО</v>
          </cell>
          <cell r="E72">
            <v>2</v>
          </cell>
          <cell r="G72">
            <v>-2</v>
          </cell>
        </row>
        <row r="73">
          <cell r="A73" t="str">
            <v>6967 БУРГУНДИЯ Папа может с/к в/у 1/250 8шт  Останкино</v>
          </cell>
          <cell r="E73">
            <v>4</v>
          </cell>
          <cell r="F73">
            <v>2</v>
          </cell>
          <cell r="G73">
            <v>-2</v>
          </cell>
        </row>
        <row r="74">
          <cell r="A74" t="str">
            <v>7059 ШПИКАЧКИ СОЧНЫЕ С БЕК. п/о мгс 0,3кг 60с ОСТАНКИНО</v>
          </cell>
          <cell r="E74">
            <v>68</v>
          </cell>
          <cell r="F74">
            <v>43</v>
          </cell>
          <cell r="G74">
            <v>-25</v>
          </cell>
        </row>
        <row r="75">
          <cell r="A75" t="str">
            <v>7066 СОЧНЫЕ ПМ сос п/о мгс 0,41кг 10шт 50с  Останкино</v>
          </cell>
          <cell r="E75">
            <v>163</v>
          </cell>
          <cell r="F75">
            <v>158</v>
          </cell>
          <cell r="G75">
            <v>-5</v>
          </cell>
        </row>
        <row r="76">
          <cell r="A76" t="str">
            <v>7073 МОЛОЧ.ПРЕМИУМ ПМ сос п/о в/у 1/350_50с  Останкино</v>
          </cell>
          <cell r="E76">
            <v>5</v>
          </cell>
          <cell r="F76">
            <v>4</v>
          </cell>
          <cell r="G76">
            <v>-1</v>
          </cell>
        </row>
        <row r="77">
          <cell r="A77" t="str">
            <v>7080 СЛИВОЧНЫЕ ПМ сос п/о мгс 0,41кг 10шт 50с  Останкино</v>
          </cell>
          <cell r="E77">
            <v>56</v>
          </cell>
          <cell r="F77">
            <v>49</v>
          </cell>
          <cell r="G77">
            <v>-7</v>
          </cell>
        </row>
        <row r="78">
          <cell r="A78" t="str">
            <v>7090 СВИНИНА ПО-ДОМ.к/в мл/к в/у 0,3кг_50с  Останкино</v>
          </cell>
          <cell r="E78">
            <v>14</v>
          </cell>
          <cell r="F78">
            <v>13</v>
          </cell>
          <cell r="G78">
            <v>-1</v>
          </cell>
        </row>
        <row r="79">
          <cell r="A79" t="str">
            <v>7103 БЕКОН Останкино с/к с/н в/у 1/180_50с  Останкино</v>
          </cell>
          <cell r="E79">
            <v>49</v>
          </cell>
          <cell r="F79">
            <v>45</v>
          </cell>
          <cell r="G79">
            <v>-4</v>
          </cell>
        </row>
        <row r="80">
          <cell r="A80" t="str">
            <v>7154 СЕРВЕЛАТ ЗЕРНИСТЫЙ ПМ в/к в/у 0,35кг_50с  Останкино</v>
          </cell>
          <cell r="E80">
            <v>146</v>
          </cell>
          <cell r="F80">
            <v>113</v>
          </cell>
          <cell r="G80">
            <v>-33</v>
          </cell>
        </row>
        <row r="81">
          <cell r="A81" t="str">
            <v>7169 СЕРВЕЛАТ ОХОТНИЧИЙ ПМ в/к в/у 0,35кг_50с  Останкино</v>
          </cell>
          <cell r="E81">
            <v>78</v>
          </cell>
          <cell r="F81">
            <v>73</v>
          </cell>
          <cell r="G81">
            <v>-5</v>
          </cell>
        </row>
        <row r="82">
          <cell r="A82" t="str">
            <v>7187 ГРУДИНКА ПРЕМИУМ к/в мл/к в/у 0,3кг_50с  Останкино</v>
          </cell>
          <cell r="E82">
            <v>18</v>
          </cell>
          <cell r="F82">
            <v>18</v>
          </cell>
          <cell r="G82">
            <v>0</v>
          </cell>
        </row>
        <row r="83">
          <cell r="A83" t="str">
            <v>7231 КЛАССИЧЕСКАЯ ПМ вар п/о 0,3кг 8 шт_209к  Останкино</v>
          </cell>
          <cell r="E83">
            <v>20</v>
          </cell>
          <cell r="F83">
            <v>17</v>
          </cell>
          <cell r="G83">
            <v>-3</v>
          </cell>
        </row>
        <row r="84">
          <cell r="A84" t="str">
            <v>7232 БОЯNСКАЯ ПМ п/к в/у 0,28кг 8шт_209к  Останкино</v>
          </cell>
          <cell r="E84">
            <v>50</v>
          </cell>
          <cell r="F84">
            <v>50</v>
          </cell>
          <cell r="G84">
            <v>0</v>
          </cell>
        </row>
        <row r="85">
          <cell r="A85" t="str">
            <v>7236 СЕРВЕЛАТ КАРЕЛЬСКИЙ в/к в/у 0,28кг_209к  Останкино</v>
          </cell>
          <cell r="E85">
            <v>27</v>
          </cell>
          <cell r="F85">
            <v>24</v>
          </cell>
          <cell r="G85">
            <v>-3</v>
          </cell>
        </row>
        <row r="86">
          <cell r="A86" t="str">
            <v>7237 СЕРВЕЛАТ ШВАРЦЕР ПМ в/к в/у 0,28кг_209к  Останкино</v>
          </cell>
          <cell r="E86">
            <v>11</v>
          </cell>
          <cell r="F86">
            <v>9</v>
          </cell>
          <cell r="G86">
            <v>-2</v>
          </cell>
        </row>
        <row r="87">
          <cell r="A87" t="str">
            <v>7241 САЛЯМИ Папа может п/к в/у 0,28кг ОСТАНКИНО</v>
          </cell>
          <cell r="E87">
            <v>169</v>
          </cell>
          <cell r="F87">
            <v>1</v>
          </cell>
          <cell r="G87">
            <v>-168</v>
          </cell>
        </row>
        <row r="88">
          <cell r="A88" t="str">
            <v>7255 МЯСНЫЕ С ГОВЯД.ПМ сос п/о мгс 0.4кг 6шт.  ОСТАНКИНО</v>
          </cell>
          <cell r="E88">
            <v>49</v>
          </cell>
          <cell r="F88">
            <v>45</v>
          </cell>
          <cell r="G88">
            <v>-4</v>
          </cell>
        </row>
        <row r="89">
          <cell r="A89" t="str">
            <v>7271 МЯСНЫЕ С ГОВЯДИНОЙ ПМ сос п/о мгс 1.5*4  ОСТАНКИНО</v>
          </cell>
          <cell r="E89">
            <v>73.5</v>
          </cell>
          <cell r="G89">
            <v>-73.5</v>
          </cell>
        </row>
        <row r="90">
          <cell r="A90" t="str">
            <v>7276 СЛИВОЧНЫЕ ПМ сос п/о мгс 0,3кг 7шт  Останкино</v>
          </cell>
          <cell r="E90">
            <v>5</v>
          </cell>
          <cell r="F90">
            <v>4</v>
          </cell>
          <cell r="G90">
            <v>-1</v>
          </cell>
        </row>
        <row r="91">
          <cell r="A91" t="str">
            <v>7284 ДЛЯ ДЕТЕЙ сос п/о мгс 0,33кг 6шт  Останкино</v>
          </cell>
          <cell r="E91">
            <v>24</v>
          </cell>
          <cell r="F91">
            <v>24</v>
          </cell>
          <cell r="G91">
            <v>0</v>
          </cell>
        </row>
        <row r="92">
          <cell r="A92" t="str">
            <v>7288 БАЛЫК с/к с/н в/у 1/100 10шт ОСТАНКИНО</v>
          </cell>
          <cell r="E92">
            <v>4</v>
          </cell>
          <cell r="F92">
            <v>4</v>
          </cell>
          <cell r="G92">
            <v>0</v>
          </cell>
        </row>
        <row r="93">
          <cell r="A93" t="str">
            <v>7332 БОЯРСКАЯ ПМ п/к в/у 0,28кг ОСТАНКИНО</v>
          </cell>
          <cell r="E93">
            <v>3</v>
          </cell>
          <cell r="G93">
            <v>-3</v>
          </cell>
        </row>
        <row r="94">
          <cell r="A94" t="str">
            <v>7333 СЕРВЕЛАТ ОХОТНИЧИЙ ПМ в/к в/у 0,28кг ОСТАНКИНО</v>
          </cell>
          <cell r="E94">
            <v>4</v>
          </cell>
          <cell r="G94">
            <v>-4</v>
          </cell>
        </row>
        <row r="95">
          <cell r="A95" t="str">
            <v>7343 СЕЙЧАС СЕЗОН ПМ вар п/о 0,4кг ОСТАНКИНО</v>
          </cell>
          <cell r="E95">
            <v>16</v>
          </cell>
          <cell r="F95">
            <v>14</v>
          </cell>
          <cell r="G95">
            <v>-2</v>
          </cell>
        </row>
        <row r="96">
          <cell r="A96" t="str">
            <v>7371 БРЕСТСКИЕ сос п/о в/у 0,3кг 8шт. ОСТАНКИНО</v>
          </cell>
          <cell r="E96">
            <v>11</v>
          </cell>
          <cell r="F96">
            <v>10</v>
          </cell>
          <cell r="G96">
            <v>-1</v>
          </cell>
        </row>
        <row r="97">
          <cell r="A97" t="str">
            <v>7382  САЛЯМИ МЕЛКОЗЕРНЕНАЯ с/к в/у1/120 8шт.  ОСТАНКИНО</v>
          </cell>
          <cell r="E97">
            <v>40</v>
          </cell>
          <cell r="F97">
            <v>37</v>
          </cell>
          <cell r="G97">
            <v>-3</v>
          </cell>
        </row>
        <row r="98">
          <cell r="A98" t="str">
            <v>7461 ДЛЯ ДЕТЕЙ Папа Может сос п/о мгс 0,33кг ОСТАНКИНО</v>
          </cell>
          <cell r="E98">
            <v>17</v>
          </cell>
          <cell r="G98">
            <v>-17</v>
          </cell>
        </row>
        <row r="99">
          <cell r="A99" t="str">
            <v>7489 СЫРРРВЕЛАТ Папа Может в/к в/у 0,28кг 8шт. ОСТАНКИНО</v>
          </cell>
          <cell r="E99">
            <v>16</v>
          </cell>
          <cell r="F99">
            <v>14</v>
          </cell>
          <cell r="G99">
            <v>-2</v>
          </cell>
        </row>
        <row r="100">
          <cell r="A100" t="str">
            <v>7523 ГОВЯЖЬЯ Папа Может вар п/о 0,4кг 6шт. ОСТАНКИНО</v>
          </cell>
          <cell r="E100">
            <v>101</v>
          </cell>
          <cell r="F100">
            <v>65</v>
          </cell>
          <cell r="G100">
            <v>-36</v>
          </cell>
        </row>
        <row r="101">
          <cell r="A101" t="str">
            <v>7539 ДОКТОРСКАЯ ГОСТ вар п/о 0,35кг ОСТАНКИНО</v>
          </cell>
          <cell r="E101">
            <v>8</v>
          </cell>
          <cell r="F101">
            <v>8</v>
          </cell>
          <cell r="G101">
            <v>0</v>
          </cell>
        </row>
        <row r="102">
          <cell r="A102" t="str">
            <v>7603 БАЛЫКОВАЯ в/к в/у 0.33кг 8шт. ОСТАНКИНО</v>
          </cell>
          <cell r="E102">
            <v>6</v>
          </cell>
          <cell r="F102">
            <v>5</v>
          </cell>
          <cell r="G102">
            <v>-1</v>
          </cell>
        </row>
        <row r="103">
          <cell r="A103" t="str">
            <v>БОНУС_6087 СОЧНЫЕ ПМ сос п/о мгс 0,41кг 10шт.  ОСТАНКИНО</v>
          </cell>
          <cell r="E103">
            <v>1</v>
          </cell>
          <cell r="G103">
            <v>-1</v>
          </cell>
        </row>
        <row r="104">
          <cell r="A104" t="str">
            <v>5579 БЛИНЧ.КРУГЛЫЕ С САД.ЯБЛОК.пл.1/420 зам. ОСТАНКИНО</v>
          </cell>
          <cell r="E104">
            <v>36</v>
          </cell>
          <cell r="G104">
            <v>-36</v>
          </cell>
        </row>
        <row r="105">
          <cell r="A105" t="str">
            <v>5754 БЛИНЧ.КРУГЛЫЕ С МЯСОМ 4,5кг зам. ПМ ОСТАНКИНО</v>
          </cell>
          <cell r="E105">
            <v>4.5</v>
          </cell>
          <cell r="G105">
            <v>-4.5</v>
          </cell>
        </row>
        <row r="106">
          <cell r="A106" t="str">
            <v>6148 БЛИНЧ.КРУГЛЫЕ С ВЕТЧ.И СЫР. ПМ 1/300 зам. ОСТАНКИНО</v>
          </cell>
          <cell r="E106">
            <v>60</v>
          </cell>
          <cell r="F106">
            <v>60</v>
          </cell>
          <cell r="G106">
            <v>0</v>
          </cell>
        </row>
        <row r="107">
          <cell r="A107" t="str">
            <v>6149 БЛИНЧ.КРУГЛЫЕ С ПЕЧЕНЬЮ ПМ 1/300 зам. ОСТАНКИНО</v>
          </cell>
          <cell r="E107">
            <v>36</v>
          </cell>
          <cell r="F107">
            <v>36</v>
          </cell>
          <cell r="G107">
            <v>0</v>
          </cell>
        </row>
        <row r="108">
          <cell r="A108" t="str">
            <v>6209 Блинчики с куриным мясом пл. 1/350 зам. ОСТАНКИНО</v>
          </cell>
          <cell r="E108">
            <v>3</v>
          </cell>
          <cell r="F108">
            <v>3</v>
          </cell>
          <cell r="G108">
            <v>0</v>
          </cell>
        </row>
        <row r="109">
          <cell r="A109" t="str">
            <v>6819 БЛИНЧ.КРУГЛЫЕ С САД.ЯБЛОК. пл. 1/300 зам. ОСТАНКИНО</v>
          </cell>
          <cell r="E109">
            <v>12</v>
          </cell>
          <cell r="G109">
            <v>-12</v>
          </cell>
        </row>
        <row r="110">
          <cell r="A110" t="str">
            <v>7216 СОЧНЫЕ СО СЛ.МАСЛ.ПМ пельм пл.0.7кг зам. ОСТАНКИНО</v>
          </cell>
          <cell r="E110">
            <v>70</v>
          </cell>
          <cell r="G110">
            <v>-70</v>
          </cell>
        </row>
        <row r="111">
          <cell r="A111" t="str">
            <v>Останкино КОРОВИНО (ВЕС)</v>
          </cell>
          <cell r="E111">
            <v>4.3</v>
          </cell>
          <cell r="G111">
            <v>-4.3</v>
          </cell>
        </row>
        <row r="112">
          <cell r="A112" t="str">
            <v>6866 ВЕТЧ.НЕЖНАЯ Коровино п/о_Маяк  Останкино</v>
          </cell>
          <cell r="E112">
            <v>4.3</v>
          </cell>
          <cell r="G112">
            <v>-4.3</v>
          </cell>
        </row>
        <row r="113">
          <cell r="A113" t="str">
            <v>Останкино КОРОВИНО (ШТ)</v>
          </cell>
          <cell r="E113">
            <v>12</v>
          </cell>
          <cell r="G113">
            <v>-12</v>
          </cell>
        </row>
        <row r="114">
          <cell r="A114" t="str">
            <v>7149 БАЛЫКОВАЯ Коровино п/к в/у 0,84кг_50с  Останкино</v>
          </cell>
          <cell r="E114">
            <v>12</v>
          </cell>
          <cell r="G114">
            <v>-12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5"/>
  <sheetViews>
    <sheetView tabSelected="1" workbookViewId="0">
      <selection activeCell="Q6" sqref="Q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9" width="14" style="1" customWidth="1"/>
    <col min="10" max="13" width="14" style="1" hidden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4" ht="12.95" customHeight="1" outlineLevel="1" x14ac:dyDescent="0.2">
      <c r="C5" s="3" t="s">
        <v>3</v>
      </c>
      <c r="D5" s="3"/>
      <c r="E5" s="3"/>
    </row>
    <row r="6" spans="1:14" ht="26.1" customHeight="1" outlineLevel="1" x14ac:dyDescent="0.2">
      <c r="A6" s="3" t="s">
        <v>4</v>
      </c>
      <c r="B6" s="3"/>
      <c r="C6" s="20" t="s">
        <v>5</v>
      </c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 t="s">
        <v>7</v>
      </c>
      <c r="E8" s="26" t="s">
        <v>8</v>
      </c>
      <c r="F8" s="26"/>
      <c r="G8" s="26"/>
      <c r="H8" s="26"/>
      <c r="I8" s="26"/>
      <c r="J8" s="26" t="s">
        <v>9</v>
      </c>
      <c r="K8" s="26"/>
      <c r="L8" s="26"/>
      <c r="M8" s="26"/>
    </row>
    <row r="9" spans="1:14" ht="26.1" customHeight="1" x14ac:dyDescent="0.2">
      <c r="A9" s="22"/>
      <c r="B9" s="23"/>
      <c r="C9" s="24"/>
      <c r="D9" s="25"/>
      <c r="E9" s="26" t="s">
        <v>10</v>
      </c>
      <c r="F9" s="26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  <c r="N9" s="15" t="s">
        <v>112</v>
      </c>
    </row>
    <row r="10" spans="1:14" ht="11.1" customHeight="1" x14ac:dyDescent="0.2">
      <c r="A10" s="17" t="s">
        <v>14</v>
      </c>
      <c r="B10" s="17"/>
      <c r="C10" s="17"/>
      <c r="D10" s="5" t="s">
        <v>15</v>
      </c>
      <c r="E10" s="18">
        <v>254</v>
      </c>
      <c r="F10" s="18"/>
      <c r="G10" s="6">
        <v>240</v>
      </c>
      <c r="H10" s="6">
        <v>240</v>
      </c>
      <c r="I10" s="6">
        <v>254</v>
      </c>
      <c r="J10" s="6">
        <v>101.6</v>
      </c>
      <c r="K10" s="6">
        <v>96</v>
      </c>
      <c r="L10" s="6">
        <v>96</v>
      </c>
      <c r="M10" s="6">
        <v>101.6</v>
      </c>
      <c r="N10">
        <f>VLOOKUP(A10,[1]TDSheet!$A:$G,7,0)</f>
        <v>0</v>
      </c>
    </row>
    <row r="11" spans="1:14" ht="11.1" customHeight="1" x14ac:dyDescent="0.2">
      <c r="A11" s="17" t="s">
        <v>16</v>
      </c>
      <c r="B11" s="17"/>
      <c r="C11" s="17"/>
      <c r="D11" s="5" t="s">
        <v>17</v>
      </c>
      <c r="E11" s="18">
        <v>23.960999999999999</v>
      </c>
      <c r="F11" s="18"/>
      <c r="G11" s="7"/>
      <c r="H11" s="6">
        <v>8.8640000000000008</v>
      </c>
      <c r="I11" s="6">
        <v>15.097</v>
      </c>
      <c r="J11" s="6">
        <v>23.960999999999999</v>
      </c>
      <c r="K11" s="7"/>
      <c r="L11" s="6">
        <v>8.8640000000000008</v>
      </c>
      <c r="M11" s="6">
        <v>15.097</v>
      </c>
      <c r="N11">
        <f>VLOOKUP(A11,[1]TDSheet!$A:$G,7,0)</f>
        <v>-2.6000000000000023E-2</v>
      </c>
    </row>
    <row r="12" spans="1:14" ht="11.1" customHeight="1" x14ac:dyDescent="0.2">
      <c r="A12" s="17" t="s">
        <v>18</v>
      </c>
      <c r="B12" s="17"/>
      <c r="C12" s="17"/>
      <c r="D12" s="5" t="s">
        <v>15</v>
      </c>
      <c r="E12" s="18">
        <v>6</v>
      </c>
      <c r="F12" s="18"/>
      <c r="G12" s="6">
        <v>120</v>
      </c>
      <c r="H12" s="6">
        <v>45</v>
      </c>
      <c r="I12" s="6">
        <v>81</v>
      </c>
      <c r="J12" s="6">
        <v>1.5</v>
      </c>
      <c r="K12" s="6">
        <v>30</v>
      </c>
      <c r="L12" s="6">
        <v>11.25</v>
      </c>
      <c r="M12" s="6">
        <v>20.25</v>
      </c>
      <c r="N12">
        <f>VLOOKUP(A12,[1]TDSheet!$A:$G,7,0)</f>
        <v>0</v>
      </c>
    </row>
    <row r="13" spans="1:14" ht="11.1" customHeight="1" x14ac:dyDescent="0.2">
      <c r="A13" s="17" t="s">
        <v>19</v>
      </c>
      <c r="B13" s="17"/>
      <c r="C13" s="17"/>
      <c r="D13" s="5" t="s">
        <v>17</v>
      </c>
      <c r="E13" s="18">
        <v>1.9830000000000001</v>
      </c>
      <c r="F13" s="18"/>
      <c r="G13" s="6">
        <v>701.20600000000002</v>
      </c>
      <c r="H13" s="6">
        <v>634.65300000000002</v>
      </c>
      <c r="I13" s="6">
        <v>68.536000000000001</v>
      </c>
      <c r="J13" s="6">
        <v>1.9830000000000001</v>
      </c>
      <c r="K13" s="6">
        <v>701.20600000000002</v>
      </c>
      <c r="L13" s="6">
        <v>634.65300000000002</v>
      </c>
      <c r="M13" s="6">
        <v>68.536000000000001</v>
      </c>
      <c r="N13">
        <f>VLOOKUP(A13,[1]TDSheet!$A:$G,7,0)</f>
        <v>-32.841000000000008</v>
      </c>
    </row>
    <row r="14" spans="1:14" ht="11.1" customHeight="1" x14ac:dyDescent="0.2">
      <c r="A14" s="17" t="s">
        <v>20</v>
      </c>
      <c r="B14" s="17"/>
      <c r="C14" s="17"/>
      <c r="D14" s="5" t="s">
        <v>17</v>
      </c>
      <c r="E14" s="18">
        <v>74.896000000000001</v>
      </c>
      <c r="F14" s="18"/>
      <c r="G14" s="7"/>
      <c r="H14" s="6">
        <v>29.853999999999999</v>
      </c>
      <c r="I14" s="6">
        <v>45.042000000000002</v>
      </c>
      <c r="J14" s="6">
        <v>74.896000000000001</v>
      </c>
      <c r="K14" s="7"/>
      <c r="L14" s="6">
        <v>29.853999999999999</v>
      </c>
      <c r="M14" s="6">
        <v>45.042000000000002</v>
      </c>
      <c r="N14">
        <f>VLOOKUP(A14,[1]TDSheet!$A:$G,7,0)</f>
        <v>6.7999999999999616E-2</v>
      </c>
    </row>
    <row r="15" spans="1:14" ht="11.1" customHeight="1" x14ac:dyDescent="0.2">
      <c r="A15" s="17" t="s">
        <v>21</v>
      </c>
      <c r="B15" s="17"/>
      <c r="C15" s="17"/>
      <c r="D15" s="5" t="s">
        <v>17</v>
      </c>
      <c r="E15" s="18">
        <v>2.641</v>
      </c>
      <c r="F15" s="18"/>
      <c r="G15" s="6">
        <v>350.49200000000002</v>
      </c>
      <c r="H15" s="6">
        <v>203.68</v>
      </c>
      <c r="I15" s="6">
        <v>149.453</v>
      </c>
      <c r="J15" s="6">
        <v>2.641</v>
      </c>
      <c r="K15" s="6">
        <v>350.49200000000002</v>
      </c>
      <c r="L15" s="6">
        <v>203.68</v>
      </c>
      <c r="M15" s="6">
        <v>149.453</v>
      </c>
      <c r="N15">
        <f>VLOOKUP(A15,[1]TDSheet!$A:$G,7,0)</f>
        <v>1.1280000000000001</v>
      </c>
    </row>
    <row r="16" spans="1:14" ht="11.1" customHeight="1" x14ac:dyDescent="0.2">
      <c r="A16" s="17" t="s">
        <v>22</v>
      </c>
      <c r="B16" s="17"/>
      <c r="C16" s="17"/>
      <c r="D16" s="5" t="s">
        <v>17</v>
      </c>
      <c r="E16" s="18">
        <v>24.89</v>
      </c>
      <c r="F16" s="18"/>
      <c r="G16" s="6">
        <v>562.58000000000004</v>
      </c>
      <c r="H16" s="6">
        <v>213.95099999999999</v>
      </c>
      <c r="I16" s="6">
        <v>373.51900000000001</v>
      </c>
      <c r="J16" s="6">
        <v>24.89</v>
      </c>
      <c r="K16" s="6">
        <v>562.58000000000004</v>
      </c>
      <c r="L16" s="6">
        <v>213.95099999999999</v>
      </c>
      <c r="M16" s="6">
        <v>373.51900000000001</v>
      </c>
      <c r="N16">
        <f>VLOOKUP(A16,[1]TDSheet!$A:$G,7,0)</f>
        <v>-3.5489999999999995</v>
      </c>
    </row>
    <row r="17" spans="1:14" ht="11.1" customHeight="1" x14ac:dyDescent="0.2">
      <c r="A17" s="17" t="s">
        <v>23</v>
      </c>
      <c r="B17" s="17"/>
      <c r="C17" s="17"/>
      <c r="D17" s="5" t="s">
        <v>15</v>
      </c>
      <c r="E17" s="18">
        <v>122</v>
      </c>
      <c r="F17" s="18"/>
      <c r="G17" s="7"/>
      <c r="H17" s="6">
        <v>77</v>
      </c>
      <c r="I17" s="6">
        <v>45</v>
      </c>
      <c r="J17" s="6">
        <v>30.5</v>
      </c>
      <c r="K17" s="7"/>
      <c r="L17" s="6">
        <v>19.25</v>
      </c>
      <c r="M17" s="6">
        <v>11.25</v>
      </c>
      <c r="N17">
        <f>VLOOKUP(A17,[1]TDSheet!$A:$G,7,0)</f>
        <v>-1</v>
      </c>
    </row>
    <row r="18" spans="1:14" ht="11.1" customHeight="1" x14ac:dyDescent="0.2">
      <c r="A18" s="17" t="s">
        <v>24</v>
      </c>
      <c r="B18" s="17"/>
      <c r="C18" s="17"/>
      <c r="D18" s="5" t="s">
        <v>17</v>
      </c>
      <c r="E18" s="18">
        <v>107.401</v>
      </c>
      <c r="F18" s="18"/>
      <c r="G18" s="6">
        <v>20.364999999999998</v>
      </c>
      <c r="H18" s="6">
        <v>68.662999999999997</v>
      </c>
      <c r="I18" s="6">
        <v>59.103000000000002</v>
      </c>
      <c r="J18" s="6">
        <v>107.401</v>
      </c>
      <c r="K18" s="6">
        <v>20.364999999999998</v>
      </c>
      <c r="L18" s="6">
        <v>68.662999999999997</v>
      </c>
      <c r="M18" s="6">
        <v>59.103000000000002</v>
      </c>
      <c r="N18">
        <f>VLOOKUP(A18,[1]TDSheet!$A:$G,7,0)</f>
        <v>0.16199999999999903</v>
      </c>
    </row>
    <row r="19" spans="1:14" ht="11.1" customHeight="1" x14ac:dyDescent="0.2">
      <c r="A19" s="17" t="s">
        <v>25</v>
      </c>
      <c r="B19" s="17"/>
      <c r="C19" s="17"/>
      <c r="D19" s="5" t="s">
        <v>15</v>
      </c>
      <c r="E19" s="18">
        <v>149</v>
      </c>
      <c r="F19" s="18"/>
      <c r="G19" s="6">
        <v>64</v>
      </c>
      <c r="H19" s="6">
        <v>120</v>
      </c>
      <c r="I19" s="6">
        <v>93</v>
      </c>
      <c r="J19" s="6">
        <v>37.25</v>
      </c>
      <c r="K19" s="6">
        <v>16</v>
      </c>
      <c r="L19" s="6">
        <v>30</v>
      </c>
      <c r="M19" s="6">
        <v>23.25</v>
      </c>
      <c r="N19">
        <f>VLOOKUP(A19,[1]TDSheet!$A:$G,7,0)</f>
        <v>-26</v>
      </c>
    </row>
    <row r="20" spans="1:14" ht="11.1" customHeight="1" x14ac:dyDescent="0.2">
      <c r="A20" s="17" t="s">
        <v>26</v>
      </c>
      <c r="B20" s="17"/>
      <c r="C20" s="17"/>
      <c r="D20" s="5" t="s">
        <v>15</v>
      </c>
      <c r="E20" s="18">
        <v>296</v>
      </c>
      <c r="F20" s="18"/>
      <c r="G20" s="7"/>
      <c r="H20" s="6">
        <v>121</v>
      </c>
      <c r="I20" s="6">
        <v>175</v>
      </c>
      <c r="J20" s="6">
        <v>118.4</v>
      </c>
      <c r="K20" s="7"/>
      <c r="L20" s="6">
        <v>48.4</v>
      </c>
      <c r="M20" s="6">
        <v>70</v>
      </c>
      <c r="N20">
        <f>VLOOKUP(A20,[1]TDSheet!$A:$G,7,0)</f>
        <v>-2</v>
      </c>
    </row>
    <row r="21" spans="1:14" ht="11.1" customHeight="1" x14ac:dyDescent="0.2">
      <c r="A21" s="17" t="s">
        <v>27</v>
      </c>
      <c r="B21" s="17"/>
      <c r="C21" s="17"/>
      <c r="D21" s="5" t="s">
        <v>17</v>
      </c>
      <c r="E21" s="18">
        <v>0.14799999999999999</v>
      </c>
      <c r="F21" s="18"/>
      <c r="G21" s="6">
        <v>606.86800000000005</v>
      </c>
      <c r="H21" s="6">
        <v>408.98</v>
      </c>
      <c r="I21" s="6">
        <v>198.036</v>
      </c>
      <c r="J21" s="6">
        <v>0.14799999999999999</v>
      </c>
      <c r="K21" s="6">
        <v>606.86800000000005</v>
      </c>
      <c r="L21" s="6">
        <v>408.98</v>
      </c>
      <c r="M21" s="6">
        <v>198.036</v>
      </c>
      <c r="N21">
        <f>VLOOKUP(A21,[1]TDSheet!$A:$G,7,0)</f>
        <v>-20.423999999999992</v>
      </c>
    </row>
    <row r="22" spans="1:14" ht="11.1" customHeight="1" x14ac:dyDescent="0.2">
      <c r="A22" s="17" t="s">
        <v>28</v>
      </c>
      <c r="B22" s="17"/>
      <c r="C22" s="17"/>
      <c r="D22" s="5" t="s">
        <v>17</v>
      </c>
      <c r="E22" s="18">
        <v>79.031000000000006</v>
      </c>
      <c r="F22" s="18"/>
      <c r="G22" s="7"/>
      <c r="H22" s="6">
        <v>31.65</v>
      </c>
      <c r="I22" s="6">
        <v>47.381</v>
      </c>
      <c r="J22" s="6">
        <v>79.031000000000006</v>
      </c>
      <c r="K22" s="7"/>
      <c r="L22" s="6">
        <v>31.65</v>
      </c>
      <c r="M22" s="6">
        <v>47.381</v>
      </c>
      <c r="N22">
        <f>VLOOKUP(A22,[1]TDSheet!$A:$G,7,0)</f>
        <v>-12.007999999999999</v>
      </c>
    </row>
    <row r="23" spans="1:14" ht="11.1" customHeight="1" x14ac:dyDescent="0.2">
      <c r="A23" s="17" t="s">
        <v>29</v>
      </c>
      <c r="B23" s="17"/>
      <c r="C23" s="17"/>
      <c r="D23" s="5" t="s">
        <v>17</v>
      </c>
      <c r="E23" s="18">
        <v>175.28800000000001</v>
      </c>
      <c r="F23" s="18"/>
      <c r="G23" s="7"/>
      <c r="H23" s="6">
        <v>18</v>
      </c>
      <c r="I23" s="6">
        <v>157.28800000000001</v>
      </c>
      <c r="J23" s="6">
        <v>175.28800000000001</v>
      </c>
      <c r="K23" s="7"/>
      <c r="L23" s="6">
        <v>18</v>
      </c>
      <c r="M23" s="6">
        <v>157.28800000000001</v>
      </c>
      <c r="N23">
        <f>VLOOKUP(A23,[1]TDSheet!$A:$G,7,0)</f>
        <v>-4.5</v>
      </c>
    </row>
    <row r="24" spans="1:14" ht="11.1" customHeight="1" x14ac:dyDescent="0.2">
      <c r="A24" s="17" t="s">
        <v>30</v>
      </c>
      <c r="B24" s="17"/>
      <c r="C24" s="17"/>
      <c r="D24" s="5" t="s">
        <v>17</v>
      </c>
      <c r="E24" s="18">
        <v>315</v>
      </c>
      <c r="F24" s="18"/>
      <c r="G24" s="7"/>
      <c r="H24" s="6">
        <v>9</v>
      </c>
      <c r="I24" s="6">
        <v>306</v>
      </c>
      <c r="J24" s="6">
        <v>315</v>
      </c>
      <c r="K24" s="7"/>
      <c r="L24" s="6">
        <v>9</v>
      </c>
      <c r="M24" s="6">
        <v>306</v>
      </c>
    </row>
    <row r="25" spans="1:14" ht="11.1" customHeight="1" x14ac:dyDescent="0.2">
      <c r="A25" s="17" t="s">
        <v>31</v>
      </c>
      <c r="B25" s="17"/>
      <c r="C25" s="17"/>
      <c r="D25" s="5" t="s">
        <v>15</v>
      </c>
      <c r="E25" s="18">
        <v>208</v>
      </c>
      <c r="F25" s="18"/>
      <c r="G25" s="7"/>
      <c r="H25" s="6">
        <v>69</v>
      </c>
      <c r="I25" s="6">
        <v>139</v>
      </c>
      <c r="J25" s="6">
        <v>83.2</v>
      </c>
      <c r="K25" s="7"/>
      <c r="L25" s="6">
        <v>27.6</v>
      </c>
      <c r="M25" s="6">
        <v>55.6</v>
      </c>
      <c r="N25">
        <f>VLOOKUP(A25,[1]TDSheet!$A:$G,7,0)</f>
        <v>-2</v>
      </c>
    </row>
    <row r="26" spans="1:14" ht="11.1" customHeight="1" x14ac:dyDescent="0.2">
      <c r="A26" s="17" t="s">
        <v>32</v>
      </c>
      <c r="B26" s="17"/>
      <c r="C26" s="17"/>
      <c r="D26" s="5" t="s">
        <v>17</v>
      </c>
      <c r="E26" s="18">
        <v>118.452</v>
      </c>
      <c r="F26" s="18"/>
      <c r="G26" s="6">
        <v>196.851</v>
      </c>
      <c r="H26" s="6">
        <v>222.71299999999999</v>
      </c>
      <c r="I26" s="6">
        <v>92.59</v>
      </c>
      <c r="J26" s="6">
        <v>118.452</v>
      </c>
      <c r="K26" s="6">
        <v>196.851</v>
      </c>
      <c r="L26" s="6">
        <v>222.71299999999999</v>
      </c>
      <c r="M26" s="6">
        <v>92.59</v>
      </c>
      <c r="N26">
        <f>VLOOKUP(A26,[1]TDSheet!$A:$G,7,0)</f>
        <v>-51.193000000000012</v>
      </c>
    </row>
    <row r="27" spans="1:14" ht="11.1" customHeight="1" x14ac:dyDescent="0.2">
      <c r="A27" s="17" t="s">
        <v>33</v>
      </c>
      <c r="B27" s="17"/>
      <c r="C27" s="17"/>
      <c r="D27" s="5" t="s">
        <v>15</v>
      </c>
      <c r="E27" s="18">
        <v>-9</v>
      </c>
      <c r="F27" s="18"/>
      <c r="G27" s="8">
        <v>1000</v>
      </c>
      <c r="H27" s="6">
        <v>591</v>
      </c>
      <c r="I27" s="6">
        <v>400</v>
      </c>
      <c r="J27" s="6">
        <v>-1.98</v>
      </c>
      <c r="K27" s="6">
        <v>220</v>
      </c>
      <c r="L27" s="6">
        <v>130.02000000000001</v>
      </c>
      <c r="M27" s="6">
        <v>88</v>
      </c>
      <c r="N27">
        <f>VLOOKUP(A27,[1]TDSheet!$A:$G,7,0)</f>
        <v>-7</v>
      </c>
    </row>
    <row r="28" spans="1:14" ht="11.1" customHeight="1" x14ac:dyDescent="0.2">
      <c r="A28" s="17" t="s">
        <v>34</v>
      </c>
      <c r="B28" s="17"/>
      <c r="C28" s="17"/>
      <c r="D28" s="5" t="s">
        <v>17</v>
      </c>
      <c r="E28" s="18">
        <v>183.64599999999999</v>
      </c>
      <c r="F28" s="18"/>
      <c r="G28" s="7"/>
      <c r="H28" s="6">
        <v>34.155999999999999</v>
      </c>
      <c r="I28" s="6">
        <v>149.49</v>
      </c>
      <c r="J28" s="6">
        <v>183.64599999999999</v>
      </c>
      <c r="K28" s="7"/>
      <c r="L28" s="6">
        <v>34.155999999999999</v>
      </c>
      <c r="M28" s="6">
        <v>149.49</v>
      </c>
      <c r="N28">
        <f>VLOOKUP(A28,[1]TDSheet!$A:$G,7,0)</f>
        <v>-0.14200000000000002</v>
      </c>
    </row>
    <row r="29" spans="1:14" ht="11.1" customHeight="1" x14ac:dyDescent="0.2">
      <c r="A29" s="17" t="s">
        <v>35</v>
      </c>
      <c r="B29" s="17"/>
      <c r="C29" s="17"/>
      <c r="D29" s="5" t="s">
        <v>15</v>
      </c>
      <c r="E29" s="18">
        <v>209</v>
      </c>
      <c r="F29" s="18"/>
      <c r="G29" s="7"/>
      <c r="H29" s="6">
        <v>184</v>
      </c>
      <c r="I29" s="6">
        <v>25</v>
      </c>
      <c r="J29" s="6">
        <v>62.7</v>
      </c>
      <c r="K29" s="7"/>
      <c r="L29" s="6">
        <v>55.2</v>
      </c>
      <c r="M29" s="6">
        <v>7.5</v>
      </c>
      <c r="N29">
        <f>VLOOKUP(A29,[1]TDSheet!$A:$G,7,0)</f>
        <v>0</v>
      </c>
    </row>
    <row r="30" spans="1:14" ht="11.1" customHeight="1" x14ac:dyDescent="0.2">
      <c r="A30" s="17" t="s">
        <v>36</v>
      </c>
      <c r="B30" s="17"/>
      <c r="C30" s="17"/>
      <c r="D30" s="5" t="s">
        <v>15</v>
      </c>
      <c r="E30" s="18">
        <v>371</v>
      </c>
      <c r="F30" s="18"/>
      <c r="G30" s="7"/>
      <c r="H30" s="6">
        <v>150</v>
      </c>
      <c r="I30" s="6">
        <v>221</v>
      </c>
      <c r="J30" s="6">
        <v>111.3</v>
      </c>
      <c r="K30" s="7"/>
      <c r="L30" s="6">
        <v>45</v>
      </c>
      <c r="M30" s="6">
        <v>66.3</v>
      </c>
      <c r="N30">
        <f>VLOOKUP(A30,[1]TDSheet!$A:$G,7,0)</f>
        <v>0</v>
      </c>
    </row>
    <row r="31" spans="1:14" ht="11.1" customHeight="1" x14ac:dyDescent="0.2">
      <c r="A31" s="17" t="s">
        <v>37</v>
      </c>
      <c r="B31" s="17"/>
      <c r="C31" s="17"/>
      <c r="D31" s="5" t="s">
        <v>15</v>
      </c>
      <c r="E31" s="18">
        <v>322</v>
      </c>
      <c r="F31" s="18"/>
      <c r="G31" s="7"/>
      <c r="H31" s="6">
        <v>124</v>
      </c>
      <c r="I31" s="6">
        <v>198</v>
      </c>
      <c r="J31" s="6">
        <v>112.7</v>
      </c>
      <c r="K31" s="7"/>
      <c r="L31" s="6">
        <v>43.4</v>
      </c>
      <c r="M31" s="6">
        <v>69.3</v>
      </c>
    </row>
    <row r="32" spans="1:14" ht="11.1" customHeight="1" x14ac:dyDescent="0.2">
      <c r="A32" s="17" t="s">
        <v>38</v>
      </c>
      <c r="B32" s="17"/>
      <c r="C32" s="17"/>
      <c r="D32" s="5" t="s">
        <v>15</v>
      </c>
      <c r="E32" s="18">
        <v>226</v>
      </c>
      <c r="F32" s="18"/>
      <c r="G32" s="7"/>
      <c r="H32" s="6">
        <v>142</v>
      </c>
      <c r="I32" s="6">
        <v>84</v>
      </c>
      <c r="J32" s="6">
        <v>67.8</v>
      </c>
      <c r="K32" s="7"/>
      <c r="L32" s="6">
        <v>42.6</v>
      </c>
      <c r="M32" s="6">
        <v>25.2</v>
      </c>
    </row>
    <row r="33" spans="1:14" ht="11.1" customHeight="1" x14ac:dyDescent="0.2">
      <c r="A33" s="17" t="s">
        <v>39</v>
      </c>
      <c r="B33" s="17"/>
      <c r="C33" s="17"/>
      <c r="D33" s="5" t="s">
        <v>15</v>
      </c>
      <c r="E33" s="18">
        <v>91</v>
      </c>
      <c r="F33" s="18"/>
      <c r="G33" s="6">
        <v>3</v>
      </c>
      <c r="H33" s="6">
        <v>117</v>
      </c>
      <c r="I33" s="6">
        <v>-23</v>
      </c>
      <c r="J33" s="6">
        <v>13.65</v>
      </c>
      <c r="K33" s="6">
        <v>0.45</v>
      </c>
      <c r="L33" s="6">
        <v>17.55</v>
      </c>
      <c r="M33" s="6">
        <v>-3.45</v>
      </c>
    </row>
    <row r="34" spans="1:14" ht="11.1" customHeight="1" x14ac:dyDescent="0.2">
      <c r="A34" s="17" t="s">
        <v>40</v>
      </c>
      <c r="B34" s="17"/>
      <c r="C34" s="17"/>
      <c r="D34" s="5" t="s">
        <v>15</v>
      </c>
      <c r="E34" s="18">
        <v>345</v>
      </c>
      <c r="F34" s="18"/>
      <c r="G34" s="7"/>
      <c r="H34" s="6">
        <v>83</v>
      </c>
      <c r="I34" s="6">
        <v>262</v>
      </c>
      <c r="J34" s="6">
        <v>120.75</v>
      </c>
      <c r="K34" s="7"/>
      <c r="L34" s="6">
        <v>29.05</v>
      </c>
      <c r="M34" s="6">
        <v>91.7</v>
      </c>
      <c r="N34">
        <f>VLOOKUP(A34,[1]TDSheet!$A:$G,7,0)</f>
        <v>0</v>
      </c>
    </row>
    <row r="35" spans="1:14" ht="11.1" customHeight="1" x14ac:dyDescent="0.2">
      <c r="A35" s="17" t="s">
        <v>41</v>
      </c>
      <c r="B35" s="17"/>
      <c r="C35" s="17"/>
      <c r="D35" s="5" t="s">
        <v>17</v>
      </c>
      <c r="E35" s="18">
        <v>178.84899999999999</v>
      </c>
      <c r="F35" s="18"/>
      <c r="G35" s="7"/>
      <c r="H35" s="6">
        <v>180.64500000000001</v>
      </c>
      <c r="I35" s="6">
        <v>-1.796</v>
      </c>
      <c r="J35" s="6">
        <v>178.84899999999999</v>
      </c>
      <c r="K35" s="7"/>
      <c r="L35" s="6">
        <v>180.64500000000001</v>
      </c>
      <c r="M35" s="6">
        <v>-1.796</v>
      </c>
      <c r="N35">
        <f>VLOOKUP(A35,[1]TDSheet!$A:$G,7,0)</f>
        <v>-46.405999999999999</v>
      </c>
    </row>
    <row r="36" spans="1:14" ht="11.1" customHeight="1" x14ac:dyDescent="0.2">
      <c r="A36" s="17" t="s">
        <v>42</v>
      </c>
      <c r="B36" s="17"/>
      <c r="C36" s="17"/>
      <c r="D36" s="5" t="s">
        <v>15</v>
      </c>
      <c r="E36" s="18">
        <v>95</v>
      </c>
      <c r="F36" s="18"/>
      <c r="G36" s="6">
        <v>401</v>
      </c>
      <c r="H36" s="6">
        <v>288</v>
      </c>
      <c r="I36" s="6">
        <v>208</v>
      </c>
      <c r="J36" s="6">
        <v>8.5500000000000007</v>
      </c>
      <c r="K36" s="6">
        <v>36.090000000000003</v>
      </c>
      <c r="L36" s="6">
        <v>25.92</v>
      </c>
      <c r="M36" s="6">
        <v>18.72</v>
      </c>
      <c r="N36">
        <f>VLOOKUP(A36,[1]TDSheet!$A:$G,7,0)</f>
        <v>-8</v>
      </c>
    </row>
    <row r="37" spans="1:14" ht="11.1" customHeight="1" x14ac:dyDescent="0.2">
      <c r="A37" s="17" t="s">
        <v>43</v>
      </c>
      <c r="B37" s="17"/>
      <c r="C37" s="17"/>
      <c r="D37" s="5" t="s">
        <v>15</v>
      </c>
      <c r="E37" s="18">
        <v>95</v>
      </c>
      <c r="F37" s="18"/>
      <c r="G37" s="6">
        <v>43</v>
      </c>
      <c r="H37" s="6">
        <v>130</v>
      </c>
      <c r="I37" s="6">
        <v>8</v>
      </c>
      <c r="J37" s="6">
        <v>8.5500000000000007</v>
      </c>
      <c r="K37" s="6">
        <v>3.87</v>
      </c>
      <c r="L37" s="6">
        <v>11.7</v>
      </c>
      <c r="M37" s="6">
        <v>0.72</v>
      </c>
      <c r="N37">
        <f>VLOOKUP(A37,[1]TDSheet!$A:$G,7,0)</f>
        <v>-1</v>
      </c>
    </row>
    <row r="38" spans="1:14" ht="11.1" customHeight="1" x14ac:dyDescent="0.2">
      <c r="A38" s="17" t="s">
        <v>44</v>
      </c>
      <c r="B38" s="17"/>
      <c r="C38" s="17"/>
      <c r="D38" s="5" t="s">
        <v>15</v>
      </c>
      <c r="E38" s="18">
        <v>51</v>
      </c>
      <c r="F38" s="18"/>
      <c r="G38" s="6">
        <v>40</v>
      </c>
      <c r="H38" s="6">
        <v>96</v>
      </c>
      <c r="I38" s="6">
        <v>-5</v>
      </c>
      <c r="J38" s="6">
        <v>7.65</v>
      </c>
      <c r="K38" s="6">
        <v>6</v>
      </c>
      <c r="L38" s="6">
        <v>14.4</v>
      </c>
      <c r="M38" s="6">
        <v>-0.75</v>
      </c>
      <c r="N38">
        <f>VLOOKUP(A38,[1]TDSheet!$A:$G,7,0)</f>
        <v>-43</v>
      </c>
    </row>
    <row r="39" spans="1:14" ht="11.1" customHeight="1" x14ac:dyDescent="0.2">
      <c r="A39" s="17" t="s">
        <v>45</v>
      </c>
      <c r="B39" s="17"/>
      <c r="C39" s="17"/>
      <c r="D39" s="5" t="s">
        <v>17</v>
      </c>
      <c r="E39" s="18">
        <v>182.49700000000001</v>
      </c>
      <c r="F39" s="18"/>
      <c r="G39" s="6">
        <v>106.717</v>
      </c>
      <c r="H39" s="6">
        <v>283.54899999999998</v>
      </c>
      <c r="I39" s="6">
        <v>5.665</v>
      </c>
      <c r="J39" s="6">
        <v>182.49700000000001</v>
      </c>
      <c r="K39" s="6">
        <v>106.717</v>
      </c>
      <c r="L39" s="6">
        <v>283.54899999999998</v>
      </c>
      <c r="M39" s="6">
        <v>5.665</v>
      </c>
      <c r="N39" s="16">
        <f>VLOOKUP(A39,[1]TDSheet!$A:$G,7,0)</f>
        <v>-155.69999999999999</v>
      </c>
    </row>
    <row r="40" spans="1:14" ht="11.1" customHeight="1" x14ac:dyDescent="0.2">
      <c r="A40" s="17" t="s">
        <v>46</v>
      </c>
      <c r="B40" s="17"/>
      <c r="C40" s="17"/>
      <c r="D40" s="5" t="s">
        <v>15</v>
      </c>
      <c r="E40" s="18">
        <v>8</v>
      </c>
      <c r="F40" s="18"/>
      <c r="G40" s="6">
        <v>280</v>
      </c>
      <c r="H40" s="6">
        <v>214</v>
      </c>
      <c r="I40" s="6">
        <v>74</v>
      </c>
      <c r="J40" s="6">
        <v>3.2</v>
      </c>
      <c r="K40" s="6">
        <v>112</v>
      </c>
      <c r="L40" s="6">
        <v>85.6</v>
      </c>
      <c r="M40" s="6">
        <v>29.6</v>
      </c>
      <c r="N40">
        <f>VLOOKUP(A40,[1]TDSheet!$A:$G,7,0)</f>
        <v>-32</v>
      </c>
    </row>
    <row r="41" spans="1:14" ht="11.1" customHeight="1" x14ac:dyDescent="0.2">
      <c r="A41" s="17" t="s">
        <v>47</v>
      </c>
      <c r="B41" s="17"/>
      <c r="C41" s="17"/>
      <c r="D41" s="5" t="s">
        <v>15</v>
      </c>
      <c r="E41" s="18">
        <v>4</v>
      </c>
      <c r="F41" s="18"/>
      <c r="G41" s="6">
        <v>360</v>
      </c>
      <c r="H41" s="6">
        <v>222</v>
      </c>
      <c r="I41" s="6">
        <v>142</v>
      </c>
      <c r="J41" s="6">
        <v>1.6</v>
      </c>
      <c r="K41" s="6">
        <v>144</v>
      </c>
      <c r="L41" s="6">
        <v>88.8</v>
      </c>
      <c r="M41" s="6">
        <v>56.8</v>
      </c>
      <c r="N41">
        <f>VLOOKUP(A41,[1]TDSheet!$A:$G,7,0)</f>
        <v>-3</v>
      </c>
    </row>
    <row r="42" spans="1:14" ht="11.1" customHeight="1" x14ac:dyDescent="0.2">
      <c r="A42" s="17" t="s">
        <v>48</v>
      </c>
      <c r="B42" s="17"/>
      <c r="C42" s="17"/>
      <c r="D42" s="5" t="s">
        <v>15</v>
      </c>
      <c r="E42" s="18">
        <v>166</v>
      </c>
      <c r="F42" s="18"/>
      <c r="G42" s="6">
        <v>3</v>
      </c>
      <c r="H42" s="6">
        <v>169</v>
      </c>
      <c r="I42" s="7"/>
      <c r="J42" s="6">
        <v>66.400000000000006</v>
      </c>
      <c r="K42" s="6">
        <v>1.2</v>
      </c>
      <c r="L42" s="6">
        <v>67.599999999999994</v>
      </c>
      <c r="M42" s="7"/>
      <c r="N42">
        <f>VLOOKUP(A42,[1]TDSheet!$A:$G,7,0)</f>
        <v>-30</v>
      </c>
    </row>
    <row r="43" spans="1:14" ht="11.1" customHeight="1" x14ac:dyDescent="0.2">
      <c r="A43" s="17" t="s">
        <v>49</v>
      </c>
      <c r="B43" s="17"/>
      <c r="C43" s="17"/>
      <c r="D43" s="5" t="s">
        <v>15</v>
      </c>
      <c r="E43" s="18">
        <v>3</v>
      </c>
      <c r="F43" s="18"/>
      <c r="G43" s="6">
        <v>403</v>
      </c>
      <c r="H43" s="6">
        <v>315</v>
      </c>
      <c r="I43" s="6">
        <v>91</v>
      </c>
      <c r="J43" s="6">
        <v>1.2</v>
      </c>
      <c r="K43" s="6">
        <v>161.19999999999999</v>
      </c>
      <c r="L43" s="6">
        <v>126</v>
      </c>
      <c r="M43" s="6">
        <v>36.4</v>
      </c>
      <c r="N43">
        <f>VLOOKUP(A43,[1]TDSheet!$A:$G,7,0)</f>
        <v>-1</v>
      </c>
    </row>
    <row r="44" spans="1:14" ht="11.1" customHeight="1" x14ac:dyDescent="0.2">
      <c r="A44" s="17" t="s">
        <v>50</v>
      </c>
      <c r="B44" s="17"/>
      <c r="C44" s="17"/>
      <c r="D44" s="5" t="s">
        <v>15</v>
      </c>
      <c r="E44" s="18">
        <v>64</v>
      </c>
      <c r="F44" s="18"/>
      <c r="G44" s="6">
        <v>311</v>
      </c>
      <c r="H44" s="6">
        <v>365</v>
      </c>
      <c r="I44" s="6">
        <v>10</v>
      </c>
      <c r="J44" s="6">
        <v>6.4</v>
      </c>
      <c r="K44" s="6">
        <v>31.1</v>
      </c>
      <c r="L44" s="6">
        <v>36.5</v>
      </c>
      <c r="M44" s="6">
        <v>1</v>
      </c>
      <c r="N44">
        <f>VLOOKUP(A44,[1]TDSheet!$A:$G,7,0)</f>
        <v>-100</v>
      </c>
    </row>
    <row r="45" spans="1:14" ht="11.1" customHeight="1" x14ac:dyDescent="0.2">
      <c r="A45" s="17" t="s">
        <v>51</v>
      </c>
      <c r="B45" s="17"/>
      <c r="C45" s="17"/>
      <c r="D45" s="5" t="s">
        <v>15</v>
      </c>
      <c r="E45" s="18">
        <v>37</v>
      </c>
      <c r="F45" s="18"/>
      <c r="G45" s="6">
        <v>363</v>
      </c>
      <c r="H45" s="6">
        <v>289</v>
      </c>
      <c r="I45" s="6">
        <v>111</v>
      </c>
      <c r="J45" s="6">
        <v>3.7</v>
      </c>
      <c r="K45" s="6">
        <v>36.299999999999997</v>
      </c>
      <c r="L45" s="6">
        <v>28.9</v>
      </c>
      <c r="M45" s="6">
        <v>11.1</v>
      </c>
      <c r="N45">
        <f>VLOOKUP(A45,[1]TDSheet!$A:$G,7,0)</f>
        <v>-9</v>
      </c>
    </row>
    <row r="46" spans="1:14" ht="11.1" customHeight="1" x14ac:dyDescent="0.2">
      <c r="A46" s="17" t="s">
        <v>52</v>
      </c>
      <c r="B46" s="17"/>
      <c r="C46" s="17"/>
      <c r="D46" s="5" t="s">
        <v>15</v>
      </c>
      <c r="E46" s="18">
        <v>195</v>
      </c>
      <c r="F46" s="18"/>
      <c r="G46" s="7"/>
      <c r="H46" s="6">
        <v>44</v>
      </c>
      <c r="I46" s="6">
        <v>151</v>
      </c>
      <c r="J46" s="6">
        <v>19.5</v>
      </c>
      <c r="K46" s="7"/>
      <c r="L46" s="6">
        <v>4.4000000000000004</v>
      </c>
      <c r="M46" s="6">
        <v>15.1</v>
      </c>
      <c r="N46">
        <f>VLOOKUP(A46,[1]TDSheet!$A:$G,7,0)</f>
        <v>0</v>
      </c>
    </row>
    <row r="47" spans="1:14" ht="11.1" customHeight="1" x14ac:dyDescent="0.2">
      <c r="A47" s="17" t="s">
        <v>53</v>
      </c>
      <c r="B47" s="17"/>
      <c r="C47" s="17"/>
      <c r="D47" s="5" t="s">
        <v>15</v>
      </c>
      <c r="E47" s="18">
        <v>45</v>
      </c>
      <c r="F47" s="18"/>
      <c r="G47" s="6">
        <v>32</v>
      </c>
      <c r="H47" s="6">
        <v>69</v>
      </c>
      <c r="I47" s="6">
        <v>8</v>
      </c>
      <c r="J47" s="6">
        <v>18</v>
      </c>
      <c r="K47" s="6">
        <v>12.8</v>
      </c>
      <c r="L47" s="6">
        <v>27.6</v>
      </c>
      <c r="M47" s="6">
        <v>3.2</v>
      </c>
      <c r="N47">
        <f>VLOOKUP(A47,[1]TDSheet!$A:$G,7,0)</f>
        <v>-16</v>
      </c>
    </row>
    <row r="48" spans="1:14" ht="11.1" customHeight="1" x14ac:dyDescent="0.2">
      <c r="A48" s="17" t="s">
        <v>54</v>
      </c>
      <c r="B48" s="17"/>
      <c r="C48" s="17"/>
      <c r="D48" s="5" t="s">
        <v>15</v>
      </c>
      <c r="E48" s="18">
        <v>387</v>
      </c>
      <c r="F48" s="18"/>
      <c r="G48" s="7"/>
      <c r="H48" s="6">
        <v>105</v>
      </c>
      <c r="I48" s="6">
        <v>282</v>
      </c>
      <c r="J48" s="6">
        <v>116.1</v>
      </c>
      <c r="K48" s="7"/>
      <c r="L48" s="6">
        <v>31.5</v>
      </c>
      <c r="M48" s="6">
        <v>84.6</v>
      </c>
      <c r="N48">
        <f>VLOOKUP(A48,[1]TDSheet!$A:$G,7,0)</f>
        <v>-1</v>
      </c>
    </row>
    <row r="49" spans="1:14" ht="11.1" customHeight="1" x14ac:dyDescent="0.2">
      <c r="A49" s="17" t="s">
        <v>55</v>
      </c>
      <c r="B49" s="17"/>
      <c r="C49" s="17"/>
      <c r="D49" s="5" t="s">
        <v>17</v>
      </c>
      <c r="E49" s="18">
        <v>2.1789999999999998</v>
      </c>
      <c r="F49" s="18"/>
      <c r="G49" s="6">
        <v>121.167</v>
      </c>
      <c r="H49" s="6">
        <v>83.807000000000002</v>
      </c>
      <c r="I49" s="6">
        <v>39.539000000000001</v>
      </c>
      <c r="J49" s="6">
        <v>2.1789999999999998</v>
      </c>
      <c r="K49" s="6">
        <v>121.167</v>
      </c>
      <c r="L49" s="6">
        <v>83.807000000000002</v>
      </c>
      <c r="M49" s="6">
        <v>39.539000000000001</v>
      </c>
      <c r="N49">
        <f>VLOOKUP(A49,[1]TDSheet!$A:$G,7,0)</f>
        <v>-5.1979999999999968</v>
      </c>
    </row>
    <row r="50" spans="1:14" ht="11.1" customHeight="1" x14ac:dyDescent="0.2">
      <c r="A50" s="17" t="s">
        <v>56</v>
      </c>
      <c r="B50" s="17"/>
      <c r="C50" s="17"/>
      <c r="D50" s="5" t="s">
        <v>17</v>
      </c>
      <c r="E50" s="18">
        <v>51.026000000000003</v>
      </c>
      <c r="F50" s="18"/>
      <c r="G50" s="6">
        <v>62.878999999999998</v>
      </c>
      <c r="H50" s="6">
        <v>90.186000000000007</v>
      </c>
      <c r="I50" s="6">
        <v>23.719000000000001</v>
      </c>
      <c r="J50" s="6">
        <v>51.026000000000003</v>
      </c>
      <c r="K50" s="6">
        <v>62.878999999999998</v>
      </c>
      <c r="L50" s="6">
        <v>90.186000000000007</v>
      </c>
      <c r="M50" s="6">
        <v>23.719000000000001</v>
      </c>
      <c r="N50">
        <f>VLOOKUP(A50,[1]TDSheet!$A:$G,7,0)</f>
        <v>-0.56199999999999939</v>
      </c>
    </row>
    <row r="51" spans="1:14" ht="11.1" customHeight="1" x14ac:dyDescent="0.2">
      <c r="A51" s="17" t="s">
        <v>57</v>
      </c>
      <c r="B51" s="17"/>
      <c r="C51" s="17"/>
      <c r="D51" s="5" t="s">
        <v>17</v>
      </c>
      <c r="E51" s="18">
        <v>0.109</v>
      </c>
      <c r="F51" s="18"/>
      <c r="G51" s="6">
        <v>398.95800000000003</v>
      </c>
      <c r="H51" s="6">
        <v>123.218</v>
      </c>
      <c r="I51" s="6">
        <v>275.84899999999999</v>
      </c>
      <c r="J51" s="6">
        <v>0.109</v>
      </c>
      <c r="K51" s="6">
        <v>398.95800000000003</v>
      </c>
      <c r="L51" s="6">
        <v>123.218</v>
      </c>
      <c r="M51" s="6">
        <v>275.84899999999999</v>
      </c>
      <c r="N51">
        <f>VLOOKUP(A51,[1]TDSheet!$A:$G,7,0)</f>
        <v>1.9519999999999982</v>
      </c>
    </row>
    <row r="52" spans="1:14" ht="11.1" customHeight="1" x14ac:dyDescent="0.2">
      <c r="A52" s="17" t="s">
        <v>58</v>
      </c>
      <c r="B52" s="17"/>
      <c r="C52" s="17"/>
      <c r="D52" s="5" t="s">
        <v>17</v>
      </c>
      <c r="E52" s="18">
        <v>36.918999999999997</v>
      </c>
      <c r="F52" s="18"/>
      <c r="G52" s="6">
        <v>249.483</v>
      </c>
      <c r="H52" s="6">
        <v>168.685</v>
      </c>
      <c r="I52" s="6">
        <v>117.717</v>
      </c>
      <c r="J52" s="6">
        <v>36.918999999999997</v>
      </c>
      <c r="K52" s="6">
        <v>249.483</v>
      </c>
      <c r="L52" s="6">
        <v>168.685</v>
      </c>
      <c r="M52" s="6">
        <v>117.717</v>
      </c>
      <c r="N52">
        <f>VLOOKUP(A52,[1]TDSheet!$A:$G,7,0)</f>
        <v>-2.6509999999999998</v>
      </c>
    </row>
    <row r="53" spans="1:14" ht="11.1" customHeight="1" x14ac:dyDescent="0.2">
      <c r="A53" s="17" t="s">
        <v>59</v>
      </c>
      <c r="B53" s="17"/>
      <c r="C53" s="17"/>
      <c r="D53" s="5" t="s">
        <v>15</v>
      </c>
      <c r="E53" s="18">
        <v>129</v>
      </c>
      <c r="F53" s="18"/>
      <c r="G53" s="6">
        <v>160</v>
      </c>
      <c r="H53" s="6">
        <v>274</v>
      </c>
      <c r="I53" s="6">
        <v>15</v>
      </c>
      <c r="J53" s="6">
        <v>38.700000000000003</v>
      </c>
      <c r="K53" s="6">
        <v>48</v>
      </c>
      <c r="L53" s="6">
        <v>82.2</v>
      </c>
      <c r="M53" s="6">
        <v>4.5</v>
      </c>
      <c r="N53">
        <f>VLOOKUP(A53,[1]TDSheet!$A:$G,7,0)</f>
        <v>-16</v>
      </c>
    </row>
    <row r="54" spans="1:14" ht="11.1" customHeight="1" x14ac:dyDescent="0.2">
      <c r="A54" s="17" t="s">
        <v>60</v>
      </c>
      <c r="B54" s="17"/>
      <c r="C54" s="17"/>
      <c r="D54" s="5" t="s">
        <v>17</v>
      </c>
      <c r="E54" s="18">
        <v>63.287999999999997</v>
      </c>
      <c r="F54" s="18"/>
      <c r="G54" s="6">
        <v>196.41399999999999</v>
      </c>
      <c r="H54" s="6">
        <v>83.441999999999993</v>
      </c>
      <c r="I54" s="6">
        <v>176.26</v>
      </c>
      <c r="J54" s="6">
        <v>63.287999999999997</v>
      </c>
      <c r="K54" s="6">
        <v>196.41399999999999</v>
      </c>
      <c r="L54" s="6">
        <v>83.441999999999993</v>
      </c>
      <c r="M54" s="6">
        <v>176.26</v>
      </c>
      <c r="N54">
        <f>VLOOKUP(A54,[1]TDSheet!$A:$G,7,0)</f>
        <v>0.1339999999999999</v>
      </c>
    </row>
    <row r="55" spans="1:14" ht="11.1" customHeight="1" x14ac:dyDescent="0.2">
      <c r="A55" s="17" t="s">
        <v>61</v>
      </c>
      <c r="B55" s="17"/>
      <c r="C55" s="17"/>
      <c r="D55" s="5" t="s">
        <v>17</v>
      </c>
      <c r="E55" s="18">
        <v>1.0369999999999999</v>
      </c>
      <c r="F55" s="18"/>
      <c r="G55" s="6">
        <v>189.69399999999999</v>
      </c>
      <c r="H55" s="6">
        <v>194.29</v>
      </c>
      <c r="I55" s="6">
        <v>-3.5590000000000002</v>
      </c>
      <c r="J55" s="6">
        <v>1.0369999999999999</v>
      </c>
      <c r="K55" s="6">
        <v>189.69399999999999</v>
      </c>
      <c r="L55" s="6">
        <v>194.29</v>
      </c>
      <c r="M55" s="6">
        <v>-3.5590000000000002</v>
      </c>
      <c r="N55">
        <f>VLOOKUP(A55,[1]TDSheet!$A:$G,7,0)</f>
        <v>-68.673000000000002</v>
      </c>
    </row>
    <row r="56" spans="1:14" ht="11.1" customHeight="1" x14ac:dyDescent="0.2">
      <c r="A56" s="17" t="s">
        <v>62</v>
      </c>
      <c r="B56" s="17"/>
      <c r="C56" s="17"/>
      <c r="D56" s="5" t="s">
        <v>15</v>
      </c>
      <c r="E56" s="18">
        <v>425</v>
      </c>
      <c r="F56" s="18"/>
      <c r="G56" s="6">
        <v>244</v>
      </c>
      <c r="H56" s="6">
        <v>355</v>
      </c>
      <c r="I56" s="6">
        <v>314</v>
      </c>
      <c r="J56" s="6">
        <v>148.75</v>
      </c>
      <c r="K56" s="6">
        <v>85.4</v>
      </c>
      <c r="L56" s="6">
        <v>124.25</v>
      </c>
      <c r="M56" s="6">
        <v>109.9</v>
      </c>
      <c r="N56">
        <f>VLOOKUP(A56,[1]TDSheet!$A:$G,7,0)</f>
        <v>-4</v>
      </c>
    </row>
    <row r="57" spans="1:14" ht="11.1" customHeight="1" x14ac:dyDescent="0.2">
      <c r="A57" s="17" t="s">
        <v>63</v>
      </c>
      <c r="B57" s="17"/>
      <c r="C57" s="17"/>
      <c r="D57" s="5" t="s">
        <v>15</v>
      </c>
      <c r="E57" s="18">
        <v>341</v>
      </c>
      <c r="F57" s="18"/>
      <c r="G57" s="7"/>
      <c r="H57" s="6">
        <v>310</v>
      </c>
      <c r="I57" s="6">
        <v>31</v>
      </c>
      <c r="J57" s="6">
        <v>139.81</v>
      </c>
      <c r="K57" s="7"/>
      <c r="L57" s="6">
        <v>127.1</v>
      </c>
      <c r="M57" s="6">
        <v>12.71</v>
      </c>
      <c r="N57">
        <f>VLOOKUP(A57,[1]TDSheet!$A:$G,7,0)</f>
        <v>-4</v>
      </c>
    </row>
    <row r="58" spans="1:14" ht="11.1" customHeight="1" x14ac:dyDescent="0.2">
      <c r="A58" s="17" t="s">
        <v>64</v>
      </c>
      <c r="B58" s="17"/>
      <c r="C58" s="17"/>
      <c r="D58" s="5" t="s">
        <v>15</v>
      </c>
      <c r="E58" s="18">
        <v>224</v>
      </c>
      <c r="F58" s="18"/>
      <c r="G58" s="6">
        <v>8</v>
      </c>
      <c r="H58" s="6">
        <v>218</v>
      </c>
      <c r="I58" s="6">
        <v>14</v>
      </c>
      <c r="J58" s="6">
        <v>91.84</v>
      </c>
      <c r="K58" s="6">
        <v>3.28</v>
      </c>
      <c r="L58" s="6">
        <v>89.38</v>
      </c>
      <c r="M58" s="6">
        <v>5.74</v>
      </c>
      <c r="N58">
        <f>VLOOKUP(A58,[1]TDSheet!$A:$G,7,0)</f>
        <v>-6</v>
      </c>
    </row>
    <row r="59" spans="1:14" ht="11.1" customHeight="1" x14ac:dyDescent="0.2">
      <c r="A59" s="17" t="s">
        <v>65</v>
      </c>
      <c r="B59" s="17"/>
      <c r="C59" s="17"/>
      <c r="D59" s="5" t="s">
        <v>15</v>
      </c>
      <c r="E59" s="18">
        <v>247</v>
      </c>
      <c r="F59" s="18"/>
      <c r="G59" s="6">
        <v>78</v>
      </c>
      <c r="H59" s="6">
        <v>264</v>
      </c>
      <c r="I59" s="6">
        <v>61</v>
      </c>
      <c r="J59" s="6">
        <v>88.92</v>
      </c>
      <c r="K59" s="6">
        <v>28.08</v>
      </c>
      <c r="L59" s="6">
        <v>95.04</v>
      </c>
      <c r="M59" s="6">
        <v>21.96</v>
      </c>
      <c r="N59">
        <f>VLOOKUP(A59,[1]TDSheet!$A:$G,7,0)</f>
        <v>0</v>
      </c>
    </row>
    <row r="60" spans="1:14" ht="11.1" customHeight="1" x14ac:dyDescent="0.2">
      <c r="A60" s="17" t="s">
        <v>66</v>
      </c>
      <c r="B60" s="17"/>
      <c r="C60" s="17"/>
      <c r="D60" s="5" t="s">
        <v>15</v>
      </c>
      <c r="E60" s="18">
        <v>276</v>
      </c>
      <c r="F60" s="18"/>
      <c r="G60" s="7"/>
      <c r="H60" s="6">
        <v>67</v>
      </c>
      <c r="I60" s="6">
        <v>209</v>
      </c>
      <c r="J60" s="6">
        <v>91.08</v>
      </c>
      <c r="K60" s="7"/>
      <c r="L60" s="6">
        <v>22.11</v>
      </c>
      <c r="M60" s="6">
        <v>68.97</v>
      </c>
      <c r="N60">
        <f>VLOOKUP(A60,[1]TDSheet!$A:$G,7,0)</f>
        <v>-3</v>
      </c>
    </row>
    <row r="61" spans="1:14" ht="11.1" customHeight="1" x14ac:dyDescent="0.2">
      <c r="A61" s="17" t="s">
        <v>67</v>
      </c>
      <c r="B61" s="17"/>
      <c r="C61" s="17"/>
      <c r="D61" s="5" t="s">
        <v>15</v>
      </c>
      <c r="E61" s="18">
        <v>155</v>
      </c>
      <c r="F61" s="18"/>
      <c r="G61" s="6">
        <v>161</v>
      </c>
      <c r="H61" s="6">
        <v>126</v>
      </c>
      <c r="I61" s="6">
        <v>190</v>
      </c>
      <c r="J61" s="6">
        <v>62</v>
      </c>
      <c r="K61" s="6">
        <v>64.400000000000006</v>
      </c>
      <c r="L61" s="6">
        <v>50.4</v>
      </c>
      <c r="M61" s="6">
        <v>76</v>
      </c>
      <c r="N61">
        <f>VLOOKUP(A61,[1]TDSheet!$A:$G,7,0)</f>
        <v>-1</v>
      </c>
    </row>
    <row r="62" spans="1:14" ht="11.1" customHeight="1" x14ac:dyDescent="0.2">
      <c r="A62" s="17" t="s">
        <v>68</v>
      </c>
      <c r="B62" s="17"/>
      <c r="C62" s="17"/>
      <c r="D62" s="5" t="s">
        <v>15</v>
      </c>
      <c r="E62" s="18">
        <v>105</v>
      </c>
      <c r="F62" s="18"/>
      <c r="G62" s="7"/>
      <c r="H62" s="6">
        <v>40</v>
      </c>
      <c r="I62" s="6">
        <v>65</v>
      </c>
      <c r="J62" s="6">
        <v>34.65</v>
      </c>
      <c r="K62" s="7"/>
      <c r="L62" s="6">
        <v>13.2</v>
      </c>
      <c r="M62" s="6">
        <v>21.45</v>
      </c>
      <c r="N62">
        <f>VLOOKUP(A62,[1]TDSheet!$A:$G,7,0)</f>
        <v>-4</v>
      </c>
    </row>
    <row r="63" spans="1:14" ht="11.1" customHeight="1" x14ac:dyDescent="0.2">
      <c r="A63" s="17" t="s">
        <v>69</v>
      </c>
      <c r="B63" s="17"/>
      <c r="C63" s="17"/>
      <c r="D63" s="5" t="s">
        <v>17</v>
      </c>
      <c r="E63" s="18">
        <v>-0.70699999999999996</v>
      </c>
      <c r="F63" s="18"/>
      <c r="G63" s="6">
        <v>702.69299999999998</v>
      </c>
      <c r="H63" s="6">
        <v>391.411</v>
      </c>
      <c r="I63" s="6">
        <v>310.57499999999999</v>
      </c>
      <c r="J63" s="6">
        <v>-0.70699999999999996</v>
      </c>
      <c r="K63" s="6">
        <v>702.69299999999998</v>
      </c>
      <c r="L63" s="6">
        <v>391.411</v>
      </c>
      <c r="M63" s="6">
        <v>310.57499999999999</v>
      </c>
      <c r="N63">
        <f>VLOOKUP(A63,[1]TDSheet!$A:$G,7,0)</f>
        <v>-57.072999999999993</v>
      </c>
    </row>
    <row r="64" spans="1:14" ht="11.1" customHeight="1" x14ac:dyDescent="0.2">
      <c r="A64" s="17" t="s">
        <v>70</v>
      </c>
      <c r="B64" s="17"/>
      <c r="C64" s="17"/>
      <c r="D64" s="5" t="s">
        <v>15</v>
      </c>
      <c r="E64" s="18">
        <v>106</v>
      </c>
      <c r="F64" s="18"/>
      <c r="G64" s="6">
        <v>1</v>
      </c>
      <c r="H64" s="6">
        <v>41</v>
      </c>
      <c r="I64" s="6">
        <v>66</v>
      </c>
      <c r="J64" s="6">
        <v>10.6</v>
      </c>
      <c r="K64" s="6">
        <v>0.1</v>
      </c>
      <c r="L64" s="6">
        <v>4.0999999999999996</v>
      </c>
      <c r="M64" s="6">
        <v>6.6</v>
      </c>
      <c r="N64">
        <f>VLOOKUP(A64,[1]TDSheet!$A:$G,7,0)</f>
        <v>-1</v>
      </c>
    </row>
    <row r="65" spans="1:14" ht="11.1" customHeight="1" x14ac:dyDescent="0.2">
      <c r="A65" s="17" t="s">
        <v>71</v>
      </c>
      <c r="B65" s="17"/>
      <c r="C65" s="17"/>
      <c r="D65" s="5" t="s">
        <v>15</v>
      </c>
      <c r="E65" s="18">
        <v>135</v>
      </c>
      <c r="F65" s="18"/>
      <c r="G65" s="6">
        <v>36</v>
      </c>
      <c r="H65" s="6">
        <v>54</v>
      </c>
      <c r="I65" s="6">
        <v>117</v>
      </c>
      <c r="J65" s="6">
        <v>54</v>
      </c>
      <c r="K65" s="6">
        <v>14.4</v>
      </c>
      <c r="L65" s="6">
        <v>21.6</v>
      </c>
      <c r="M65" s="6">
        <v>46.8</v>
      </c>
      <c r="N65">
        <f>VLOOKUP(A65,[1]TDSheet!$A:$G,7,0)</f>
        <v>-2</v>
      </c>
    </row>
    <row r="66" spans="1:14" ht="11.1" customHeight="1" x14ac:dyDescent="0.2">
      <c r="A66" s="17" t="s">
        <v>72</v>
      </c>
      <c r="B66" s="17"/>
      <c r="C66" s="17"/>
      <c r="D66" s="5" t="s">
        <v>17</v>
      </c>
      <c r="E66" s="18">
        <v>89.528999999999996</v>
      </c>
      <c r="F66" s="18"/>
      <c r="G66" s="7"/>
      <c r="H66" s="6">
        <v>103.238</v>
      </c>
      <c r="I66" s="6">
        <v>-13.709</v>
      </c>
      <c r="J66" s="6">
        <v>89.528999999999996</v>
      </c>
      <c r="K66" s="7"/>
      <c r="L66" s="6">
        <v>103.238</v>
      </c>
      <c r="M66" s="6">
        <v>-13.709</v>
      </c>
    </row>
    <row r="67" spans="1:14" ht="11.1" customHeight="1" x14ac:dyDescent="0.2">
      <c r="A67" s="17" t="s">
        <v>73</v>
      </c>
      <c r="B67" s="17"/>
      <c r="C67" s="17"/>
      <c r="D67" s="5" t="s">
        <v>17</v>
      </c>
      <c r="E67" s="18">
        <v>2.5000000000000001E-2</v>
      </c>
      <c r="F67" s="18"/>
      <c r="G67" s="7"/>
      <c r="H67" s="7"/>
      <c r="I67" s="6">
        <v>2.5000000000000001E-2</v>
      </c>
      <c r="J67" s="6">
        <v>2.5000000000000001E-2</v>
      </c>
      <c r="K67" s="7"/>
      <c r="L67" s="7"/>
      <c r="M67" s="6">
        <v>2.5000000000000001E-2</v>
      </c>
      <c r="N67">
        <f>VLOOKUP(A67,[1]TDSheet!$A:$G,7,0)</f>
        <v>-4.3</v>
      </c>
    </row>
    <row r="68" spans="1:14" ht="11.1" customHeight="1" x14ac:dyDescent="0.2">
      <c r="A68" s="17" t="s">
        <v>74</v>
      </c>
      <c r="B68" s="17"/>
      <c r="C68" s="17"/>
      <c r="D68" s="5" t="s">
        <v>17</v>
      </c>
      <c r="E68" s="18">
        <v>141.46899999999999</v>
      </c>
      <c r="F68" s="18"/>
      <c r="G68" s="7"/>
      <c r="H68" s="6">
        <v>40.360999999999997</v>
      </c>
      <c r="I68" s="6">
        <v>101.108</v>
      </c>
      <c r="J68" s="6">
        <v>141.46899999999999</v>
      </c>
      <c r="K68" s="7"/>
      <c r="L68" s="6">
        <v>40.360999999999997</v>
      </c>
      <c r="M68" s="6">
        <v>101.108</v>
      </c>
      <c r="N68">
        <f>VLOOKUP(A68,[1]TDSheet!$A:$G,7,0)</f>
        <v>-0.72799999999999976</v>
      </c>
    </row>
    <row r="69" spans="1:14" ht="11.1" customHeight="1" x14ac:dyDescent="0.2">
      <c r="A69" s="17" t="s">
        <v>75</v>
      </c>
      <c r="B69" s="17"/>
      <c r="C69" s="17"/>
      <c r="D69" s="5" t="s">
        <v>15</v>
      </c>
      <c r="E69" s="18">
        <v>118</v>
      </c>
      <c r="F69" s="18"/>
      <c r="G69" s="7"/>
      <c r="H69" s="6">
        <v>26</v>
      </c>
      <c r="I69" s="6">
        <v>92</v>
      </c>
      <c r="J69" s="6">
        <v>29.5</v>
      </c>
      <c r="K69" s="7"/>
      <c r="L69" s="6">
        <v>6.5</v>
      </c>
      <c r="M69" s="6">
        <v>23</v>
      </c>
      <c r="N69">
        <f>VLOOKUP(A69,[1]TDSheet!$A:$G,7,0)</f>
        <v>-2</v>
      </c>
    </row>
    <row r="70" spans="1:14" ht="11.1" customHeight="1" x14ac:dyDescent="0.2">
      <c r="A70" s="17" t="s">
        <v>76</v>
      </c>
      <c r="B70" s="17"/>
      <c r="C70" s="17"/>
      <c r="D70" s="5" t="s">
        <v>17</v>
      </c>
      <c r="E70" s="18">
        <v>31.556999999999999</v>
      </c>
      <c r="F70" s="18"/>
      <c r="G70" s="6">
        <v>10.53</v>
      </c>
      <c r="H70" s="6">
        <v>39.886000000000003</v>
      </c>
      <c r="I70" s="6">
        <v>2.2010000000000001</v>
      </c>
      <c r="J70" s="6">
        <v>31.556999999999999</v>
      </c>
      <c r="K70" s="6">
        <v>10.53</v>
      </c>
      <c r="L70" s="6">
        <v>39.886000000000003</v>
      </c>
      <c r="M70" s="6">
        <v>2.2010000000000001</v>
      </c>
      <c r="N70">
        <f>VLOOKUP(A70,[1]TDSheet!$A:$G,7,0)</f>
        <v>-4.7450000000000001</v>
      </c>
    </row>
    <row r="71" spans="1:14" ht="11.1" customHeight="1" x14ac:dyDescent="0.2">
      <c r="A71" s="17" t="s">
        <v>77</v>
      </c>
      <c r="B71" s="17"/>
      <c r="C71" s="17"/>
      <c r="D71" s="5" t="s">
        <v>15</v>
      </c>
      <c r="E71" s="9"/>
      <c r="F71" s="10"/>
      <c r="G71" s="6">
        <v>352</v>
      </c>
      <c r="H71" s="6">
        <v>232</v>
      </c>
      <c r="I71" s="6">
        <v>120</v>
      </c>
      <c r="J71" s="7"/>
      <c r="K71" s="6">
        <v>105.6</v>
      </c>
      <c r="L71" s="6">
        <v>69.599999999999994</v>
      </c>
      <c r="M71" s="6">
        <v>36</v>
      </c>
      <c r="N71">
        <f>VLOOKUP(A71,[1]TDSheet!$A:$G,7,0)</f>
        <v>-25</v>
      </c>
    </row>
    <row r="72" spans="1:14" ht="11.1" customHeight="1" x14ac:dyDescent="0.2">
      <c r="A72" s="17" t="s">
        <v>78</v>
      </c>
      <c r="B72" s="17"/>
      <c r="C72" s="17"/>
      <c r="D72" s="5" t="s">
        <v>15</v>
      </c>
      <c r="E72" s="18">
        <v>-56</v>
      </c>
      <c r="F72" s="18"/>
      <c r="G72" s="6">
        <v>502</v>
      </c>
      <c r="H72" s="6">
        <v>471</v>
      </c>
      <c r="I72" s="6">
        <v>-25</v>
      </c>
      <c r="J72" s="6">
        <v>-22.96</v>
      </c>
      <c r="K72" s="6">
        <v>205.82</v>
      </c>
      <c r="L72" s="6">
        <v>193.11</v>
      </c>
      <c r="M72" s="6">
        <v>-10.25</v>
      </c>
      <c r="N72">
        <f>VLOOKUP(A72,[1]TDSheet!$A:$G,7,0)</f>
        <v>-5</v>
      </c>
    </row>
    <row r="73" spans="1:14" ht="11.1" customHeight="1" x14ac:dyDescent="0.2">
      <c r="A73" s="17" t="s">
        <v>79</v>
      </c>
      <c r="B73" s="17"/>
      <c r="C73" s="17"/>
      <c r="D73" s="5" t="s">
        <v>15</v>
      </c>
      <c r="E73" s="18">
        <v>50</v>
      </c>
      <c r="F73" s="18"/>
      <c r="G73" s="7"/>
      <c r="H73" s="7"/>
      <c r="I73" s="6">
        <v>50</v>
      </c>
      <c r="J73" s="6">
        <v>20.5</v>
      </c>
      <c r="K73" s="7"/>
      <c r="L73" s="7"/>
      <c r="M73" s="6">
        <v>20.5</v>
      </c>
    </row>
    <row r="74" spans="1:14" ht="11.1" customHeight="1" x14ac:dyDescent="0.2">
      <c r="A74" s="17" t="s">
        <v>80</v>
      </c>
      <c r="B74" s="17"/>
      <c r="C74" s="17"/>
      <c r="D74" s="5" t="s">
        <v>17</v>
      </c>
      <c r="E74" s="18">
        <v>3.7080000000000002</v>
      </c>
      <c r="F74" s="18"/>
      <c r="G74" s="6">
        <v>611.44600000000003</v>
      </c>
      <c r="H74" s="6">
        <v>587.01599999999996</v>
      </c>
      <c r="I74" s="6">
        <v>28.138000000000002</v>
      </c>
      <c r="J74" s="6">
        <v>3.7080000000000002</v>
      </c>
      <c r="K74" s="6">
        <v>611.44600000000003</v>
      </c>
      <c r="L74" s="6">
        <v>587.01599999999996</v>
      </c>
      <c r="M74" s="6">
        <v>28.138000000000002</v>
      </c>
      <c r="N74">
        <f>VLOOKUP(A74,[1]TDSheet!$A:$G,7,0)</f>
        <v>-31.701999999999998</v>
      </c>
    </row>
    <row r="75" spans="1:14" ht="11.1" customHeight="1" x14ac:dyDescent="0.2">
      <c r="A75" s="17" t="s">
        <v>81</v>
      </c>
      <c r="B75" s="17"/>
      <c r="C75" s="17"/>
      <c r="D75" s="5" t="s">
        <v>15</v>
      </c>
      <c r="E75" s="18">
        <v>63</v>
      </c>
      <c r="F75" s="18"/>
      <c r="G75" s="6">
        <v>40</v>
      </c>
      <c r="H75" s="6">
        <v>48</v>
      </c>
      <c r="I75" s="6">
        <v>55</v>
      </c>
      <c r="J75" s="6">
        <v>22.05</v>
      </c>
      <c r="K75" s="6">
        <v>14</v>
      </c>
      <c r="L75" s="6">
        <v>16.8</v>
      </c>
      <c r="M75" s="6">
        <v>19.25</v>
      </c>
      <c r="N75">
        <f>VLOOKUP(A75,[1]TDSheet!$A:$G,7,0)</f>
        <v>-1</v>
      </c>
    </row>
    <row r="76" spans="1:14" ht="11.1" customHeight="1" x14ac:dyDescent="0.2">
      <c r="A76" s="17" t="s">
        <v>82</v>
      </c>
      <c r="B76" s="17"/>
      <c r="C76" s="17"/>
      <c r="D76" s="5" t="s">
        <v>17</v>
      </c>
      <c r="E76" s="18">
        <v>101.245</v>
      </c>
      <c r="F76" s="18"/>
      <c r="G76" s="6">
        <v>1.571</v>
      </c>
      <c r="H76" s="6">
        <v>40.530999999999999</v>
      </c>
      <c r="I76" s="6">
        <v>62.284999999999997</v>
      </c>
      <c r="J76" s="6">
        <v>101.245</v>
      </c>
      <c r="K76" s="6">
        <v>1.571</v>
      </c>
      <c r="L76" s="6">
        <v>40.530999999999999</v>
      </c>
      <c r="M76" s="6">
        <v>62.284999999999997</v>
      </c>
      <c r="N76">
        <f>VLOOKUP(A76,[1]TDSheet!$A:$G,7,0)</f>
        <v>0.13899999999999979</v>
      </c>
    </row>
    <row r="77" spans="1:14" ht="11.1" customHeight="1" x14ac:dyDescent="0.2">
      <c r="A77" s="17" t="s">
        <v>83</v>
      </c>
      <c r="B77" s="17"/>
      <c r="C77" s="17"/>
      <c r="D77" s="5" t="s">
        <v>15</v>
      </c>
      <c r="E77" s="18">
        <v>125</v>
      </c>
      <c r="F77" s="18"/>
      <c r="G77" s="6">
        <v>202</v>
      </c>
      <c r="H77" s="6">
        <v>270</v>
      </c>
      <c r="I77" s="6">
        <v>57</v>
      </c>
      <c r="J77" s="6">
        <v>51.25</v>
      </c>
      <c r="K77" s="6">
        <v>82.82</v>
      </c>
      <c r="L77" s="6">
        <v>110.7</v>
      </c>
      <c r="M77" s="6">
        <v>23.37</v>
      </c>
      <c r="N77">
        <f>VLOOKUP(A77,[1]TDSheet!$A:$G,7,0)</f>
        <v>-7</v>
      </c>
    </row>
    <row r="78" spans="1:14" ht="11.1" customHeight="1" x14ac:dyDescent="0.2">
      <c r="A78" s="17" t="s">
        <v>84</v>
      </c>
      <c r="B78" s="17"/>
      <c r="C78" s="17"/>
      <c r="D78" s="5" t="s">
        <v>17</v>
      </c>
      <c r="E78" s="18">
        <v>147.96799999999999</v>
      </c>
      <c r="F78" s="18"/>
      <c r="G78" s="6">
        <v>31.082000000000001</v>
      </c>
      <c r="H78" s="6">
        <v>173.84200000000001</v>
      </c>
      <c r="I78" s="6">
        <v>5.2080000000000002</v>
      </c>
      <c r="J78" s="6">
        <v>147.96799999999999</v>
      </c>
      <c r="K78" s="6">
        <v>31.082000000000001</v>
      </c>
      <c r="L78" s="6">
        <v>173.84200000000001</v>
      </c>
      <c r="M78" s="6">
        <v>5.2080000000000002</v>
      </c>
      <c r="N78">
        <f>VLOOKUP(A78,[1]TDSheet!$A:$G,7,0)</f>
        <v>-92.454999999999998</v>
      </c>
    </row>
    <row r="79" spans="1:14" ht="11.1" customHeight="1" x14ac:dyDescent="0.2">
      <c r="A79" s="17" t="s">
        <v>85</v>
      </c>
      <c r="B79" s="17"/>
      <c r="C79" s="17"/>
      <c r="D79" s="5" t="s">
        <v>15</v>
      </c>
      <c r="E79" s="18">
        <v>139</v>
      </c>
      <c r="F79" s="18"/>
      <c r="G79" s="6">
        <v>38</v>
      </c>
      <c r="H79" s="6">
        <v>69</v>
      </c>
      <c r="I79" s="6">
        <v>108</v>
      </c>
      <c r="J79" s="6">
        <v>41.7</v>
      </c>
      <c r="K79" s="6">
        <v>11.4</v>
      </c>
      <c r="L79" s="6">
        <v>20.7</v>
      </c>
      <c r="M79" s="6">
        <v>32.4</v>
      </c>
      <c r="N79">
        <f>VLOOKUP(A79,[1]TDSheet!$A:$G,7,0)</f>
        <v>-1</v>
      </c>
    </row>
    <row r="80" spans="1:14" ht="11.1" customHeight="1" x14ac:dyDescent="0.2">
      <c r="A80" s="17" t="s">
        <v>86</v>
      </c>
      <c r="B80" s="17"/>
      <c r="C80" s="17"/>
      <c r="D80" s="5" t="s">
        <v>15</v>
      </c>
      <c r="E80" s="18">
        <v>1</v>
      </c>
      <c r="F80" s="18"/>
      <c r="G80" s="6">
        <v>554</v>
      </c>
      <c r="H80" s="6">
        <v>451</v>
      </c>
      <c r="I80" s="6">
        <v>104</v>
      </c>
      <c r="J80" s="6">
        <v>0.18</v>
      </c>
      <c r="K80" s="6">
        <v>99.72</v>
      </c>
      <c r="L80" s="6">
        <v>81.180000000000007</v>
      </c>
      <c r="M80" s="6">
        <v>18.72</v>
      </c>
      <c r="N80">
        <f>VLOOKUP(A80,[1]TDSheet!$A:$G,7,0)</f>
        <v>-4</v>
      </c>
    </row>
    <row r="81" spans="1:14" ht="11.1" customHeight="1" x14ac:dyDescent="0.2">
      <c r="A81" s="17" t="s">
        <v>87</v>
      </c>
      <c r="B81" s="17"/>
      <c r="C81" s="17"/>
      <c r="D81" s="5" t="s">
        <v>15</v>
      </c>
      <c r="E81" s="18">
        <v>5</v>
      </c>
      <c r="F81" s="18"/>
      <c r="G81" s="6">
        <v>156</v>
      </c>
      <c r="H81" s="6">
        <v>58</v>
      </c>
      <c r="I81" s="6">
        <v>103</v>
      </c>
      <c r="J81" s="6">
        <v>4.2</v>
      </c>
      <c r="K81" s="6">
        <v>131.04</v>
      </c>
      <c r="L81" s="6">
        <v>48.72</v>
      </c>
      <c r="M81" s="6">
        <v>86.52</v>
      </c>
      <c r="N81">
        <f>VLOOKUP(A81,[1]TDSheet!$A:$G,7,0)</f>
        <v>-12</v>
      </c>
    </row>
    <row r="82" spans="1:14" ht="11.1" customHeight="1" x14ac:dyDescent="0.2">
      <c r="A82" s="17" t="s">
        <v>88</v>
      </c>
      <c r="B82" s="17"/>
      <c r="C82" s="17"/>
      <c r="D82" s="5" t="s">
        <v>15</v>
      </c>
      <c r="E82" s="18">
        <v>1</v>
      </c>
      <c r="F82" s="18"/>
      <c r="G82" s="8">
        <v>1202</v>
      </c>
      <c r="H82" s="6">
        <v>436</v>
      </c>
      <c r="I82" s="6">
        <v>767</v>
      </c>
      <c r="J82" s="6">
        <v>0.35</v>
      </c>
      <c r="K82" s="6">
        <v>420.7</v>
      </c>
      <c r="L82" s="6">
        <v>152.6</v>
      </c>
      <c r="M82" s="6">
        <v>268.45</v>
      </c>
      <c r="N82">
        <f>VLOOKUP(A82,[1]TDSheet!$A:$G,7,0)</f>
        <v>-33</v>
      </c>
    </row>
    <row r="83" spans="1:14" ht="11.1" customHeight="1" x14ac:dyDescent="0.2">
      <c r="A83" s="17" t="s">
        <v>89</v>
      </c>
      <c r="B83" s="17"/>
      <c r="C83" s="17"/>
      <c r="D83" s="5" t="s">
        <v>17</v>
      </c>
      <c r="E83" s="18">
        <v>45.127000000000002</v>
      </c>
      <c r="F83" s="18"/>
      <c r="G83" s="6">
        <v>167.22399999999999</v>
      </c>
      <c r="H83" s="6">
        <v>169.87</v>
      </c>
      <c r="I83" s="6">
        <v>42.481000000000002</v>
      </c>
      <c r="J83" s="6">
        <v>45.127000000000002</v>
      </c>
      <c r="K83" s="6">
        <v>167.22399999999999</v>
      </c>
      <c r="L83" s="6">
        <v>169.87</v>
      </c>
      <c r="M83" s="6">
        <v>42.481000000000002</v>
      </c>
      <c r="N83">
        <f>VLOOKUP(A83,[1]TDSheet!$A:$G,7,0)</f>
        <v>-3.1260000000000048</v>
      </c>
    </row>
    <row r="84" spans="1:14" ht="11.1" customHeight="1" x14ac:dyDescent="0.2">
      <c r="A84" s="17" t="s">
        <v>90</v>
      </c>
      <c r="B84" s="17"/>
      <c r="C84" s="17"/>
      <c r="D84" s="5" t="s">
        <v>17</v>
      </c>
      <c r="E84" s="18">
        <v>12.087999999999999</v>
      </c>
      <c r="F84" s="18"/>
      <c r="G84" s="6">
        <v>278.702</v>
      </c>
      <c r="H84" s="6">
        <v>224.05199999999999</v>
      </c>
      <c r="I84" s="6">
        <v>66.738</v>
      </c>
      <c r="J84" s="6">
        <v>12.087999999999999</v>
      </c>
      <c r="K84" s="6">
        <v>278.702</v>
      </c>
      <c r="L84" s="6">
        <v>224.05199999999999</v>
      </c>
      <c r="M84" s="6">
        <v>66.738</v>
      </c>
      <c r="N84">
        <f>VLOOKUP(A84,[1]TDSheet!$A:$G,7,0)</f>
        <v>-29.063000000000002</v>
      </c>
    </row>
    <row r="85" spans="1:14" ht="11.1" customHeight="1" x14ac:dyDescent="0.2">
      <c r="A85" s="17" t="s">
        <v>91</v>
      </c>
      <c r="B85" s="17"/>
      <c r="C85" s="17"/>
      <c r="D85" s="5" t="s">
        <v>15</v>
      </c>
      <c r="E85" s="18">
        <v>379</v>
      </c>
      <c r="F85" s="18"/>
      <c r="G85" s="6">
        <v>3</v>
      </c>
      <c r="H85" s="6">
        <v>287</v>
      </c>
      <c r="I85" s="6">
        <v>95</v>
      </c>
      <c r="J85" s="6">
        <v>132.65</v>
      </c>
      <c r="K85" s="6">
        <v>1.05</v>
      </c>
      <c r="L85" s="6">
        <v>100.45</v>
      </c>
      <c r="M85" s="6">
        <v>33.25</v>
      </c>
      <c r="N85">
        <f>VLOOKUP(A85,[1]TDSheet!$A:$G,7,0)</f>
        <v>-5</v>
      </c>
    </row>
    <row r="86" spans="1:14" ht="11.1" customHeight="1" x14ac:dyDescent="0.2">
      <c r="A86" s="17" t="s">
        <v>92</v>
      </c>
      <c r="B86" s="17"/>
      <c r="C86" s="17"/>
      <c r="D86" s="5" t="s">
        <v>15</v>
      </c>
      <c r="E86" s="18">
        <v>12</v>
      </c>
      <c r="F86" s="18"/>
      <c r="G86" s="6">
        <v>182</v>
      </c>
      <c r="H86" s="6">
        <v>80</v>
      </c>
      <c r="I86" s="6">
        <v>114</v>
      </c>
      <c r="J86" s="6">
        <v>3.6</v>
      </c>
      <c r="K86" s="6">
        <v>54.6</v>
      </c>
      <c r="L86" s="6">
        <v>24</v>
      </c>
      <c r="M86" s="6">
        <v>34.200000000000003</v>
      </c>
      <c r="N86">
        <f>VLOOKUP(A86,[1]TDSheet!$A:$G,7,0)</f>
        <v>0</v>
      </c>
    </row>
    <row r="87" spans="1:14" ht="11.1" customHeight="1" x14ac:dyDescent="0.2">
      <c r="A87" s="17" t="s">
        <v>93</v>
      </c>
      <c r="B87" s="17"/>
      <c r="C87" s="17"/>
      <c r="D87" s="5" t="s">
        <v>15</v>
      </c>
      <c r="E87" s="18">
        <v>54</v>
      </c>
      <c r="F87" s="18"/>
      <c r="G87" s="7"/>
      <c r="H87" s="6">
        <v>19</v>
      </c>
      <c r="I87" s="6">
        <v>35</v>
      </c>
      <c r="J87" s="6">
        <v>37.799999999999997</v>
      </c>
      <c r="K87" s="7"/>
      <c r="L87" s="6">
        <v>13.3</v>
      </c>
      <c r="M87" s="6">
        <v>24.5</v>
      </c>
      <c r="N87">
        <f>VLOOKUP(A87,[1]TDSheet!$A:$G,7,0)</f>
        <v>-70</v>
      </c>
    </row>
    <row r="88" spans="1:14" ht="11.1" customHeight="1" x14ac:dyDescent="0.2">
      <c r="A88" s="17" t="s">
        <v>94</v>
      </c>
      <c r="B88" s="17"/>
      <c r="C88" s="17"/>
      <c r="D88" s="5" t="s">
        <v>15</v>
      </c>
      <c r="E88" s="18">
        <v>85</v>
      </c>
      <c r="F88" s="18"/>
      <c r="G88" s="6">
        <v>80</v>
      </c>
      <c r="H88" s="6">
        <v>81</v>
      </c>
      <c r="I88" s="6">
        <v>84</v>
      </c>
      <c r="J88" s="6">
        <v>25.5</v>
      </c>
      <c r="K88" s="6">
        <v>24</v>
      </c>
      <c r="L88" s="6">
        <v>24.3</v>
      </c>
      <c r="M88" s="6">
        <v>25.2</v>
      </c>
      <c r="N88">
        <f>VLOOKUP(A88,[1]TDSheet!$A:$G,7,0)</f>
        <v>-3</v>
      </c>
    </row>
    <row r="89" spans="1:14" ht="11.1" customHeight="1" x14ac:dyDescent="0.2">
      <c r="A89" s="17" t="s">
        <v>95</v>
      </c>
      <c r="B89" s="17"/>
      <c r="C89" s="17"/>
      <c r="D89" s="5" t="s">
        <v>15</v>
      </c>
      <c r="E89" s="18">
        <v>212</v>
      </c>
      <c r="F89" s="18"/>
      <c r="G89" s="6">
        <v>2</v>
      </c>
      <c r="H89" s="6">
        <v>167</v>
      </c>
      <c r="I89" s="6">
        <v>47</v>
      </c>
      <c r="J89" s="6">
        <v>59.36</v>
      </c>
      <c r="K89" s="6">
        <v>0.56000000000000005</v>
      </c>
      <c r="L89" s="6">
        <v>46.76</v>
      </c>
      <c r="M89" s="6">
        <v>13.16</v>
      </c>
      <c r="N89">
        <f>VLOOKUP(A89,[1]TDSheet!$A:$G,7,0)</f>
        <v>0</v>
      </c>
    </row>
    <row r="90" spans="1:14" ht="11.1" customHeight="1" x14ac:dyDescent="0.2">
      <c r="A90" s="17" t="s">
        <v>96</v>
      </c>
      <c r="B90" s="17"/>
      <c r="C90" s="17"/>
      <c r="D90" s="5" t="s">
        <v>15</v>
      </c>
      <c r="E90" s="18">
        <v>4</v>
      </c>
      <c r="F90" s="18"/>
      <c r="G90" s="6">
        <v>363</v>
      </c>
      <c r="H90" s="6">
        <v>188</v>
      </c>
      <c r="I90" s="6">
        <v>179</v>
      </c>
      <c r="J90" s="6">
        <v>1.1200000000000001</v>
      </c>
      <c r="K90" s="6">
        <v>101.64</v>
      </c>
      <c r="L90" s="6">
        <v>52.64</v>
      </c>
      <c r="M90" s="6">
        <v>50.12</v>
      </c>
      <c r="N90">
        <f>VLOOKUP(A90,[1]TDSheet!$A:$G,7,0)</f>
        <v>-3</v>
      </c>
    </row>
    <row r="91" spans="1:14" ht="11.1" customHeight="1" x14ac:dyDescent="0.2">
      <c r="A91" s="17" t="s">
        <v>97</v>
      </c>
      <c r="B91" s="17"/>
      <c r="C91" s="17"/>
      <c r="D91" s="5" t="s">
        <v>15</v>
      </c>
      <c r="E91" s="18">
        <v>143</v>
      </c>
      <c r="F91" s="18"/>
      <c r="G91" s="6">
        <v>3</v>
      </c>
      <c r="H91" s="6">
        <v>107</v>
      </c>
      <c r="I91" s="6">
        <v>39</v>
      </c>
      <c r="J91" s="6">
        <v>40.04</v>
      </c>
      <c r="K91" s="6">
        <v>0.84</v>
      </c>
      <c r="L91" s="6">
        <v>29.96</v>
      </c>
      <c r="M91" s="6">
        <v>10.92</v>
      </c>
      <c r="N91">
        <f>VLOOKUP(A91,[1]TDSheet!$A:$G,7,0)</f>
        <v>-2</v>
      </c>
    </row>
    <row r="92" spans="1:14" ht="11.1" customHeight="1" x14ac:dyDescent="0.2">
      <c r="A92" s="17" t="s">
        <v>98</v>
      </c>
      <c r="B92" s="17"/>
      <c r="C92" s="17"/>
      <c r="D92" s="5" t="s">
        <v>15</v>
      </c>
      <c r="E92" s="18">
        <v>69</v>
      </c>
      <c r="F92" s="18"/>
      <c r="G92" s="6">
        <v>123</v>
      </c>
      <c r="H92" s="6">
        <v>199</v>
      </c>
      <c r="I92" s="6">
        <v>-7</v>
      </c>
      <c r="J92" s="6">
        <v>19.32</v>
      </c>
      <c r="K92" s="6">
        <v>34.44</v>
      </c>
      <c r="L92" s="6">
        <v>55.72</v>
      </c>
      <c r="M92" s="6">
        <v>-1.96</v>
      </c>
      <c r="N92">
        <f>VLOOKUP(A92,[1]TDSheet!$A:$G,7,0)</f>
        <v>-168</v>
      </c>
    </row>
    <row r="93" spans="1:14" ht="11.1" customHeight="1" x14ac:dyDescent="0.2">
      <c r="A93" s="17" t="s">
        <v>99</v>
      </c>
      <c r="B93" s="17"/>
      <c r="C93" s="17"/>
      <c r="D93" s="5" t="s">
        <v>15</v>
      </c>
      <c r="E93" s="18">
        <v>-1</v>
      </c>
      <c r="F93" s="18"/>
      <c r="G93" s="6">
        <v>199</v>
      </c>
      <c r="H93" s="6">
        <v>201</v>
      </c>
      <c r="I93" s="6">
        <v>-3</v>
      </c>
      <c r="J93" s="6">
        <v>-0.4</v>
      </c>
      <c r="K93" s="6">
        <v>79.599999999999994</v>
      </c>
      <c r="L93" s="6">
        <v>80.400000000000006</v>
      </c>
      <c r="M93" s="6">
        <v>-1.2</v>
      </c>
      <c r="N93">
        <f>VLOOKUP(A93,[1]TDSheet!$A:$G,7,0)</f>
        <v>-4</v>
      </c>
    </row>
    <row r="94" spans="1:14" ht="11.1" customHeight="1" x14ac:dyDescent="0.2">
      <c r="A94" s="17" t="s">
        <v>100</v>
      </c>
      <c r="B94" s="17"/>
      <c r="C94" s="17"/>
      <c r="D94" s="5" t="s">
        <v>15</v>
      </c>
      <c r="E94" s="18">
        <v>126</v>
      </c>
      <c r="F94" s="18"/>
      <c r="G94" s="7"/>
      <c r="H94" s="6">
        <v>15</v>
      </c>
      <c r="I94" s="6">
        <v>111</v>
      </c>
      <c r="J94" s="6">
        <v>37.799999999999997</v>
      </c>
      <c r="K94" s="7"/>
      <c r="L94" s="6">
        <v>4.5</v>
      </c>
      <c r="M94" s="6">
        <v>33.299999999999997</v>
      </c>
      <c r="N94">
        <f>VLOOKUP(A94,[1]TDSheet!$A:$G,7,0)</f>
        <v>-1</v>
      </c>
    </row>
    <row r="95" spans="1:14" ht="11.1" customHeight="1" x14ac:dyDescent="0.2">
      <c r="A95" s="17" t="s">
        <v>101</v>
      </c>
      <c r="B95" s="17"/>
      <c r="C95" s="17"/>
      <c r="D95" s="5" t="s">
        <v>15</v>
      </c>
      <c r="E95" s="18">
        <v>142</v>
      </c>
      <c r="F95" s="18"/>
      <c r="G95" s="6">
        <v>1</v>
      </c>
      <c r="H95" s="6">
        <v>57</v>
      </c>
      <c r="I95" s="6">
        <v>86</v>
      </c>
      <c r="J95" s="6">
        <v>46.86</v>
      </c>
      <c r="K95" s="6">
        <v>0.33</v>
      </c>
      <c r="L95" s="6">
        <v>18.809999999999999</v>
      </c>
      <c r="M95" s="6">
        <v>28.38</v>
      </c>
      <c r="N95">
        <f>VLOOKUP(A95,[1]TDSheet!$A:$G,7,0)</f>
        <v>0</v>
      </c>
    </row>
    <row r="96" spans="1:14" ht="11.1" customHeight="1" x14ac:dyDescent="0.2">
      <c r="A96" s="17" t="s">
        <v>102</v>
      </c>
      <c r="B96" s="17"/>
      <c r="C96" s="17"/>
      <c r="D96" s="5" t="s">
        <v>15</v>
      </c>
      <c r="E96" s="18">
        <v>85</v>
      </c>
      <c r="F96" s="18"/>
      <c r="G96" s="7"/>
      <c r="H96" s="6">
        <v>26</v>
      </c>
      <c r="I96" s="6">
        <v>59</v>
      </c>
      <c r="J96" s="6">
        <v>8.5</v>
      </c>
      <c r="K96" s="7"/>
      <c r="L96" s="6">
        <v>2.6</v>
      </c>
      <c r="M96" s="6">
        <v>5.9</v>
      </c>
      <c r="N96">
        <f>VLOOKUP(A96,[1]TDSheet!$A:$G,7,0)</f>
        <v>0</v>
      </c>
    </row>
    <row r="97" spans="1:14" ht="11.1" customHeight="1" x14ac:dyDescent="0.2">
      <c r="A97" s="17" t="s">
        <v>103</v>
      </c>
      <c r="B97" s="17"/>
      <c r="C97" s="17"/>
      <c r="D97" s="5" t="s">
        <v>15</v>
      </c>
      <c r="E97" s="18">
        <v>195</v>
      </c>
      <c r="F97" s="18"/>
      <c r="G97" s="6">
        <v>2</v>
      </c>
      <c r="H97" s="6">
        <v>36</v>
      </c>
      <c r="I97" s="6">
        <v>161</v>
      </c>
      <c r="J97" s="6">
        <v>78</v>
      </c>
      <c r="K97" s="6">
        <v>0.8</v>
      </c>
      <c r="L97" s="6">
        <v>14.4</v>
      </c>
      <c r="M97" s="6">
        <v>64.400000000000006</v>
      </c>
      <c r="N97">
        <f>VLOOKUP(A97,[1]TDSheet!$A:$G,7,0)</f>
        <v>-2</v>
      </c>
    </row>
    <row r="98" spans="1:14" ht="11.1" customHeight="1" x14ac:dyDescent="0.2">
      <c r="A98" s="17" t="s">
        <v>104</v>
      </c>
      <c r="B98" s="17"/>
      <c r="C98" s="17"/>
      <c r="D98" s="5" t="s">
        <v>15</v>
      </c>
      <c r="E98" s="18">
        <v>300</v>
      </c>
      <c r="F98" s="18"/>
      <c r="G98" s="7"/>
      <c r="H98" s="6">
        <v>62</v>
      </c>
      <c r="I98" s="6">
        <v>238</v>
      </c>
      <c r="J98" s="6">
        <v>90</v>
      </c>
      <c r="K98" s="7"/>
      <c r="L98" s="6">
        <v>18.600000000000001</v>
      </c>
      <c r="M98" s="6">
        <v>71.400000000000006</v>
      </c>
      <c r="N98">
        <f>VLOOKUP(A98,[1]TDSheet!$A:$G,7,0)</f>
        <v>-1</v>
      </c>
    </row>
    <row r="99" spans="1:14" ht="11.1" customHeight="1" x14ac:dyDescent="0.2">
      <c r="A99" s="17" t="s">
        <v>105</v>
      </c>
      <c r="B99" s="17"/>
      <c r="C99" s="17"/>
      <c r="D99" s="5" t="s">
        <v>15</v>
      </c>
      <c r="E99" s="18">
        <v>43</v>
      </c>
      <c r="F99" s="18"/>
      <c r="G99" s="6">
        <v>45</v>
      </c>
      <c r="H99" s="6">
        <v>72</v>
      </c>
      <c r="I99" s="6">
        <v>16</v>
      </c>
      <c r="J99" s="6">
        <v>5.16</v>
      </c>
      <c r="K99" s="6">
        <v>5.4</v>
      </c>
      <c r="L99" s="6">
        <v>8.64</v>
      </c>
      <c r="M99" s="6">
        <v>1.92</v>
      </c>
      <c r="N99">
        <f>VLOOKUP(A99,[1]TDSheet!$A:$G,7,0)</f>
        <v>-3</v>
      </c>
    </row>
    <row r="100" spans="1:14" ht="11.1" customHeight="1" x14ac:dyDescent="0.2">
      <c r="A100" s="17" t="s">
        <v>106</v>
      </c>
      <c r="B100" s="17"/>
      <c r="C100" s="17"/>
      <c r="D100" s="5" t="s">
        <v>15</v>
      </c>
      <c r="E100" s="18">
        <v>336</v>
      </c>
      <c r="F100" s="18"/>
      <c r="G100" s="6">
        <v>2</v>
      </c>
      <c r="H100" s="6">
        <v>128</v>
      </c>
      <c r="I100" s="6">
        <v>210</v>
      </c>
      <c r="J100" s="6">
        <v>94.08</v>
      </c>
      <c r="K100" s="6">
        <v>0.56000000000000005</v>
      </c>
      <c r="L100" s="6">
        <v>35.840000000000003</v>
      </c>
      <c r="M100" s="6">
        <v>58.8</v>
      </c>
      <c r="N100">
        <f>VLOOKUP(A100,[1]TDSheet!$A:$G,7,0)</f>
        <v>-2</v>
      </c>
    </row>
    <row r="101" spans="1:14" ht="11.1" customHeight="1" x14ac:dyDescent="0.2">
      <c r="A101" s="17" t="s">
        <v>107</v>
      </c>
      <c r="B101" s="17"/>
      <c r="C101" s="17"/>
      <c r="D101" s="5" t="s">
        <v>15</v>
      </c>
      <c r="E101" s="9"/>
      <c r="F101" s="10"/>
      <c r="G101" s="6">
        <v>216</v>
      </c>
      <c r="H101" s="6">
        <v>162</v>
      </c>
      <c r="I101" s="6">
        <v>54</v>
      </c>
      <c r="J101" s="7"/>
      <c r="K101" s="6">
        <v>86.4</v>
      </c>
      <c r="L101" s="6">
        <v>64.8</v>
      </c>
      <c r="M101" s="6">
        <v>21.6</v>
      </c>
      <c r="N101">
        <f>VLOOKUP(A101,[1]TDSheet!$A:$G,7,0)</f>
        <v>-36</v>
      </c>
    </row>
    <row r="102" spans="1:14" ht="11.1" customHeight="1" x14ac:dyDescent="0.2">
      <c r="A102" s="17" t="s">
        <v>108</v>
      </c>
      <c r="B102" s="17"/>
      <c r="C102" s="17"/>
      <c r="D102" s="5" t="s">
        <v>15</v>
      </c>
      <c r="E102" s="18">
        <v>258</v>
      </c>
      <c r="F102" s="18"/>
      <c r="G102" s="7"/>
      <c r="H102" s="6">
        <v>37</v>
      </c>
      <c r="I102" s="6">
        <v>221</v>
      </c>
      <c r="J102" s="6">
        <v>90.3</v>
      </c>
      <c r="K102" s="7"/>
      <c r="L102" s="6">
        <v>12.95</v>
      </c>
      <c r="M102" s="6">
        <v>77.349999999999994</v>
      </c>
      <c r="N102">
        <f>VLOOKUP(A102,[1]TDSheet!$A:$G,7,0)</f>
        <v>0</v>
      </c>
    </row>
    <row r="103" spans="1:14" ht="11.1" customHeight="1" x14ac:dyDescent="0.2">
      <c r="A103" s="17" t="s">
        <v>109</v>
      </c>
      <c r="B103" s="17"/>
      <c r="C103" s="17"/>
      <c r="D103" s="5" t="s">
        <v>15</v>
      </c>
      <c r="E103" s="18">
        <v>312</v>
      </c>
      <c r="F103" s="18"/>
      <c r="G103" s="7"/>
      <c r="H103" s="6">
        <v>227</v>
      </c>
      <c r="I103" s="6">
        <v>85</v>
      </c>
      <c r="J103" s="6">
        <v>102.96</v>
      </c>
      <c r="K103" s="7"/>
      <c r="L103" s="6">
        <v>74.91</v>
      </c>
      <c r="M103" s="6">
        <v>28.05</v>
      </c>
      <c r="N103">
        <f>VLOOKUP(A103,[1]TDSheet!$A:$G,7,0)</f>
        <v>-1</v>
      </c>
    </row>
    <row r="104" spans="1:14" ht="11.1" customHeight="1" x14ac:dyDescent="0.2">
      <c r="A104" s="17" t="s">
        <v>110</v>
      </c>
      <c r="B104" s="17"/>
      <c r="C104" s="17"/>
      <c r="D104" s="5" t="s">
        <v>15</v>
      </c>
      <c r="E104" s="9"/>
      <c r="F104" s="10"/>
      <c r="G104" s="6">
        <v>80</v>
      </c>
      <c r="H104" s="7"/>
      <c r="I104" s="6">
        <v>80</v>
      </c>
      <c r="J104" s="7"/>
      <c r="K104" s="6">
        <v>32</v>
      </c>
      <c r="L104" s="7"/>
      <c r="M104" s="6">
        <v>32</v>
      </c>
    </row>
    <row r="105" spans="1:14" ht="12.95" customHeight="1" x14ac:dyDescent="0.2">
      <c r="A105" s="19" t="s">
        <v>111</v>
      </c>
      <c r="B105" s="19"/>
      <c r="C105" s="19"/>
      <c r="D105" s="19"/>
      <c r="E105" s="11"/>
      <c r="F105" s="12"/>
      <c r="G105" s="13"/>
      <c r="H105" s="13"/>
      <c r="I105" s="13"/>
      <c r="J105" s="14">
        <v>5095.24</v>
      </c>
      <c r="K105" s="14">
        <v>8210.9120000000003</v>
      </c>
      <c r="L105" s="14">
        <v>8019.3029999999999</v>
      </c>
      <c r="M105" s="14">
        <v>5286.8490000000002</v>
      </c>
    </row>
  </sheetData>
  <autoFilter ref="A8:N105" xr:uid="{D27C1384-1548-4879-9801-519CD016CECA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</autoFilter>
  <mergeCells count="194">
    <mergeCell ref="C6:M6"/>
    <mergeCell ref="A8:C9"/>
    <mergeCell ref="D8:D9"/>
    <mergeCell ref="E8:I8"/>
    <mergeCell ref="J8:M8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102:C102"/>
    <mergeCell ref="E102:F102"/>
    <mergeCell ref="A103:C103"/>
    <mergeCell ref="E103:F103"/>
    <mergeCell ref="A104:C104"/>
    <mergeCell ref="A105:D105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2026-07-07T09:58:12Z</dcterms:modified>
</cp:coreProperties>
</file>