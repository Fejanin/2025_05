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Останкино\19,10,26\"/>
    </mc:Choice>
  </mc:AlternateContent>
  <xr:revisionPtr revIDLastSave="0" documentId="13_ncr:1_{2DB971CA-5679-4C7A-AE3D-6B1045269B13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13.10" sheetId="8" r:id="rId1"/>
    <sheet name="14.10" sheetId="9" r:id="rId2"/>
    <sheet name="15.10" sheetId="10" r:id="rId3"/>
    <sheet name="16.10" sheetId="11" r:id="rId4"/>
    <sheet name="17.10" sheetId="12" r:id="rId5"/>
    <sheet name="дефицит" sheetId="13" r:id="rId6"/>
  </sheets>
  <externalReferences>
    <externalReference r:id="rId7"/>
  </externalReferences>
  <definedNames>
    <definedName name="_xlnm._FilterDatabase" localSheetId="2" hidden="1">'15.10'!$A$55:$J$82</definedName>
    <definedName name="_xlnm._FilterDatabase" localSheetId="3" hidden="1">'16.10'!$A$55:$J$91</definedName>
    <definedName name="_xlnm._FilterDatabase" localSheetId="4" hidden="1">'17.10'!$A$55:$J$91</definedName>
    <definedName name="_xlnm._FilterDatabase" localSheetId="5" hidden="1">дефицит!$A$2:$J$38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8" i="12" l="1"/>
  <c r="K70" i="12"/>
  <c r="K71" i="12"/>
  <c r="K73" i="12"/>
  <c r="K68" i="12"/>
  <c r="M70" i="11"/>
  <c r="M69" i="11"/>
  <c r="M67" i="11"/>
  <c r="M66" i="11"/>
  <c r="M64" i="11"/>
  <c r="M63" i="11"/>
  <c r="M62" i="11"/>
  <c r="M59" i="11"/>
  <c r="M58" i="11"/>
  <c r="M56" i="11"/>
  <c r="L62" i="11"/>
  <c r="L70" i="11"/>
  <c r="L69" i="11"/>
  <c r="L67" i="11"/>
  <c r="L66" i="11"/>
  <c r="L64" i="11"/>
  <c r="L63" i="11"/>
  <c r="L59" i="11"/>
  <c r="L58" i="11"/>
  <c r="L56" i="11"/>
  <c r="J38" i="13" l="1"/>
  <c r="J91" i="12"/>
  <c r="I51" i="12"/>
  <c r="G51" i="12"/>
  <c r="E51" i="12"/>
  <c r="C51" i="12"/>
  <c r="G44" i="12"/>
  <c r="G31" i="12"/>
  <c r="F31" i="12"/>
  <c r="L21" i="12"/>
  <c r="K21" i="12"/>
  <c r="H21" i="12"/>
  <c r="G21" i="12"/>
  <c r="J12" i="12"/>
  <c r="J11" i="12"/>
  <c r="J10" i="12"/>
  <c r="J9" i="12"/>
  <c r="J8" i="12"/>
  <c r="J91" i="11"/>
  <c r="I51" i="11"/>
  <c r="G51" i="11"/>
  <c r="E51" i="11"/>
  <c r="C51" i="11"/>
  <c r="G44" i="11"/>
  <c r="G31" i="11"/>
  <c r="F31" i="11"/>
  <c r="L21" i="11"/>
  <c r="K21" i="11"/>
  <c r="H21" i="11"/>
  <c r="G21" i="11"/>
  <c r="J12" i="11"/>
  <c r="J11" i="11"/>
  <c r="J10" i="11"/>
  <c r="J9" i="11"/>
  <c r="J8" i="11"/>
  <c r="J9" i="10" l="1"/>
  <c r="J10" i="10"/>
  <c r="J11" i="10"/>
  <c r="J12" i="10"/>
  <c r="J8" i="10"/>
  <c r="J82" i="10"/>
  <c r="I51" i="10"/>
  <c r="G51" i="10"/>
  <c r="E51" i="10"/>
  <c r="C51" i="10"/>
  <c r="G44" i="10"/>
  <c r="G31" i="10"/>
  <c r="F31" i="10"/>
  <c r="L21" i="10"/>
  <c r="K21" i="10"/>
  <c r="H21" i="10"/>
  <c r="G21" i="10"/>
  <c r="G44" i="9"/>
  <c r="J82" i="9"/>
  <c r="J9" i="8"/>
  <c r="J10" i="8"/>
  <c r="J11" i="8"/>
  <c r="J12" i="8"/>
  <c r="J8" i="8"/>
  <c r="J9" i="9"/>
  <c r="J10" i="9"/>
  <c r="J11" i="9"/>
  <c r="J12" i="9"/>
  <c r="J8" i="9"/>
  <c r="I51" i="9"/>
  <c r="G51" i="9"/>
  <c r="E51" i="9"/>
  <c r="C51" i="9"/>
  <c r="G31" i="9"/>
  <c r="F31" i="9"/>
  <c r="L21" i="9"/>
  <c r="K21" i="9"/>
  <c r="H21" i="9"/>
  <c r="G21" i="9"/>
  <c r="J73" i="8"/>
  <c r="G45" i="8" l="1"/>
  <c r="L21" i="8" l="1"/>
  <c r="K21" i="8"/>
  <c r="H21" i="8"/>
  <c r="G21" i="8"/>
  <c r="F31" i="8"/>
  <c r="G31" i="8"/>
  <c r="I52" i="8"/>
  <c r="G52" i="8" l="1"/>
  <c r="C52" i="8"/>
  <c r="E52" i="8"/>
</calcChain>
</file>

<file path=xl/sharedStrings.xml><?xml version="1.0" encoding="utf-8"?>
<sst xmlns="http://schemas.openxmlformats.org/spreadsheetml/2006/main" count="655" uniqueCount="153">
  <si>
    <t>Выезд Машин</t>
  </si>
  <si>
    <t>№ п/п</t>
  </si>
  <si>
    <t>Марка</t>
  </si>
  <si>
    <t>№ авто</t>
  </si>
  <si>
    <t>ФИО водителя</t>
  </si>
  <si>
    <t>Заполняет механник перед выездом машин</t>
  </si>
  <si>
    <t>Выехал (время)</t>
  </si>
  <si>
    <t>количество ТГ (АКБ)</t>
  </si>
  <si>
    <t>кг</t>
  </si>
  <si>
    <t>вернулся  (время)</t>
  </si>
  <si>
    <t>Не вывезено</t>
  </si>
  <si>
    <t>Исправность холодильного оборудования</t>
  </si>
  <si>
    <t>Неисправные</t>
  </si>
  <si>
    <t>сумма ремонта</t>
  </si>
  <si>
    <t>Дата поломки</t>
  </si>
  <si>
    <t>ИТОГО</t>
  </si>
  <si>
    <t>Сборка</t>
  </si>
  <si>
    <t>Заказано (день заказа)</t>
  </si>
  <si>
    <t>Собрано (факт.день сборки)</t>
  </si>
  <si>
    <t>Выехало (факт день выезда)</t>
  </si>
  <si>
    <t>Поком колбаса</t>
  </si>
  <si>
    <t>Поком заморозка</t>
  </si>
  <si>
    <t>Останкино</t>
  </si>
  <si>
    <t>Всего</t>
  </si>
  <si>
    <t>ВСЕГО МАШИН</t>
  </si>
  <si>
    <t>ИСПРАВНЫЕ АВТО</t>
  </si>
  <si>
    <t>НАЙМ АВТО</t>
  </si>
  <si>
    <t>Стоимость</t>
  </si>
  <si>
    <t>кол-во тт (АКБ)</t>
  </si>
  <si>
    <t>Вернулось (факт день выезда)</t>
  </si>
  <si>
    <t>Время на маршруте</t>
  </si>
  <si>
    <t>Вернулся  (время)</t>
  </si>
  <si>
    <t>Дефицит</t>
  </si>
  <si>
    <t>№</t>
  </si>
  <si>
    <t>Наименование позиций</t>
  </si>
  <si>
    <t>КГ</t>
  </si>
  <si>
    <t>Причина</t>
  </si>
  <si>
    <t>Ремонт одобрен +/-</t>
  </si>
  <si>
    <t>Дата окончания ремонта</t>
  </si>
  <si>
    <t>Дата постановки на ремонт</t>
  </si>
  <si>
    <t>Оплачено +/-</t>
  </si>
  <si>
    <t>БЕРДЯНСК</t>
  </si>
  <si>
    <t>Мерседес</t>
  </si>
  <si>
    <t xml:space="preserve">Н364РХ82 </t>
  </si>
  <si>
    <t>А185ВУ92</t>
  </si>
  <si>
    <t>А869КМ92</t>
  </si>
  <si>
    <t>Е791СР82</t>
  </si>
  <si>
    <t>Да</t>
  </si>
  <si>
    <t>Нет</t>
  </si>
  <si>
    <t>Н214ХХ82</t>
  </si>
  <si>
    <t>Замена двигателя</t>
  </si>
  <si>
    <t>Газель</t>
  </si>
  <si>
    <t>А863МР33</t>
  </si>
  <si>
    <t>37900</t>
  </si>
  <si>
    <t>Замена коробки</t>
  </si>
  <si>
    <t>КИА</t>
  </si>
  <si>
    <t xml:space="preserve">У383УН57 </t>
  </si>
  <si>
    <t>А883МР33</t>
  </si>
  <si>
    <t>200000 восстановление будки, 200000 замена рэфа, 100000 восстановление кабины, эвакуатор в Крым 180000</t>
  </si>
  <si>
    <t>+</t>
  </si>
  <si>
    <t>Плотников</t>
  </si>
  <si>
    <t>Муралев</t>
  </si>
  <si>
    <t>Наумкин</t>
  </si>
  <si>
    <t>Яковенко</t>
  </si>
  <si>
    <t xml:space="preserve">Наумкин </t>
  </si>
  <si>
    <t xml:space="preserve">Яковенко </t>
  </si>
  <si>
    <t>06.10 попала под удар БПЛА</t>
  </si>
  <si>
    <t>замена подшипника ступицы (2500з/ч+5000 работа)</t>
  </si>
  <si>
    <t>Алтунин</t>
  </si>
  <si>
    <t>на маршруте</t>
  </si>
  <si>
    <t xml:space="preserve"> 278  Сосиски Сочинки с сочным окороком, МГС 0.4кг, 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</si>
  <si>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</si>
  <si>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</si>
  <si>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</si>
  <si>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</si>
  <si>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346  Колбаса Сочинка зернистая с сочной грудинкой ТМ Стародворье.ВЕС ПОКОМ</t>
  </si>
  <si>
    <t xml:space="preserve"> 456  Колбаса Филейная ТМ Особый рецепт ВЕС большой батон  ПОКОМ</t>
  </si>
  <si>
    <t>Пельмени Grandmeni с говядиной и свининой ТМ Горячаяштучка флоу-па классическая форма 0,7 кг.  Поком</t>
  </si>
  <si>
    <t xml:space="preserve"> 240  Колбаса Салями охотничья, ВЕС. ПОКОМ</t>
  </si>
  <si>
    <t>4063 МЯСНАЯ Папа может вар п/о_Л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</si>
  <si>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</si>
  <si>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</si>
  <si>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6498 МОЛОЧНАЯ Папа может вар п/о  ОСТАНКИНО</t>
  </si>
  <si>
    <t>6713 СОЧНЫЙ ГРИЛЬ ПМ сос п/о мгс 0,41кг 8 шт.  ОСТАНКИНО</t>
  </si>
  <si>
    <t>7157 СЕРВЕЛАТ ЗЕРНИСТЫЙ ПМ в/к в/у_50с  Останкино</t>
  </si>
  <si>
    <t>7166 СЕРВЕЛАТ ОХОТНИЧИЙ ПМ в/к в/у_50с  Останкино</t>
  </si>
  <si>
    <t xml:space="preserve"> 297  Колбаса Мясорубская с рубленой грудинкой ВЕС ТМ Стародворье  ПОКОМ</t>
  </si>
  <si>
    <t xml:space="preserve"> 328  Сардельки Сочинки Стародворье ТМ  0,4 кг ПОКОМ</t>
  </si>
  <si>
    <t xml:space="preserve"> 377  Колбаса Молочная Дугушка 0,6кг ТМ Стародворье  ПОКОМ</t>
  </si>
  <si>
    <t xml:space="preserve"> 556  Колбаса Сервелат Ореховый ТМ Вязанка в оболочке фиброуз в вакуумной упаковке, ВЕС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</si>
  <si>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</si>
  <si>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</si>
  <si>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Пельмени Бигбули #МЕГАВКУСИЩЕ с сочной грудинкой  ТМ Горячая штучка  флоу-пак сфера 0,7 кг.  Поком</t>
  </si>
  <si>
    <t>Хотстеры Васаби-чили ТМ Горячая штучка ТС Хотстеры 0,23кг жареные ПОКОМ</t>
  </si>
  <si>
    <t>Чебупицца со вкусом Том ям ТМ Горячая штучка ТС Чебупицца 0,23кг жареные ПОКОМ</t>
  </si>
  <si>
    <t>Чебуреки сочные ТМ Зареченские ТС Зареченские продукты.  Поком10</t>
  </si>
  <si>
    <t>6209 Блинчики с куриным мясом пл. 1/350 зам. ОСТАНКИНО</t>
  </si>
  <si>
    <t>6475 Сосиски Папа может 400г С сыром  ОСТАНКИНО</t>
  </si>
  <si>
    <t>7083 СЛИВОЧНЫЕ ПМ сос п/о мгс 1.5*4_А_50с  ОСТАНКИНО</t>
  </si>
  <si>
    <t>7603 БАЛЫКОВАЯ в/к в/у 0.33кг 8шт.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</si>
  <si>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</si>
  <si>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</si>
  <si>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</si>
  <si>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</si>
  <si>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</si>
  <si>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ПАПА МОЖЕТ "Папин завтрак"  45% 180 г  Останкино</t>
  </si>
  <si>
    <t>двигатель не отправили</t>
  </si>
  <si>
    <t>отказ</t>
  </si>
  <si>
    <t>забрали 14.10</t>
  </si>
  <si>
    <t>7562 КРАКОВСКАЯ ГОСТ Останкино п/к н/о мгс  ОСТАНКИНО</t>
  </si>
  <si>
    <t>7564 Балыковая в/к в/у Останкино Вес  ОСТАНКИНО</t>
  </si>
  <si>
    <t>Масло сливочное 72,5 % 180 гр.(10 шт) СЛАВЯНА  Останкино</t>
  </si>
  <si>
    <t>Сыч/Прод Коровино Тильзитер 50% 200г НОВАЯ СЗМЖ  ОСТАНКИНО</t>
  </si>
  <si>
    <t xml:space="preserve"> 255  Сосиски Молочные для завтрака ТМ Особый рецепт, п/а МГС, ВЕС, ТМ Стародворье  ПОКОМ</t>
  </si>
  <si>
    <t xml:space="preserve"> 319  Колбаса вареная Филейская ТМ Вязанка ТС Классическая, 0,45 кг. ПОКОМ</t>
  </si>
  <si>
    <t>БОНУС_Наггетсы Нагетосы Сочная курочка ТМ Горячая штучка 0,25 кг зам  ПОКОМ</t>
  </si>
  <si>
    <t>Наггетсы Хрустящие НД2. ВЕС.  ПОКОМ</t>
  </si>
  <si>
    <t>Чебуреки Мясные вес 2,7 кг ТМ Зареченские ТС Зареченские продукты   Поком</t>
  </si>
  <si>
    <t>4421577 Спред растительно-сливочный "Сливочный вкус" 82,5% 180гр  Останкино</t>
  </si>
  <si>
    <t>6470 ВЕТЧ.МРАМОРНАЯ в/у_45с  ОСТАНКИНО</t>
  </si>
  <si>
    <t>6797 С ИНДЕЙКОЙ Папа может вар п/о 0,4кг 8шт. ОСТАНКИНО</t>
  </si>
  <si>
    <t>7216 СОЧНЫЕ СО СЛ.МАСЛ.ПМ пельм пл.0.7кг зам. ОСТАНКИНО</t>
  </si>
  <si>
    <t>7513 ВОСКРЕСЕНСКАЯ ВЯЛЕНАЯ в/к в/у срез 1/260  ОСТАНКИНО</t>
  </si>
  <si>
    <t>7539 ДОКТОРСКАЯ ГОСТ вар п/о 0,35кг ОСТАНКИНО</t>
  </si>
  <si>
    <t xml:space="preserve"> 016  Сосиски Вязанка Молочные, Вязанка вискофан  ВЕС.ПОКОМ</t>
  </si>
  <si>
    <t xml:space="preserve"> 200  Ветчина Дугушка ТМ Стародворье, вектор в/у    ПОКОМ</t>
  </si>
  <si>
    <t xml:space="preserve"> 032  Сосиски Вязанка Сливочные, Вязанка амицел МГС, 0.45кг, ПОКОМ</t>
  </si>
  <si>
    <t xml:space="preserve"> 309  Сосиски Сочинки с сыром 0,4 кг ТМ Стародворье  ПОКОМ</t>
  </si>
  <si>
    <t xml:space="preserve"> 347  Колбаса Сочинка рубленая с сочным окороком ТМ Стародворье ВЕС ПОКОМ</t>
  </si>
  <si>
    <t xml:space="preserve"> 558  Колбаса Балыковая НОВАЯ ВЕС Вязанка фиброуз в/у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</si>
  <si>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</si>
  <si>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</si>
  <si>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</si>
  <si>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Готовые чебупели с ветчиной и сыром 0,24 кг НОВАЯ ТМ Горячая штучка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</si>
  <si>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</si>
  <si>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</si>
  <si>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</si>
  <si>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</si>
  <si>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</si>
  <si>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</si>
  <si>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</si>
  <si>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</si>
  <si>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 xml:space="preserve"> 017  Сосиски Вязанка Сливочные, Вязанка амицел ВЕС.ПОКОМ</t>
  </si>
  <si>
    <t xml:space="preserve"> 283  Сосиски Сочинки, ВЕС, ТМ Стародворье ПОКОМ</t>
  </si>
  <si>
    <t xml:space="preserve"> 344  Колбаса Сочинка по-европейски с сочной грудинкой ТМ Стародворье, ВЕС ПОКОМ</t>
  </si>
  <si>
    <t>Пельмени Медвежье ушко Премиум Мясные ТМ Медвежье ушко классическая форма флоу-пак 0,8 кг. ПОКОМ</t>
  </si>
  <si>
    <t>Сыч/Прод Коровино Тильзитер Оригин 50% ВЕС НОВАЯ (5 кг брус) СЗМЖ  ОСТАНКИНО</t>
  </si>
  <si>
    <t>КИ</t>
  </si>
  <si>
    <t>не в матрице</t>
  </si>
  <si>
    <t>рост продаж в 1,5 раза</t>
  </si>
  <si>
    <t>рост продаж в 5 раз</t>
  </si>
  <si>
    <t>не стабильные продажи</t>
  </si>
  <si>
    <t>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</si>
</sst>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\ _₽"/>
    <numFmt numFmtId="166" formatCode="[$-419]d\ mmm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28"/>
      <color theme="2" tint="-0.89999084444715716"/>
      <name val="Calibri"/>
      <family val="2"/>
      <scheme val="minor"/>
    </font>
    <font>
      <b/>
      <sz val="26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22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20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charset val="204"/>
      <scheme val="minor"/>
    </font>
    <font>
      <sz val="8"/>
      <color theme="2" tint="-0.89999084444715716"/>
      <name val="Arial"/>
      <family val="2"/>
    </font>
    <font>
      <b/>
      <sz val="14"/>
      <color theme="1"/>
      <name val="Calibri"/>
      <family val="2"/>
      <scheme val="minor"/>
    </font>
    <font>
      <sz val="11"/>
      <color theme="2" tint="-0.89999084444715716"/>
      <name val="Calibri (Основной текст)"/>
      <charset val="204"/>
    </font>
    <font>
      <sz val="11"/>
      <name val="Calibri"/>
      <family val="2"/>
      <scheme val="minor"/>
    </font>
    <font>
      <sz val="11"/>
      <color rgb="FF161616"/>
      <name val="Calibri"/>
      <family val="2"/>
      <scheme val="minor"/>
    </font>
    <font>
      <b/>
      <sz val="8"/>
      <color theme="2" tint="-0.89999084444715716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2" tint="-0.89999084444715716"/>
      <name val="Calibri"/>
      <family val="2"/>
      <charset val="204"/>
      <scheme val="minor"/>
    </font>
    <font>
      <sz val="11"/>
      <color theme="2" tint="-0.89989928891872917"/>
      <name val="Calibri"/>
      <family val="2"/>
      <scheme val="minor"/>
    </font>
    <font>
      <b/>
      <sz val="11"/>
      <color theme="2" tint="-0.89989928891872917"/>
      <name val="Calibri"/>
      <family val="2"/>
      <scheme val="minor"/>
    </font>
    <font>
      <sz val="11"/>
      <color theme="2" tint="-0.89989928891872917"/>
      <name val="Calibri"/>
      <family val="2"/>
      <charset val="204"/>
      <scheme val="minor"/>
    </font>
    <font>
      <b/>
      <sz val="11"/>
      <color rgb="FF161616"/>
      <name val="Calibri"/>
      <family val="2"/>
      <charset val="204"/>
      <scheme val="minor"/>
    </font>
    <font>
      <sz val="11"/>
      <color indexed="6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indexed="63"/>
      <name val="Calibri"/>
      <family val="2"/>
      <charset val="204"/>
      <scheme val="minor"/>
    </font>
    <font>
      <b/>
      <sz val="11"/>
      <color theme="9" tint="-0.499984740745262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292">
    <xf numFmtId="0" fontId="0" fillId="0" borderId="0" xfId="0"/>
    <xf numFmtId="0" fontId="9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wrapText="1"/>
    </xf>
    <xf numFmtId="0" fontId="18" fillId="0" borderId="0" xfId="0" applyFont="1"/>
    <xf numFmtId="165" fontId="18" fillId="0" borderId="18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19" fillId="0" borderId="0" xfId="1" applyFont="1" applyAlignment="1">
      <alignment vertical="top" wrapText="1"/>
    </xf>
    <xf numFmtId="20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64" fontId="19" fillId="0" borderId="0" xfId="2" applyNumberFormat="1" applyFont="1" applyAlignment="1">
      <alignment horizontal="center" vertical="top"/>
    </xf>
    <xf numFmtId="0" fontId="11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20" fontId="22" fillId="0" borderId="26" xfId="0" applyNumberFormat="1" applyFont="1" applyBorder="1" applyAlignment="1">
      <alignment horizontal="center" vertical="center"/>
    </xf>
    <xf numFmtId="1" fontId="25" fillId="2" borderId="26" xfId="0" applyNumberFormat="1" applyFont="1" applyFill="1" applyBorder="1" applyAlignment="1">
      <alignment horizontal="center" vertical="center"/>
    </xf>
    <xf numFmtId="20" fontId="25" fillId="0" borderId="26" xfId="0" applyNumberFormat="1" applyFont="1" applyBorder="1" applyAlignment="1">
      <alignment horizontal="center" vertical="center"/>
    </xf>
    <xf numFmtId="0" fontId="5" fillId="2" borderId="26" xfId="0" applyFont="1" applyFill="1" applyBorder="1" applyAlignment="1">
      <alignment horizontal="left" vertical="center" wrapText="1"/>
    </xf>
    <xf numFmtId="3" fontId="11" fillId="0" borderId="0" xfId="0" applyNumberFormat="1" applyFont="1" applyAlignment="1">
      <alignment horizontal="center" vertical="center"/>
    </xf>
    <xf numFmtId="3" fontId="25" fillId="2" borderId="26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7" fillId="0" borderId="0" xfId="0" applyFont="1"/>
    <xf numFmtId="0" fontId="28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/>
    </xf>
    <xf numFmtId="165" fontId="18" fillId="0" borderId="18" xfId="0" applyNumberFormat="1" applyFont="1" applyBorder="1" applyAlignment="1">
      <alignment horizontal="center" vertical="center"/>
    </xf>
    <xf numFmtId="20" fontId="15" fillId="0" borderId="18" xfId="0" applyNumberFormat="1" applyFont="1" applyBorder="1" applyAlignment="1">
      <alignment horizontal="center" vertical="center"/>
    </xf>
    <xf numFmtId="20" fontId="15" fillId="0" borderId="19" xfId="0" applyNumberFormat="1" applyFont="1" applyBorder="1" applyAlignment="1">
      <alignment horizontal="center" vertical="center"/>
    </xf>
    <xf numFmtId="20" fontId="26" fillId="2" borderId="26" xfId="0" applyNumberFormat="1" applyFont="1" applyFill="1" applyBorder="1" applyAlignment="1">
      <alignment horizontal="center" vertical="center" wrapText="1"/>
    </xf>
    <xf numFmtId="20" fontId="26" fillId="2" borderId="34" xfId="0" applyNumberFormat="1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/>
    </xf>
    <xf numFmtId="20" fontId="25" fillId="2" borderId="26" xfId="0" applyNumberFormat="1" applyFont="1" applyFill="1" applyBorder="1" applyAlignment="1">
      <alignment horizontal="center" vertical="center"/>
    </xf>
    <xf numFmtId="165" fontId="29" fillId="0" borderId="36" xfId="0" applyNumberFormat="1" applyFont="1" applyBorder="1" applyAlignment="1">
      <alignment horizontal="center" vertical="center"/>
    </xf>
    <xf numFmtId="0" fontId="3" fillId="2" borderId="26" xfId="1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horizontal="center"/>
    </xf>
    <xf numFmtId="0" fontId="2" fillId="0" borderId="26" xfId="0" applyFont="1" applyBorder="1" applyAlignment="1">
      <alignment horizontal="left" vertical="center" wrapText="1"/>
    </xf>
    <xf numFmtId="0" fontId="2" fillId="2" borderId="26" xfId="0" applyFont="1" applyFill="1" applyBorder="1" applyAlignment="1">
      <alignment horizontal="center" vertical="center" wrapText="1"/>
    </xf>
    <xf numFmtId="166" fontId="11" fillId="0" borderId="0" xfId="0" applyNumberFormat="1" applyFont="1"/>
    <xf numFmtId="166" fontId="25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right"/>
    </xf>
    <xf numFmtId="165" fontId="18" fillId="0" borderId="0" xfId="0" applyNumberFormat="1" applyFont="1" applyAlignment="1">
      <alignment horizontal="center"/>
    </xf>
    <xf numFmtId="4" fontId="24" fillId="0" borderId="0" xfId="1" applyNumberFormat="1" applyFont="1"/>
    <xf numFmtId="0" fontId="18" fillId="0" borderId="0" xfId="0" applyFont="1" applyAlignment="1">
      <alignment horizontal="center"/>
    </xf>
    <xf numFmtId="49" fontId="25" fillId="0" borderId="10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0" xfId="0" applyFont="1"/>
    <xf numFmtId="0" fontId="15" fillId="3" borderId="26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16" fillId="2" borderId="44" xfId="0" applyFont="1" applyFill="1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 wrapText="1"/>
    </xf>
    <xf numFmtId="0" fontId="31" fillId="4" borderId="26" xfId="3" applyFont="1" applyFill="1" applyBorder="1" applyAlignment="1">
      <alignment horizontal="left" vertical="center"/>
    </xf>
    <xf numFmtId="0" fontId="25" fillId="2" borderId="26" xfId="1" applyFont="1" applyFill="1" applyBorder="1" applyAlignment="1">
      <alignment horizontal="center" vertical="center" wrapText="1"/>
    </xf>
    <xf numFmtId="1" fontId="26" fillId="0" borderId="44" xfId="0" applyNumberFormat="1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3" fontId="25" fillId="2" borderId="44" xfId="1" applyNumberFormat="1" applyFont="1" applyFill="1" applyBorder="1" applyAlignment="1">
      <alignment horizontal="center" vertical="center"/>
    </xf>
    <xf numFmtId="165" fontId="18" fillId="0" borderId="48" xfId="0" applyNumberFormat="1" applyFont="1" applyBorder="1" applyAlignment="1">
      <alignment horizontal="center"/>
    </xf>
    <xf numFmtId="20" fontId="18" fillId="0" borderId="48" xfId="0" applyNumberFormat="1" applyFont="1" applyBorder="1" applyAlignment="1">
      <alignment horizontal="center" vertical="center"/>
    </xf>
    <xf numFmtId="165" fontId="18" fillId="0" borderId="49" xfId="0" applyNumberFormat="1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2" fillId="2" borderId="26" xfId="1" applyFont="1" applyFill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14" fontId="18" fillId="0" borderId="26" xfId="0" applyNumberFormat="1" applyFont="1" applyBorder="1" applyAlignment="1">
      <alignment vertical="center"/>
    </xf>
    <xf numFmtId="2" fontId="25" fillId="0" borderId="10" xfId="0" applyNumberFormat="1" applyFont="1" applyBorder="1" applyAlignment="1">
      <alignment horizontal="center" vertical="center"/>
    </xf>
    <xf numFmtId="49" fontId="33" fillId="0" borderId="10" xfId="0" applyNumberFormat="1" applyFont="1" applyBorder="1" applyAlignment="1">
      <alignment horizontal="center" vertical="center"/>
    </xf>
    <xf numFmtId="166" fontId="33" fillId="0" borderId="26" xfId="0" applyNumberFormat="1" applyFont="1" applyBorder="1" applyAlignment="1">
      <alignment horizontal="center" vertical="center"/>
    </xf>
    <xf numFmtId="0" fontId="32" fillId="2" borderId="26" xfId="0" applyFont="1" applyFill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25" fillId="0" borderId="26" xfId="0" applyNumberFormat="1" applyFont="1" applyBorder="1" applyAlignment="1">
      <alignment horizontal="center" vertical="center" wrapText="1"/>
    </xf>
    <xf numFmtId="166" fontId="33" fillId="0" borderId="26" xfId="0" applyNumberFormat="1" applyFont="1" applyBorder="1" applyAlignment="1">
      <alignment horizontal="left" vertical="top" wrapText="1"/>
    </xf>
    <xf numFmtId="49" fontId="33" fillId="0" borderId="26" xfId="0" applyNumberFormat="1" applyFont="1" applyBorder="1" applyAlignment="1">
      <alignment horizontal="center" vertical="center"/>
    </xf>
    <xf numFmtId="2" fontId="25" fillId="0" borderId="26" xfId="0" applyNumberFormat="1" applyFont="1" applyBorder="1" applyAlignment="1">
      <alignment horizontal="center" vertical="center"/>
    </xf>
    <xf numFmtId="1" fontId="11" fillId="0" borderId="26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166" fontId="25" fillId="0" borderId="26" xfId="0" applyNumberFormat="1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65" fontId="18" fillId="0" borderId="55" xfId="0" applyNumberFormat="1" applyFont="1" applyBorder="1" applyAlignment="1">
      <alignment horizontal="center"/>
    </xf>
    <xf numFmtId="0" fontId="15" fillId="3" borderId="2" xfId="0" applyFont="1" applyFill="1" applyBorder="1" applyAlignment="1">
      <alignment horizontal="center" vertical="center" wrapText="1"/>
    </xf>
    <xf numFmtId="0" fontId="23" fillId="0" borderId="45" xfId="0" applyFont="1" applyBorder="1" applyAlignment="1">
      <alignment horizontal="center"/>
    </xf>
    <xf numFmtId="0" fontId="2" fillId="0" borderId="48" xfId="0" applyFont="1" applyBorder="1" applyAlignment="1">
      <alignment horizontal="left" vertical="center" wrapText="1"/>
    </xf>
    <xf numFmtId="0" fontId="2" fillId="0" borderId="48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6" fontId="25" fillId="0" borderId="28" xfId="0" applyNumberFormat="1" applyFont="1" applyBorder="1" applyAlignment="1">
      <alignment horizontal="center" vertical="center"/>
    </xf>
    <xf numFmtId="165" fontId="33" fillId="0" borderId="48" xfId="0" applyNumberFormat="1" applyFont="1" applyBorder="1" applyAlignment="1">
      <alignment horizontal="center" vertical="center" wrapText="1"/>
    </xf>
    <xf numFmtId="49" fontId="25" fillId="0" borderId="28" xfId="0" applyNumberFormat="1" applyFont="1" applyBorder="1" applyAlignment="1">
      <alignment horizontal="center" vertical="center"/>
    </xf>
    <xf numFmtId="0" fontId="34" fillId="4" borderId="26" xfId="3" applyFont="1" applyFill="1" applyBorder="1" applyAlignment="1">
      <alignment horizontal="left" vertical="center"/>
    </xf>
    <xf numFmtId="0" fontId="33" fillId="0" borderId="15" xfId="0" applyFont="1" applyBorder="1" applyAlignment="1">
      <alignment horizontal="center" vertical="center"/>
    </xf>
    <xf numFmtId="14" fontId="18" fillId="0" borderId="26" xfId="0" applyNumberFormat="1" applyFont="1" applyBorder="1" applyAlignment="1">
      <alignment horizontal="left"/>
    </xf>
    <xf numFmtId="14" fontId="33" fillId="0" borderId="10" xfId="0" applyNumberFormat="1" applyFont="1" applyBorder="1" applyAlignment="1">
      <alignment horizontal="left" vertical="center"/>
    </xf>
    <xf numFmtId="0" fontId="32" fillId="2" borderId="15" xfId="0" applyFont="1" applyFill="1" applyBorder="1" applyAlignment="1">
      <alignment horizontal="left" vertical="center" wrapText="1"/>
    </xf>
    <xf numFmtId="0" fontId="35" fillId="0" borderId="26" xfId="0" applyFont="1" applyBorder="1" applyAlignment="1">
      <alignment horizontal="center" vertical="center"/>
    </xf>
    <xf numFmtId="0" fontId="35" fillId="2" borderId="15" xfId="0" applyFont="1" applyFill="1" applyBorder="1" applyAlignment="1">
      <alignment horizontal="center" vertical="center" wrapText="1"/>
    </xf>
    <xf numFmtId="0" fontId="35" fillId="2" borderId="26" xfId="1" applyFont="1" applyFill="1" applyBorder="1" applyAlignment="1">
      <alignment horizontal="center" vertical="center" wrapText="1"/>
    </xf>
    <xf numFmtId="14" fontId="35" fillId="0" borderId="10" xfId="0" applyNumberFormat="1" applyFont="1" applyBorder="1" applyAlignment="1">
      <alignment horizontal="left" vertical="top" wrapText="1"/>
    </xf>
    <xf numFmtId="1" fontId="35" fillId="0" borderId="26" xfId="0" applyNumberFormat="1" applyFont="1" applyBorder="1" applyAlignment="1">
      <alignment horizontal="center" vertical="center" wrapText="1"/>
    </xf>
    <xf numFmtId="49" fontId="35" fillId="0" borderId="10" xfId="0" applyNumberFormat="1" applyFont="1" applyBorder="1" applyAlignment="1">
      <alignment horizontal="center" vertical="center"/>
    </xf>
    <xf numFmtId="166" fontId="35" fillId="0" borderId="26" xfId="0" applyNumberFormat="1" applyFont="1" applyBorder="1" applyAlignment="1">
      <alignment horizontal="center" vertical="center"/>
    </xf>
    <xf numFmtId="2" fontId="36" fillId="0" borderId="10" xfId="0" applyNumberFormat="1" applyFont="1" applyBorder="1" applyAlignment="1">
      <alignment horizontal="center" vertical="center"/>
    </xf>
    <xf numFmtId="165" fontId="29" fillId="0" borderId="37" xfId="0" applyNumberFormat="1" applyFont="1" applyBorder="1" applyAlignment="1">
      <alignment horizontal="center" vertical="center"/>
    </xf>
    <xf numFmtId="165" fontId="29" fillId="0" borderId="38" xfId="0" applyNumberFormat="1" applyFont="1" applyBorder="1" applyAlignment="1">
      <alignment horizontal="center" vertical="center"/>
    </xf>
    <xf numFmtId="0" fontId="28" fillId="0" borderId="62" xfId="0" applyFont="1" applyBorder="1" applyAlignment="1">
      <alignment horizontal="center" vertical="center"/>
    </xf>
    <xf numFmtId="165" fontId="28" fillId="0" borderId="63" xfId="0" applyNumberFormat="1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165" fontId="29" fillId="0" borderId="26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3" borderId="26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14" fontId="18" fillId="0" borderId="26" xfId="0" applyNumberFormat="1" applyFont="1" applyBorder="1" applyAlignment="1">
      <alignment horizontal="left" vertical="top" wrapText="1"/>
    </xf>
    <xf numFmtId="0" fontId="18" fillId="5" borderId="26" xfId="0" applyFont="1" applyFill="1" applyBorder="1" applyAlignment="1">
      <alignment horizontal="center" vertical="center"/>
    </xf>
    <xf numFmtId="0" fontId="33" fillId="5" borderId="26" xfId="0" applyFont="1" applyFill="1" applyBorder="1" applyAlignment="1">
      <alignment horizontal="center" vertical="center"/>
    </xf>
    <xf numFmtId="0" fontId="33" fillId="5" borderId="15" xfId="0" applyFont="1" applyFill="1" applyBorder="1" applyAlignment="1">
      <alignment horizontal="center" vertical="center"/>
    </xf>
    <xf numFmtId="0" fontId="33" fillId="5" borderId="15" xfId="0" applyFont="1" applyFill="1" applyBorder="1" applyAlignment="1">
      <alignment horizontal="center" vertical="center" wrapText="1"/>
    </xf>
    <xf numFmtId="14" fontId="33" fillId="5" borderId="10" xfId="0" applyNumberFormat="1" applyFont="1" applyFill="1" applyBorder="1" applyAlignment="1">
      <alignment horizontal="left" vertical="center"/>
    </xf>
    <xf numFmtId="1" fontId="33" fillId="5" borderId="26" xfId="0" applyNumberFormat="1" applyFont="1" applyFill="1" applyBorder="1" applyAlignment="1">
      <alignment horizontal="center" vertical="center" wrapText="1"/>
    </xf>
    <xf numFmtId="49" fontId="33" fillId="5" borderId="10" xfId="0" applyNumberFormat="1" applyFont="1" applyFill="1" applyBorder="1" applyAlignment="1">
      <alignment horizontal="center" vertical="center"/>
    </xf>
    <xf numFmtId="166" fontId="33" fillId="5" borderId="26" xfId="0" applyNumberFormat="1" applyFont="1" applyFill="1" applyBorder="1" applyAlignment="1">
      <alignment horizontal="center" vertical="center"/>
    </xf>
    <xf numFmtId="2" fontId="25" fillId="5" borderId="10" xfId="0" applyNumberFormat="1" applyFont="1" applyFill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7" fillId="0" borderId="26" xfId="0" applyFont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3" borderId="26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left" vertical="center"/>
    </xf>
    <xf numFmtId="165" fontId="29" fillId="6" borderId="36" xfId="0" applyNumberFormat="1" applyFont="1" applyFill="1" applyBorder="1" applyAlignment="1">
      <alignment horizontal="center" vertical="center"/>
    </xf>
    <xf numFmtId="165" fontId="29" fillId="6" borderId="37" xfId="0" applyNumberFormat="1" applyFont="1" applyFill="1" applyBorder="1" applyAlignment="1">
      <alignment horizontal="center" vertical="center"/>
    </xf>
    <xf numFmtId="165" fontId="29" fillId="6" borderId="38" xfId="0" applyNumberFormat="1" applyFont="1" applyFill="1" applyBorder="1" applyAlignment="1">
      <alignment horizontal="center" vertical="center"/>
    </xf>
    <xf numFmtId="165" fontId="29" fillId="6" borderId="26" xfId="0" applyNumberFormat="1" applyFont="1" applyFill="1" applyBorder="1" applyAlignment="1">
      <alignment horizontal="center" vertical="center"/>
    </xf>
    <xf numFmtId="0" fontId="11" fillId="7" borderId="0" xfId="0" applyFont="1" applyFill="1"/>
    <xf numFmtId="0" fontId="16" fillId="2" borderId="26" xfId="0" applyFont="1" applyFill="1" applyBorder="1" applyAlignment="1">
      <alignment horizontal="left" vertical="center"/>
    </xf>
    <xf numFmtId="0" fontId="15" fillId="3" borderId="26" xfId="0" applyFont="1" applyFill="1" applyBorder="1" applyAlignment="1">
      <alignment horizontal="left" vertical="center" wrapText="1"/>
    </xf>
    <xf numFmtId="3" fontId="25" fillId="2" borderId="26" xfId="1" applyNumberFormat="1" applyFont="1" applyFill="1" applyBorder="1" applyAlignment="1">
      <alignment horizontal="left" vertical="center"/>
    </xf>
    <xf numFmtId="0" fontId="26" fillId="0" borderId="26" xfId="0" applyFont="1" applyBorder="1" applyAlignment="1">
      <alignment horizontal="left" vertical="center"/>
    </xf>
    <xf numFmtId="165" fontId="18" fillId="0" borderId="48" xfId="0" applyNumberFormat="1" applyFont="1" applyBorder="1" applyAlignment="1">
      <alignment horizontal="left"/>
    </xf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5" fillId="0" borderId="15" xfId="0" applyFont="1" applyBorder="1" applyAlignment="1">
      <alignment horizontal="left" vertical="center"/>
    </xf>
    <xf numFmtId="2" fontId="25" fillId="0" borderId="10" xfId="0" applyNumberFormat="1" applyFont="1" applyBorder="1" applyAlignment="1">
      <alignment horizontal="left" vertical="center"/>
    </xf>
    <xf numFmtId="2" fontId="25" fillId="0" borderId="26" xfId="0" applyNumberFormat="1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49" fontId="25" fillId="0" borderId="26" xfId="0" applyNumberFormat="1" applyFont="1" applyBorder="1" applyAlignment="1">
      <alignment horizontal="left" vertical="center"/>
    </xf>
    <xf numFmtId="49" fontId="25" fillId="0" borderId="10" xfId="0" applyNumberFormat="1" applyFont="1" applyBorder="1" applyAlignment="1">
      <alignment horizontal="left" vertical="center"/>
    </xf>
    <xf numFmtId="49" fontId="25" fillId="0" borderId="28" xfId="0" applyNumberFormat="1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5" fillId="7" borderId="0" xfId="0" applyFont="1" applyFill="1" applyAlignment="1">
      <alignment horizontal="left" vertical="center"/>
    </xf>
    <xf numFmtId="0" fontId="27" fillId="0" borderId="26" xfId="0" applyFont="1" applyBorder="1" applyAlignment="1">
      <alignment horizontal="left" vertical="center"/>
    </xf>
    <xf numFmtId="0" fontId="28" fillId="0" borderId="56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7" fillId="0" borderId="8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14" fontId="33" fillId="0" borderId="28" xfId="0" applyNumberFormat="1" applyFont="1" applyBorder="1" applyAlignment="1">
      <alignment horizontal="center" vertical="center"/>
    </xf>
    <xf numFmtId="14" fontId="33" fillId="0" borderId="42" xfId="0" applyNumberFormat="1" applyFont="1" applyBorder="1" applyAlignment="1">
      <alignment horizontal="center" vertical="center"/>
    </xf>
    <xf numFmtId="14" fontId="25" fillId="0" borderId="8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14" fontId="25" fillId="0" borderId="26" xfId="0" applyNumberFormat="1" applyFont="1" applyBorder="1" applyAlignment="1">
      <alignment horizontal="center" vertical="center"/>
    </xf>
    <xf numFmtId="14" fontId="25" fillId="0" borderId="44" xfId="0" applyNumberFormat="1" applyFont="1" applyBorder="1" applyAlignment="1">
      <alignment horizontal="center" vertical="center"/>
    </xf>
    <xf numFmtId="0" fontId="15" fillId="3" borderId="60" xfId="0" applyFont="1" applyFill="1" applyBorder="1" applyAlignment="1">
      <alignment horizontal="center" vertical="center" wrapText="1"/>
    </xf>
    <xf numFmtId="0" fontId="15" fillId="3" borderId="6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0" fillId="2" borderId="26" xfId="0" applyNumberFormat="1" applyFill="1" applyBorder="1" applyAlignment="1">
      <alignment horizontal="center" vertical="center"/>
    </xf>
    <xf numFmtId="1" fontId="0" fillId="2" borderId="40" xfId="0" applyNumberFormat="1" applyFill="1" applyBorder="1" applyAlignment="1">
      <alignment horizontal="center" vertical="center"/>
    </xf>
    <xf numFmtId="3" fontId="6" fillId="0" borderId="22" xfId="0" applyNumberFormat="1" applyFont="1" applyBorder="1" applyAlignment="1">
      <alignment horizontal="center" vertical="center"/>
    </xf>
    <xf numFmtId="3" fontId="6" fillId="0" borderId="23" xfId="0" applyNumberFormat="1" applyFont="1" applyBorder="1" applyAlignment="1">
      <alignment horizontal="center" vertical="center"/>
    </xf>
    <xf numFmtId="3" fontId="6" fillId="2" borderId="22" xfId="0" applyNumberFormat="1" applyFont="1" applyFill="1" applyBorder="1" applyAlignment="1">
      <alignment horizontal="center" vertical="center"/>
    </xf>
    <xf numFmtId="3" fontId="6" fillId="2" borderId="23" xfId="0" applyNumberFormat="1" applyFont="1" applyFill="1" applyBorder="1" applyAlignment="1">
      <alignment horizontal="center" vertical="center"/>
    </xf>
    <xf numFmtId="3" fontId="6" fillId="2" borderId="24" xfId="0" applyNumberFormat="1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1" fontId="5" fillId="2" borderId="9" xfId="0" applyNumberFormat="1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15" fillId="3" borderId="59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1" fontId="0" fillId="2" borderId="8" xfId="0" applyNumberFormat="1" applyFill="1" applyBorder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1" fontId="4" fillId="2" borderId="28" xfId="0" applyNumberFormat="1" applyFont="1" applyFill="1" applyBorder="1" applyAlignment="1">
      <alignment horizontal="center" vertical="center"/>
    </xf>
    <xf numFmtId="1" fontId="5" fillId="2" borderId="25" xfId="0" applyNumberFormat="1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" fontId="7" fillId="0" borderId="26" xfId="0" applyNumberFormat="1" applyFont="1" applyBorder="1" applyAlignment="1">
      <alignment horizontal="center" vertical="center" wrapText="1"/>
    </xf>
    <xf numFmtId="1" fontId="7" fillId="0" borderId="40" xfId="0" applyNumberFormat="1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18" fillId="0" borderId="52" xfId="0" applyFont="1" applyBorder="1" applyAlignment="1">
      <alignment horizontal="right"/>
    </xf>
    <xf numFmtId="0" fontId="18" fillId="0" borderId="53" xfId="0" applyFont="1" applyBorder="1" applyAlignment="1">
      <alignment horizontal="right"/>
    </xf>
    <xf numFmtId="0" fontId="18" fillId="0" borderId="54" xfId="0" applyFont="1" applyBorder="1" applyAlignment="1">
      <alignment horizontal="right"/>
    </xf>
    <xf numFmtId="165" fontId="18" fillId="0" borderId="56" xfId="0" applyNumberFormat="1" applyFont="1" applyBorder="1" applyAlignment="1">
      <alignment horizontal="left"/>
    </xf>
    <xf numFmtId="165" fontId="18" fillId="0" borderId="53" xfId="0" applyNumberFormat="1" applyFont="1" applyBorder="1" applyAlignment="1">
      <alignment horizontal="left"/>
    </xf>
    <xf numFmtId="165" fontId="18" fillId="0" borderId="57" xfId="0" applyNumberFormat="1" applyFont="1" applyBorder="1" applyAlignment="1">
      <alignment horizontal="left"/>
    </xf>
    <xf numFmtId="0" fontId="15" fillId="3" borderId="58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14" fontId="33" fillId="0" borderId="8" xfId="0" applyNumberFormat="1" applyFont="1" applyBorder="1" applyAlignment="1">
      <alignment horizontal="left" vertical="top" wrapText="1"/>
    </xf>
    <xf numFmtId="14" fontId="33" fillId="0" borderId="5" xfId="0" applyNumberFormat="1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3" borderId="43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1" fontId="15" fillId="3" borderId="26" xfId="0" applyNumberFormat="1" applyFont="1" applyFill="1" applyBorder="1" applyAlignment="1">
      <alignment horizontal="center" vertical="center" wrapText="1"/>
    </xf>
    <xf numFmtId="4" fontId="15" fillId="3" borderId="26" xfId="0" applyNumberFormat="1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35" fillId="0" borderId="8" xfId="0" applyNumberFormat="1" applyFont="1" applyBorder="1" applyAlignment="1">
      <alignment horizontal="left" vertical="center" wrapText="1"/>
    </xf>
    <xf numFmtId="14" fontId="35" fillId="0" borderId="5" xfId="0" applyNumberFormat="1" applyFont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45" xfId="0" applyFont="1" applyBorder="1" applyAlignment="1">
      <alignment horizontal="right" vertical="center"/>
    </xf>
    <xf numFmtId="0" fontId="15" fillId="0" borderId="46" xfId="0" applyFont="1" applyBorder="1" applyAlignment="1">
      <alignment horizontal="right" vertical="center"/>
    </xf>
    <xf numFmtId="0" fontId="15" fillId="0" borderId="47" xfId="0" applyFont="1" applyBorder="1" applyAlignment="1">
      <alignment horizontal="right" vertical="center"/>
    </xf>
    <xf numFmtId="14" fontId="33" fillId="0" borderId="8" xfId="0" applyNumberFormat="1" applyFont="1" applyBorder="1" applyAlignment="1">
      <alignment horizontal="left" vertical="center"/>
    </xf>
    <xf numFmtId="14" fontId="33" fillId="0" borderId="5" xfId="0" applyNumberFormat="1" applyFont="1" applyBorder="1" applyAlignment="1">
      <alignment horizontal="left" vertical="center"/>
    </xf>
    <xf numFmtId="0" fontId="18" fillId="0" borderId="8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13" fillId="2" borderId="31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14" fontId="33" fillId="5" borderId="8" xfId="0" applyNumberFormat="1" applyFont="1" applyFill="1" applyBorder="1" applyAlignment="1">
      <alignment horizontal="left" vertical="center"/>
    </xf>
    <xf numFmtId="14" fontId="33" fillId="5" borderId="5" xfId="0" applyNumberFormat="1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0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7" fillId="2" borderId="26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15" fillId="3" borderId="59" xfId="0" applyFont="1" applyFill="1" applyBorder="1" applyAlignment="1">
      <alignment horizontal="left" vertical="center" wrapText="1"/>
    </xf>
    <xf numFmtId="0" fontId="15" fillId="3" borderId="7" xfId="0" applyFont="1" applyFill="1" applyBorder="1" applyAlignment="1">
      <alignment horizontal="left" vertical="center" wrapText="1"/>
    </xf>
  </cellXfs>
  <cellStyles count="4">
    <cellStyle name="Обычный" xfId="0" builtinId="0"/>
    <cellStyle name="Обычный 2" xfId="3" xr:uid="{00000000-0005-0000-0000-000001000000}"/>
    <cellStyle name="Обычный_список 2024г (3)" xfId="1" xr:uid="{00000000-0005-0000-0000-000002000000}"/>
    <cellStyle name="Обычный_список 2024г (3)_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10,26/12,10,26%20&#1054;&#1089;&#1090;&#1072;&#1085;&#1082;&#1080;&#1085;&#1086;%20&#1050;&#1048;%20&#1080;%20&#1047;&#1055;&#1060;/&#1076;&#1074;%2012,10,26%20&#1073;&#1088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</v>
          </cell>
          <cell r="S3" t="str">
            <v>ТК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ср</v>
          </cell>
          <cell r="AF3" t="str">
            <v>комментарии</v>
          </cell>
        </row>
        <row r="4">
          <cell r="O4" t="str">
            <v>13,10,</v>
          </cell>
          <cell r="P4" t="str">
            <v>12,10,</v>
          </cell>
          <cell r="R4" t="str">
            <v>20,10,</v>
          </cell>
          <cell r="S4" t="str">
            <v>Титенок</v>
          </cell>
          <cell r="V4" t="str">
            <v>05,10,</v>
          </cell>
          <cell r="W4" t="str">
            <v>28,09,</v>
          </cell>
          <cell r="X4" t="str">
            <v>21,09,</v>
          </cell>
          <cell r="Y4" t="str">
            <v>14,09,</v>
          </cell>
          <cell r="Z4" t="str">
            <v>07,09,</v>
          </cell>
          <cell r="AA4" t="str">
            <v>31,08,</v>
          </cell>
          <cell r="AB4" t="str">
            <v>24,08,</v>
          </cell>
          <cell r="AC4" t="str">
            <v>17,08,</v>
          </cell>
          <cell r="AD4" t="str">
            <v>10,08,</v>
          </cell>
          <cell r="AE4" t="str">
            <v>03,08,</v>
          </cell>
        </row>
        <row r="5">
          <cell r="E5">
            <v>6552.722999999999</v>
          </cell>
          <cell r="F5">
            <v>18418.735999999997</v>
          </cell>
          <cell r="K5">
            <v>8324.1620000000021</v>
          </cell>
          <cell r="L5">
            <v>-1771.4390000000001</v>
          </cell>
          <cell r="M5">
            <v>0</v>
          </cell>
          <cell r="N5">
            <v>0</v>
          </cell>
          <cell r="O5">
            <v>1421</v>
          </cell>
          <cell r="P5">
            <v>1310.5445999999995</v>
          </cell>
          <cell r="Q5">
            <v>5570.8878000000004</v>
          </cell>
          <cell r="R5">
            <v>6897</v>
          </cell>
          <cell r="S5">
            <v>6819</v>
          </cell>
          <cell r="V5">
            <v>1115.4724000000001</v>
          </cell>
          <cell r="W5">
            <v>1721.7382000000005</v>
          </cell>
          <cell r="X5">
            <v>2528.5627999999997</v>
          </cell>
          <cell r="Y5">
            <v>2799.6762000000008</v>
          </cell>
          <cell r="Z5">
            <v>3367.0326000000014</v>
          </cell>
          <cell r="AA5">
            <v>1979.1166000000001</v>
          </cell>
          <cell r="AB5">
            <v>3892.0544000000018</v>
          </cell>
          <cell r="AC5">
            <v>3658.2815999999993</v>
          </cell>
          <cell r="AD5">
            <v>2187.5886</v>
          </cell>
          <cell r="AE5">
            <v>2522.6506000000004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3.8</v>
          </cell>
          <cell r="D6">
            <v>54.408000000000001</v>
          </cell>
          <cell r="E6">
            <v>5.4210000000000003</v>
          </cell>
          <cell r="F6">
            <v>47.904000000000003</v>
          </cell>
          <cell r="G6">
            <v>1</v>
          </cell>
          <cell r="H6">
            <v>120</v>
          </cell>
          <cell r="I6" t="str">
            <v>матрица</v>
          </cell>
          <cell r="K6">
            <v>9</v>
          </cell>
          <cell r="L6">
            <v>-3.5789999999999997</v>
          </cell>
          <cell r="O6">
            <v>0</v>
          </cell>
          <cell r="P6">
            <v>1.0842000000000001</v>
          </cell>
          <cell r="R6">
            <v>0</v>
          </cell>
          <cell r="T6">
            <v>44.183729939125627</v>
          </cell>
          <cell r="U6">
            <v>44.183729939125627</v>
          </cell>
          <cell r="V6">
            <v>0</v>
          </cell>
          <cell r="W6">
            <v>3.7012</v>
          </cell>
          <cell r="X6">
            <v>1.3715999999999999</v>
          </cell>
          <cell r="Y6">
            <v>2.3786</v>
          </cell>
          <cell r="Z6">
            <v>0.79720000000000002</v>
          </cell>
          <cell r="AA6">
            <v>0.3392</v>
          </cell>
          <cell r="AB6">
            <v>3.1198000000000001</v>
          </cell>
          <cell r="AC6">
            <v>0</v>
          </cell>
          <cell r="AD6">
            <v>0</v>
          </cell>
          <cell r="AE6">
            <v>0</v>
          </cell>
          <cell r="AF6" t="str">
            <v>новинка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254</v>
          </cell>
          <cell r="D7">
            <v>535</v>
          </cell>
          <cell r="E7">
            <v>93</v>
          </cell>
          <cell r="F7">
            <v>405</v>
          </cell>
          <cell r="G7">
            <v>0.4</v>
          </cell>
          <cell r="H7">
            <v>60</v>
          </cell>
          <cell r="I7" t="str">
            <v>матрица</v>
          </cell>
          <cell r="K7">
            <v>100</v>
          </cell>
          <cell r="L7">
            <v>-7</v>
          </cell>
          <cell r="O7">
            <v>0</v>
          </cell>
          <cell r="P7">
            <v>18.600000000000001</v>
          </cell>
          <cell r="R7">
            <v>0</v>
          </cell>
          <cell r="T7">
            <v>21.774193548387096</v>
          </cell>
          <cell r="U7">
            <v>21.774193548387096</v>
          </cell>
          <cell r="V7">
            <v>9.6</v>
          </cell>
          <cell r="W7">
            <v>27.8</v>
          </cell>
          <cell r="X7">
            <v>29.8</v>
          </cell>
          <cell r="Y7">
            <v>43.6</v>
          </cell>
          <cell r="Z7">
            <v>69.400000000000006</v>
          </cell>
          <cell r="AA7">
            <v>26.6</v>
          </cell>
          <cell r="AB7">
            <v>68.8</v>
          </cell>
          <cell r="AC7">
            <v>75.599999999999994</v>
          </cell>
          <cell r="AD7">
            <v>35.4</v>
          </cell>
          <cell r="AE7">
            <v>54.2</v>
          </cell>
          <cell r="AF7" t="str">
            <v>нужно увеличить продажи!!!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16.670000000000002</v>
          </cell>
          <cell r="D8">
            <v>67.191000000000003</v>
          </cell>
          <cell r="E8">
            <v>1.9630000000000001</v>
          </cell>
          <cell r="F8">
            <v>31.446999999999999</v>
          </cell>
          <cell r="G8">
            <v>1</v>
          </cell>
          <cell r="H8">
            <v>120</v>
          </cell>
          <cell r="I8" t="str">
            <v>матрица</v>
          </cell>
          <cell r="K8">
            <v>5</v>
          </cell>
          <cell r="L8">
            <v>-3.0369999999999999</v>
          </cell>
          <cell r="O8">
            <v>0</v>
          </cell>
          <cell r="P8">
            <v>0.3926</v>
          </cell>
          <cell r="R8">
            <v>0</v>
          </cell>
          <cell r="T8">
            <v>80.099337748344368</v>
          </cell>
          <cell r="U8">
            <v>80.099337748344368</v>
          </cell>
          <cell r="V8">
            <v>1.1908000000000001</v>
          </cell>
          <cell r="W8">
            <v>1.0045999999999999</v>
          </cell>
          <cell r="X8">
            <v>3.4196</v>
          </cell>
          <cell r="Y8">
            <v>3.7907999999999999</v>
          </cell>
          <cell r="Z8">
            <v>3.9006000000000012</v>
          </cell>
          <cell r="AA8">
            <v>3.4222000000000001</v>
          </cell>
          <cell r="AB8">
            <v>5.2168000000000001</v>
          </cell>
          <cell r="AC8">
            <v>4.2012</v>
          </cell>
          <cell r="AD8">
            <v>3.2757999999999998</v>
          </cell>
          <cell r="AE8">
            <v>0.29959999999999998</v>
          </cell>
          <cell r="AF8" t="str">
            <v>нужно увеличить продажи!!!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344</v>
          </cell>
          <cell r="D9">
            <v>104</v>
          </cell>
          <cell r="E9">
            <v>72</v>
          </cell>
          <cell r="F9">
            <v>268</v>
          </cell>
          <cell r="G9">
            <v>0.25</v>
          </cell>
          <cell r="H9">
            <v>120</v>
          </cell>
          <cell r="I9" t="str">
            <v>матрица</v>
          </cell>
          <cell r="K9">
            <v>75</v>
          </cell>
          <cell r="L9">
            <v>-3</v>
          </cell>
          <cell r="O9">
            <v>0</v>
          </cell>
          <cell r="P9">
            <v>14.4</v>
          </cell>
          <cell r="R9">
            <v>0</v>
          </cell>
          <cell r="S9">
            <v>100</v>
          </cell>
          <cell r="T9">
            <v>18.611111111111111</v>
          </cell>
          <cell r="U9">
            <v>18.611111111111111</v>
          </cell>
          <cell r="V9">
            <v>13.6</v>
          </cell>
          <cell r="W9">
            <v>15.8</v>
          </cell>
          <cell r="X9">
            <v>35</v>
          </cell>
          <cell r="Y9">
            <v>54</v>
          </cell>
          <cell r="Z9">
            <v>88</v>
          </cell>
          <cell r="AA9">
            <v>23.2</v>
          </cell>
          <cell r="AB9">
            <v>97.8</v>
          </cell>
          <cell r="AC9">
            <v>70</v>
          </cell>
          <cell r="AD9">
            <v>29.8</v>
          </cell>
          <cell r="AE9">
            <v>37.4</v>
          </cell>
          <cell r="AF9" t="str">
            <v>нужно увеличить продажи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296.59500000000003</v>
          </cell>
          <cell r="D10">
            <v>244.774</v>
          </cell>
          <cell r="E10">
            <v>76.626000000000005</v>
          </cell>
          <cell r="F10">
            <v>215.71100000000001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83.3</v>
          </cell>
          <cell r="L10">
            <v>-6.6739999999999924</v>
          </cell>
          <cell r="O10">
            <v>0</v>
          </cell>
          <cell r="P10">
            <v>15.325200000000001</v>
          </cell>
          <cell r="Q10">
            <v>14.167000000000002</v>
          </cell>
          <cell r="R10">
            <v>14</v>
          </cell>
          <cell r="T10">
            <v>14.989102915459505</v>
          </cell>
          <cell r="U10">
            <v>14.075574870148515</v>
          </cell>
          <cell r="V10">
            <v>13.6114</v>
          </cell>
          <cell r="W10">
            <v>10.8734</v>
          </cell>
          <cell r="X10">
            <v>33.908200000000001</v>
          </cell>
          <cell r="Y10">
            <v>44.263199999999998</v>
          </cell>
          <cell r="Z10">
            <v>46.027599999999993</v>
          </cell>
          <cell r="AA10">
            <v>57.752200000000002</v>
          </cell>
          <cell r="AB10">
            <v>47.667999999999999</v>
          </cell>
          <cell r="AC10">
            <v>71.5244</v>
          </cell>
          <cell r="AD10">
            <v>59.996400000000008</v>
          </cell>
          <cell r="AE10">
            <v>49.260599999999997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21.821999999999999</v>
          </cell>
          <cell r="D11">
            <v>8.048</v>
          </cell>
          <cell r="E11">
            <v>5.5369999999999999</v>
          </cell>
          <cell r="F11">
            <v>23.841000000000001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6.1</v>
          </cell>
          <cell r="L11">
            <v>-0.56299999999999972</v>
          </cell>
          <cell r="O11">
            <v>0</v>
          </cell>
          <cell r="P11">
            <v>1.1073999999999999</v>
          </cell>
          <cell r="R11">
            <v>0</v>
          </cell>
          <cell r="T11">
            <v>21.528806212750588</v>
          </cell>
          <cell r="U11">
            <v>21.528806212750588</v>
          </cell>
          <cell r="V11">
            <v>0.90579999999999994</v>
          </cell>
          <cell r="W11">
            <v>1.2098</v>
          </cell>
          <cell r="X11">
            <v>3.2311999999999999</v>
          </cell>
          <cell r="Y11">
            <v>2.4188000000000001</v>
          </cell>
          <cell r="Z11">
            <v>4.3449999999999998</v>
          </cell>
          <cell r="AA11">
            <v>4.2176</v>
          </cell>
          <cell r="AB11">
            <v>10.532</v>
          </cell>
          <cell r="AC11">
            <v>6.9102000000000006</v>
          </cell>
          <cell r="AD11">
            <v>4.5746000000000002</v>
          </cell>
          <cell r="AE11">
            <v>8.6004000000000005</v>
          </cell>
          <cell r="AF11" t="str">
            <v>нужно увеличить продажи!!!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78.391999999999996</v>
          </cell>
          <cell r="D12">
            <v>117.499</v>
          </cell>
          <cell r="E12">
            <v>16.196999999999999</v>
          </cell>
          <cell r="F12">
            <v>82.555999999999997</v>
          </cell>
          <cell r="G12">
            <v>1</v>
          </cell>
          <cell r="H12">
            <v>60</v>
          </cell>
          <cell r="I12" t="str">
            <v>матрица</v>
          </cell>
          <cell r="K12">
            <v>15.5</v>
          </cell>
          <cell r="L12">
            <v>0.69699999999999918</v>
          </cell>
          <cell r="O12">
            <v>0</v>
          </cell>
          <cell r="P12">
            <v>3.2393999999999998</v>
          </cell>
          <cell r="R12">
            <v>0</v>
          </cell>
          <cell r="T12">
            <v>25.484966351793542</v>
          </cell>
          <cell r="U12">
            <v>25.484966351793542</v>
          </cell>
          <cell r="V12">
            <v>0.873</v>
          </cell>
          <cell r="W12">
            <v>2.9805999999999999</v>
          </cell>
          <cell r="X12">
            <v>7.7805999999999997</v>
          </cell>
          <cell r="Y12">
            <v>1.5187999999999999</v>
          </cell>
          <cell r="Z12">
            <v>6.2080000000000002</v>
          </cell>
          <cell r="AA12">
            <v>8.642199999999999</v>
          </cell>
          <cell r="AB12">
            <v>5.4014000000000006</v>
          </cell>
          <cell r="AC12">
            <v>2.4533999999999998</v>
          </cell>
          <cell r="AD12">
            <v>4.0156000000000001</v>
          </cell>
          <cell r="AE12">
            <v>8.7403999999999993</v>
          </cell>
          <cell r="AF12" t="str">
            <v>нужно увеличить продажи!!!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128.80199999999999</v>
          </cell>
          <cell r="D13">
            <v>167.245</v>
          </cell>
          <cell r="E13">
            <v>40.479999999999997</v>
          </cell>
          <cell r="F13">
            <v>154.75800000000001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41.7</v>
          </cell>
          <cell r="L13">
            <v>-1.220000000000006</v>
          </cell>
          <cell r="O13">
            <v>50</v>
          </cell>
          <cell r="P13">
            <v>8.0960000000000001</v>
          </cell>
          <cell r="R13">
            <v>0</v>
          </cell>
          <cell r="S13">
            <v>59</v>
          </cell>
          <cell r="T13">
            <v>25.291254940711465</v>
          </cell>
          <cell r="U13">
            <v>25.291254940711465</v>
          </cell>
          <cell r="V13">
            <v>7.3555999999999999</v>
          </cell>
          <cell r="W13">
            <v>11.936999999999999</v>
          </cell>
          <cell r="X13">
            <v>35.2318</v>
          </cell>
          <cell r="Y13">
            <v>38.9786</v>
          </cell>
          <cell r="Z13">
            <v>46.416999999999987</v>
          </cell>
          <cell r="AA13">
            <v>60.004800000000003</v>
          </cell>
          <cell r="AB13">
            <v>59.633799999999987</v>
          </cell>
          <cell r="AC13">
            <v>64.598800000000011</v>
          </cell>
          <cell r="AD13">
            <v>47.507800000000003</v>
          </cell>
          <cell r="AE13">
            <v>63.072600000000001</v>
          </cell>
          <cell r="AF13" t="str">
            <v>нужно увеличить продажи!!!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74</v>
          </cell>
          <cell r="D14">
            <v>233</v>
          </cell>
          <cell r="E14">
            <v>34</v>
          </cell>
          <cell r="F14">
            <v>152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35</v>
          </cell>
          <cell r="L14">
            <v>-1</v>
          </cell>
          <cell r="O14">
            <v>50</v>
          </cell>
          <cell r="P14">
            <v>6.8</v>
          </cell>
          <cell r="R14">
            <v>0</v>
          </cell>
          <cell r="S14">
            <v>100</v>
          </cell>
          <cell r="T14">
            <v>29.705882352941178</v>
          </cell>
          <cell r="U14">
            <v>29.705882352941178</v>
          </cell>
          <cell r="V14">
            <v>9</v>
          </cell>
          <cell r="W14">
            <v>11.8</v>
          </cell>
          <cell r="X14">
            <v>22.4</v>
          </cell>
          <cell r="Y14">
            <v>29.2</v>
          </cell>
          <cell r="Z14">
            <v>44.6</v>
          </cell>
          <cell r="AA14">
            <v>30.6</v>
          </cell>
          <cell r="AB14">
            <v>70.400000000000006</v>
          </cell>
          <cell r="AC14">
            <v>62</v>
          </cell>
          <cell r="AD14">
            <v>37</v>
          </cell>
          <cell r="AE14">
            <v>33</v>
          </cell>
          <cell r="AF14" t="str">
            <v>нужно увеличить продажи!!!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89.909000000000006</v>
          </cell>
          <cell r="D15">
            <v>77.064999999999998</v>
          </cell>
          <cell r="E15">
            <v>25.914999999999999</v>
          </cell>
          <cell r="F15">
            <v>141.036</v>
          </cell>
          <cell r="G15">
            <v>1</v>
          </cell>
          <cell r="H15">
            <v>60</v>
          </cell>
          <cell r="I15" t="str">
            <v>матрица</v>
          </cell>
          <cell r="K15">
            <v>24.6</v>
          </cell>
          <cell r="L15">
            <v>1.3149999999999977</v>
          </cell>
          <cell r="O15">
            <v>0</v>
          </cell>
          <cell r="P15">
            <v>5.1829999999999998</v>
          </cell>
          <cell r="R15">
            <v>0</v>
          </cell>
          <cell r="T15">
            <v>27.211267605633804</v>
          </cell>
          <cell r="U15">
            <v>27.211267605633804</v>
          </cell>
          <cell r="V15">
            <v>4.9189999999999996</v>
          </cell>
          <cell r="W15">
            <v>2.1886000000000001</v>
          </cell>
          <cell r="X15">
            <v>10.3682</v>
          </cell>
          <cell r="Y15">
            <v>12.847799999999999</v>
          </cell>
          <cell r="Z15">
            <v>13.256399999999999</v>
          </cell>
          <cell r="AA15">
            <v>14.061199999999999</v>
          </cell>
          <cell r="AB15">
            <v>19.492999999999999</v>
          </cell>
          <cell r="AC15">
            <v>0.47199999999999998</v>
          </cell>
          <cell r="AD15">
            <v>8.4016000000000002</v>
          </cell>
          <cell r="AE15">
            <v>26.634799999999998</v>
          </cell>
          <cell r="AF15" t="str">
            <v>нужно увеличить продажи!!!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349</v>
          </cell>
          <cell r="D16">
            <v>73</v>
          </cell>
          <cell r="E16">
            <v>72</v>
          </cell>
          <cell r="F16">
            <v>256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72</v>
          </cell>
          <cell r="L16">
            <v>0</v>
          </cell>
          <cell r="O16">
            <v>0</v>
          </cell>
          <cell r="P16">
            <v>14.4</v>
          </cell>
          <cell r="R16">
            <v>30</v>
          </cell>
          <cell r="S16">
            <v>100</v>
          </cell>
          <cell r="T16">
            <v>19.861111111111111</v>
          </cell>
          <cell r="U16">
            <v>17.777777777777779</v>
          </cell>
          <cell r="V16">
            <v>13.4</v>
          </cell>
          <cell r="W16">
            <v>15.6</v>
          </cell>
          <cell r="X16">
            <v>33</v>
          </cell>
          <cell r="Y16">
            <v>59.2</v>
          </cell>
          <cell r="Z16">
            <v>82.6</v>
          </cell>
          <cell r="AA16">
            <v>19.600000000000001</v>
          </cell>
          <cell r="AB16">
            <v>119.2</v>
          </cell>
          <cell r="AC16">
            <v>76</v>
          </cell>
          <cell r="AD16">
            <v>40.200000000000003</v>
          </cell>
          <cell r="AE16">
            <v>40.4</v>
          </cell>
          <cell r="AF16" t="str">
            <v>нужно увеличить продажи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214</v>
          </cell>
          <cell r="D17">
            <v>145</v>
          </cell>
          <cell r="E17">
            <v>56</v>
          </cell>
          <cell r="F17">
            <v>204</v>
          </cell>
          <cell r="G17">
            <v>0.4</v>
          </cell>
          <cell r="H17">
            <v>60</v>
          </cell>
          <cell r="I17" t="str">
            <v>матрица</v>
          </cell>
          <cell r="K17">
            <v>59</v>
          </cell>
          <cell r="L17">
            <v>-3</v>
          </cell>
          <cell r="O17">
            <v>60</v>
          </cell>
          <cell r="P17">
            <v>11.2</v>
          </cell>
          <cell r="R17">
            <v>0</v>
          </cell>
          <cell r="T17">
            <v>23.571428571428573</v>
          </cell>
          <cell r="U17">
            <v>23.571428571428573</v>
          </cell>
          <cell r="V17">
            <v>9.4</v>
          </cell>
          <cell r="W17">
            <v>10.4</v>
          </cell>
          <cell r="X17">
            <v>24.8</v>
          </cell>
          <cell r="Y17">
            <v>33.200000000000003</v>
          </cell>
          <cell r="Z17">
            <v>37.6</v>
          </cell>
          <cell r="AA17">
            <v>7.4</v>
          </cell>
          <cell r="AB17">
            <v>43.8</v>
          </cell>
          <cell r="AC17">
            <v>40</v>
          </cell>
          <cell r="AD17">
            <v>24.6</v>
          </cell>
          <cell r="AE17">
            <v>22.8</v>
          </cell>
          <cell r="AF17" t="str">
            <v>нужно увеличить продажи!!!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1.605</v>
          </cell>
          <cell r="D18">
            <v>623.99699999999996</v>
          </cell>
          <cell r="E18">
            <v>21.181000000000001</v>
          </cell>
          <cell r="F18">
            <v>394.20299999999997</v>
          </cell>
          <cell r="G18">
            <v>1</v>
          </cell>
          <cell r="H18">
            <v>45</v>
          </cell>
          <cell r="I18" t="str">
            <v>матрица</v>
          </cell>
          <cell r="K18">
            <v>129.30000000000001</v>
          </cell>
          <cell r="L18">
            <v>-108.11900000000001</v>
          </cell>
          <cell r="O18">
            <v>100</v>
          </cell>
          <cell r="P18">
            <v>4.2362000000000002</v>
          </cell>
          <cell r="R18">
            <v>0</v>
          </cell>
          <cell r="S18">
            <v>50</v>
          </cell>
          <cell r="T18">
            <v>116.66186676738586</v>
          </cell>
          <cell r="U18">
            <v>116.66186676738586</v>
          </cell>
          <cell r="V18">
            <v>20.443999999999999</v>
          </cell>
          <cell r="W18">
            <v>35.277999999999999</v>
          </cell>
          <cell r="X18">
            <v>29.849599999999999</v>
          </cell>
          <cell r="Y18">
            <v>43.903599999999997</v>
          </cell>
          <cell r="Z18">
            <v>54.553999999999988</v>
          </cell>
          <cell r="AA18">
            <v>12.0352</v>
          </cell>
          <cell r="AB18">
            <v>43.809600000000003</v>
          </cell>
          <cell r="AC18">
            <v>38.122</v>
          </cell>
          <cell r="AD18">
            <v>31.1738</v>
          </cell>
          <cell r="AE18">
            <v>36.706800000000001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13.843999999999999</v>
          </cell>
          <cell r="D19">
            <v>8.02</v>
          </cell>
          <cell r="E19">
            <v>6.6440000000000001</v>
          </cell>
          <cell r="F19">
            <v>7.1929999999999996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6.5</v>
          </cell>
          <cell r="L19">
            <v>0.14400000000000013</v>
          </cell>
          <cell r="O19">
            <v>0</v>
          </cell>
          <cell r="P19">
            <v>1.3288</v>
          </cell>
          <cell r="Q19">
            <v>12.738999999999999</v>
          </cell>
          <cell r="R19">
            <v>13</v>
          </cell>
          <cell r="T19">
            <v>15.196417820590005</v>
          </cell>
          <cell r="U19">
            <v>5.4131547260686332</v>
          </cell>
          <cell r="V19">
            <v>0.69820000000000004</v>
          </cell>
          <cell r="W19">
            <v>1.0127999999999999</v>
          </cell>
          <cell r="X19">
            <v>3.0779999999999998</v>
          </cell>
          <cell r="Y19">
            <v>1.7467999999999999</v>
          </cell>
          <cell r="Z19">
            <v>3.6257999999999999</v>
          </cell>
          <cell r="AA19">
            <v>4.1105999999999998</v>
          </cell>
          <cell r="AB19">
            <v>11.1694</v>
          </cell>
          <cell r="AC19">
            <v>5.2294</v>
          </cell>
          <cell r="AD19">
            <v>2.7151999999999998</v>
          </cell>
          <cell r="AE19">
            <v>5.2648000000000001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97</v>
          </cell>
          <cell r="D20">
            <v>302</v>
          </cell>
          <cell r="E20">
            <v>92</v>
          </cell>
          <cell r="F20">
            <v>53</v>
          </cell>
          <cell r="G20">
            <v>0.4</v>
          </cell>
          <cell r="H20">
            <v>45</v>
          </cell>
          <cell r="I20" t="str">
            <v>матрица</v>
          </cell>
          <cell r="K20">
            <v>146</v>
          </cell>
          <cell r="L20">
            <v>-54</v>
          </cell>
          <cell r="O20">
            <v>0</v>
          </cell>
          <cell r="P20">
            <v>18.399999999999999</v>
          </cell>
          <cell r="Q20">
            <v>186.2</v>
          </cell>
          <cell r="R20">
            <v>220</v>
          </cell>
          <cell r="S20">
            <v>270</v>
          </cell>
          <cell r="T20">
            <v>14.836956521739131</v>
          </cell>
          <cell r="U20">
            <v>2.8804347826086958</v>
          </cell>
          <cell r="V20">
            <v>5.4</v>
          </cell>
          <cell r="W20">
            <v>2</v>
          </cell>
          <cell r="X20">
            <v>19.600000000000001</v>
          </cell>
          <cell r="Y20">
            <v>0.2</v>
          </cell>
          <cell r="Z20">
            <v>0</v>
          </cell>
          <cell r="AA20">
            <v>0</v>
          </cell>
          <cell r="AB20">
            <v>0</v>
          </cell>
          <cell r="AC20">
            <v>-1.2</v>
          </cell>
          <cell r="AD20">
            <v>-0.2</v>
          </cell>
          <cell r="AE20">
            <v>-3.8</v>
          </cell>
          <cell r="AF20" t="str">
            <v>192шт списано (11,08,26)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204.41200000000001</v>
          </cell>
          <cell r="D21">
            <v>138.69</v>
          </cell>
          <cell r="E21">
            <v>68.506</v>
          </cell>
          <cell r="F21">
            <v>176.316</v>
          </cell>
          <cell r="G21">
            <v>1</v>
          </cell>
          <cell r="H21">
            <v>60</v>
          </cell>
          <cell r="I21" t="str">
            <v>матрица</v>
          </cell>
          <cell r="K21">
            <v>64.599999999999994</v>
          </cell>
          <cell r="L21">
            <v>3.9060000000000059</v>
          </cell>
          <cell r="O21">
            <v>0</v>
          </cell>
          <cell r="P21">
            <v>13.7012</v>
          </cell>
          <cell r="Q21">
            <v>29.201999999999998</v>
          </cell>
          <cell r="R21">
            <v>29</v>
          </cell>
          <cell r="T21">
            <v>14.98525676583073</v>
          </cell>
          <cell r="U21">
            <v>12.868653840539515</v>
          </cell>
          <cell r="V21">
            <v>7.0194000000000001</v>
          </cell>
          <cell r="W21">
            <v>11.801600000000001</v>
          </cell>
          <cell r="X21">
            <v>27.052199999999999</v>
          </cell>
          <cell r="Y21">
            <v>25.654599999999999</v>
          </cell>
          <cell r="Z21">
            <v>35.742199999999997</v>
          </cell>
          <cell r="AA21">
            <v>24.3264</v>
          </cell>
          <cell r="AB21">
            <v>38.0486</v>
          </cell>
          <cell r="AC21">
            <v>34.205199999999998</v>
          </cell>
          <cell r="AD21">
            <v>22.615200000000002</v>
          </cell>
          <cell r="AE21">
            <v>32.779600000000002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-14</v>
          </cell>
          <cell r="D22">
            <v>14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105</v>
          </cell>
          <cell r="L22">
            <v>-105</v>
          </cell>
          <cell r="O22">
            <v>0</v>
          </cell>
          <cell r="P22">
            <v>0</v>
          </cell>
          <cell r="Q22">
            <v>350</v>
          </cell>
          <cell r="R22">
            <v>450</v>
          </cell>
          <cell r="S22">
            <v>450</v>
          </cell>
          <cell r="T22" t="e">
            <v>#DIV/0!</v>
          </cell>
          <cell r="U22" t="e">
            <v>#DIV/0!</v>
          </cell>
          <cell r="V22">
            <v>9.1999999999999993</v>
          </cell>
          <cell r="W22">
            <v>44.2</v>
          </cell>
          <cell r="X22">
            <v>40.4</v>
          </cell>
          <cell r="Y22">
            <v>50.2</v>
          </cell>
          <cell r="Z22">
            <v>44</v>
          </cell>
          <cell r="AA22">
            <v>71.599999999999994</v>
          </cell>
          <cell r="AB22">
            <v>133.6</v>
          </cell>
          <cell r="AC22">
            <v>105.8</v>
          </cell>
          <cell r="AD22">
            <v>63.4</v>
          </cell>
          <cell r="AE22">
            <v>72.2</v>
          </cell>
          <cell r="AF22" t="str">
            <v>завод не отгрузил (06,10,26)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0.106</v>
          </cell>
          <cell r="D23">
            <v>14.816000000000001</v>
          </cell>
          <cell r="F23">
            <v>0.106</v>
          </cell>
          <cell r="G23">
            <v>1</v>
          </cell>
          <cell r="H23">
            <v>40</v>
          </cell>
          <cell r="I23" t="str">
            <v>матрица</v>
          </cell>
          <cell r="K23">
            <v>31.4</v>
          </cell>
          <cell r="L23">
            <v>-31.4</v>
          </cell>
          <cell r="O23">
            <v>50</v>
          </cell>
          <cell r="P23">
            <v>0</v>
          </cell>
          <cell r="Q23">
            <v>10</v>
          </cell>
          <cell r="R23">
            <v>10</v>
          </cell>
          <cell r="T23" t="e">
            <v>#DIV/0!</v>
          </cell>
          <cell r="U23" t="e">
            <v>#DIV/0!</v>
          </cell>
          <cell r="V23">
            <v>4.0815999999999999</v>
          </cell>
          <cell r="W23">
            <v>0.58640000000000003</v>
          </cell>
          <cell r="X23">
            <v>3.4611999999999998</v>
          </cell>
          <cell r="Y23">
            <v>1.8988</v>
          </cell>
          <cell r="Z23">
            <v>4.2084000000000001</v>
          </cell>
          <cell r="AA23">
            <v>0</v>
          </cell>
          <cell r="AB23">
            <v>-0.17599999999999999</v>
          </cell>
          <cell r="AC23">
            <v>-0.27</v>
          </cell>
          <cell r="AD23">
            <v>1.016</v>
          </cell>
          <cell r="AE23">
            <v>0.62519999999999998</v>
          </cell>
          <cell r="AF23" t="str">
            <v>58кг списано (11,08,26)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96.328999999999994</v>
          </cell>
          <cell r="D24">
            <v>48.835999999999999</v>
          </cell>
          <cell r="E24">
            <v>23.123999999999999</v>
          </cell>
          <cell r="F24">
            <v>73.204999999999998</v>
          </cell>
          <cell r="G24">
            <v>1</v>
          </cell>
          <cell r="H24">
            <v>60</v>
          </cell>
          <cell r="I24" t="str">
            <v>матрица</v>
          </cell>
          <cell r="K24">
            <v>21.9</v>
          </cell>
          <cell r="L24">
            <v>1.2240000000000002</v>
          </cell>
          <cell r="O24">
            <v>0</v>
          </cell>
          <cell r="P24">
            <v>4.6247999999999996</v>
          </cell>
          <cell r="R24">
            <v>0</v>
          </cell>
          <cell r="T24">
            <v>15.828792596436603</v>
          </cell>
          <cell r="U24">
            <v>15.828792596436603</v>
          </cell>
          <cell r="V24">
            <v>4.8956</v>
          </cell>
          <cell r="W24">
            <v>5.1121999999999996</v>
          </cell>
          <cell r="X24">
            <v>9.1113999999999997</v>
          </cell>
          <cell r="Y24">
            <v>9.9635999999999996</v>
          </cell>
          <cell r="Z24">
            <v>18.268599999999999</v>
          </cell>
          <cell r="AA24">
            <v>0.24260000000000001</v>
          </cell>
          <cell r="AB24">
            <v>10.1114</v>
          </cell>
          <cell r="AC24">
            <v>16.404199999999999</v>
          </cell>
          <cell r="AD24">
            <v>2.4239999999999999</v>
          </cell>
          <cell r="AE24">
            <v>13.7454</v>
          </cell>
          <cell r="AF24" t="str">
            <v>нужно увеличить продажи!!!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126</v>
          </cell>
          <cell r="D25">
            <v>277</v>
          </cell>
          <cell r="E25">
            <v>121</v>
          </cell>
          <cell r="F25">
            <v>41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129</v>
          </cell>
          <cell r="L25">
            <v>-8</v>
          </cell>
          <cell r="O25">
            <v>97</v>
          </cell>
          <cell r="P25">
            <v>24.2</v>
          </cell>
          <cell r="Q25">
            <v>225</v>
          </cell>
          <cell r="R25">
            <v>280</v>
          </cell>
          <cell r="S25">
            <v>300</v>
          </cell>
          <cell r="T25">
            <v>17.272727272727273</v>
          </cell>
          <cell r="U25">
            <v>5.7024793388429753</v>
          </cell>
          <cell r="V25">
            <v>18.2</v>
          </cell>
          <cell r="W25">
            <v>3.8</v>
          </cell>
          <cell r="X25">
            <v>39</v>
          </cell>
          <cell r="Y25">
            <v>46.6</v>
          </cell>
          <cell r="Z25">
            <v>25.6</v>
          </cell>
          <cell r="AA25">
            <v>35.4</v>
          </cell>
          <cell r="AB25">
            <v>48.8</v>
          </cell>
          <cell r="AC25">
            <v>39.6</v>
          </cell>
          <cell r="AD25">
            <v>38.799999999999997</v>
          </cell>
          <cell r="AE25">
            <v>13.2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15</v>
          </cell>
          <cell r="D26">
            <v>308</v>
          </cell>
          <cell r="E26">
            <v>6</v>
          </cell>
          <cell r="F26">
            <v>257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7</v>
          </cell>
          <cell r="L26">
            <v>-1</v>
          </cell>
          <cell r="P26">
            <v>1.2</v>
          </cell>
          <cell r="R26">
            <v>0</v>
          </cell>
          <cell r="T26">
            <v>214.16666666666669</v>
          </cell>
          <cell r="U26">
            <v>214.16666666666669</v>
          </cell>
          <cell r="V26">
            <v>3</v>
          </cell>
          <cell r="W26">
            <v>17.2</v>
          </cell>
          <cell r="X26">
            <v>9</v>
          </cell>
          <cell r="Y26">
            <v>12.6</v>
          </cell>
          <cell r="Z26">
            <v>12.2</v>
          </cell>
          <cell r="AA26">
            <v>0.8</v>
          </cell>
          <cell r="AB26">
            <v>1.8</v>
          </cell>
          <cell r="AC26">
            <v>14.2</v>
          </cell>
          <cell r="AD26">
            <v>7.2</v>
          </cell>
          <cell r="AE26">
            <v>6.2</v>
          </cell>
          <cell r="AF26" t="str">
            <v>нужно увеличить продажи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8</v>
          </cell>
          <cell r="D27">
            <v>104</v>
          </cell>
          <cell r="E27">
            <v>7</v>
          </cell>
          <cell r="F27">
            <v>64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8</v>
          </cell>
          <cell r="L27">
            <v>-1</v>
          </cell>
          <cell r="O27">
            <v>0</v>
          </cell>
          <cell r="P27">
            <v>1.4</v>
          </cell>
          <cell r="R27">
            <v>0</v>
          </cell>
          <cell r="T27">
            <v>45.714285714285715</v>
          </cell>
          <cell r="U27">
            <v>45.714285714285715</v>
          </cell>
          <cell r="V27">
            <v>0</v>
          </cell>
          <cell r="W27">
            <v>0</v>
          </cell>
          <cell r="X27">
            <v>-0.4</v>
          </cell>
          <cell r="Y27">
            <v>0</v>
          </cell>
          <cell r="Z27">
            <v>6.2</v>
          </cell>
          <cell r="AA27">
            <v>0</v>
          </cell>
          <cell r="AB27">
            <v>0</v>
          </cell>
          <cell r="AC27">
            <v>8</v>
          </cell>
          <cell r="AD27">
            <v>2</v>
          </cell>
          <cell r="AE27">
            <v>1.8</v>
          </cell>
          <cell r="AF27" t="str">
            <v>нужно увеличить продажи / 81шт списано (19,09,26)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759.524</v>
          </cell>
          <cell r="D28">
            <v>421.25</v>
          </cell>
          <cell r="E28">
            <v>204.62799999999999</v>
          </cell>
          <cell r="F28">
            <v>743.67600000000004</v>
          </cell>
          <cell r="G28">
            <v>1</v>
          </cell>
          <cell r="H28">
            <v>45</v>
          </cell>
          <cell r="I28" t="str">
            <v>матрица</v>
          </cell>
          <cell r="K28">
            <v>197.5</v>
          </cell>
          <cell r="L28">
            <v>7.1279999999999859</v>
          </cell>
          <cell r="O28">
            <v>100</v>
          </cell>
          <cell r="P28">
            <v>40.925599999999996</v>
          </cell>
          <cell r="R28">
            <v>0</v>
          </cell>
          <cell r="T28">
            <v>20.614871865042911</v>
          </cell>
          <cell r="U28">
            <v>20.614871865042911</v>
          </cell>
          <cell r="V28">
            <v>52.026800000000001</v>
          </cell>
          <cell r="W28">
            <v>57.430600000000013</v>
          </cell>
          <cell r="X28">
            <v>81.890599999999992</v>
          </cell>
          <cell r="Y28">
            <v>85.432600000000008</v>
          </cell>
          <cell r="Z28">
            <v>49.553600000000003</v>
          </cell>
          <cell r="AA28">
            <v>55.760399999999997</v>
          </cell>
          <cell r="AB28">
            <v>95.490800000000007</v>
          </cell>
          <cell r="AC28">
            <v>113.20059999999999</v>
          </cell>
          <cell r="AD28">
            <v>18.4908</v>
          </cell>
          <cell r="AE28">
            <v>75.172600000000003</v>
          </cell>
          <cell r="AF28" t="str">
            <v>нужно увеличить продажи!!!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D29">
            <v>329</v>
          </cell>
          <cell r="E29">
            <v>18</v>
          </cell>
          <cell r="F29">
            <v>238</v>
          </cell>
          <cell r="G29">
            <v>0.4</v>
          </cell>
          <cell r="H29">
            <v>60</v>
          </cell>
          <cell r="I29" t="str">
            <v>матрица</v>
          </cell>
          <cell r="K29">
            <v>96</v>
          </cell>
          <cell r="L29">
            <v>-78</v>
          </cell>
          <cell r="O29">
            <v>0</v>
          </cell>
          <cell r="P29">
            <v>3.6</v>
          </cell>
          <cell r="R29">
            <v>0</v>
          </cell>
          <cell r="T29">
            <v>66.111111111111114</v>
          </cell>
          <cell r="U29">
            <v>66.111111111111114</v>
          </cell>
          <cell r="V29">
            <v>8.4</v>
          </cell>
          <cell r="W29">
            <v>33.200000000000003</v>
          </cell>
          <cell r="X29">
            <v>4.8</v>
          </cell>
          <cell r="Y29">
            <v>25.8</v>
          </cell>
          <cell r="Z29">
            <v>35</v>
          </cell>
          <cell r="AA29">
            <v>3.4</v>
          </cell>
          <cell r="AB29">
            <v>24</v>
          </cell>
          <cell r="AC29">
            <v>24</v>
          </cell>
          <cell r="AD29">
            <v>7.4</v>
          </cell>
          <cell r="AE29">
            <v>16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266</v>
          </cell>
          <cell r="D30">
            <v>858</v>
          </cell>
          <cell r="E30">
            <v>187</v>
          </cell>
          <cell r="F30">
            <v>422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198</v>
          </cell>
          <cell r="L30">
            <v>-11</v>
          </cell>
          <cell r="O30">
            <v>0</v>
          </cell>
          <cell r="P30">
            <v>37.4</v>
          </cell>
          <cell r="Q30">
            <v>139</v>
          </cell>
          <cell r="R30">
            <v>220</v>
          </cell>
          <cell r="S30">
            <v>220</v>
          </cell>
          <cell r="T30">
            <v>17.165775401069521</v>
          </cell>
          <cell r="U30">
            <v>11.283422459893048</v>
          </cell>
          <cell r="V30">
            <v>30.6</v>
          </cell>
          <cell r="W30">
            <v>44.4</v>
          </cell>
          <cell r="X30">
            <v>78</v>
          </cell>
          <cell r="Y30">
            <v>93.8</v>
          </cell>
          <cell r="Z30">
            <v>116.6</v>
          </cell>
          <cell r="AA30">
            <v>78.599999999999994</v>
          </cell>
          <cell r="AB30">
            <v>127.2</v>
          </cell>
          <cell r="AC30">
            <v>120</v>
          </cell>
          <cell r="AD30">
            <v>82.4</v>
          </cell>
          <cell r="AE30">
            <v>83.8</v>
          </cell>
        </row>
        <row r="31">
          <cell r="A31" t="str">
            <v>6364 СЕРВЕЛАТ ЗЕРНИСТЫЙ ПМ в/к в/у 0.35кг  ОСТАНКИНО</v>
          </cell>
          <cell r="B31" t="str">
            <v>шт</v>
          </cell>
          <cell r="C31">
            <v>-1</v>
          </cell>
          <cell r="F31">
            <v>-1</v>
          </cell>
          <cell r="G31">
            <v>0</v>
          </cell>
          <cell r="I31" t="str">
            <v>не в матрице</v>
          </cell>
          <cell r="J31" t="str">
            <v>7154 СЕРВЕЛАТ ЗЕРНИСТЫЙ ПМ в/к в/у 0,35кг_50с  Останкино</v>
          </cell>
          <cell r="L31">
            <v>0</v>
          </cell>
          <cell r="O31">
            <v>0</v>
          </cell>
          <cell r="P31">
            <v>0</v>
          </cell>
          <cell r="R31">
            <v>0</v>
          </cell>
          <cell r="T31" t="e">
            <v>#DIV/0!</v>
          </cell>
          <cell r="U31" t="e">
            <v>#DIV/0!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 t="str">
            <v>6392 ФИЛЕЙНАЯ Папа может вар п/о 0,4кг  ОСТАНКИНО</v>
          </cell>
          <cell r="B32" t="str">
            <v>шт</v>
          </cell>
          <cell r="C32">
            <v>173</v>
          </cell>
          <cell r="D32">
            <v>726</v>
          </cell>
          <cell r="E32">
            <v>191</v>
          </cell>
          <cell r="F32">
            <v>380</v>
          </cell>
          <cell r="G32">
            <v>0.4</v>
          </cell>
          <cell r="H32">
            <v>60</v>
          </cell>
          <cell r="I32" t="str">
            <v>матрица</v>
          </cell>
          <cell r="K32">
            <v>209</v>
          </cell>
          <cell r="L32">
            <v>-18</v>
          </cell>
          <cell r="O32">
            <v>0</v>
          </cell>
          <cell r="P32">
            <v>38.200000000000003</v>
          </cell>
          <cell r="Q32">
            <v>193</v>
          </cell>
          <cell r="R32">
            <v>270</v>
          </cell>
          <cell r="S32">
            <v>270</v>
          </cell>
          <cell r="T32">
            <v>17.015706806282722</v>
          </cell>
          <cell r="U32">
            <v>9.9476439790575917</v>
          </cell>
          <cell r="V32">
            <v>21.8</v>
          </cell>
          <cell r="W32">
            <v>37.4</v>
          </cell>
          <cell r="X32">
            <v>61</v>
          </cell>
          <cell r="Y32">
            <v>68</v>
          </cell>
          <cell r="Z32">
            <v>92.8</v>
          </cell>
          <cell r="AA32">
            <v>62</v>
          </cell>
          <cell r="AB32">
            <v>104.8</v>
          </cell>
          <cell r="AC32">
            <v>105.6</v>
          </cell>
          <cell r="AD32">
            <v>60</v>
          </cell>
          <cell r="AE32">
            <v>94.2</v>
          </cell>
        </row>
        <row r="33">
          <cell r="A33" t="str">
            <v>6475 Сосиски Папа может 400г С сыром  ОСТАНКИНО</v>
          </cell>
          <cell r="B33" t="str">
            <v>шт</v>
          </cell>
          <cell r="C33">
            <v>12</v>
          </cell>
          <cell r="F33">
            <v>12</v>
          </cell>
          <cell r="G33">
            <v>0</v>
          </cell>
          <cell r="I33" t="str">
            <v>не в матрице</v>
          </cell>
          <cell r="K33">
            <v>22</v>
          </cell>
          <cell r="L33">
            <v>-22</v>
          </cell>
          <cell r="O33">
            <v>0</v>
          </cell>
          <cell r="P33">
            <v>0</v>
          </cell>
          <cell r="R33">
            <v>0</v>
          </cell>
          <cell r="T33" t="e">
            <v>#DIV/0!</v>
          </cell>
          <cell r="U33" t="e">
            <v>#DIV/0!</v>
          </cell>
          <cell r="V33">
            <v>0</v>
          </cell>
          <cell r="W33">
            <v>-0.2</v>
          </cell>
          <cell r="X33">
            <v>0</v>
          </cell>
          <cell r="Y33">
            <v>0</v>
          </cell>
          <cell r="Z33">
            <v>2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A34" t="str">
            <v>6495 ВЕТЧ.МРАМОРНАЯ в/у срез 0,3кг 6шт_45с  Останкино</v>
          </cell>
          <cell r="B34" t="str">
            <v>шт</v>
          </cell>
          <cell r="C34">
            <v>75</v>
          </cell>
          <cell r="D34">
            <v>4</v>
          </cell>
          <cell r="E34">
            <v>74</v>
          </cell>
          <cell r="G34">
            <v>0</v>
          </cell>
          <cell r="H34">
            <v>45</v>
          </cell>
          <cell r="I34" t="str">
            <v>вывод</v>
          </cell>
          <cell r="J34" t="str">
            <v>7725 ВЕТ.МРАМОРНАЯ в/у срез 0.3кг 6шт_62  ОСТАНКИНО</v>
          </cell>
          <cell r="K34">
            <v>79</v>
          </cell>
          <cell r="L34">
            <v>-5</v>
          </cell>
          <cell r="O34">
            <v>0</v>
          </cell>
          <cell r="P34">
            <v>14.8</v>
          </cell>
          <cell r="R34">
            <v>0</v>
          </cell>
          <cell r="T34">
            <v>0</v>
          </cell>
          <cell r="U34">
            <v>0</v>
          </cell>
          <cell r="V34">
            <v>8</v>
          </cell>
          <cell r="W34">
            <v>1</v>
          </cell>
          <cell r="X34">
            <v>11.4</v>
          </cell>
          <cell r="Y34">
            <v>16.2</v>
          </cell>
          <cell r="Z34">
            <v>15.4</v>
          </cell>
          <cell r="AA34">
            <v>16.399999999999999</v>
          </cell>
          <cell r="AB34">
            <v>26</v>
          </cell>
          <cell r="AC34">
            <v>22.4</v>
          </cell>
          <cell r="AD34">
            <v>25.8</v>
          </cell>
          <cell r="AE34">
            <v>11.4</v>
          </cell>
          <cell r="AF34" t="str">
            <v>ротация на код 7725</v>
          </cell>
        </row>
        <row r="35">
          <cell r="A35" t="str">
            <v>6498 МОЛОЧНАЯ Папа может вар п/о  ОСТАНКИНО</v>
          </cell>
          <cell r="B35" t="str">
            <v>кг</v>
          </cell>
          <cell r="C35">
            <v>83.319000000000003</v>
          </cell>
          <cell r="D35">
            <v>48.561</v>
          </cell>
          <cell r="E35">
            <v>22.786000000000001</v>
          </cell>
          <cell r="F35">
            <v>102.473</v>
          </cell>
          <cell r="G35">
            <v>1</v>
          </cell>
          <cell r="H35">
            <v>60</v>
          </cell>
          <cell r="I35" t="str">
            <v>матрица</v>
          </cell>
          <cell r="K35">
            <v>24.1</v>
          </cell>
          <cell r="L35">
            <v>-1.3140000000000001</v>
          </cell>
          <cell r="O35">
            <v>0</v>
          </cell>
          <cell r="P35">
            <v>4.5571999999999999</v>
          </cell>
          <cell r="R35">
            <v>0</v>
          </cell>
          <cell r="T35">
            <v>22.485956288949357</v>
          </cell>
          <cell r="U35">
            <v>22.485956288949357</v>
          </cell>
          <cell r="V35">
            <v>4.6685999999999996</v>
          </cell>
          <cell r="W35">
            <v>7.0952000000000002</v>
          </cell>
          <cell r="X35">
            <v>27.912800000000001</v>
          </cell>
          <cell r="Y35">
            <v>17.353999999999999</v>
          </cell>
          <cell r="Z35">
            <v>14.4514</v>
          </cell>
          <cell r="AA35">
            <v>46.306199999999997</v>
          </cell>
          <cell r="AB35">
            <v>46.882800000000003</v>
          </cell>
          <cell r="AC35">
            <v>45.837400000000002</v>
          </cell>
          <cell r="AD35">
            <v>32.807000000000002</v>
          </cell>
          <cell r="AE35">
            <v>36.681600000000003</v>
          </cell>
          <cell r="AF35" t="str">
            <v>нужно увеличить продажи!!! / 186кг в уценку (25,09,26)</v>
          </cell>
        </row>
        <row r="36">
          <cell r="A36" t="str">
            <v>6527 ШПИКАЧКИ СОЧНЫЕ ПМ сар б/о мгс 1*3 45с ОСТАНКИНО</v>
          </cell>
          <cell r="B36" t="str">
            <v>кг</v>
          </cell>
          <cell r="C36">
            <v>237.029</v>
          </cell>
          <cell r="D36">
            <v>50.478999999999999</v>
          </cell>
          <cell r="E36">
            <v>53.786999999999999</v>
          </cell>
          <cell r="F36">
            <v>180.61</v>
          </cell>
          <cell r="G36">
            <v>1</v>
          </cell>
          <cell r="H36">
            <v>45</v>
          </cell>
          <cell r="I36" t="str">
            <v>матрица</v>
          </cell>
          <cell r="K36">
            <v>54.3</v>
          </cell>
          <cell r="L36">
            <v>-0.51299999999999812</v>
          </cell>
          <cell r="O36">
            <v>0</v>
          </cell>
          <cell r="P36">
            <v>10.757400000000001</v>
          </cell>
          <cell r="R36">
            <v>0</v>
          </cell>
          <cell r="S36">
            <v>50</v>
          </cell>
          <cell r="T36">
            <v>16.789372896796625</v>
          </cell>
          <cell r="U36">
            <v>16.789372896796625</v>
          </cell>
          <cell r="V36">
            <v>8.6761999999999997</v>
          </cell>
          <cell r="W36">
            <v>11.325200000000001</v>
          </cell>
          <cell r="X36">
            <v>17.608000000000001</v>
          </cell>
          <cell r="Y36">
            <v>5.7988</v>
          </cell>
          <cell r="Z36">
            <v>18.465599999999998</v>
          </cell>
          <cell r="AA36">
            <v>17.502400000000002</v>
          </cell>
          <cell r="AB36">
            <v>10.848800000000001</v>
          </cell>
          <cell r="AC36">
            <v>17.9328</v>
          </cell>
          <cell r="AD36">
            <v>15.6494</v>
          </cell>
          <cell r="AE36">
            <v>12.670999999999999</v>
          </cell>
          <cell r="AF36" t="str">
            <v>нужно увеличить продажи!!!</v>
          </cell>
        </row>
        <row r="37">
          <cell r="A37" t="str">
            <v>6550 МЯСНЫЕ Папа может сар б/о мгс 1*3 О 45с  Останкино</v>
          </cell>
          <cell r="B37" t="str">
            <v>кг</v>
          </cell>
          <cell r="C37">
            <v>321.33499999999998</v>
          </cell>
          <cell r="D37">
            <v>3.9E-2</v>
          </cell>
          <cell r="E37">
            <v>33.088000000000001</v>
          </cell>
          <cell r="F37">
            <v>285.07</v>
          </cell>
          <cell r="G37">
            <v>1</v>
          </cell>
          <cell r="H37">
            <v>45</v>
          </cell>
          <cell r="I37" t="str">
            <v>матрица</v>
          </cell>
          <cell r="K37">
            <v>44.2</v>
          </cell>
          <cell r="L37">
            <v>-11.112000000000002</v>
          </cell>
          <cell r="O37">
            <v>0</v>
          </cell>
          <cell r="P37">
            <v>6.6176000000000004</v>
          </cell>
          <cell r="R37">
            <v>0</v>
          </cell>
          <cell r="T37">
            <v>43.077550773694391</v>
          </cell>
          <cell r="U37">
            <v>43.077550773694391</v>
          </cell>
          <cell r="V37">
            <v>7.3376000000000001</v>
          </cell>
          <cell r="W37">
            <v>7.2702</v>
          </cell>
          <cell r="X37">
            <v>13.048999999999999</v>
          </cell>
          <cell r="Y37">
            <v>17.644400000000001</v>
          </cell>
          <cell r="Z37">
            <v>21.256599999999999</v>
          </cell>
          <cell r="AA37">
            <v>2.8117999999999999</v>
          </cell>
          <cell r="AB37">
            <v>24.3322</v>
          </cell>
          <cell r="AC37">
            <v>18.131399999999999</v>
          </cell>
          <cell r="AD37">
            <v>12.0776</v>
          </cell>
          <cell r="AE37">
            <v>13.896599999999999</v>
          </cell>
          <cell r="AF37" t="str">
            <v>нужно увеличить продажи!!!</v>
          </cell>
        </row>
        <row r="38">
          <cell r="A38" t="str">
            <v>6608 С ГОВЯДИНОЙ ОРИГИН. сар б/о мгс 1*3_45с  ОСТАНКИНО</v>
          </cell>
          <cell r="B38" t="str">
            <v>кг</v>
          </cell>
          <cell r="C38">
            <v>32.290999999999997</v>
          </cell>
          <cell r="D38">
            <v>116.85299999999999</v>
          </cell>
          <cell r="E38">
            <v>29.731000000000002</v>
          </cell>
          <cell r="F38">
            <v>76.457999999999998</v>
          </cell>
          <cell r="G38">
            <v>1</v>
          </cell>
          <cell r="H38">
            <v>45</v>
          </cell>
          <cell r="I38" t="str">
            <v>матрица</v>
          </cell>
          <cell r="K38">
            <v>30</v>
          </cell>
          <cell r="L38">
            <v>-0.26899999999999835</v>
          </cell>
          <cell r="O38">
            <v>0</v>
          </cell>
          <cell r="P38">
            <v>5.9462000000000002</v>
          </cell>
          <cell r="Q38">
            <v>12.734999999999999</v>
          </cell>
          <cell r="R38">
            <v>13</v>
          </cell>
          <cell r="T38">
            <v>15.044566277622684</v>
          </cell>
          <cell r="U38">
            <v>12.85829605462312</v>
          </cell>
          <cell r="V38">
            <v>4.71</v>
          </cell>
          <cell r="W38">
            <v>9.4372000000000007</v>
          </cell>
          <cell r="X38">
            <v>7.6054000000000004</v>
          </cell>
          <cell r="Y38">
            <v>11.007199999999999</v>
          </cell>
          <cell r="Z38">
            <v>11.5886</v>
          </cell>
          <cell r="AA38">
            <v>6.1677999999999997</v>
          </cell>
          <cell r="AB38">
            <v>9.9160000000000004</v>
          </cell>
          <cell r="AC38">
            <v>15.056800000000001</v>
          </cell>
          <cell r="AD38">
            <v>10.8932</v>
          </cell>
          <cell r="AE38">
            <v>5.9122000000000003</v>
          </cell>
        </row>
        <row r="39">
          <cell r="A39" t="str">
            <v>6616 МОЛОЧНЫЕ КЛАССИЧЕСКИЕ сос п/о в/у 0,3 кг  Останкино</v>
          </cell>
          <cell r="B39" t="str">
            <v>шт</v>
          </cell>
          <cell r="C39">
            <v>340</v>
          </cell>
          <cell r="D39">
            <v>816</v>
          </cell>
          <cell r="E39">
            <v>222</v>
          </cell>
          <cell r="F39">
            <v>614</v>
          </cell>
          <cell r="G39">
            <v>0.3</v>
          </cell>
          <cell r="H39">
            <v>45</v>
          </cell>
          <cell r="I39" t="str">
            <v>матрица</v>
          </cell>
          <cell r="K39">
            <v>227</v>
          </cell>
          <cell r="L39">
            <v>-5</v>
          </cell>
          <cell r="O39">
            <v>0</v>
          </cell>
          <cell r="P39">
            <v>44.4</v>
          </cell>
          <cell r="Q39">
            <v>52</v>
          </cell>
          <cell r="R39">
            <v>52</v>
          </cell>
          <cell r="T39">
            <v>15</v>
          </cell>
          <cell r="U39">
            <v>13.828828828828829</v>
          </cell>
          <cell r="V39">
            <v>34</v>
          </cell>
          <cell r="W39">
            <v>56.4</v>
          </cell>
          <cell r="X39">
            <v>46.4</v>
          </cell>
          <cell r="Y39">
            <v>37.200000000000003</v>
          </cell>
          <cell r="Z39">
            <v>118.8</v>
          </cell>
          <cell r="AA39">
            <v>1.6</v>
          </cell>
          <cell r="AB39">
            <v>52.2</v>
          </cell>
          <cell r="AC39">
            <v>85.8</v>
          </cell>
          <cell r="AD39">
            <v>35.799999999999997</v>
          </cell>
          <cell r="AE39">
            <v>58.4</v>
          </cell>
        </row>
        <row r="40">
          <cell r="A40" t="str">
            <v>6620 РЕБРЫШКИ к/в в/у_30с  Останкино</v>
          </cell>
          <cell r="B40" t="str">
            <v>кг</v>
          </cell>
          <cell r="C40">
            <v>7.85</v>
          </cell>
          <cell r="D40">
            <v>362.47800000000001</v>
          </cell>
          <cell r="E40">
            <v>12.582000000000001</v>
          </cell>
          <cell r="F40">
            <v>326.20400000000001</v>
          </cell>
          <cell r="G40">
            <v>1</v>
          </cell>
          <cell r="H40">
            <v>30</v>
          </cell>
          <cell r="I40" t="str">
            <v>матрица</v>
          </cell>
          <cell r="K40">
            <v>50.872</v>
          </cell>
          <cell r="L40">
            <v>-38.29</v>
          </cell>
          <cell r="O40">
            <v>0</v>
          </cell>
          <cell r="P40">
            <v>2.5164</v>
          </cell>
          <cell r="R40">
            <v>0</v>
          </cell>
          <cell r="T40">
            <v>129.63121920203466</v>
          </cell>
          <cell r="U40">
            <v>129.63121920203466</v>
          </cell>
          <cell r="V40">
            <v>6.0540000000000003</v>
          </cell>
          <cell r="W40">
            <v>21.500800000000002</v>
          </cell>
          <cell r="X40">
            <v>9.0207999999999995</v>
          </cell>
          <cell r="Y40">
            <v>2.5748000000000002</v>
          </cell>
          <cell r="Z40">
            <v>10.1496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 t="str">
            <v>нужно увеличить продажи / с 19,08,26 заказываем</v>
          </cell>
        </row>
        <row r="41">
          <cell r="A41" t="str">
            <v>6661 СОЧНЫЙ ГРИЛЬ ПМ сос п/о мгс 1,5*4_Маяк Останкино</v>
          </cell>
          <cell r="B41" t="str">
            <v>кг</v>
          </cell>
          <cell r="C41">
            <v>121.98099999999999</v>
          </cell>
          <cell r="D41">
            <v>116.71899999999999</v>
          </cell>
          <cell r="E41">
            <v>24.745000000000001</v>
          </cell>
          <cell r="F41">
            <v>109.23</v>
          </cell>
          <cell r="G41">
            <v>1</v>
          </cell>
          <cell r="H41">
            <v>45</v>
          </cell>
          <cell r="I41" t="str">
            <v>матрица</v>
          </cell>
          <cell r="K41">
            <v>21</v>
          </cell>
          <cell r="L41">
            <v>3.745000000000001</v>
          </cell>
          <cell r="O41">
            <v>0</v>
          </cell>
          <cell r="P41">
            <v>4.9489999999999998</v>
          </cell>
          <cell r="R41">
            <v>0</v>
          </cell>
          <cell r="T41">
            <v>22.071125479894931</v>
          </cell>
          <cell r="U41">
            <v>22.071125479894931</v>
          </cell>
          <cell r="V41">
            <v>2.1711999999999998</v>
          </cell>
          <cell r="W41">
            <v>5.9066000000000001</v>
          </cell>
          <cell r="X41">
            <v>10.6128</v>
          </cell>
          <cell r="Y41">
            <v>16.558199999999999</v>
          </cell>
          <cell r="Z41">
            <v>4.0780000000000003</v>
          </cell>
          <cell r="AA41">
            <v>8.1170000000000009</v>
          </cell>
          <cell r="AB41">
            <v>16.876200000000001</v>
          </cell>
          <cell r="AC41">
            <v>10.6318</v>
          </cell>
          <cell r="AD41">
            <v>4.3406000000000002</v>
          </cell>
          <cell r="AE41">
            <v>15.939</v>
          </cell>
          <cell r="AF41" t="str">
            <v>нужно увеличить продажи!!!</v>
          </cell>
        </row>
        <row r="42">
          <cell r="A42" t="str">
            <v>6697 СЕРВЕЛАТ ФИНСКИЙ ПМ в/к в/у 0,35кг 8шт  ОСТАНКИНО</v>
          </cell>
          <cell r="B42" t="str">
            <v>шт</v>
          </cell>
          <cell r="C42">
            <v>246</v>
          </cell>
          <cell r="D42">
            <v>1304</v>
          </cell>
          <cell r="E42">
            <v>337</v>
          </cell>
          <cell r="F42">
            <v>462</v>
          </cell>
          <cell r="G42">
            <v>0.35</v>
          </cell>
          <cell r="H42">
            <v>45</v>
          </cell>
          <cell r="I42" t="str">
            <v>матрица</v>
          </cell>
          <cell r="K42">
            <v>396</v>
          </cell>
          <cell r="L42">
            <v>-59</v>
          </cell>
          <cell r="O42">
            <v>0</v>
          </cell>
          <cell r="P42">
            <v>67.400000000000006</v>
          </cell>
          <cell r="Q42">
            <v>549.00000000000011</v>
          </cell>
          <cell r="R42">
            <v>700</v>
          </cell>
          <cell r="S42">
            <v>700</v>
          </cell>
          <cell r="T42">
            <v>17.240356083086052</v>
          </cell>
          <cell r="U42">
            <v>6.8545994065281892</v>
          </cell>
          <cell r="V42">
            <v>51.4</v>
          </cell>
          <cell r="W42">
            <v>70.599999999999994</v>
          </cell>
          <cell r="X42">
            <v>112.6</v>
          </cell>
          <cell r="Y42">
            <v>134</v>
          </cell>
          <cell r="Z42">
            <v>176</v>
          </cell>
          <cell r="AA42">
            <v>82.6</v>
          </cell>
          <cell r="AB42">
            <v>158.6</v>
          </cell>
          <cell r="AC42">
            <v>169.2</v>
          </cell>
          <cell r="AD42">
            <v>109.4</v>
          </cell>
          <cell r="AE42">
            <v>94.4</v>
          </cell>
        </row>
        <row r="43">
          <cell r="A43" t="str">
            <v>6713 СОЧНЫЙ ГРИЛЬ ПМ сос п/о мгс 0,41кг 8 шт.  ОСТАНКИНО</v>
          </cell>
          <cell r="B43" t="str">
            <v>шт</v>
          </cell>
          <cell r="D43">
            <v>58</v>
          </cell>
          <cell r="E43">
            <v>8</v>
          </cell>
          <cell r="G43">
            <v>0</v>
          </cell>
          <cell r="H43">
            <v>45</v>
          </cell>
          <cell r="I43" t="str">
            <v>вывод</v>
          </cell>
          <cell r="J43" t="str">
            <v>7490 СОЧНЫЙ ГРИЛЬ сос ц/о мгс 0.41кг_Даблпак  ОСТАНКИНО</v>
          </cell>
          <cell r="K43">
            <v>105</v>
          </cell>
          <cell r="L43">
            <v>-97</v>
          </cell>
          <cell r="O43">
            <v>0</v>
          </cell>
          <cell r="P43">
            <v>1.6</v>
          </cell>
          <cell r="R43">
            <v>0</v>
          </cell>
          <cell r="T43">
            <v>0</v>
          </cell>
          <cell r="U43">
            <v>0</v>
          </cell>
          <cell r="V43">
            <v>-0.4</v>
          </cell>
          <cell r="W43">
            <v>6</v>
          </cell>
          <cell r="X43">
            <v>-0.2</v>
          </cell>
          <cell r="Y43">
            <v>6</v>
          </cell>
          <cell r="Z43">
            <v>80</v>
          </cell>
          <cell r="AA43">
            <v>-2.6</v>
          </cell>
          <cell r="AB43">
            <v>-2.8</v>
          </cell>
          <cell r="AC43">
            <v>46.8</v>
          </cell>
          <cell r="AD43">
            <v>39</v>
          </cell>
          <cell r="AE43">
            <v>41</v>
          </cell>
          <cell r="AF43" t="str">
            <v>ротация на код 7490 / 268шт списание (20,08,26)</v>
          </cell>
        </row>
        <row r="44">
          <cell r="A44" t="str">
            <v>6724 МОЛОЧНЫЕ ПМ сос п/о мгс 0,41кг 10шт  Останкино</v>
          </cell>
          <cell r="B44" t="str">
            <v>шт</v>
          </cell>
          <cell r="C44">
            <v>192</v>
          </cell>
          <cell r="D44">
            <v>440</v>
          </cell>
          <cell r="E44">
            <v>114</v>
          </cell>
          <cell r="F44">
            <v>195</v>
          </cell>
          <cell r="G44">
            <v>0.41</v>
          </cell>
          <cell r="H44">
            <v>45</v>
          </cell>
          <cell r="I44" t="str">
            <v>матрица</v>
          </cell>
          <cell r="K44">
            <v>116</v>
          </cell>
          <cell r="L44">
            <v>-2</v>
          </cell>
          <cell r="O44">
            <v>10</v>
          </cell>
          <cell r="P44">
            <v>22.8</v>
          </cell>
          <cell r="Q44">
            <v>137</v>
          </cell>
          <cell r="R44">
            <v>137</v>
          </cell>
          <cell r="T44">
            <v>15</v>
          </cell>
          <cell r="U44">
            <v>8.9912280701754383</v>
          </cell>
          <cell r="V44">
            <v>21.8</v>
          </cell>
          <cell r="W44">
            <v>28.6</v>
          </cell>
          <cell r="X44">
            <v>46.4</v>
          </cell>
          <cell r="Y44">
            <v>48.6</v>
          </cell>
          <cell r="Z44">
            <v>58.2</v>
          </cell>
          <cell r="AA44">
            <v>52.4</v>
          </cell>
          <cell r="AB44">
            <v>16.600000000000001</v>
          </cell>
          <cell r="AC44">
            <v>57.6</v>
          </cell>
          <cell r="AD44">
            <v>35.6</v>
          </cell>
          <cell r="AE44">
            <v>12.4</v>
          </cell>
        </row>
        <row r="45">
          <cell r="A45" t="str">
            <v>6761 МОЛОЧНЫЕ ГОСТ сос ц/о мгс 1*4  Останкино</v>
          </cell>
          <cell r="B45" t="str">
            <v>кг</v>
          </cell>
          <cell r="C45">
            <v>16.449000000000002</v>
          </cell>
          <cell r="F45">
            <v>16.449000000000002</v>
          </cell>
          <cell r="G45">
            <v>0</v>
          </cell>
          <cell r="H45">
            <v>30</v>
          </cell>
          <cell r="I45" t="str">
            <v>не в матрице</v>
          </cell>
          <cell r="L45">
            <v>0</v>
          </cell>
          <cell r="O45">
            <v>0</v>
          </cell>
          <cell r="P45">
            <v>0</v>
          </cell>
          <cell r="R45">
            <v>0</v>
          </cell>
          <cell r="T45" t="e">
            <v>#DIV/0!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 t="str">
            <v>нужно увеличить продажи!!!</v>
          </cell>
        </row>
        <row r="46">
          <cell r="A46" t="str">
            <v>6765 РУБЛЕНЫЕ сос ц/о мгс 0,36кг 6шт  Останкино</v>
          </cell>
          <cell r="B46" t="str">
            <v>шт</v>
          </cell>
          <cell r="C46">
            <v>22</v>
          </cell>
          <cell r="D46">
            <v>330</v>
          </cell>
          <cell r="E46">
            <v>30</v>
          </cell>
          <cell r="F46">
            <v>142</v>
          </cell>
          <cell r="G46">
            <v>0.36</v>
          </cell>
          <cell r="H46">
            <v>45</v>
          </cell>
          <cell r="I46" t="str">
            <v>матрица</v>
          </cell>
          <cell r="K46">
            <v>38</v>
          </cell>
          <cell r="L46">
            <v>-8</v>
          </cell>
          <cell r="O46">
            <v>0</v>
          </cell>
          <cell r="P46">
            <v>6</v>
          </cell>
          <cell r="R46">
            <v>0</v>
          </cell>
          <cell r="T46">
            <v>23.666666666666668</v>
          </cell>
          <cell r="U46">
            <v>23.666666666666668</v>
          </cell>
          <cell r="V46">
            <v>6.4</v>
          </cell>
          <cell r="W46">
            <v>10.199999999999999</v>
          </cell>
          <cell r="X46">
            <v>8.6</v>
          </cell>
          <cell r="Y46">
            <v>2.2000000000000002</v>
          </cell>
          <cell r="Z46">
            <v>12</v>
          </cell>
          <cell r="AA46">
            <v>0.2</v>
          </cell>
          <cell r="AB46">
            <v>6.8</v>
          </cell>
          <cell r="AC46">
            <v>0</v>
          </cell>
          <cell r="AD46">
            <v>0</v>
          </cell>
          <cell r="AE46">
            <v>-0.4</v>
          </cell>
          <cell r="AF46" t="str">
            <v>08,08,26 списано 35 шт.</v>
          </cell>
        </row>
        <row r="47">
          <cell r="A47" t="str">
            <v>6787 СЕРВЕЛАТ КРЕМЛЕВСКИЙ в/к в/у 0,33кг 8шт  Останкино</v>
          </cell>
          <cell r="B47" t="str">
            <v>шт</v>
          </cell>
          <cell r="C47">
            <v>229</v>
          </cell>
          <cell r="D47">
            <v>41</v>
          </cell>
          <cell r="E47">
            <v>75</v>
          </cell>
          <cell r="F47">
            <v>153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76</v>
          </cell>
          <cell r="L47">
            <v>-1</v>
          </cell>
          <cell r="O47">
            <v>0</v>
          </cell>
          <cell r="P47">
            <v>15</v>
          </cell>
          <cell r="Q47">
            <v>57</v>
          </cell>
          <cell r="R47">
            <v>80</v>
          </cell>
          <cell r="S47">
            <v>100</v>
          </cell>
          <cell r="T47">
            <v>15.533333333333333</v>
          </cell>
          <cell r="U47">
            <v>10.199999999999999</v>
          </cell>
          <cell r="V47">
            <v>5.2</v>
          </cell>
          <cell r="W47">
            <v>10.6</v>
          </cell>
          <cell r="X47">
            <v>21</v>
          </cell>
          <cell r="Y47">
            <v>6</v>
          </cell>
          <cell r="Z47">
            <v>27.2</v>
          </cell>
          <cell r="AA47">
            <v>17.600000000000001</v>
          </cell>
          <cell r="AB47">
            <v>5.2</v>
          </cell>
          <cell r="AC47">
            <v>20.2</v>
          </cell>
          <cell r="AD47">
            <v>12.8</v>
          </cell>
          <cell r="AE47">
            <v>2.2000000000000002</v>
          </cell>
          <cell r="AF47" t="str">
            <v>55 шт в уценку (06,07,26)</v>
          </cell>
        </row>
        <row r="48">
          <cell r="A48" t="str">
            <v>6797 С ИНДЕЙКОЙ Папа может вар п/о 0,4кг 8шт. ОСТАНКИНО</v>
          </cell>
          <cell r="B48" t="str">
            <v>шт</v>
          </cell>
          <cell r="C48">
            <v>97</v>
          </cell>
          <cell r="D48">
            <v>106</v>
          </cell>
          <cell r="E48">
            <v>92</v>
          </cell>
          <cell r="F48">
            <v>44</v>
          </cell>
          <cell r="G48">
            <v>0.4</v>
          </cell>
          <cell r="H48">
            <v>60</v>
          </cell>
          <cell r="I48" t="str">
            <v>матрица</v>
          </cell>
          <cell r="K48">
            <v>94</v>
          </cell>
          <cell r="L48">
            <v>-2</v>
          </cell>
          <cell r="O48">
            <v>91</v>
          </cell>
          <cell r="P48">
            <v>18.399999999999999</v>
          </cell>
          <cell r="Q48">
            <v>141</v>
          </cell>
          <cell r="R48">
            <v>180</v>
          </cell>
          <cell r="S48">
            <v>200</v>
          </cell>
          <cell r="T48">
            <v>17.119565217391305</v>
          </cell>
          <cell r="U48">
            <v>7.3369565217391308</v>
          </cell>
          <cell r="V48">
            <v>15.4</v>
          </cell>
          <cell r="W48">
            <v>14.8</v>
          </cell>
          <cell r="X48">
            <v>24.6</v>
          </cell>
          <cell r="Y48">
            <v>36.4</v>
          </cell>
          <cell r="Z48">
            <v>45</v>
          </cell>
          <cell r="AA48">
            <v>9</v>
          </cell>
          <cell r="AB48">
            <v>38</v>
          </cell>
          <cell r="AC48">
            <v>38.4</v>
          </cell>
          <cell r="AD48">
            <v>27</v>
          </cell>
          <cell r="AE48">
            <v>20.8</v>
          </cell>
        </row>
        <row r="49">
          <cell r="A49" t="str">
            <v>6807 СЕРВЕЛАТ ЕВРОПЕЙСКИЙ в/к в/у 0,33кг 8шт  Останкино</v>
          </cell>
          <cell r="B49" t="str">
            <v>шт</v>
          </cell>
          <cell r="C49">
            <v>7</v>
          </cell>
          <cell r="D49">
            <v>9</v>
          </cell>
          <cell r="E49">
            <v>7</v>
          </cell>
          <cell r="F49">
            <v>8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7</v>
          </cell>
          <cell r="L49">
            <v>0</v>
          </cell>
          <cell r="O49">
            <v>0</v>
          </cell>
          <cell r="P49">
            <v>1.4</v>
          </cell>
          <cell r="Q49">
            <v>13</v>
          </cell>
          <cell r="R49">
            <v>16</v>
          </cell>
          <cell r="S49">
            <v>100</v>
          </cell>
          <cell r="T49">
            <v>17.142857142857142</v>
          </cell>
          <cell r="U49">
            <v>5.7142857142857144</v>
          </cell>
          <cell r="V49">
            <v>0.2</v>
          </cell>
          <cell r="W49">
            <v>1.4</v>
          </cell>
          <cell r="X49">
            <v>1.6</v>
          </cell>
          <cell r="Y49">
            <v>2.2000000000000002</v>
          </cell>
          <cell r="Z49">
            <v>2.6</v>
          </cell>
          <cell r="AA49">
            <v>-0.4</v>
          </cell>
          <cell r="AB49">
            <v>0</v>
          </cell>
          <cell r="AC49">
            <v>-0.6</v>
          </cell>
          <cell r="AD49">
            <v>0</v>
          </cell>
          <cell r="AE49">
            <v>0.8</v>
          </cell>
          <cell r="AF49" t="str">
            <v>27шт списано (11,08,26)</v>
          </cell>
        </row>
        <row r="50">
          <cell r="A50" t="str">
            <v>6829  МОЛОЧНЫЕ КЛАССИЧЕСКИЕ сос п/о мгс 2*4 С  Останккино</v>
          </cell>
          <cell r="B50" t="str">
            <v>кг</v>
          </cell>
          <cell r="C50">
            <v>678.76199999999994</v>
          </cell>
          <cell r="E50">
            <v>244.40100000000001</v>
          </cell>
          <cell r="F50">
            <v>434.36099999999999</v>
          </cell>
          <cell r="G50">
            <v>1</v>
          </cell>
          <cell r="H50">
            <v>45</v>
          </cell>
          <cell r="I50" t="str">
            <v>матрица</v>
          </cell>
          <cell r="K50">
            <v>195.8</v>
          </cell>
          <cell r="L50">
            <v>48.600999999999999</v>
          </cell>
          <cell r="O50">
            <v>0</v>
          </cell>
          <cell r="P50">
            <v>48.880200000000002</v>
          </cell>
          <cell r="Q50">
            <v>249.96180000000004</v>
          </cell>
          <cell r="R50">
            <v>250</v>
          </cell>
          <cell r="T50">
            <v>14.000781502530677</v>
          </cell>
          <cell r="U50">
            <v>8.8862361446966247</v>
          </cell>
          <cell r="V50">
            <v>29.8734</v>
          </cell>
          <cell r="W50">
            <v>43.090400000000002</v>
          </cell>
          <cell r="X50">
            <v>41.2866</v>
          </cell>
          <cell r="Y50">
            <v>47.587200000000003</v>
          </cell>
          <cell r="Z50">
            <v>80.835799999999992</v>
          </cell>
          <cell r="AA50">
            <v>30.045400000000001</v>
          </cell>
          <cell r="AB50">
            <v>65.753799999999998</v>
          </cell>
          <cell r="AC50">
            <v>61.433399999999992</v>
          </cell>
          <cell r="AD50">
            <v>54.076999999999998</v>
          </cell>
          <cell r="AE50">
            <v>13.7126</v>
          </cell>
        </row>
        <row r="51">
          <cell r="A51" t="str">
            <v>6837 ФИЛЕЙНЫЕ Папа Может сос ц/о мгс 0,4кг  Останкино</v>
          </cell>
          <cell r="B51" t="str">
            <v>шт</v>
          </cell>
          <cell r="C51">
            <v>5</v>
          </cell>
          <cell r="D51">
            <v>302</v>
          </cell>
          <cell r="E51">
            <v>7</v>
          </cell>
          <cell r="F51">
            <v>148</v>
          </cell>
          <cell r="G51">
            <v>0.4</v>
          </cell>
          <cell r="H51">
            <v>45</v>
          </cell>
          <cell r="I51" t="str">
            <v>матрица</v>
          </cell>
          <cell r="K51">
            <v>34</v>
          </cell>
          <cell r="L51">
            <v>-27</v>
          </cell>
          <cell r="O51">
            <v>0</v>
          </cell>
          <cell r="P51">
            <v>1.4</v>
          </cell>
          <cell r="R51">
            <v>0</v>
          </cell>
          <cell r="T51">
            <v>105.71428571428572</v>
          </cell>
          <cell r="U51">
            <v>105.71428571428572</v>
          </cell>
          <cell r="V51">
            <v>0.2</v>
          </cell>
          <cell r="W51">
            <v>0</v>
          </cell>
          <cell r="X51">
            <v>-0.2</v>
          </cell>
          <cell r="Y51">
            <v>0</v>
          </cell>
          <cell r="Z51">
            <v>-0.6</v>
          </cell>
          <cell r="AA51">
            <v>-0.2</v>
          </cell>
          <cell r="AB51">
            <v>-2.6</v>
          </cell>
          <cell r="AC51">
            <v>0</v>
          </cell>
          <cell r="AD51">
            <v>-0.4</v>
          </cell>
          <cell r="AE51">
            <v>-0.2</v>
          </cell>
          <cell r="AF51" t="str">
            <v>102шт списано (19,09,26)</v>
          </cell>
        </row>
        <row r="52">
          <cell r="A52" t="str">
            <v>6866 ВЕТЧ.НЕЖНАЯ Коровино п/о_Маяк  Останкино</v>
          </cell>
          <cell r="B52" t="str">
            <v>кг</v>
          </cell>
          <cell r="C52">
            <v>208.22499999999999</v>
          </cell>
          <cell r="D52">
            <v>18.11</v>
          </cell>
          <cell r="E52">
            <v>9.0549999999999997</v>
          </cell>
          <cell r="F52">
            <v>193.905</v>
          </cell>
          <cell r="G52">
            <v>1</v>
          </cell>
          <cell r="H52">
            <v>60</v>
          </cell>
          <cell r="I52" t="str">
            <v>матрица</v>
          </cell>
          <cell r="K52">
            <v>9</v>
          </cell>
          <cell r="L52">
            <v>5.4999999999999716E-2</v>
          </cell>
          <cell r="O52">
            <v>0</v>
          </cell>
          <cell r="P52">
            <v>1.8109999999999999</v>
          </cell>
          <cell r="R52">
            <v>0</v>
          </cell>
          <cell r="T52">
            <v>107.07067918277195</v>
          </cell>
          <cell r="U52">
            <v>107.07067918277195</v>
          </cell>
          <cell r="V52">
            <v>3.0249999999999999</v>
          </cell>
          <cell r="W52">
            <v>3.0249999999999999</v>
          </cell>
          <cell r="X52">
            <v>3.9409999999999998</v>
          </cell>
          <cell r="Y52">
            <v>13.7</v>
          </cell>
          <cell r="Z52">
            <v>7.6189999999999998</v>
          </cell>
          <cell r="AA52">
            <v>7.8315999999999999</v>
          </cell>
          <cell r="AB52">
            <v>9.9421999999999997</v>
          </cell>
          <cell r="AC52">
            <v>12.0648</v>
          </cell>
          <cell r="AD52">
            <v>5.1560000000000006</v>
          </cell>
          <cell r="AE52">
            <v>7.8439999999999994</v>
          </cell>
          <cell r="AF52" t="str">
            <v>нужно увеличить продажи!!!</v>
          </cell>
        </row>
        <row r="53">
          <cell r="A53" t="str">
            <v>6929 КАРБОНАД ДОМАШНИЙ ПМ к/в кр/к в/у  ОСТАНКИНО</v>
          </cell>
          <cell r="B53" t="str">
            <v>кг</v>
          </cell>
          <cell r="C53">
            <v>101.77200000000001</v>
          </cell>
          <cell r="D53">
            <v>136.63200000000001</v>
          </cell>
          <cell r="E53">
            <v>19.398</v>
          </cell>
          <cell r="F53">
            <v>150.78399999999999</v>
          </cell>
          <cell r="G53">
            <v>1</v>
          </cell>
          <cell r="H53">
            <v>45</v>
          </cell>
          <cell r="I53" t="str">
            <v>матрица</v>
          </cell>
          <cell r="K53">
            <v>19</v>
          </cell>
          <cell r="L53">
            <v>0.39799999999999969</v>
          </cell>
          <cell r="O53">
            <v>0</v>
          </cell>
          <cell r="P53">
            <v>3.8795999999999999</v>
          </cell>
          <cell r="R53">
            <v>0</v>
          </cell>
          <cell r="T53">
            <v>38.865862460047424</v>
          </cell>
          <cell r="U53">
            <v>38.865862460047424</v>
          </cell>
          <cell r="V53">
            <v>5.3563999999999998</v>
          </cell>
          <cell r="W53">
            <v>9.8315999999999999</v>
          </cell>
          <cell r="X53">
            <v>11.7372</v>
          </cell>
          <cell r="Y53">
            <v>0.34320000000000001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нужно увеличить продажи!!! / новинка</v>
          </cell>
        </row>
        <row r="54">
          <cell r="A54" t="str">
            <v>6967 БУРГУНДИЯ Папа может с/к в/у 1/250 8шт  Останкино</v>
          </cell>
          <cell r="B54" t="str">
            <v>шт</v>
          </cell>
          <cell r="C54">
            <v>74</v>
          </cell>
          <cell r="D54">
            <v>68</v>
          </cell>
          <cell r="E54">
            <v>30</v>
          </cell>
          <cell r="F54">
            <v>43</v>
          </cell>
          <cell r="G54">
            <v>0.25</v>
          </cell>
          <cell r="H54">
            <v>120</v>
          </cell>
          <cell r="I54" t="str">
            <v>матрица</v>
          </cell>
          <cell r="K54">
            <v>31</v>
          </cell>
          <cell r="L54">
            <v>-1</v>
          </cell>
          <cell r="O54">
            <v>0</v>
          </cell>
          <cell r="P54">
            <v>6</v>
          </cell>
          <cell r="Q54">
            <v>47</v>
          </cell>
          <cell r="R54">
            <v>60</v>
          </cell>
          <cell r="S54">
            <v>100</v>
          </cell>
          <cell r="T54">
            <v>17.166666666666668</v>
          </cell>
          <cell r="U54">
            <v>7.166666666666667</v>
          </cell>
          <cell r="V54">
            <v>3.8</v>
          </cell>
          <cell r="W54">
            <v>6</v>
          </cell>
          <cell r="X54">
            <v>12.6</v>
          </cell>
          <cell r="Y54">
            <v>21.2</v>
          </cell>
          <cell r="Z54">
            <v>29.6</v>
          </cell>
          <cell r="AA54">
            <v>23.8</v>
          </cell>
          <cell r="AB54">
            <v>41.2</v>
          </cell>
          <cell r="AC54">
            <v>35.799999999999997</v>
          </cell>
          <cell r="AD54">
            <v>24</v>
          </cell>
          <cell r="AE54">
            <v>14.4</v>
          </cell>
        </row>
        <row r="55">
          <cell r="A55" t="str">
            <v>7001 КЛАССИЧЕСКИЕ Папа может сар б/о мгс 1*3  Останкино</v>
          </cell>
          <cell r="B55" t="str">
            <v>кг</v>
          </cell>
          <cell r="C55">
            <v>28.173999999999999</v>
          </cell>
          <cell r="D55">
            <v>56.158000000000001</v>
          </cell>
          <cell r="E55">
            <v>9.5670000000000002</v>
          </cell>
          <cell r="F55">
            <v>32.137999999999998</v>
          </cell>
          <cell r="G55">
            <v>1</v>
          </cell>
          <cell r="H55">
            <v>45</v>
          </cell>
          <cell r="I55" t="str">
            <v>матрица</v>
          </cell>
          <cell r="K55">
            <v>11</v>
          </cell>
          <cell r="L55">
            <v>-1.4329999999999998</v>
          </cell>
          <cell r="O55">
            <v>0</v>
          </cell>
          <cell r="P55">
            <v>1.9134</v>
          </cell>
          <cell r="R55">
            <v>0</v>
          </cell>
          <cell r="T55">
            <v>16.796278875300512</v>
          </cell>
          <cell r="U55">
            <v>16.796278875300512</v>
          </cell>
          <cell r="V55">
            <v>1.6588000000000001</v>
          </cell>
          <cell r="W55">
            <v>3.7608000000000001</v>
          </cell>
          <cell r="X55">
            <v>4.5110000000000001</v>
          </cell>
          <cell r="Y55">
            <v>3.7778</v>
          </cell>
          <cell r="Z55">
            <v>5.52</v>
          </cell>
          <cell r="AA55">
            <v>-0.21079999999999999</v>
          </cell>
          <cell r="AB55">
            <v>3.5804</v>
          </cell>
          <cell r="AC55">
            <v>5.7594000000000003</v>
          </cell>
          <cell r="AD55">
            <v>-2E-3</v>
          </cell>
          <cell r="AE55">
            <v>3.0392000000000001</v>
          </cell>
          <cell r="AF55" t="str">
            <v>нужно увеличить продажи!!!</v>
          </cell>
        </row>
        <row r="56">
          <cell r="A56" t="str">
            <v>7040 С ИНДЕЙКОЙ ПМ сос ц/о в/у 1/270 8шт.  ОСТАНКИНО</v>
          </cell>
          <cell r="B56" t="str">
            <v>шт</v>
          </cell>
          <cell r="C56">
            <v>-1</v>
          </cell>
          <cell r="D56">
            <v>512</v>
          </cell>
          <cell r="E56">
            <v>8</v>
          </cell>
          <cell r="F56">
            <v>446</v>
          </cell>
          <cell r="G56">
            <v>0.27</v>
          </cell>
          <cell r="H56">
            <v>45</v>
          </cell>
          <cell r="I56" t="str">
            <v>матрица</v>
          </cell>
          <cell r="K56">
            <v>88</v>
          </cell>
          <cell r="L56">
            <v>-80</v>
          </cell>
          <cell r="O56">
            <v>0</v>
          </cell>
          <cell r="P56">
            <v>1.6</v>
          </cell>
          <cell r="R56">
            <v>0</v>
          </cell>
          <cell r="T56">
            <v>278.75</v>
          </cell>
          <cell r="U56">
            <v>278.75</v>
          </cell>
          <cell r="V56">
            <v>23.2</v>
          </cell>
          <cell r="W56">
            <v>43.6</v>
          </cell>
          <cell r="X56">
            <v>5.6</v>
          </cell>
          <cell r="Y56">
            <v>25</v>
          </cell>
          <cell r="Z56">
            <v>23.2</v>
          </cell>
          <cell r="AA56">
            <v>0.2</v>
          </cell>
          <cell r="AB56">
            <v>14.8</v>
          </cell>
          <cell r="AC56">
            <v>24.8</v>
          </cell>
          <cell r="AD56">
            <v>10.4</v>
          </cell>
          <cell r="AE56">
            <v>0</v>
          </cell>
        </row>
        <row r="57">
          <cell r="A57" t="str">
            <v>7059 ШПИКАЧКИ СОЧНЫЕ С БЕК. п/о мгс 0,3кг 60с ОСТАНКИНО</v>
          </cell>
          <cell r="B57" t="str">
            <v>шт</v>
          </cell>
          <cell r="C57">
            <v>113</v>
          </cell>
          <cell r="D57">
            <v>333</v>
          </cell>
          <cell r="E57">
            <v>79</v>
          </cell>
          <cell r="F57">
            <v>173</v>
          </cell>
          <cell r="G57">
            <v>0.3</v>
          </cell>
          <cell r="H57">
            <v>60</v>
          </cell>
          <cell r="I57" t="str">
            <v>матрица</v>
          </cell>
          <cell r="K57">
            <v>81</v>
          </cell>
          <cell r="L57">
            <v>-2</v>
          </cell>
          <cell r="O57">
            <v>0</v>
          </cell>
          <cell r="P57">
            <v>15.8</v>
          </cell>
          <cell r="Q57">
            <v>64</v>
          </cell>
          <cell r="R57">
            <v>64</v>
          </cell>
          <cell r="T57">
            <v>15</v>
          </cell>
          <cell r="U57">
            <v>10.949367088607595</v>
          </cell>
          <cell r="V57">
            <v>17.600000000000001</v>
          </cell>
          <cell r="W57">
            <v>23.4</v>
          </cell>
          <cell r="X57">
            <v>7.8</v>
          </cell>
          <cell r="Y57">
            <v>19.399999999999999</v>
          </cell>
          <cell r="Z57">
            <v>41.4</v>
          </cell>
          <cell r="AA57">
            <v>19.2</v>
          </cell>
          <cell r="AB57">
            <v>9.4</v>
          </cell>
          <cell r="AC57">
            <v>37.799999999999997</v>
          </cell>
          <cell r="AD57">
            <v>29.6</v>
          </cell>
          <cell r="AE57">
            <v>15.4</v>
          </cell>
        </row>
        <row r="58">
          <cell r="A58" t="str">
            <v>7066 СОЧНЫЕ ПМ сос п/о мгс 0,41кг 10шт 50с  Останкино</v>
          </cell>
          <cell r="B58" t="str">
            <v>шт</v>
          </cell>
          <cell r="C58">
            <v>1638</v>
          </cell>
          <cell r="D58">
            <v>338</v>
          </cell>
          <cell r="E58">
            <v>449</v>
          </cell>
          <cell r="F58">
            <v>1138</v>
          </cell>
          <cell r="G58">
            <v>0.41</v>
          </cell>
          <cell r="H58">
            <v>50</v>
          </cell>
          <cell r="I58" t="str">
            <v>матрица</v>
          </cell>
          <cell r="K58">
            <v>461</v>
          </cell>
          <cell r="L58">
            <v>-12</v>
          </cell>
          <cell r="O58">
            <v>0</v>
          </cell>
          <cell r="P58">
            <v>89.8</v>
          </cell>
          <cell r="Q58">
            <v>209</v>
          </cell>
          <cell r="R58">
            <v>209</v>
          </cell>
          <cell r="T58">
            <v>15</v>
          </cell>
          <cell r="U58">
            <v>12.67260579064588</v>
          </cell>
          <cell r="V58">
            <v>67</v>
          </cell>
          <cell r="W58">
            <v>102.4</v>
          </cell>
          <cell r="X58">
            <v>161.80000000000001</v>
          </cell>
          <cell r="Y58">
            <v>232.6</v>
          </cell>
          <cell r="Z58">
            <v>96.2</v>
          </cell>
          <cell r="AA58">
            <v>48.6</v>
          </cell>
          <cell r="AB58">
            <v>324.60000000000002</v>
          </cell>
          <cell r="AC58">
            <v>150</v>
          </cell>
          <cell r="AD58">
            <v>81.2</v>
          </cell>
          <cell r="AE58">
            <v>212.8</v>
          </cell>
        </row>
        <row r="59">
          <cell r="A59" t="str">
            <v>7070 СОЧНЫЕ ПМ сос п/о 1,5*4_А_50с  Останкино</v>
          </cell>
          <cell r="B59" t="str">
            <v>кг</v>
          </cell>
          <cell r="C59">
            <v>127.533</v>
          </cell>
          <cell r="D59">
            <v>68.058000000000007</v>
          </cell>
          <cell r="E59">
            <v>78.989999999999995</v>
          </cell>
          <cell r="F59">
            <v>110.242</v>
          </cell>
          <cell r="G59">
            <v>1</v>
          </cell>
          <cell r="H59">
            <v>50</v>
          </cell>
          <cell r="I59" t="str">
            <v>матрица</v>
          </cell>
          <cell r="K59">
            <v>75.400000000000006</v>
          </cell>
          <cell r="L59">
            <v>3.5899999999999892</v>
          </cell>
          <cell r="O59">
            <v>42</v>
          </cell>
          <cell r="P59">
            <v>15.797999999999998</v>
          </cell>
          <cell r="Q59">
            <v>84.727999999999966</v>
          </cell>
          <cell r="R59">
            <v>85</v>
          </cell>
          <cell r="T59">
            <v>15.017217369287254</v>
          </cell>
          <cell r="U59">
            <v>9.6367894670211438</v>
          </cell>
          <cell r="V59">
            <v>15.743</v>
          </cell>
          <cell r="W59">
            <v>18.026800000000001</v>
          </cell>
          <cell r="X59">
            <v>23.532800000000002</v>
          </cell>
          <cell r="Y59">
            <v>40.443800000000003</v>
          </cell>
          <cell r="Z59">
            <v>36.291999999999987</v>
          </cell>
          <cell r="AA59">
            <v>43.002200000000002</v>
          </cell>
          <cell r="AB59">
            <v>52.134</v>
          </cell>
          <cell r="AC59">
            <v>58.188000000000002</v>
          </cell>
          <cell r="AD59">
            <v>30.930399999999999</v>
          </cell>
          <cell r="AE59">
            <v>29.0246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135</v>
          </cell>
          <cell r="D60">
            <v>685</v>
          </cell>
          <cell r="E60">
            <v>78</v>
          </cell>
          <cell r="F60">
            <v>462</v>
          </cell>
          <cell r="G60">
            <v>0.35</v>
          </cell>
          <cell r="H60">
            <v>50</v>
          </cell>
          <cell r="I60" t="str">
            <v>матрица</v>
          </cell>
          <cell r="K60">
            <v>78</v>
          </cell>
          <cell r="L60">
            <v>0</v>
          </cell>
          <cell r="O60">
            <v>0</v>
          </cell>
          <cell r="P60">
            <v>15.6</v>
          </cell>
          <cell r="R60">
            <v>0</v>
          </cell>
          <cell r="T60">
            <v>29.615384615384617</v>
          </cell>
          <cell r="U60">
            <v>29.615384615384617</v>
          </cell>
          <cell r="V60">
            <v>8.4</v>
          </cell>
          <cell r="W60">
            <v>36.6</v>
          </cell>
          <cell r="X60">
            <v>40</v>
          </cell>
          <cell r="Y60">
            <v>48.8</v>
          </cell>
          <cell r="Z60">
            <v>56</v>
          </cell>
          <cell r="AA60">
            <v>17.600000000000001</v>
          </cell>
          <cell r="AB60">
            <v>29</v>
          </cell>
          <cell r="AC60">
            <v>62</v>
          </cell>
          <cell r="AD60">
            <v>32.4</v>
          </cell>
          <cell r="AE60">
            <v>31</v>
          </cell>
          <cell r="AF60" t="str">
            <v>нужно увеличить продажи!!!</v>
          </cell>
        </row>
        <row r="61">
          <cell r="A61" t="str">
            <v>7075 МОЛОЧ.ПРЕМИУМ ПМ сос п/о мгс 1,5*4_О_50с  Останкино</v>
          </cell>
          <cell r="B61" t="str">
            <v>кг</v>
          </cell>
          <cell r="C61">
            <v>29.484999999999999</v>
          </cell>
          <cell r="D61">
            <v>18.805</v>
          </cell>
          <cell r="E61">
            <v>16.756</v>
          </cell>
          <cell r="F61">
            <v>31.318000000000001</v>
          </cell>
          <cell r="G61">
            <v>1</v>
          </cell>
          <cell r="H61">
            <v>50</v>
          </cell>
          <cell r="I61" t="str">
            <v>матрица</v>
          </cell>
          <cell r="K61">
            <v>15.5</v>
          </cell>
          <cell r="L61">
            <v>1.2560000000000002</v>
          </cell>
          <cell r="O61">
            <v>4</v>
          </cell>
          <cell r="P61">
            <v>3.3512</v>
          </cell>
          <cell r="Q61">
            <v>14.95</v>
          </cell>
          <cell r="R61">
            <v>15</v>
          </cell>
          <cell r="T61">
            <v>15.014920028646454</v>
          </cell>
          <cell r="U61">
            <v>10.538911434709954</v>
          </cell>
          <cell r="V61">
            <v>3.3982000000000001</v>
          </cell>
          <cell r="W61">
            <v>4.3226000000000004</v>
          </cell>
          <cell r="X61">
            <v>0.63319999999999999</v>
          </cell>
          <cell r="Y61">
            <v>4.0392000000000001</v>
          </cell>
          <cell r="Z61">
            <v>7.4278000000000004</v>
          </cell>
          <cell r="AA61">
            <v>0</v>
          </cell>
          <cell r="AB61">
            <v>1.2567999999999999</v>
          </cell>
          <cell r="AC61">
            <v>7.3841999999999999</v>
          </cell>
          <cell r="AD61">
            <v>0.93720000000000003</v>
          </cell>
          <cell r="AE61">
            <v>2.504</v>
          </cell>
        </row>
        <row r="62">
          <cell r="A62" t="str">
            <v>7080 СЛИВОЧНЫЕ ПМ сос п/о мгс 0,41кг 10шт 50с  Останкино</v>
          </cell>
          <cell r="B62" t="str">
            <v>шт</v>
          </cell>
          <cell r="C62">
            <v>310</v>
          </cell>
          <cell r="D62">
            <v>1024</v>
          </cell>
          <cell r="E62">
            <v>250</v>
          </cell>
          <cell r="F62">
            <v>611</v>
          </cell>
          <cell r="G62">
            <v>0.41</v>
          </cell>
          <cell r="H62">
            <v>50</v>
          </cell>
          <cell r="I62" t="str">
            <v>матрица</v>
          </cell>
          <cell r="K62">
            <v>250</v>
          </cell>
          <cell r="L62">
            <v>0</v>
          </cell>
          <cell r="O62">
            <v>0</v>
          </cell>
          <cell r="P62">
            <v>50</v>
          </cell>
          <cell r="Q62">
            <v>139</v>
          </cell>
          <cell r="R62">
            <v>200</v>
          </cell>
          <cell r="S62">
            <v>200</v>
          </cell>
          <cell r="T62">
            <v>16.22</v>
          </cell>
          <cell r="U62">
            <v>12.22</v>
          </cell>
          <cell r="V62">
            <v>49.4</v>
          </cell>
          <cell r="W62">
            <v>75</v>
          </cell>
          <cell r="X62">
            <v>119.8</v>
          </cell>
          <cell r="Y62">
            <v>126.2</v>
          </cell>
          <cell r="Z62">
            <v>193.4</v>
          </cell>
          <cell r="AA62">
            <v>65</v>
          </cell>
          <cell r="AB62">
            <v>200.4</v>
          </cell>
          <cell r="AC62">
            <v>174.2</v>
          </cell>
          <cell r="AD62">
            <v>38.200000000000003</v>
          </cell>
          <cell r="AE62">
            <v>129.4</v>
          </cell>
        </row>
        <row r="63">
          <cell r="A63" t="str">
            <v>7083 СЛИВОЧНЫЕ ПМ сос п/о мгс 1.5*4_А_50с  ОСТАНКИНО</v>
          </cell>
          <cell r="B63" t="str">
            <v>кг</v>
          </cell>
          <cell r="C63">
            <v>103.128</v>
          </cell>
          <cell r="D63">
            <v>31.634</v>
          </cell>
          <cell r="E63">
            <v>51.43</v>
          </cell>
          <cell r="F63">
            <v>76.956999999999994</v>
          </cell>
          <cell r="G63">
            <v>1</v>
          </cell>
          <cell r="H63">
            <v>50</v>
          </cell>
          <cell r="I63" t="str">
            <v>матрица</v>
          </cell>
          <cell r="K63">
            <v>47.7</v>
          </cell>
          <cell r="L63">
            <v>3.7299999999999969</v>
          </cell>
          <cell r="O63">
            <v>0</v>
          </cell>
          <cell r="P63">
            <v>10.286</v>
          </cell>
          <cell r="Q63">
            <v>77.332999999999998</v>
          </cell>
          <cell r="R63">
            <v>100</v>
          </cell>
          <cell r="S63">
            <v>200</v>
          </cell>
          <cell r="T63">
            <v>17.203674897919502</v>
          </cell>
          <cell r="U63">
            <v>7.4817227299241686</v>
          </cell>
          <cell r="V63">
            <v>8.0579999999999998</v>
          </cell>
          <cell r="W63">
            <v>11.3004</v>
          </cell>
          <cell r="X63">
            <v>14.0916</v>
          </cell>
          <cell r="Y63">
            <v>9.633799999999999</v>
          </cell>
          <cell r="Z63">
            <v>14.559799999999999</v>
          </cell>
          <cell r="AA63">
            <v>26.645800000000001</v>
          </cell>
          <cell r="AB63">
            <v>17.4558</v>
          </cell>
          <cell r="AC63">
            <v>13.043799999999999</v>
          </cell>
          <cell r="AD63">
            <v>19.4636</v>
          </cell>
          <cell r="AE63">
            <v>6.3722000000000003</v>
          </cell>
        </row>
        <row r="64">
          <cell r="A64" t="str">
            <v>7090 СВИНИНА ПО-ДОМ.к/в мл/к в/у 0,3кг_50с  Останкино</v>
          </cell>
          <cell r="B64" t="str">
            <v>шт</v>
          </cell>
          <cell r="C64">
            <v>224</v>
          </cell>
          <cell r="D64">
            <v>134</v>
          </cell>
          <cell r="E64">
            <v>102</v>
          </cell>
          <cell r="F64">
            <v>122</v>
          </cell>
          <cell r="G64">
            <v>0.3</v>
          </cell>
          <cell r="H64">
            <v>50</v>
          </cell>
          <cell r="I64" t="str">
            <v>матрица</v>
          </cell>
          <cell r="K64">
            <v>101</v>
          </cell>
          <cell r="L64">
            <v>1</v>
          </cell>
          <cell r="O64">
            <v>0</v>
          </cell>
          <cell r="P64">
            <v>20.399999999999999</v>
          </cell>
          <cell r="Q64">
            <v>184</v>
          </cell>
          <cell r="R64">
            <v>184</v>
          </cell>
          <cell r="T64">
            <v>15.000000000000002</v>
          </cell>
          <cell r="U64">
            <v>5.9803921568627452</v>
          </cell>
          <cell r="V64">
            <v>13.8</v>
          </cell>
          <cell r="W64">
            <v>10.4</v>
          </cell>
          <cell r="X64">
            <v>31.4</v>
          </cell>
          <cell r="Y64">
            <v>37.4</v>
          </cell>
          <cell r="Z64">
            <v>7</v>
          </cell>
          <cell r="AA64">
            <v>33.4</v>
          </cell>
          <cell r="AB64">
            <v>54.8</v>
          </cell>
          <cell r="AC64">
            <v>36.4</v>
          </cell>
          <cell r="AD64">
            <v>29.6</v>
          </cell>
          <cell r="AE64">
            <v>32.799999999999997</v>
          </cell>
        </row>
        <row r="65">
          <cell r="A65" t="str">
            <v>7103 БЕКОН Останкино с/к с/н в/у 1/180_50с  Останкино</v>
          </cell>
          <cell r="B65" t="str">
            <v>шт</v>
          </cell>
          <cell r="C65">
            <v>7</v>
          </cell>
          <cell r="D65">
            <v>251</v>
          </cell>
          <cell r="E65">
            <v>3</v>
          </cell>
          <cell r="F65">
            <v>189</v>
          </cell>
          <cell r="G65">
            <v>0.18</v>
          </cell>
          <cell r="H65">
            <v>50</v>
          </cell>
          <cell r="I65" t="str">
            <v>матрица</v>
          </cell>
          <cell r="K65">
            <v>36</v>
          </cell>
          <cell r="L65">
            <v>-33</v>
          </cell>
          <cell r="O65">
            <v>0</v>
          </cell>
          <cell r="P65">
            <v>0.6</v>
          </cell>
          <cell r="R65">
            <v>0</v>
          </cell>
          <cell r="T65">
            <v>315</v>
          </cell>
          <cell r="U65">
            <v>315</v>
          </cell>
          <cell r="V65">
            <v>0.2</v>
          </cell>
          <cell r="W65">
            <v>16.2</v>
          </cell>
          <cell r="X65">
            <v>18.2</v>
          </cell>
          <cell r="Y65">
            <v>22.4</v>
          </cell>
          <cell r="Z65">
            <v>25.4</v>
          </cell>
          <cell r="AA65">
            <v>33.6</v>
          </cell>
          <cell r="AB65">
            <v>53</v>
          </cell>
          <cell r="AC65">
            <v>47.2</v>
          </cell>
          <cell r="AD65">
            <v>9.6</v>
          </cell>
          <cell r="AE65">
            <v>35.6</v>
          </cell>
          <cell r="AF65" t="str">
            <v>нужно увеличить продажи!!!</v>
          </cell>
        </row>
        <row r="66">
          <cell r="A66" t="str">
            <v>7143 БРАУНШВЕЙГСКАЯ ГОСТ с/к в/у 1/220 8шт.  ОСТАНКИНО</v>
          </cell>
          <cell r="B66" t="str">
            <v>шт</v>
          </cell>
          <cell r="C66">
            <v>99</v>
          </cell>
          <cell r="D66">
            <v>8</v>
          </cell>
          <cell r="E66">
            <v>20</v>
          </cell>
          <cell r="F66">
            <v>79</v>
          </cell>
          <cell r="G66">
            <v>0.22</v>
          </cell>
          <cell r="H66">
            <v>120</v>
          </cell>
          <cell r="I66" t="str">
            <v>матрица</v>
          </cell>
          <cell r="K66">
            <v>20</v>
          </cell>
          <cell r="L66">
            <v>0</v>
          </cell>
          <cell r="O66">
            <v>0</v>
          </cell>
          <cell r="P66">
            <v>4</v>
          </cell>
          <cell r="R66">
            <v>0</v>
          </cell>
          <cell r="T66">
            <v>19.75</v>
          </cell>
          <cell r="U66">
            <v>19.75</v>
          </cell>
          <cell r="V66">
            <v>0.8</v>
          </cell>
          <cell r="W66">
            <v>1.2</v>
          </cell>
          <cell r="X66">
            <v>1.2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 t="str">
            <v>нужно увеличить продажи!!! / новинка</v>
          </cell>
        </row>
        <row r="67">
          <cell r="A67" t="str">
            <v>7149 БАЛЫКОВАЯ Коровино п/к в/у 0,84кг_50с  Останкино</v>
          </cell>
          <cell r="B67" t="str">
            <v>кг</v>
          </cell>
          <cell r="G67">
            <v>0</v>
          </cell>
          <cell r="I67" t="str">
            <v>матрица</v>
          </cell>
          <cell r="L67">
            <v>0</v>
          </cell>
          <cell r="O67">
            <v>0</v>
          </cell>
          <cell r="P67">
            <v>0</v>
          </cell>
          <cell r="R67">
            <v>0</v>
          </cell>
          <cell r="T67" t="e">
            <v>#DIV/0!</v>
          </cell>
          <cell r="U67" t="e">
            <v>#DIV/0!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 t="str">
            <v>нет потребности</v>
          </cell>
        </row>
        <row r="68">
          <cell r="A68" t="str">
            <v>7154 СЕРВЕЛАТ ЗЕРНИСТЫЙ ПМ в/к в/у 0,35кг_50с  Останкино</v>
          </cell>
          <cell r="B68" t="str">
            <v>шт</v>
          </cell>
          <cell r="C68">
            <v>280</v>
          </cell>
          <cell r="D68">
            <v>635</v>
          </cell>
          <cell r="E68">
            <v>186</v>
          </cell>
          <cell r="F68">
            <v>406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204</v>
          </cell>
          <cell r="L68">
            <v>-18</v>
          </cell>
          <cell r="O68">
            <v>0</v>
          </cell>
          <cell r="P68">
            <v>37.200000000000003</v>
          </cell>
          <cell r="Q68">
            <v>152</v>
          </cell>
          <cell r="R68">
            <v>230</v>
          </cell>
          <cell r="S68">
            <v>250</v>
          </cell>
          <cell r="T68">
            <v>17.096774193548384</v>
          </cell>
          <cell r="U68">
            <v>10.913978494623654</v>
          </cell>
          <cell r="V68">
            <v>31.4</v>
          </cell>
          <cell r="W68">
            <v>50.2</v>
          </cell>
          <cell r="X68">
            <v>70.8</v>
          </cell>
          <cell r="Y68">
            <v>109.2</v>
          </cell>
          <cell r="Z68">
            <v>139.80000000000001</v>
          </cell>
          <cell r="AA68">
            <v>31.4</v>
          </cell>
          <cell r="AB68">
            <v>171.8</v>
          </cell>
          <cell r="AC68">
            <v>167.8</v>
          </cell>
          <cell r="AD68">
            <v>88.4</v>
          </cell>
          <cell r="AE68">
            <v>88.6</v>
          </cell>
        </row>
        <row r="69">
          <cell r="A69" t="str">
            <v>7156 СЕРВЕЛАТ КОПЧ.НА БУКЕ в/к в/у 0.35кг_50с  ОСТАНКИНО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O69">
            <v>0</v>
          </cell>
          <cell r="P69">
            <v>0</v>
          </cell>
          <cell r="R69">
            <v>0</v>
          </cell>
          <cell r="T69" t="e">
            <v>#DIV/0!</v>
          </cell>
          <cell r="U69" t="e">
            <v>#DIV/0!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 t="str">
            <v>нет потребности</v>
          </cell>
        </row>
        <row r="70">
          <cell r="A70" t="str">
            <v>7157 СЕРВЕЛАТ ЗЕРНИСТЫЙ ПМ в/к в/у_50с  Останкино</v>
          </cell>
          <cell r="B70" t="str">
            <v>кг</v>
          </cell>
          <cell r="C70">
            <v>228.643</v>
          </cell>
          <cell r="D70">
            <v>0.73299999999999998</v>
          </cell>
          <cell r="E70">
            <v>96.099000000000004</v>
          </cell>
          <cell r="F70">
            <v>119.16800000000001</v>
          </cell>
          <cell r="G70">
            <v>1</v>
          </cell>
          <cell r="H70">
            <v>50</v>
          </cell>
          <cell r="I70" t="str">
            <v>матрица</v>
          </cell>
          <cell r="K70">
            <v>91.1</v>
          </cell>
          <cell r="L70">
            <v>4.9990000000000094</v>
          </cell>
          <cell r="O70">
            <v>53</v>
          </cell>
          <cell r="P70">
            <v>19.219799999999999</v>
          </cell>
          <cell r="Q70">
            <v>116.12899999999996</v>
          </cell>
          <cell r="R70">
            <v>145</v>
          </cell>
          <cell r="S70">
            <v>240</v>
          </cell>
          <cell r="T70">
            <v>16.502148825690174</v>
          </cell>
          <cell r="U70">
            <v>8.9578455551046332</v>
          </cell>
          <cell r="V70">
            <v>18.752199999999998</v>
          </cell>
          <cell r="W70">
            <v>14.869400000000001</v>
          </cell>
          <cell r="X70">
            <v>34.691199999999988</v>
          </cell>
          <cell r="Y70">
            <v>31.833200000000001</v>
          </cell>
          <cell r="Z70">
            <v>30.706800000000001</v>
          </cell>
          <cell r="AA70">
            <v>26.449000000000002</v>
          </cell>
          <cell r="AB70">
            <v>38.481000000000002</v>
          </cell>
          <cell r="AC70">
            <v>36.499000000000002</v>
          </cell>
          <cell r="AD70">
            <v>22.372399999999999</v>
          </cell>
          <cell r="AE70">
            <v>38.507599999999996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422.608</v>
          </cell>
          <cell r="D71">
            <v>245.785</v>
          </cell>
          <cell r="E71">
            <v>128.773</v>
          </cell>
          <cell r="F71">
            <v>145.43299999999999</v>
          </cell>
          <cell r="G71">
            <v>1</v>
          </cell>
          <cell r="H71">
            <v>50</v>
          </cell>
          <cell r="I71" t="str">
            <v>матрица</v>
          </cell>
          <cell r="K71">
            <v>120.99</v>
          </cell>
          <cell r="L71">
            <v>7.7830000000000013</v>
          </cell>
          <cell r="O71">
            <v>0</v>
          </cell>
          <cell r="P71">
            <v>25.7546</v>
          </cell>
          <cell r="Q71">
            <v>240.88600000000002</v>
          </cell>
          <cell r="R71">
            <v>300</v>
          </cell>
          <cell r="S71">
            <v>400</v>
          </cell>
          <cell r="T71">
            <v>17.295279289913257</v>
          </cell>
          <cell r="U71">
            <v>5.6468747330573956</v>
          </cell>
          <cell r="V71">
            <v>22.954799999999999</v>
          </cell>
          <cell r="W71">
            <v>29.0944</v>
          </cell>
          <cell r="X71">
            <v>61.27</v>
          </cell>
          <cell r="Y71">
            <v>56.628799999999998</v>
          </cell>
          <cell r="Z71">
            <v>59.719200000000001</v>
          </cell>
          <cell r="AA71">
            <v>27.568200000000001</v>
          </cell>
          <cell r="AB71">
            <v>69.794600000000003</v>
          </cell>
          <cell r="AC71">
            <v>60.612000000000002</v>
          </cell>
          <cell r="AD71">
            <v>40.339399999999998</v>
          </cell>
          <cell r="AE71">
            <v>47.528399999999998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909</v>
          </cell>
          <cell r="D72">
            <v>198</v>
          </cell>
          <cell r="E72">
            <v>223</v>
          </cell>
          <cell r="F72">
            <v>603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251</v>
          </cell>
          <cell r="L72">
            <v>-28</v>
          </cell>
          <cell r="O72">
            <v>0</v>
          </cell>
          <cell r="P72">
            <v>44.6</v>
          </cell>
          <cell r="Q72">
            <v>66</v>
          </cell>
          <cell r="R72">
            <v>150</v>
          </cell>
          <cell r="S72">
            <v>150</v>
          </cell>
          <cell r="T72">
            <v>16.883408071748878</v>
          </cell>
          <cell r="U72">
            <v>13.520179372197308</v>
          </cell>
          <cell r="V72">
            <v>36.799999999999997</v>
          </cell>
          <cell r="W72">
            <v>57.4</v>
          </cell>
          <cell r="X72">
            <v>107.4</v>
          </cell>
          <cell r="Y72">
            <v>141.4</v>
          </cell>
          <cell r="Z72">
            <v>157.19999999999999</v>
          </cell>
          <cell r="AA72">
            <v>83.2</v>
          </cell>
          <cell r="AB72">
            <v>181</v>
          </cell>
          <cell r="AC72">
            <v>164.4</v>
          </cell>
          <cell r="AD72">
            <v>112.2</v>
          </cell>
          <cell r="AE72">
            <v>124.6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190</v>
          </cell>
          <cell r="D73">
            <v>381</v>
          </cell>
          <cell r="E73">
            <v>117</v>
          </cell>
          <cell r="F73">
            <v>265</v>
          </cell>
          <cell r="G73">
            <v>0.3</v>
          </cell>
          <cell r="H73">
            <v>50</v>
          </cell>
          <cell r="I73" t="str">
            <v>матрица</v>
          </cell>
          <cell r="K73">
            <v>121</v>
          </cell>
          <cell r="L73">
            <v>-4</v>
          </cell>
          <cell r="O73">
            <v>0</v>
          </cell>
          <cell r="P73">
            <v>23.4</v>
          </cell>
          <cell r="Q73">
            <v>86</v>
          </cell>
          <cell r="R73">
            <v>86</v>
          </cell>
          <cell r="T73">
            <v>15.000000000000002</v>
          </cell>
          <cell r="U73">
            <v>11.324786324786325</v>
          </cell>
          <cell r="V73">
            <v>23.2</v>
          </cell>
          <cell r="W73">
            <v>32.799999999999997</v>
          </cell>
          <cell r="X73">
            <v>7</v>
          </cell>
          <cell r="Y73">
            <v>41.6</v>
          </cell>
          <cell r="Z73">
            <v>38</v>
          </cell>
          <cell r="AA73">
            <v>4</v>
          </cell>
          <cell r="AB73">
            <v>39.200000000000003</v>
          </cell>
          <cell r="AC73">
            <v>26.6</v>
          </cell>
          <cell r="AD73">
            <v>20.6</v>
          </cell>
          <cell r="AE73">
            <v>23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15</v>
          </cell>
          <cell r="D74">
            <v>157</v>
          </cell>
          <cell r="E74">
            <v>20</v>
          </cell>
          <cell r="F74">
            <v>66</v>
          </cell>
          <cell r="G74">
            <v>0.3</v>
          </cell>
          <cell r="H74">
            <v>60</v>
          </cell>
          <cell r="I74" t="str">
            <v>матрица</v>
          </cell>
          <cell r="K74">
            <v>32</v>
          </cell>
          <cell r="L74">
            <v>-12</v>
          </cell>
          <cell r="O74">
            <v>0</v>
          </cell>
          <cell r="P74">
            <v>4</v>
          </cell>
          <cell r="R74">
            <v>0</v>
          </cell>
          <cell r="T74">
            <v>16.5</v>
          </cell>
          <cell r="U74">
            <v>16.5</v>
          </cell>
          <cell r="V74">
            <v>5</v>
          </cell>
          <cell r="W74">
            <v>9.6</v>
          </cell>
          <cell r="X74">
            <v>8.8000000000000007</v>
          </cell>
          <cell r="Y74">
            <v>2.6</v>
          </cell>
          <cell r="Z74">
            <v>12.4</v>
          </cell>
          <cell r="AA74">
            <v>8</v>
          </cell>
          <cell r="AB74">
            <v>5.2</v>
          </cell>
          <cell r="AC74">
            <v>9.6</v>
          </cell>
          <cell r="AD74">
            <v>8.4</v>
          </cell>
          <cell r="AE74">
            <v>4.5999999999999996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10</v>
          </cell>
          <cell r="D75">
            <v>382</v>
          </cell>
          <cell r="E75">
            <v>51</v>
          </cell>
          <cell r="F75">
            <v>289</v>
          </cell>
          <cell r="G75">
            <v>0.28000000000000003</v>
          </cell>
          <cell r="H75">
            <v>50</v>
          </cell>
          <cell r="I75" t="str">
            <v>матрица</v>
          </cell>
          <cell r="K75">
            <v>194</v>
          </cell>
          <cell r="L75">
            <v>-143</v>
          </cell>
          <cell r="O75">
            <v>107</v>
          </cell>
          <cell r="P75">
            <v>10.199999999999999</v>
          </cell>
          <cell r="R75">
            <v>0</v>
          </cell>
          <cell r="T75">
            <v>38.82352941176471</v>
          </cell>
          <cell r="U75">
            <v>38.82352941176471</v>
          </cell>
          <cell r="V75">
            <v>30.6</v>
          </cell>
          <cell r="W75">
            <v>42.2</v>
          </cell>
          <cell r="X75">
            <v>46.4</v>
          </cell>
          <cell r="Y75">
            <v>51.4</v>
          </cell>
          <cell r="Z75">
            <v>86.8</v>
          </cell>
          <cell r="AA75">
            <v>22</v>
          </cell>
          <cell r="AB75">
            <v>110.6</v>
          </cell>
          <cell r="AC75">
            <v>99.4</v>
          </cell>
          <cell r="AD75">
            <v>52.6</v>
          </cell>
          <cell r="AE75">
            <v>55.4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194</v>
          </cell>
          <cell r="D76">
            <v>943</v>
          </cell>
          <cell r="E76">
            <v>142</v>
          </cell>
          <cell r="F76">
            <v>446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146</v>
          </cell>
          <cell r="L76">
            <v>-4</v>
          </cell>
          <cell r="O76">
            <v>0</v>
          </cell>
          <cell r="P76">
            <v>28.4</v>
          </cell>
          <cell r="R76">
            <v>0</v>
          </cell>
          <cell r="T76">
            <v>15.704225352112676</v>
          </cell>
          <cell r="U76">
            <v>15.704225352112676</v>
          </cell>
          <cell r="V76">
            <v>23.8</v>
          </cell>
          <cell r="W76">
            <v>51.2</v>
          </cell>
          <cell r="X76">
            <v>56.8</v>
          </cell>
          <cell r="Y76">
            <v>70</v>
          </cell>
          <cell r="Z76">
            <v>86.8</v>
          </cell>
          <cell r="AA76">
            <v>43.4</v>
          </cell>
          <cell r="AB76">
            <v>132</v>
          </cell>
          <cell r="AC76">
            <v>102</v>
          </cell>
          <cell r="AD76">
            <v>67.599999999999994</v>
          </cell>
          <cell r="AE76">
            <v>86.6</v>
          </cell>
          <cell r="AF76" t="str">
            <v>нужно увеличить продажи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82</v>
          </cell>
          <cell r="D77">
            <v>398</v>
          </cell>
          <cell r="E77">
            <v>110</v>
          </cell>
          <cell r="F77">
            <v>197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118</v>
          </cell>
          <cell r="L77">
            <v>-8</v>
          </cell>
          <cell r="O77">
            <v>0</v>
          </cell>
          <cell r="P77">
            <v>22</v>
          </cell>
          <cell r="Q77">
            <v>133</v>
          </cell>
          <cell r="R77">
            <v>180</v>
          </cell>
          <cell r="S77">
            <v>250</v>
          </cell>
          <cell r="T77">
            <v>17.136363636363637</v>
          </cell>
          <cell r="U77">
            <v>8.954545454545455</v>
          </cell>
          <cell r="V77">
            <v>20.2</v>
          </cell>
          <cell r="W77">
            <v>29.2</v>
          </cell>
          <cell r="X77">
            <v>50.8</v>
          </cell>
          <cell r="Y77">
            <v>56</v>
          </cell>
          <cell r="Z77">
            <v>80.8</v>
          </cell>
          <cell r="AA77">
            <v>37.200000000000003</v>
          </cell>
          <cell r="AB77">
            <v>103.2</v>
          </cell>
          <cell r="AC77">
            <v>77.2</v>
          </cell>
          <cell r="AD77">
            <v>52.2</v>
          </cell>
          <cell r="AE77">
            <v>71.8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102</v>
          </cell>
          <cell r="D78">
            <v>976</v>
          </cell>
          <cell r="E78">
            <v>149</v>
          </cell>
          <cell r="F78">
            <v>418</v>
          </cell>
          <cell r="G78">
            <v>0.4</v>
          </cell>
          <cell r="H78">
            <v>50</v>
          </cell>
          <cell r="I78" t="str">
            <v>матрица</v>
          </cell>
          <cell r="K78">
            <v>201</v>
          </cell>
          <cell r="L78">
            <v>-52</v>
          </cell>
          <cell r="O78">
            <v>96</v>
          </cell>
          <cell r="P78">
            <v>29.8</v>
          </cell>
          <cell r="R78">
            <v>0</v>
          </cell>
          <cell r="T78">
            <v>17.248322147651006</v>
          </cell>
          <cell r="U78">
            <v>17.248322147651006</v>
          </cell>
          <cell r="V78">
            <v>44.6</v>
          </cell>
          <cell r="W78">
            <v>57</v>
          </cell>
          <cell r="X78">
            <v>101.8</v>
          </cell>
          <cell r="Y78">
            <v>116.6</v>
          </cell>
          <cell r="Z78">
            <v>169.8</v>
          </cell>
          <cell r="AA78">
            <v>144.4</v>
          </cell>
          <cell r="AB78">
            <v>147.80000000000001</v>
          </cell>
          <cell r="AC78">
            <v>187.2</v>
          </cell>
          <cell r="AD78">
            <v>136.4</v>
          </cell>
          <cell r="AE78">
            <v>73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C79">
            <v>66.849999999999994</v>
          </cell>
          <cell r="D79">
            <v>30.65</v>
          </cell>
          <cell r="E79">
            <v>0.29399999999999998</v>
          </cell>
          <cell r="F79">
            <v>93.864000000000004</v>
          </cell>
          <cell r="G79">
            <v>1</v>
          </cell>
          <cell r="H79">
            <v>30</v>
          </cell>
          <cell r="I79" t="str">
            <v>матрица</v>
          </cell>
          <cell r="K79">
            <v>3.3</v>
          </cell>
          <cell r="L79">
            <v>-3.0059999999999998</v>
          </cell>
          <cell r="O79">
            <v>0</v>
          </cell>
          <cell r="P79">
            <v>5.8799999999999998E-2</v>
          </cell>
          <cell r="R79">
            <v>0</v>
          </cell>
          <cell r="T79">
            <v>1596.3265306122451</v>
          </cell>
          <cell r="U79">
            <v>1596.3265306122451</v>
          </cell>
          <cell r="V79">
            <v>1.8982000000000001</v>
          </cell>
          <cell r="W79">
            <v>0.19040000000000001</v>
          </cell>
          <cell r="X79">
            <v>-0.51180000000000003</v>
          </cell>
          <cell r="Y79">
            <v>6.7103999999999999</v>
          </cell>
          <cell r="Z79">
            <v>5.0915999999999997</v>
          </cell>
          <cell r="AA79">
            <v>3.8393999999999999</v>
          </cell>
          <cell r="AB79">
            <v>4.0342000000000002</v>
          </cell>
          <cell r="AC79">
            <v>9.1999999999999998E-2</v>
          </cell>
          <cell r="AD79">
            <v>3.0341999999999998</v>
          </cell>
          <cell r="AE79">
            <v>4.6256000000000004</v>
          </cell>
          <cell r="AF79" t="str">
            <v>нужно увеличить продажи!!!</v>
          </cell>
        </row>
        <row r="80">
          <cell r="A80" t="str">
            <v>7344 КОНСЕРВЫ МЯС.ГОВЯДИНА ТУШ. В/С 338г_ЧЗ  ОСТАНКИНО</v>
          </cell>
          <cell r="B80" t="str">
            <v>шт</v>
          </cell>
          <cell r="C80">
            <v>252</v>
          </cell>
          <cell r="D80">
            <v>306</v>
          </cell>
          <cell r="F80">
            <v>255</v>
          </cell>
          <cell r="G80">
            <v>0.33800000000000002</v>
          </cell>
          <cell r="H80" t="str">
            <v>3 года</v>
          </cell>
          <cell r="I80" t="str">
            <v>матрица</v>
          </cell>
          <cell r="L80">
            <v>0</v>
          </cell>
          <cell r="O80">
            <v>0</v>
          </cell>
          <cell r="P80">
            <v>0</v>
          </cell>
          <cell r="R80">
            <v>0</v>
          </cell>
          <cell r="T80" t="e">
            <v>#DIV/0!</v>
          </cell>
          <cell r="U80" t="e">
            <v>#DIV/0!</v>
          </cell>
          <cell r="V80">
            <v>1.6</v>
          </cell>
          <cell r="W80">
            <v>12.2</v>
          </cell>
          <cell r="X80">
            <v>21.8</v>
          </cell>
          <cell r="Y80">
            <v>0.8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 t="str">
            <v>нужно увеличить продажи!!! / новинка</v>
          </cell>
        </row>
        <row r="81">
          <cell r="A81" t="str">
            <v>7345 КОНСЕРВЫ МЯС.СВИНИНА ТУШ. В/С 325г_ЧЗ  ОСТАНКИНО</v>
          </cell>
          <cell r="B81" t="str">
            <v>шт</v>
          </cell>
          <cell r="C81">
            <v>353</v>
          </cell>
          <cell r="D81">
            <v>212</v>
          </cell>
          <cell r="E81">
            <v>3</v>
          </cell>
          <cell r="F81">
            <v>353</v>
          </cell>
          <cell r="G81">
            <v>0.32500000000000001</v>
          </cell>
          <cell r="H81" t="str">
            <v>3 года</v>
          </cell>
          <cell r="I81" t="str">
            <v>матрица</v>
          </cell>
          <cell r="K81">
            <v>3</v>
          </cell>
          <cell r="L81">
            <v>0</v>
          </cell>
          <cell r="O81">
            <v>0</v>
          </cell>
          <cell r="P81">
            <v>0.6</v>
          </cell>
          <cell r="R81">
            <v>0</v>
          </cell>
          <cell r="T81">
            <v>588.33333333333337</v>
          </cell>
          <cell r="U81">
            <v>588.33333333333337</v>
          </cell>
          <cell r="V81">
            <v>2.6</v>
          </cell>
          <cell r="W81">
            <v>15.6</v>
          </cell>
          <cell r="X81">
            <v>31.2</v>
          </cell>
          <cell r="Y81">
            <v>0.4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str">
            <v>нужно увеличить продажи!!! / новинка</v>
          </cell>
        </row>
        <row r="82">
          <cell r="A82" t="str">
            <v>7382  САЛЯМИ МЕЛКОЗЕРНЕНАЯ с/к в/у1/120 8шт.  ОСТАНКИНО</v>
          </cell>
          <cell r="B82" t="str">
            <v>шт</v>
          </cell>
          <cell r="C82">
            <v>127</v>
          </cell>
          <cell r="D82">
            <v>312</v>
          </cell>
          <cell r="E82">
            <v>70</v>
          </cell>
          <cell r="F82">
            <v>241</v>
          </cell>
          <cell r="G82">
            <v>0.12</v>
          </cell>
          <cell r="H82">
            <v>60</v>
          </cell>
          <cell r="I82" t="str">
            <v>матрица</v>
          </cell>
          <cell r="K82">
            <v>71</v>
          </cell>
          <cell r="L82">
            <v>-1</v>
          </cell>
          <cell r="O82">
            <v>0</v>
          </cell>
          <cell r="P82">
            <v>14</v>
          </cell>
          <cell r="R82">
            <v>0</v>
          </cell>
          <cell r="T82">
            <v>17.214285714285715</v>
          </cell>
          <cell r="U82">
            <v>17.214285714285715</v>
          </cell>
          <cell r="V82">
            <v>16</v>
          </cell>
          <cell r="W82">
            <v>26.2</v>
          </cell>
          <cell r="X82">
            <v>37</v>
          </cell>
          <cell r="Y82">
            <v>50.6</v>
          </cell>
          <cell r="Z82">
            <v>77.2</v>
          </cell>
          <cell r="AA82">
            <v>50</v>
          </cell>
          <cell r="AB82">
            <v>83</v>
          </cell>
          <cell r="AC82">
            <v>79</v>
          </cell>
          <cell r="AD82">
            <v>54.8</v>
          </cell>
          <cell r="AE82">
            <v>35.6</v>
          </cell>
        </row>
        <row r="83">
          <cell r="A83" t="str">
            <v>7386 БАРСЕЛОНА ПМ с/к в/у 1/150  ОСТАНКИНО</v>
          </cell>
          <cell r="B83" t="str">
            <v>шт</v>
          </cell>
          <cell r="D83">
            <v>99</v>
          </cell>
          <cell r="E83">
            <v>21</v>
          </cell>
          <cell r="F83">
            <v>60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125</v>
          </cell>
          <cell r="L83">
            <v>-104</v>
          </cell>
          <cell r="O83">
            <v>0</v>
          </cell>
          <cell r="P83">
            <v>4.2</v>
          </cell>
          <cell r="Q83">
            <v>130</v>
          </cell>
          <cell r="R83">
            <v>150</v>
          </cell>
          <cell r="S83">
            <v>250</v>
          </cell>
          <cell r="T83">
            <v>50</v>
          </cell>
          <cell r="U83">
            <v>14.285714285714285</v>
          </cell>
          <cell r="V83">
            <v>0.6</v>
          </cell>
          <cell r="W83">
            <v>10.8</v>
          </cell>
          <cell r="X83">
            <v>24.8</v>
          </cell>
          <cell r="Y83">
            <v>4.5999999999999996</v>
          </cell>
          <cell r="Z83">
            <v>0</v>
          </cell>
          <cell r="AA83">
            <v>3.4</v>
          </cell>
          <cell r="AB83">
            <v>9</v>
          </cell>
          <cell r="AC83">
            <v>7.2</v>
          </cell>
          <cell r="AD83">
            <v>5.4</v>
          </cell>
          <cell r="AE83">
            <v>9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C84">
            <v>118</v>
          </cell>
          <cell r="D84">
            <v>300</v>
          </cell>
          <cell r="E84">
            <v>128</v>
          </cell>
          <cell r="F84">
            <v>218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132</v>
          </cell>
          <cell r="L84">
            <v>-4</v>
          </cell>
          <cell r="O84">
            <v>0</v>
          </cell>
          <cell r="P84">
            <v>25.6</v>
          </cell>
          <cell r="Q84">
            <v>166</v>
          </cell>
          <cell r="R84">
            <v>220</v>
          </cell>
          <cell r="S84">
            <v>250</v>
          </cell>
          <cell r="T84">
            <v>17.109375</v>
          </cell>
          <cell r="U84">
            <v>8.515625</v>
          </cell>
          <cell r="V84">
            <v>5.2</v>
          </cell>
          <cell r="W84">
            <v>29.4</v>
          </cell>
          <cell r="X84">
            <v>21.6</v>
          </cell>
          <cell r="Y84">
            <v>1.2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 t="str">
            <v>новинка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98</v>
          </cell>
          <cell r="D85">
            <v>177</v>
          </cell>
          <cell r="E85">
            <v>89</v>
          </cell>
          <cell r="F85">
            <v>69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103</v>
          </cell>
          <cell r="L85">
            <v>-14</v>
          </cell>
          <cell r="O85">
            <v>43</v>
          </cell>
          <cell r="P85">
            <v>17.8</v>
          </cell>
          <cell r="Q85">
            <v>155</v>
          </cell>
          <cell r="R85">
            <v>155</v>
          </cell>
          <cell r="T85">
            <v>15</v>
          </cell>
          <cell r="U85">
            <v>6.2921348314606735</v>
          </cell>
          <cell r="V85">
            <v>14.2</v>
          </cell>
          <cell r="W85">
            <v>16.8</v>
          </cell>
          <cell r="X85">
            <v>30.2</v>
          </cell>
          <cell r="Y85">
            <v>24.4</v>
          </cell>
          <cell r="Z85">
            <v>27.2</v>
          </cell>
          <cell r="AA85">
            <v>30.4</v>
          </cell>
          <cell r="AB85">
            <v>43</v>
          </cell>
          <cell r="AC85">
            <v>45.2</v>
          </cell>
          <cell r="AD85">
            <v>1.8</v>
          </cell>
          <cell r="AE85">
            <v>37.799999999999997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D86">
            <v>558</v>
          </cell>
          <cell r="E86">
            <v>73</v>
          </cell>
          <cell r="F86">
            <v>422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303</v>
          </cell>
          <cell r="L86">
            <v>-230</v>
          </cell>
          <cell r="O86">
            <v>0</v>
          </cell>
          <cell r="P86">
            <v>14.6</v>
          </cell>
          <cell r="R86">
            <v>0</v>
          </cell>
          <cell r="T86">
            <v>28.904109589041095</v>
          </cell>
          <cell r="U86">
            <v>28.904109589041095</v>
          </cell>
          <cell r="V86">
            <v>0</v>
          </cell>
          <cell r="W86">
            <v>33</v>
          </cell>
          <cell r="X86">
            <v>30</v>
          </cell>
          <cell r="Y86">
            <v>11.4</v>
          </cell>
          <cell r="Z86">
            <v>5.6</v>
          </cell>
          <cell r="AA86">
            <v>10</v>
          </cell>
          <cell r="AB86">
            <v>7.8</v>
          </cell>
          <cell r="AC86">
            <v>5.8</v>
          </cell>
          <cell r="AD86">
            <v>0</v>
          </cell>
          <cell r="AE86">
            <v>0</v>
          </cell>
          <cell r="AF86" t="str">
            <v>новинка</v>
          </cell>
        </row>
        <row r="87">
          <cell r="A87" t="str">
            <v>7490 СОЧНЫЙ ГРИЛЬ сос ц/о мгс 0.41кг_Даблпак  ОСТАНКИНО</v>
          </cell>
          <cell r="B87" t="str">
            <v>шт</v>
          </cell>
          <cell r="D87">
            <v>120</v>
          </cell>
          <cell r="E87">
            <v>8</v>
          </cell>
          <cell r="F87">
            <v>110</v>
          </cell>
          <cell r="G87">
            <v>0.41</v>
          </cell>
          <cell r="H87">
            <v>45</v>
          </cell>
          <cell r="I87" t="str">
            <v>матрица</v>
          </cell>
          <cell r="L87">
            <v>8</v>
          </cell>
          <cell r="P87">
            <v>1.6</v>
          </cell>
          <cell r="Q87">
            <v>50</v>
          </cell>
          <cell r="R87">
            <v>50</v>
          </cell>
          <cell r="S87">
            <v>100</v>
          </cell>
          <cell r="T87">
            <v>100</v>
          </cell>
          <cell r="U87">
            <v>68.75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вместо 6713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C88">
            <v>83</v>
          </cell>
          <cell r="D88">
            <v>215</v>
          </cell>
          <cell r="E88">
            <v>98</v>
          </cell>
          <cell r="F88">
            <v>81</v>
          </cell>
          <cell r="G88">
            <v>0.26</v>
          </cell>
          <cell r="H88">
            <v>45</v>
          </cell>
          <cell r="I88" t="str">
            <v>матрица</v>
          </cell>
          <cell r="K88">
            <v>133</v>
          </cell>
          <cell r="L88">
            <v>-35</v>
          </cell>
          <cell r="O88">
            <v>0</v>
          </cell>
          <cell r="P88">
            <v>19.600000000000001</v>
          </cell>
          <cell r="Q88">
            <v>193.40000000000003</v>
          </cell>
          <cell r="R88">
            <v>240</v>
          </cell>
          <cell r="S88">
            <v>270</v>
          </cell>
          <cell r="T88">
            <v>16.377551020408163</v>
          </cell>
          <cell r="U88">
            <v>4.1326530612244898</v>
          </cell>
          <cell r="V88">
            <v>4.2</v>
          </cell>
          <cell r="W88">
            <v>6</v>
          </cell>
          <cell r="X88">
            <v>36.200000000000003</v>
          </cell>
          <cell r="Y88">
            <v>3.4</v>
          </cell>
          <cell r="Z88">
            <v>6.2</v>
          </cell>
          <cell r="AA88">
            <v>11</v>
          </cell>
          <cell r="AB88">
            <v>6.8</v>
          </cell>
          <cell r="AC88">
            <v>2.8</v>
          </cell>
          <cell r="AD88">
            <v>0</v>
          </cell>
          <cell r="AE88">
            <v>0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C89">
            <v>34.962000000000003</v>
          </cell>
          <cell r="D89">
            <v>179.58199999999999</v>
          </cell>
          <cell r="E89">
            <v>49.323999999999998</v>
          </cell>
          <cell r="F89">
            <v>108.348</v>
          </cell>
          <cell r="G89">
            <v>1</v>
          </cell>
          <cell r="H89">
            <v>30</v>
          </cell>
          <cell r="I89" t="str">
            <v>матрица</v>
          </cell>
          <cell r="K89">
            <v>59.8</v>
          </cell>
          <cell r="L89">
            <v>-10.475999999999999</v>
          </cell>
          <cell r="O89">
            <v>0</v>
          </cell>
          <cell r="P89">
            <v>9.8647999999999989</v>
          </cell>
          <cell r="Q89">
            <v>39.623999999999981</v>
          </cell>
          <cell r="R89">
            <v>60</v>
          </cell>
          <cell r="S89">
            <v>70</v>
          </cell>
          <cell r="T89">
            <v>17.065525910307358</v>
          </cell>
          <cell r="U89">
            <v>10.983294136728571</v>
          </cell>
          <cell r="V89">
            <v>7.9896000000000003</v>
          </cell>
          <cell r="W89">
            <v>10.4252</v>
          </cell>
          <cell r="X89">
            <v>9.0858000000000008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str">
            <v>новинка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C90">
            <v>115</v>
          </cell>
          <cell r="D90">
            <v>260</v>
          </cell>
          <cell r="E90">
            <v>115</v>
          </cell>
          <cell r="F90">
            <v>144</v>
          </cell>
          <cell r="G90">
            <v>0.31</v>
          </cell>
          <cell r="H90">
            <v>45</v>
          </cell>
          <cell r="I90" t="str">
            <v>матрица</v>
          </cell>
          <cell r="K90">
            <v>116</v>
          </cell>
          <cell r="L90">
            <v>-1</v>
          </cell>
          <cell r="O90">
            <v>0</v>
          </cell>
          <cell r="P90">
            <v>23</v>
          </cell>
          <cell r="Q90">
            <v>201</v>
          </cell>
          <cell r="R90">
            <v>201</v>
          </cell>
          <cell r="T90">
            <v>15</v>
          </cell>
          <cell r="U90">
            <v>6.2608695652173916</v>
          </cell>
          <cell r="V90">
            <v>2.2000000000000002</v>
          </cell>
          <cell r="W90">
            <v>6</v>
          </cell>
          <cell r="X90">
            <v>34.799999999999997</v>
          </cell>
          <cell r="Y90">
            <v>5</v>
          </cell>
          <cell r="Z90">
            <v>8.4</v>
          </cell>
          <cell r="AA90">
            <v>9</v>
          </cell>
          <cell r="AB90">
            <v>7.8</v>
          </cell>
          <cell r="AC90">
            <v>4</v>
          </cell>
          <cell r="AD90">
            <v>0</v>
          </cell>
          <cell r="AE90">
            <v>0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C91">
            <v>60.878999999999998</v>
          </cell>
          <cell r="D91">
            <v>104.562</v>
          </cell>
          <cell r="E91">
            <v>46.439</v>
          </cell>
          <cell r="F91">
            <v>103.66800000000001</v>
          </cell>
          <cell r="G91">
            <v>1</v>
          </cell>
          <cell r="H91">
            <v>30</v>
          </cell>
          <cell r="I91" t="str">
            <v>матрица</v>
          </cell>
          <cell r="K91">
            <v>44.6</v>
          </cell>
          <cell r="L91">
            <v>1.8389999999999986</v>
          </cell>
          <cell r="O91">
            <v>0</v>
          </cell>
          <cell r="P91">
            <v>9.2878000000000007</v>
          </cell>
          <cell r="Q91">
            <v>35.649000000000001</v>
          </cell>
          <cell r="R91">
            <v>36</v>
          </cell>
          <cell r="T91">
            <v>15.037791511445121</v>
          </cell>
          <cell r="U91">
            <v>11.161739055535218</v>
          </cell>
          <cell r="V91">
            <v>2.3904000000000001</v>
          </cell>
          <cell r="W91">
            <v>8.8018000000000001</v>
          </cell>
          <cell r="X91">
            <v>6.4154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str">
            <v>новинка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47</v>
          </cell>
          <cell r="D92">
            <v>379</v>
          </cell>
          <cell r="E92">
            <v>58</v>
          </cell>
          <cell r="F92">
            <v>153</v>
          </cell>
          <cell r="G92">
            <v>0.4</v>
          </cell>
          <cell r="H92">
            <v>60</v>
          </cell>
          <cell r="I92" t="str">
            <v>матрица</v>
          </cell>
          <cell r="K92">
            <v>65</v>
          </cell>
          <cell r="L92">
            <v>-7</v>
          </cell>
          <cell r="O92">
            <v>0</v>
          </cell>
          <cell r="P92">
            <v>11.6</v>
          </cell>
          <cell r="Q92">
            <v>21</v>
          </cell>
          <cell r="R92">
            <v>21</v>
          </cell>
          <cell r="T92">
            <v>15</v>
          </cell>
          <cell r="U92">
            <v>13.189655172413794</v>
          </cell>
          <cell r="V92">
            <v>12</v>
          </cell>
          <cell r="W92">
            <v>20.8</v>
          </cell>
          <cell r="X92">
            <v>31.4</v>
          </cell>
          <cell r="Y92">
            <v>31.8</v>
          </cell>
          <cell r="Z92">
            <v>39.4</v>
          </cell>
          <cell r="AA92">
            <v>24.4</v>
          </cell>
          <cell r="AB92">
            <v>65</v>
          </cell>
          <cell r="AC92">
            <v>53.4</v>
          </cell>
          <cell r="AD92">
            <v>32</v>
          </cell>
          <cell r="AE92">
            <v>33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C93">
            <v>-8</v>
          </cell>
          <cell r="D93">
            <v>117</v>
          </cell>
          <cell r="E93">
            <v>15</v>
          </cell>
          <cell r="F93">
            <v>81</v>
          </cell>
          <cell r="G93">
            <v>0.35</v>
          </cell>
          <cell r="H93">
            <v>60</v>
          </cell>
          <cell r="I93" t="str">
            <v>увеличить / матрица</v>
          </cell>
          <cell r="K93">
            <v>160</v>
          </cell>
          <cell r="L93">
            <v>-145</v>
          </cell>
          <cell r="O93">
            <v>0</v>
          </cell>
          <cell r="P93">
            <v>3</v>
          </cell>
          <cell r="R93">
            <v>0</v>
          </cell>
          <cell r="T93">
            <v>27</v>
          </cell>
          <cell r="U93">
            <v>27</v>
          </cell>
          <cell r="V93">
            <v>0</v>
          </cell>
          <cell r="W93">
            <v>12.2</v>
          </cell>
          <cell r="X93">
            <v>0.6</v>
          </cell>
          <cell r="Y93">
            <v>0.2</v>
          </cell>
          <cell r="Z93">
            <v>7.8</v>
          </cell>
          <cell r="AA93">
            <v>0</v>
          </cell>
          <cell r="AB93">
            <v>0</v>
          </cell>
          <cell r="AC93">
            <v>4.5999999999999996</v>
          </cell>
          <cell r="AD93">
            <v>3.6</v>
          </cell>
          <cell r="AE93">
            <v>1</v>
          </cell>
          <cell r="AF93" t="str">
            <v>34шт списание (11,08,26)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C94">
            <v>44.593000000000004</v>
          </cell>
          <cell r="D94">
            <v>83.631</v>
          </cell>
          <cell r="E94">
            <v>34.183999999999997</v>
          </cell>
          <cell r="F94">
            <v>9.3680000000000003</v>
          </cell>
          <cell r="G94">
            <v>1</v>
          </cell>
          <cell r="H94">
            <v>45</v>
          </cell>
          <cell r="I94" t="str">
            <v>матрица</v>
          </cell>
          <cell r="K94">
            <v>34.9</v>
          </cell>
          <cell r="L94">
            <v>-0.71600000000000108</v>
          </cell>
          <cell r="O94">
            <v>39</v>
          </cell>
          <cell r="P94">
            <v>6.8367999999999993</v>
          </cell>
          <cell r="Q94">
            <v>54.18399999999999</v>
          </cell>
          <cell r="R94">
            <v>70</v>
          </cell>
          <cell r="S94">
            <v>120</v>
          </cell>
          <cell r="T94">
            <v>17.313362976831268</v>
          </cell>
          <cell r="U94">
            <v>7.0746548092674946</v>
          </cell>
          <cell r="V94">
            <v>5.5881999999999996</v>
          </cell>
          <cell r="W94">
            <v>3.5522</v>
          </cell>
          <cell r="X94">
            <v>12.200200000000001</v>
          </cell>
          <cell r="Y94">
            <v>1.3218000000000001</v>
          </cell>
          <cell r="Z94">
            <v>3.1663999999999999</v>
          </cell>
          <cell r="AA94">
            <v>11.7332</v>
          </cell>
          <cell r="AB94">
            <v>0.34699999999999998</v>
          </cell>
          <cell r="AC94">
            <v>0.50080000000000002</v>
          </cell>
          <cell r="AD94">
            <v>0</v>
          </cell>
          <cell r="AE94">
            <v>0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C95">
            <v>39.808</v>
          </cell>
          <cell r="E95">
            <v>38.072000000000003</v>
          </cell>
          <cell r="F95">
            <v>1.736</v>
          </cell>
          <cell r="G95">
            <v>1</v>
          </cell>
          <cell r="H95">
            <v>45</v>
          </cell>
          <cell r="I95" t="str">
            <v>матрица</v>
          </cell>
          <cell r="K95">
            <v>57.6</v>
          </cell>
          <cell r="L95">
            <v>-19.527999999999999</v>
          </cell>
          <cell r="O95">
            <v>144</v>
          </cell>
          <cell r="P95">
            <v>7.6144000000000007</v>
          </cell>
          <cell r="R95">
            <v>0</v>
          </cell>
          <cell r="T95">
            <v>19.13952511031729</v>
          </cell>
          <cell r="U95">
            <v>19.13952511031729</v>
          </cell>
          <cell r="V95">
            <v>14.147399999999999</v>
          </cell>
          <cell r="W95">
            <v>3.3952</v>
          </cell>
          <cell r="X95">
            <v>5.1155999999999997</v>
          </cell>
          <cell r="Y95">
            <v>16.523</v>
          </cell>
          <cell r="Z95">
            <v>0</v>
          </cell>
          <cell r="AA95">
            <v>6.5928000000000004</v>
          </cell>
          <cell r="AB95">
            <v>12.7</v>
          </cell>
          <cell r="AC95">
            <v>5.0625999999999998</v>
          </cell>
          <cell r="AD95">
            <v>0.50580000000000003</v>
          </cell>
          <cell r="AE95">
            <v>9.2891999999999992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33</v>
          </cell>
          <cell r="D96">
            <v>297</v>
          </cell>
          <cell r="E96">
            <v>50</v>
          </cell>
          <cell r="F96">
            <v>62</v>
          </cell>
          <cell r="G96">
            <v>0.33</v>
          </cell>
          <cell r="H96">
            <v>45</v>
          </cell>
          <cell r="I96" t="str">
            <v>матрица</v>
          </cell>
          <cell r="K96">
            <v>143</v>
          </cell>
          <cell r="L96">
            <v>-93</v>
          </cell>
          <cell r="O96">
            <v>0</v>
          </cell>
          <cell r="P96">
            <v>10</v>
          </cell>
          <cell r="Q96">
            <v>88</v>
          </cell>
          <cell r="R96">
            <v>140</v>
          </cell>
          <cell r="S96">
            <v>150</v>
          </cell>
          <cell r="T96">
            <v>20.2</v>
          </cell>
          <cell r="U96">
            <v>6.2</v>
          </cell>
          <cell r="V96">
            <v>3</v>
          </cell>
          <cell r="W96">
            <v>0.4</v>
          </cell>
          <cell r="X96">
            <v>10.6</v>
          </cell>
          <cell r="Y96">
            <v>5</v>
          </cell>
          <cell r="Z96">
            <v>1.6</v>
          </cell>
          <cell r="AA96">
            <v>0</v>
          </cell>
          <cell r="AB96">
            <v>-2.2000000000000002</v>
          </cell>
          <cell r="AC96">
            <v>23</v>
          </cell>
          <cell r="AD96">
            <v>25.8</v>
          </cell>
          <cell r="AE96">
            <v>35.200000000000003</v>
          </cell>
          <cell r="AF96" t="str">
            <v>374шт списание (11,08,26)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139</v>
          </cell>
          <cell r="D97">
            <v>167</v>
          </cell>
          <cell r="E97">
            <v>64</v>
          </cell>
          <cell r="F97">
            <v>54</v>
          </cell>
          <cell r="G97">
            <v>0.1</v>
          </cell>
          <cell r="H97">
            <v>60</v>
          </cell>
          <cell r="I97" t="str">
            <v>матрица</v>
          </cell>
          <cell r="K97">
            <v>65</v>
          </cell>
          <cell r="L97">
            <v>-1</v>
          </cell>
          <cell r="O97">
            <v>101</v>
          </cell>
          <cell r="P97">
            <v>12.8</v>
          </cell>
          <cell r="Q97">
            <v>37</v>
          </cell>
          <cell r="R97">
            <v>37</v>
          </cell>
          <cell r="T97">
            <v>15</v>
          </cell>
          <cell r="U97">
            <v>12.109375</v>
          </cell>
          <cell r="V97">
            <v>16</v>
          </cell>
          <cell r="W97">
            <v>6.2</v>
          </cell>
          <cell r="X97">
            <v>25.6</v>
          </cell>
          <cell r="Y97">
            <v>29.2</v>
          </cell>
          <cell r="Z97">
            <v>28.4</v>
          </cell>
          <cell r="AA97">
            <v>25.8</v>
          </cell>
          <cell r="AB97">
            <v>40.4</v>
          </cell>
          <cell r="AC97">
            <v>27</v>
          </cell>
          <cell r="AD97">
            <v>16.2</v>
          </cell>
          <cell r="AE97">
            <v>1.4</v>
          </cell>
          <cell r="AF97" t="str">
            <v>вместо 6454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319</v>
          </cell>
          <cell r="D98">
            <v>172</v>
          </cell>
          <cell r="E98">
            <v>121</v>
          </cell>
          <cell r="F98">
            <v>195</v>
          </cell>
          <cell r="G98">
            <v>0.1</v>
          </cell>
          <cell r="H98">
            <v>60</v>
          </cell>
          <cell r="I98" t="str">
            <v>матрица</v>
          </cell>
          <cell r="K98">
            <v>116</v>
          </cell>
          <cell r="L98">
            <v>5</v>
          </cell>
          <cell r="O98">
            <v>14</v>
          </cell>
          <cell r="P98">
            <v>24.2</v>
          </cell>
          <cell r="Q98">
            <v>154</v>
          </cell>
          <cell r="R98">
            <v>200</v>
          </cell>
          <cell r="S98">
            <v>220</v>
          </cell>
          <cell r="T98">
            <v>16.900826446280991</v>
          </cell>
          <cell r="U98">
            <v>8.6363636363636367</v>
          </cell>
          <cell r="V98">
            <v>22.2</v>
          </cell>
          <cell r="W98">
            <v>1.8</v>
          </cell>
          <cell r="X98">
            <v>24.8</v>
          </cell>
          <cell r="Y98">
            <v>52.8</v>
          </cell>
          <cell r="Z98">
            <v>10.8</v>
          </cell>
          <cell r="AA98">
            <v>29.2</v>
          </cell>
          <cell r="AB98">
            <v>51</v>
          </cell>
          <cell r="AC98">
            <v>2.2000000000000002</v>
          </cell>
          <cell r="AD98">
            <v>20.399999999999999</v>
          </cell>
          <cell r="AE98">
            <v>38.799999999999997</v>
          </cell>
          <cell r="AF98" t="str">
            <v>вместо 6453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242</v>
          </cell>
          <cell r="D99">
            <v>430</v>
          </cell>
          <cell r="E99">
            <v>138</v>
          </cell>
          <cell r="F99">
            <v>287</v>
          </cell>
          <cell r="G99">
            <v>0.4</v>
          </cell>
          <cell r="H99">
            <v>60</v>
          </cell>
          <cell r="I99" t="str">
            <v>матрица</v>
          </cell>
          <cell r="K99">
            <v>157</v>
          </cell>
          <cell r="L99">
            <v>-19</v>
          </cell>
          <cell r="O99">
            <v>0</v>
          </cell>
          <cell r="P99">
            <v>27.6</v>
          </cell>
          <cell r="Q99">
            <v>127</v>
          </cell>
          <cell r="R99">
            <v>180</v>
          </cell>
          <cell r="S99">
            <v>200</v>
          </cell>
          <cell r="T99">
            <v>16.920289855072461</v>
          </cell>
          <cell r="U99">
            <v>10.39855072463768</v>
          </cell>
          <cell r="V99">
            <v>22</v>
          </cell>
          <cell r="W99">
            <v>36</v>
          </cell>
          <cell r="X99">
            <v>61.6</v>
          </cell>
          <cell r="Y99">
            <v>72.8</v>
          </cell>
          <cell r="Z99">
            <v>96.4</v>
          </cell>
          <cell r="AA99">
            <v>80</v>
          </cell>
          <cell r="AB99">
            <v>80.2</v>
          </cell>
          <cell r="AC99">
            <v>93.8</v>
          </cell>
          <cell r="AD99">
            <v>30.4</v>
          </cell>
          <cell r="AE99">
            <v>47.8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23</v>
          </cell>
          <cell r="D100">
            <v>2</v>
          </cell>
          <cell r="E100">
            <v>-5</v>
          </cell>
          <cell r="G100">
            <v>0</v>
          </cell>
          <cell r="I100" t="str">
            <v>вывод</v>
          </cell>
          <cell r="J100" t="str">
            <v>7730 ХОЧУ ВЕТЧ.ИЗ СВ.ОТРУБА мгс 1/100_45с_Л11  ОСТАНКИНО</v>
          </cell>
          <cell r="K100">
            <v>52</v>
          </cell>
          <cell r="L100">
            <v>-57</v>
          </cell>
          <cell r="O100">
            <v>0</v>
          </cell>
          <cell r="P100">
            <v>-1</v>
          </cell>
          <cell r="R100">
            <v>0</v>
          </cell>
          <cell r="T100">
            <v>0</v>
          </cell>
          <cell r="U100">
            <v>0</v>
          </cell>
          <cell r="V100">
            <v>4</v>
          </cell>
          <cell r="W100">
            <v>5</v>
          </cell>
          <cell r="X100">
            <v>6.8</v>
          </cell>
          <cell r="Y100">
            <v>-0.8</v>
          </cell>
          <cell r="Z100">
            <v>2.4</v>
          </cell>
          <cell r="AA100">
            <v>23</v>
          </cell>
          <cell r="AB100">
            <v>4.8</v>
          </cell>
          <cell r="AC100">
            <v>1.6</v>
          </cell>
          <cell r="AD100">
            <v>16</v>
          </cell>
          <cell r="AE100">
            <v>1.8</v>
          </cell>
          <cell r="AF100" t="str">
            <v>ротация на код 7730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29</v>
          </cell>
          <cell r="D101">
            <v>11</v>
          </cell>
          <cell r="E101">
            <v>4</v>
          </cell>
          <cell r="G101">
            <v>0</v>
          </cell>
          <cell r="I101" t="str">
            <v>вывод</v>
          </cell>
          <cell r="J101" t="str">
            <v>7731 ХОЧУ ВЕТЧ. МРАМОР. с/н мгс 1/100_45с_Л11  ОСТАНКИНО</v>
          </cell>
          <cell r="K101">
            <v>82</v>
          </cell>
          <cell r="L101">
            <v>-78</v>
          </cell>
          <cell r="O101">
            <v>0</v>
          </cell>
          <cell r="P101">
            <v>0.8</v>
          </cell>
          <cell r="R101">
            <v>0</v>
          </cell>
          <cell r="T101">
            <v>0</v>
          </cell>
          <cell r="U101">
            <v>0</v>
          </cell>
          <cell r="V101">
            <v>3.6</v>
          </cell>
          <cell r="W101">
            <v>3.4</v>
          </cell>
          <cell r="X101">
            <v>8.8000000000000007</v>
          </cell>
          <cell r="Y101">
            <v>1</v>
          </cell>
          <cell r="Z101">
            <v>2.8</v>
          </cell>
          <cell r="AA101">
            <v>22.8</v>
          </cell>
          <cell r="AB101">
            <v>5.4</v>
          </cell>
          <cell r="AC101">
            <v>1.6</v>
          </cell>
          <cell r="AD101">
            <v>16</v>
          </cell>
          <cell r="AE101">
            <v>1.6</v>
          </cell>
          <cell r="AF101" t="str">
            <v>ротация на код 7731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D102">
            <v>290</v>
          </cell>
          <cell r="E102">
            <v>2</v>
          </cell>
          <cell r="F102">
            <v>140</v>
          </cell>
          <cell r="G102">
            <v>0.3</v>
          </cell>
          <cell r="H102">
            <v>45</v>
          </cell>
          <cell r="I102" t="str">
            <v>матрица</v>
          </cell>
          <cell r="K102">
            <v>3</v>
          </cell>
          <cell r="L102">
            <v>-1</v>
          </cell>
          <cell r="O102">
            <v>0</v>
          </cell>
          <cell r="P102">
            <v>0.4</v>
          </cell>
          <cell r="R102">
            <v>0</v>
          </cell>
          <cell r="T102">
            <v>350</v>
          </cell>
          <cell r="U102">
            <v>350</v>
          </cell>
          <cell r="V102">
            <v>0</v>
          </cell>
          <cell r="W102">
            <v>1.2</v>
          </cell>
          <cell r="X102">
            <v>10.4</v>
          </cell>
          <cell r="Y102">
            <v>0.6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 t="str">
            <v>новинка</v>
          </cell>
        </row>
        <row r="103">
          <cell r="A103" t="str">
            <v>7725 ВЕТ.МРАМОРНАЯ в/у срез 0.3кг 6шт_62  ОСТАНКИНО</v>
          </cell>
          <cell r="B103" t="str">
            <v>шт</v>
          </cell>
          <cell r="D103">
            <v>90</v>
          </cell>
          <cell r="E103">
            <v>74</v>
          </cell>
          <cell r="F103">
            <v>88</v>
          </cell>
          <cell r="G103">
            <v>0.3</v>
          </cell>
          <cell r="H103">
            <v>62</v>
          </cell>
          <cell r="I103" t="str">
            <v>матрица</v>
          </cell>
          <cell r="L103">
            <v>74</v>
          </cell>
          <cell r="P103">
            <v>14.8</v>
          </cell>
          <cell r="Q103">
            <v>134</v>
          </cell>
          <cell r="R103">
            <v>165</v>
          </cell>
          <cell r="S103">
            <v>200</v>
          </cell>
          <cell r="T103">
            <v>17.094594594594593</v>
          </cell>
          <cell r="U103">
            <v>5.9459459459459456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 t="str">
            <v>вместо 6495</v>
          </cell>
        </row>
        <row r="104">
          <cell r="A104" t="str">
            <v>7730 ХОЧУ ВЕТЧ.ИЗ СВ.ОТРУБА мгс 1/100_45с_Л11  ОСТАНКИНО</v>
          </cell>
          <cell r="B104" t="str">
            <v>шт</v>
          </cell>
          <cell r="D104">
            <v>96</v>
          </cell>
          <cell r="E104">
            <v>-5</v>
          </cell>
          <cell r="F104">
            <v>95</v>
          </cell>
          <cell r="G104">
            <v>0.1</v>
          </cell>
          <cell r="H104">
            <v>45</v>
          </cell>
          <cell r="I104" t="str">
            <v>матрица</v>
          </cell>
          <cell r="L104">
            <v>-5</v>
          </cell>
          <cell r="P104">
            <v>-1</v>
          </cell>
          <cell r="R104">
            <v>0</v>
          </cell>
          <cell r="T104">
            <v>-95</v>
          </cell>
          <cell r="U104">
            <v>-95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вместо 7647</v>
          </cell>
        </row>
        <row r="105">
          <cell r="A105" t="str">
            <v>7731 ХОЧУ ВЕТЧ. МРАМОР. с/н мгс 1/100_45с_Л11  ОСТАНКИНО</v>
          </cell>
          <cell r="B105" t="str">
            <v>шт</v>
          </cell>
          <cell r="D105">
            <v>48</v>
          </cell>
          <cell r="E105">
            <v>4</v>
          </cell>
          <cell r="F105">
            <v>41</v>
          </cell>
          <cell r="G105">
            <v>0.1</v>
          </cell>
          <cell r="H105">
            <v>45</v>
          </cell>
          <cell r="I105" t="str">
            <v>матрица</v>
          </cell>
          <cell r="L105">
            <v>4</v>
          </cell>
          <cell r="P105">
            <v>0.8</v>
          </cell>
          <cell r="R105">
            <v>0</v>
          </cell>
          <cell r="T105">
            <v>51.25</v>
          </cell>
          <cell r="U105">
            <v>51.25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вместо 7651</v>
          </cell>
        </row>
        <row r="106">
          <cell r="A106" t="str">
            <v>7754 ДОМАШНИЙ РЕЦЕПТ Коровино вар п/о_332к</v>
          </cell>
          <cell r="B106" t="str">
            <v>кг</v>
          </cell>
          <cell r="G106">
            <v>0</v>
          </cell>
          <cell r="H106">
            <v>60</v>
          </cell>
          <cell r="I106" t="str">
            <v>матрица</v>
          </cell>
          <cell r="L106">
            <v>0</v>
          </cell>
          <cell r="O106">
            <v>0</v>
          </cell>
          <cell r="P106">
            <v>0</v>
          </cell>
          <cell r="R106">
            <v>0</v>
          </cell>
          <cell r="T106" t="e">
            <v>#DIV/0!</v>
          </cell>
          <cell r="U106" t="e">
            <v>#DIV/0!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нет потребности</v>
          </cell>
        </row>
        <row r="107">
          <cell r="A107" t="str">
            <v>8014 ДОКТОРСКАЯ ПРЕМИУМ вар п/о(п)    ОСТАНКИНО</v>
          </cell>
          <cell r="B107" t="str">
            <v>кг</v>
          </cell>
          <cell r="G107">
            <v>0</v>
          </cell>
          <cell r="H107">
            <v>60</v>
          </cell>
          <cell r="I107" t="str">
            <v>матрица</v>
          </cell>
          <cell r="K107">
            <v>2.6</v>
          </cell>
          <cell r="L107">
            <v>-2.6</v>
          </cell>
          <cell r="O107">
            <v>0</v>
          </cell>
          <cell r="P107">
            <v>0</v>
          </cell>
          <cell r="R107">
            <v>0</v>
          </cell>
          <cell r="T107" t="e">
            <v>#DIV/0!</v>
          </cell>
          <cell r="U107" t="e">
            <v>#DIV/0!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нет потребности</v>
          </cell>
        </row>
        <row r="108">
          <cell r="A108" t="str">
            <v>7512 ЧАЙНАЯ Останкино вар н/о мгс 1*3</v>
          </cell>
          <cell r="B108" t="str">
            <v>кг</v>
          </cell>
          <cell r="G108">
            <v>0</v>
          </cell>
          <cell r="I108" t="str">
            <v>РАЗОВО</v>
          </cell>
          <cell r="O108">
            <v>50</v>
          </cell>
          <cell r="P108">
            <v>0</v>
          </cell>
          <cell r="R108">
            <v>0</v>
          </cell>
          <cell r="S108">
            <v>40</v>
          </cell>
          <cell r="T108" t="e">
            <v>#DIV/0!</v>
          </cell>
          <cell r="U108" t="e">
            <v>#DIV/0!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</row>
        <row r="109">
          <cell r="A109" t="str">
            <v>6764 СЛИВОЧНЫЕ сос ц/о мгс 1*4</v>
          </cell>
          <cell r="B109" t="str">
            <v>кг</v>
          </cell>
          <cell r="G109">
            <v>0</v>
          </cell>
          <cell r="I109" t="str">
            <v>РАЗОВО</v>
          </cell>
          <cell r="O109">
            <v>50</v>
          </cell>
          <cell r="P109">
            <v>0</v>
          </cell>
          <cell r="R109">
            <v>0</v>
          </cell>
          <cell r="S109">
            <v>40</v>
          </cell>
          <cell r="T109" t="e">
            <v>#DIV/0!</v>
          </cell>
          <cell r="U109" t="e">
            <v>#DIV/0!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A110" t="str">
            <v>7224 МЯСНЫЕ ПРЕМИУМ пельм кор.0.4кг зам. (7224)</v>
          </cell>
          <cell r="B110" t="str">
            <v>шт</v>
          </cell>
          <cell r="G110">
            <v>0</v>
          </cell>
          <cell r="I110" t="str">
            <v>РАЗОВО</v>
          </cell>
          <cell r="O110">
            <v>70</v>
          </cell>
          <cell r="P110">
            <v>0</v>
          </cell>
          <cell r="R110">
            <v>0</v>
          </cell>
          <cell r="S110">
            <v>50</v>
          </cell>
          <cell r="T110" t="e">
            <v>#DIV/0!</v>
          </cell>
          <cell r="U110" t="e">
            <v>#DIV/0!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N73"/>
  <sheetViews>
    <sheetView topLeftCell="A25" zoomScale="85" zoomScaleNormal="85" workbookViewId="0">
      <pane xSplit="3" topLeftCell="D1" activePane="topRight" state="frozen"/>
      <selection pane="topRight" activeCell="B38" sqref="B38:E38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0" t="s">
        <v>41</v>
      </c>
      <c r="B1" s="260"/>
      <c r="C1" s="260"/>
      <c r="D1" s="1"/>
      <c r="E1" s="260" t="s">
        <v>24</v>
      </c>
      <c r="F1" s="260"/>
      <c r="G1" s="260"/>
      <c r="H1" s="260"/>
      <c r="I1" s="28"/>
      <c r="J1" s="262">
        <v>8</v>
      </c>
      <c r="K1" s="262"/>
    </row>
    <row r="2" spans="1:12" ht="28.5">
      <c r="A2" s="263">
        <v>46308</v>
      </c>
      <c r="B2" s="264"/>
      <c r="C2" s="264"/>
      <c r="D2" s="3"/>
      <c r="E2" s="3"/>
      <c r="F2" s="265"/>
      <c r="G2" s="265"/>
      <c r="H2" s="265"/>
      <c r="I2" s="29"/>
      <c r="J2" s="265"/>
      <c r="K2" s="265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50" t="s">
        <v>25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2"/>
    </row>
    <row r="5" spans="1:12" s="8" customFormat="1" ht="18" customHeight="1">
      <c r="A5" s="66">
        <v>1</v>
      </c>
      <c r="B5" s="20">
        <v>2</v>
      </c>
      <c r="C5" s="20">
        <v>3</v>
      </c>
      <c r="D5" s="20">
        <v>4</v>
      </c>
      <c r="E5" s="20">
        <v>5</v>
      </c>
      <c r="F5" s="20">
        <v>6</v>
      </c>
      <c r="G5" s="20">
        <v>7</v>
      </c>
      <c r="H5" s="20">
        <v>8</v>
      </c>
      <c r="I5" s="20">
        <v>9</v>
      </c>
      <c r="J5" s="20">
        <v>10</v>
      </c>
      <c r="K5" s="20">
        <v>10</v>
      </c>
      <c r="L5" s="67">
        <v>11</v>
      </c>
    </row>
    <row r="6" spans="1:12" ht="82.9" customHeight="1">
      <c r="A6" s="253" t="s">
        <v>1</v>
      </c>
      <c r="B6" s="254" t="s">
        <v>2</v>
      </c>
      <c r="C6" s="254" t="s">
        <v>3</v>
      </c>
      <c r="D6" s="254" t="s">
        <v>4</v>
      </c>
      <c r="E6" s="59" t="s">
        <v>5</v>
      </c>
      <c r="F6" s="254" t="s">
        <v>6</v>
      </c>
      <c r="G6" s="255" t="s">
        <v>7</v>
      </c>
      <c r="H6" s="256" t="s">
        <v>8</v>
      </c>
      <c r="I6" s="254" t="s">
        <v>9</v>
      </c>
      <c r="J6" s="257" t="s">
        <v>30</v>
      </c>
      <c r="K6" s="258" t="s">
        <v>10</v>
      </c>
      <c r="L6" s="259"/>
    </row>
    <row r="7" spans="1:12" s="8" customFormat="1" ht="63.6" customHeight="1">
      <c r="A7" s="253"/>
      <c r="B7" s="254"/>
      <c r="C7" s="254"/>
      <c r="D7" s="254"/>
      <c r="E7" s="59" t="s">
        <v>11</v>
      </c>
      <c r="F7" s="254"/>
      <c r="G7" s="255"/>
      <c r="H7" s="256"/>
      <c r="I7" s="254"/>
      <c r="J7" s="225"/>
      <c r="K7" s="59" t="s">
        <v>7</v>
      </c>
      <c r="L7" s="68" t="s">
        <v>8</v>
      </c>
    </row>
    <row r="8" spans="1:12" s="8" customFormat="1">
      <c r="A8" s="83">
        <v>1</v>
      </c>
      <c r="B8" s="84" t="s">
        <v>42</v>
      </c>
      <c r="C8" s="84" t="s">
        <v>43</v>
      </c>
      <c r="D8" s="114" t="s">
        <v>65</v>
      </c>
      <c r="E8" s="63" t="s">
        <v>47</v>
      </c>
      <c r="F8" s="42">
        <v>0.2986111111111111</v>
      </c>
      <c r="G8" s="23">
        <v>14</v>
      </c>
      <c r="H8" s="27">
        <v>941.505</v>
      </c>
      <c r="I8" s="24">
        <v>0.60416666666666663</v>
      </c>
      <c r="J8" s="22">
        <f>I8-F8</f>
        <v>0.30555555555555552</v>
      </c>
      <c r="K8" s="27"/>
      <c r="L8" s="74"/>
    </row>
    <row r="9" spans="1:12">
      <c r="A9" s="83">
        <v>2</v>
      </c>
      <c r="B9" s="84" t="s">
        <v>42</v>
      </c>
      <c r="C9" s="84" t="s">
        <v>44</v>
      </c>
      <c r="D9" s="114" t="s">
        <v>64</v>
      </c>
      <c r="E9" s="85" t="s">
        <v>48</v>
      </c>
      <c r="F9" s="42">
        <v>0.28472222222222221</v>
      </c>
      <c r="G9" s="23">
        <v>20</v>
      </c>
      <c r="H9" s="27">
        <v>2035.5360000000001</v>
      </c>
      <c r="I9" s="24">
        <v>0.625</v>
      </c>
      <c r="J9" s="22">
        <f t="shared" ref="J9:J12" si="0">I9-F9</f>
        <v>0.34027777777777779</v>
      </c>
      <c r="K9" s="27"/>
      <c r="L9" s="74"/>
    </row>
    <row r="10" spans="1:12">
      <c r="A10" s="21">
        <v>3</v>
      </c>
      <c r="B10" s="63" t="s">
        <v>42</v>
      </c>
      <c r="C10" s="62" t="s">
        <v>45</v>
      </c>
      <c r="D10" s="114" t="s">
        <v>68</v>
      </c>
      <c r="E10" s="86" t="s">
        <v>47</v>
      </c>
      <c r="F10" s="42">
        <v>0.29166666666666669</v>
      </c>
      <c r="G10" s="23">
        <v>18</v>
      </c>
      <c r="H10" s="27">
        <v>809.30700000000002</v>
      </c>
      <c r="I10" s="24">
        <v>0.6875</v>
      </c>
      <c r="J10" s="22">
        <f t="shared" si="0"/>
        <v>0.39583333333333331</v>
      </c>
      <c r="K10" s="27"/>
      <c r="L10" s="74"/>
    </row>
    <row r="11" spans="1:12">
      <c r="A11" s="83">
        <v>4</v>
      </c>
      <c r="B11" s="63" t="s">
        <v>42</v>
      </c>
      <c r="C11" s="62" t="s">
        <v>46</v>
      </c>
      <c r="D11" s="114" t="s">
        <v>61</v>
      </c>
      <c r="E11" s="63" t="s">
        <v>48</v>
      </c>
      <c r="F11" s="42">
        <v>0.30208333333333331</v>
      </c>
      <c r="G11" s="23">
        <v>33</v>
      </c>
      <c r="H11" s="27">
        <v>1197.191</v>
      </c>
      <c r="I11" s="24">
        <v>0.67708333333333337</v>
      </c>
      <c r="J11" s="22">
        <f t="shared" si="0"/>
        <v>0.37500000000000006</v>
      </c>
      <c r="K11" s="27"/>
      <c r="L11" s="74"/>
    </row>
    <row r="12" spans="1:12">
      <c r="A12" s="69">
        <v>5</v>
      </c>
      <c r="B12" s="93" t="s">
        <v>51</v>
      </c>
      <c r="C12" s="84" t="s">
        <v>57</v>
      </c>
      <c r="D12" s="118" t="s">
        <v>60</v>
      </c>
      <c r="E12" s="85" t="s">
        <v>48</v>
      </c>
      <c r="F12" s="24">
        <v>0.30902777777777779</v>
      </c>
      <c r="G12" s="23">
        <v>32</v>
      </c>
      <c r="H12" s="27">
        <v>1160.079</v>
      </c>
      <c r="I12" s="24">
        <v>0.625</v>
      </c>
      <c r="J12" s="22">
        <f t="shared" si="0"/>
        <v>0.31597222222222221</v>
      </c>
      <c r="K12" s="27"/>
      <c r="L12" s="74"/>
    </row>
    <row r="13" spans="1:12">
      <c r="A13" s="69">
        <v>6</v>
      </c>
      <c r="B13" s="70"/>
      <c r="C13" s="71"/>
      <c r="D13" s="72"/>
      <c r="E13" s="73"/>
      <c r="F13" s="24"/>
      <c r="G13" s="23"/>
      <c r="H13" s="27"/>
      <c r="I13" s="24"/>
      <c r="J13" s="22"/>
      <c r="K13" s="27"/>
      <c r="L13" s="74"/>
    </row>
    <row r="14" spans="1:12">
      <c r="A14" s="69">
        <v>7</v>
      </c>
      <c r="B14" s="70"/>
      <c r="C14" s="71"/>
      <c r="D14" s="72"/>
      <c r="E14" s="73"/>
      <c r="F14" s="24"/>
      <c r="G14" s="23"/>
      <c r="H14" s="27"/>
      <c r="I14" s="24"/>
      <c r="J14" s="22"/>
      <c r="K14" s="27"/>
      <c r="L14" s="74"/>
    </row>
    <row r="15" spans="1:12">
      <c r="A15" s="69">
        <v>8</v>
      </c>
      <c r="B15" s="70"/>
      <c r="C15" s="71"/>
      <c r="D15" s="72"/>
      <c r="E15" s="73"/>
      <c r="F15" s="24"/>
      <c r="G15" s="23"/>
      <c r="H15" s="27"/>
      <c r="I15" s="24"/>
      <c r="J15" s="22"/>
      <c r="K15" s="27"/>
      <c r="L15" s="74"/>
    </row>
    <row r="16" spans="1:12">
      <c r="A16" s="69">
        <v>9</v>
      </c>
      <c r="B16" s="70"/>
      <c r="C16" s="71"/>
      <c r="D16" s="72"/>
      <c r="E16" s="73"/>
      <c r="F16" s="24"/>
      <c r="G16" s="23"/>
      <c r="H16" s="27"/>
      <c r="I16" s="24"/>
      <c r="J16" s="22"/>
      <c r="K16" s="27"/>
      <c r="L16" s="74"/>
    </row>
    <row r="17" spans="1:14">
      <c r="A17" s="69">
        <v>10</v>
      </c>
      <c r="B17" s="70"/>
      <c r="C17" s="71"/>
      <c r="D17" s="72"/>
      <c r="E17" s="73"/>
      <c r="F17" s="24"/>
      <c r="G17" s="23"/>
      <c r="H17" s="27"/>
      <c r="I17" s="24"/>
      <c r="J17" s="22"/>
      <c r="K17" s="27"/>
      <c r="L17" s="74"/>
    </row>
    <row r="18" spans="1:14">
      <c r="A18" s="69">
        <v>11</v>
      </c>
      <c r="B18" s="70"/>
      <c r="C18" s="71"/>
      <c r="D18" s="72"/>
      <c r="E18" s="73"/>
      <c r="F18" s="24"/>
      <c r="G18" s="23"/>
      <c r="H18" s="27"/>
      <c r="I18" s="24"/>
      <c r="J18" s="22"/>
      <c r="K18" s="27"/>
      <c r="L18" s="74"/>
    </row>
    <row r="19" spans="1:14">
      <c r="A19" s="69">
        <v>12</v>
      </c>
      <c r="B19" s="70"/>
      <c r="C19" s="71"/>
      <c r="D19" s="72"/>
      <c r="E19" s="73"/>
      <c r="F19" s="24"/>
      <c r="G19" s="23"/>
      <c r="H19" s="27"/>
      <c r="I19" s="24"/>
      <c r="J19" s="22"/>
      <c r="K19" s="75"/>
      <c r="L19" s="74"/>
    </row>
    <row r="20" spans="1:14">
      <c r="A20" s="69">
        <v>13</v>
      </c>
      <c r="B20" s="70"/>
      <c r="C20" s="71"/>
      <c r="D20" s="72"/>
      <c r="E20" s="73"/>
      <c r="F20" s="24"/>
      <c r="G20" s="23"/>
      <c r="H20" s="27"/>
      <c r="I20" s="24"/>
      <c r="J20" s="22"/>
      <c r="K20" s="75"/>
      <c r="L20" s="76"/>
    </row>
    <row r="21" spans="1:14" ht="15.75" thickBot="1">
      <c r="A21" s="270" t="s">
        <v>15</v>
      </c>
      <c r="B21" s="271"/>
      <c r="C21" s="271"/>
      <c r="D21" s="271"/>
      <c r="E21" s="271"/>
      <c r="F21" s="272"/>
      <c r="G21" s="77">
        <f>SUM(G8:G20)</f>
        <v>117</v>
      </c>
      <c r="H21" s="77">
        <f>SUM(H8:H20)</f>
        <v>6143.6179999999995</v>
      </c>
      <c r="I21" s="78"/>
      <c r="J21" s="78"/>
      <c r="K21" s="77">
        <f>SUM(K8:K20)</f>
        <v>0</v>
      </c>
      <c r="L21" s="79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8"/>
    </row>
    <row r="24" spans="1:14" ht="18.75">
      <c r="A24" s="277" t="s">
        <v>26</v>
      </c>
      <c r="B24" s="278"/>
      <c r="C24" s="278"/>
      <c r="D24" s="278"/>
      <c r="E24" s="278"/>
      <c r="F24" s="278"/>
      <c r="G24" s="278"/>
      <c r="H24" s="278"/>
      <c r="I24" s="279"/>
      <c r="J24" s="8"/>
      <c r="K24" s="8"/>
      <c r="L24" s="8"/>
      <c r="N24" s="48"/>
    </row>
    <row r="25" spans="1:14">
      <c r="A25" s="32">
        <v>1</v>
      </c>
      <c r="B25" s="61">
        <v>2</v>
      </c>
      <c r="C25" s="61">
        <v>3</v>
      </c>
      <c r="D25" s="61">
        <v>4</v>
      </c>
      <c r="E25" s="61">
        <v>5</v>
      </c>
      <c r="F25" s="61">
        <v>6</v>
      </c>
      <c r="G25" s="61">
        <v>7</v>
      </c>
      <c r="H25" s="61">
        <v>8</v>
      </c>
      <c r="I25" s="33">
        <v>9</v>
      </c>
      <c r="J25" s="8"/>
      <c r="K25" s="8"/>
      <c r="N25" s="48"/>
    </row>
    <row r="26" spans="1:14" ht="30">
      <c r="A26" s="60" t="s">
        <v>1</v>
      </c>
      <c r="B26" s="59" t="s">
        <v>2</v>
      </c>
      <c r="C26" s="59" t="s">
        <v>3</v>
      </c>
      <c r="D26" s="59" t="s">
        <v>27</v>
      </c>
      <c r="E26" s="59" t="s">
        <v>6</v>
      </c>
      <c r="F26" s="59" t="s">
        <v>28</v>
      </c>
      <c r="G26" s="59" t="s">
        <v>8</v>
      </c>
      <c r="H26" s="59" t="s">
        <v>31</v>
      </c>
      <c r="I26" s="34" t="s">
        <v>30</v>
      </c>
      <c r="J26" s="8"/>
      <c r="K26" s="8"/>
      <c r="L26" s="8"/>
      <c r="N26" s="48"/>
    </row>
    <row r="27" spans="1:14">
      <c r="A27" s="64">
        <v>14</v>
      </c>
      <c r="B27" s="63"/>
      <c r="C27" s="62"/>
      <c r="D27" s="44"/>
      <c r="E27" s="42"/>
      <c r="F27" s="23"/>
      <c r="G27" s="27"/>
      <c r="H27" s="38"/>
      <c r="I27" s="39"/>
      <c r="J27" s="8"/>
      <c r="K27" s="8"/>
      <c r="L27" s="8"/>
    </row>
    <row r="28" spans="1:14">
      <c r="A28" s="62">
        <v>15</v>
      </c>
      <c r="B28" s="63"/>
      <c r="C28" s="62"/>
      <c r="D28" s="44"/>
      <c r="E28" s="42"/>
      <c r="F28" s="23"/>
      <c r="G28" s="27"/>
      <c r="H28" s="38"/>
      <c r="I28" s="39"/>
      <c r="J28" s="8"/>
      <c r="K28" s="8"/>
      <c r="L28" s="8"/>
    </row>
    <row r="29" spans="1:14">
      <c r="A29" s="62">
        <v>16</v>
      </c>
      <c r="B29" s="62"/>
      <c r="C29" s="62"/>
      <c r="D29" s="44"/>
      <c r="E29" s="42"/>
      <c r="F29" s="23"/>
      <c r="G29" s="27"/>
      <c r="H29" s="38"/>
      <c r="I29" s="39"/>
      <c r="J29" s="8"/>
      <c r="K29" s="8"/>
      <c r="L29" s="8"/>
    </row>
    <row r="30" spans="1:14">
      <c r="A30" s="65"/>
      <c r="B30" s="65"/>
      <c r="C30" s="65"/>
      <c r="D30" s="44"/>
      <c r="E30" s="42"/>
      <c r="F30" s="23"/>
      <c r="G30" s="27"/>
      <c r="H30" s="38"/>
      <c r="I30" s="39"/>
      <c r="J30" s="8"/>
      <c r="K30" s="8"/>
      <c r="L30" s="8"/>
    </row>
    <row r="31" spans="1:14" ht="15.75" thickBot="1">
      <c r="A31" s="270" t="s">
        <v>15</v>
      </c>
      <c r="B31" s="271"/>
      <c r="C31" s="272"/>
      <c r="D31" s="10"/>
      <c r="E31" s="35"/>
      <c r="F31" s="35">
        <f>SUM(F30:F30)</f>
        <v>0</v>
      </c>
      <c r="G31" s="35">
        <f>SUM(G30:G30)</f>
        <v>0</v>
      </c>
      <c r="H31" s="36"/>
      <c r="I31" s="37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4" ht="18.75">
      <c r="A33" s="277" t="s">
        <v>12</v>
      </c>
      <c r="B33" s="278"/>
      <c r="C33" s="278"/>
      <c r="D33" s="278"/>
      <c r="E33" s="278"/>
      <c r="F33" s="278"/>
      <c r="G33" s="278"/>
      <c r="H33" s="278"/>
      <c r="I33" s="278"/>
      <c r="J33" s="278"/>
      <c r="K33" s="278"/>
      <c r="L33" s="279"/>
    </row>
    <row r="34" spans="1:14" ht="15.75" thickBot="1">
      <c r="A34" s="103">
        <v>1</v>
      </c>
      <c r="B34" s="104">
        <v>2</v>
      </c>
      <c r="C34" s="104">
        <v>3</v>
      </c>
      <c r="D34" s="104">
        <v>4</v>
      </c>
      <c r="E34" s="104">
        <v>5</v>
      </c>
      <c r="F34" s="104">
        <v>6</v>
      </c>
      <c r="G34" s="104">
        <v>7</v>
      </c>
      <c r="H34" s="104">
        <v>8</v>
      </c>
      <c r="I34" s="104">
        <v>9</v>
      </c>
      <c r="J34" s="104">
        <v>10</v>
      </c>
      <c r="K34" s="104">
        <v>11</v>
      </c>
      <c r="L34" s="268">
        <v>12</v>
      </c>
      <c r="M34" s="269"/>
    </row>
    <row r="35" spans="1:14" ht="75">
      <c r="A35" s="244" t="s">
        <v>1</v>
      </c>
      <c r="B35" s="224" t="s">
        <v>2</v>
      </c>
      <c r="C35" s="224" t="s">
        <v>3</v>
      </c>
      <c r="D35" s="224" t="s">
        <v>4</v>
      </c>
      <c r="E35" s="106" t="s">
        <v>5</v>
      </c>
      <c r="F35" s="224" t="s">
        <v>14</v>
      </c>
      <c r="G35" s="224" t="s">
        <v>13</v>
      </c>
      <c r="H35" s="224" t="s">
        <v>37</v>
      </c>
      <c r="I35" s="224" t="s">
        <v>39</v>
      </c>
      <c r="J35" s="224" t="s">
        <v>38</v>
      </c>
      <c r="K35" s="224" t="s">
        <v>40</v>
      </c>
      <c r="L35" s="202" t="s">
        <v>36</v>
      </c>
      <c r="M35" s="203"/>
    </row>
    <row r="36" spans="1:14" ht="75">
      <c r="A36" s="245"/>
      <c r="B36" s="225"/>
      <c r="C36" s="225"/>
      <c r="D36" s="225"/>
      <c r="E36" s="81" t="s">
        <v>11</v>
      </c>
      <c r="F36" s="225"/>
      <c r="G36" s="225"/>
      <c r="H36" s="225"/>
      <c r="I36" s="225"/>
      <c r="J36" s="225"/>
      <c r="K36" s="225"/>
      <c r="L36" s="204"/>
      <c r="M36" s="205"/>
    </row>
    <row r="37" spans="1:14" s="30" customFormat="1">
      <c r="A37" s="45">
        <v>17</v>
      </c>
      <c r="B37" s="63" t="s">
        <v>42</v>
      </c>
      <c r="C37" s="62" t="s">
        <v>49</v>
      </c>
      <c r="D37" s="115" t="s">
        <v>62</v>
      </c>
      <c r="E37" s="63" t="s">
        <v>47</v>
      </c>
      <c r="F37" s="116">
        <v>46248</v>
      </c>
      <c r="G37" s="94">
        <v>240000</v>
      </c>
      <c r="H37" s="87" t="s">
        <v>59</v>
      </c>
      <c r="I37" s="88">
        <v>46248</v>
      </c>
      <c r="J37" s="88">
        <v>46315</v>
      </c>
      <c r="K37" s="89"/>
      <c r="L37" s="275" t="s">
        <v>50</v>
      </c>
      <c r="M37" s="276"/>
    </row>
    <row r="38" spans="1:14" s="58" customFormat="1">
      <c r="A38" s="45">
        <v>18</v>
      </c>
      <c r="B38" s="62" t="s">
        <v>51</v>
      </c>
      <c r="C38" s="84" t="s">
        <v>52</v>
      </c>
      <c r="D38" s="115" t="s">
        <v>63</v>
      </c>
      <c r="E38" s="86" t="s">
        <v>47</v>
      </c>
      <c r="F38" s="117">
        <v>46296</v>
      </c>
      <c r="G38" s="94">
        <v>125000</v>
      </c>
      <c r="H38" s="90" t="s">
        <v>59</v>
      </c>
      <c r="I38" s="91">
        <v>46297</v>
      </c>
      <c r="J38" s="91">
        <v>46308</v>
      </c>
      <c r="K38" s="89" t="s">
        <v>53</v>
      </c>
      <c r="L38" s="273" t="s">
        <v>54</v>
      </c>
      <c r="M38" s="274"/>
    </row>
    <row r="39" spans="1:14" ht="33" customHeight="1">
      <c r="A39" s="45">
        <v>19</v>
      </c>
      <c r="B39" s="119" t="s">
        <v>51</v>
      </c>
      <c r="C39" s="119" t="s">
        <v>57</v>
      </c>
      <c r="D39" s="120" t="s">
        <v>60</v>
      </c>
      <c r="E39" s="121" t="s">
        <v>48</v>
      </c>
      <c r="F39" s="122">
        <v>46305</v>
      </c>
      <c r="G39" s="123">
        <v>7500</v>
      </c>
      <c r="H39" s="124" t="s">
        <v>59</v>
      </c>
      <c r="I39" s="125">
        <v>46307</v>
      </c>
      <c r="J39" s="125">
        <v>46307</v>
      </c>
      <c r="K39" s="126"/>
      <c r="L39" s="266" t="s">
        <v>67</v>
      </c>
      <c r="M39" s="267"/>
      <c r="N39" s="2" t="s">
        <v>69</v>
      </c>
    </row>
    <row r="40" spans="1:14" ht="49.5" customHeight="1">
      <c r="A40" s="45">
        <v>20</v>
      </c>
      <c r="B40" s="84" t="s">
        <v>55</v>
      </c>
      <c r="C40" s="84" t="s">
        <v>56</v>
      </c>
      <c r="D40" s="84" t="s">
        <v>61</v>
      </c>
      <c r="E40" s="92" t="s">
        <v>47</v>
      </c>
      <c r="F40" s="96" t="s">
        <v>66</v>
      </c>
      <c r="G40" s="94">
        <v>680000</v>
      </c>
      <c r="H40" s="97"/>
      <c r="I40" s="91"/>
      <c r="J40" s="91"/>
      <c r="K40" s="98"/>
      <c r="L40" s="248" t="s">
        <v>58</v>
      </c>
      <c r="M40" s="249"/>
    </row>
    <row r="41" spans="1:14">
      <c r="A41" s="45">
        <v>21</v>
      </c>
      <c r="B41" s="17"/>
      <c r="C41" s="17"/>
      <c r="D41" s="17"/>
      <c r="E41" s="17"/>
      <c r="F41" s="99"/>
      <c r="G41" s="100"/>
      <c r="H41" s="17"/>
      <c r="I41" s="17"/>
      <c r="J41" s="82"/>
      <c r="K41" s="82"/>
      <c r="L41" s="246"/>
      <c r="M41" s="247"/>
    </row>
    <row r="42" spans="1:14">
      <c r="A42" s="45">
        <v>22</v>
      </c>
      <c r="B42" s="46"/>
      <c r="C42" s="47"/>
      <c r="D42" s="47"/>
      <c r="E42" s="87"/>
      <c r="F42" s="101"/>
      <c r="G42" s="95"/>
      <c r="H42" s="102"/>
      <c r="I42" s="101"/>
      <c r="J42" s="101"/>
      <c r="K42" s="102"/>
      <c r="L42" s="200"/>
      <c r="M42" s="201"/>
    </row>
    <row r="43" spans="1:14">
      <c r="A43" s="45">
        <v>23</v>
      </c>
      <c r="B43" s="46"/>
      <c r="C43" s="47"/>
      <c r="D43" s="80"/>
      <c r="E43" s="40"/>
      <c r="F43" s="49"/>
      <c r="G43" s="95"/>
      <c r="H43" s="54"/>
      <c r="I43" s="49"/>
      <c r="J43" s="49"/>
      <c r="K43" s="54"/>
      <c r="L43" s="198"/>
      <c r="M43" s="199"/>
    </row>
    <row r="44" spans="1:14" ht="15.75" thickBot="1">
      <c r="A44" s="107">
        <v>24</v>
      </c>
      <c r="B44" s="108"/>
      <c r="C44" s="109"/>
      <c r="D44" s="109"/>
      <c r="E44" s="110"/>
      <c r="F44" s="111"/>
      <c r="G44" s="112"/>
      <c r="H44" s="113"/>
      <c r="I44" s="111"/>
      <c r="J44" s="111"/>
      <c r="K44" s="113"/>
      <c r="L44" s="196"/>
      <c r="M44" s="197"/>
    </row>
    <row r="45" spans="1:14" ht="15.75" thickBot="1">
      <c r="A45" s="238" t="s">
        <v>15</v>
      </c>
      <c r="B45" s="239"/>
      <c r="C45" s="239"/>
      <c r="D45" s="239"/>
      <c r="E45" s="240"/>
      <c r="F45" s="105"/>
      <c r="G45" s="241">
        <f>G37+G38+G39+G40+G41</f>
        <v>1052500</v>
      </c>
      <c r="H45" s="242"/>
      <c r="I45" s="242"/>
      <c r="J45" s="242"/>
      <c r="K45" s="242"/>
      <c r="L45" s="243"/>
    </row>
    <row r="46" spans="1:14" ht="15.75" thickBot="1">
      <c r="A46" s="50"/>
      <c r="B46" s="50"/>
      <c r="C46" s="50"/>
      <c r="D46" s="50"/>
      <c r="E46" s="51"/>
      <c r="F46" s="51"/>
      <c r="G46" s="52"/>
      <c r="H46" s="52"/>
      <c r="J46" s="9"/>
      <c r="K46" s="53"/>
    </row>
    <row r="47" spans="1:14" ht="18.75">
      <c r="A47" s="235" t="s">
        <v>16</v>
      </c>
      <c r="B47" s="236"/>
      <c r="C47" s="236"/>
      <c r="D47" s="236"/>
      <c r="E47" s="236"/>
      <c r="F47" s="236"/>
      <c r="G47" s="236"/>
      <c r="H47" s="236"/>
      <c r="I47" s="236"/>
      <c r="J47" s="237"/>
      <c r="K47" s="2"/>
    </row>
    <row r="48" spans="1:14" ht="30">
      <c r="A48" s="55"/>
      <c r="B48" s="18"/>
      <c r="C48" s="19"/>
      <c r="D48" s="19" t="s">
        <v>17</v>
      </c>
      <c r="E48" s="223" t="s">
        <v>18</v>
      </c>
      <c r="F48" s="223"/>
      <c r="G48" s="223" t="s">
        <v>19</v>
      </c>
      <c r="H48" s="223"/>
      <c r="I48" s="223" t="s">
        <v>29</v>
      </c>
      <c r="J48" s="232"/>
      <c r="K48" s="2"/>
    </row>
    <row r="49" spans="1:12">
      <c r="A49" s="55"/>
      <c r="B49" s="25" t="s">
        <v>20</v>
      </c>
      <c r="C49" s="219">
        <v>3692.95</v>
      </c>
      <c r="D49" s="220"/>
      <c r="E49" s="230">
        <v>3644.52</v>
      </c>
      <c r="F49" s="231"/>
      <c r="G49" s="230">
        <v>3644.52</v>
      </c>
      <c r="H49" s="231"/>
      <c r="I49" s="233"/>
      <c r="J49" s="234"/>
      <c r="K49" s="2"/>
    </row>
    <row r="50" spans="1:12">
      <c r="A50" s="56"/>
      <c r="B50" s="25" t="s">
        <v>21</v>
      </c>
      <c r="C50" s="219">
        <v>1017</v>
      </c>
      <c r="D50" s="220"/>
      <c r="E50" s="226">
        <v>1008.8</v>
      </c>
      <c r="F50" s="227"/>
      <c r="G50" s="226">
        <v>1008.8</v>
      </c>
      <c r="H50" s="227"/>
      <c r="I50" s="212"/>
      <c r="J50" s="213"/>
      <c r="K50" s="2"/>
    </row>
    <row r="51" spans="1:12" ht="15.75" thickBot="1">
      <c r="A51" s="56"/>
      <c r="B51" s="25" t="s">
        <v>22</v>
      </c>
      <c r="C51" s="228">
        <v>1587.49</v>
      </c>
      <c r="D51" s="229"/>
      <c r="E51" s="221">
        <v>1490.3</v>
      </c>
      <c r="F51" s="222"/>
      <c r="G51" s="221">
        <v>1490.3</v>
      </c>
      <c r="H51" s="222"/>
      <c r="I51" s="212"/>
      <c r="J51" s="213"/>
      <c r="K51" s="2"/>
    </row>
    <row r="52" spans="1:12" ht="15.75" thickBot="1">
      <c r="A52" s="11"/>
      <c r="B52" s="12" t="s">
        <v>23</v>
      </c>
      <c r="C52" s="214">
        <f>SUM(C49:D51)</f>
        <v>6297.44</v>
      </c>
      <c r="D52" s="215"/>
      <c r="E52" s="216">
        <f>SUM(E49:E51)</f>
        <v>6143.62</v>
      </c>
      <c r="F52" s="217"/>
      <c r="G52" s="216">
        <f>G49+G50+G51</f>
        <v>6143.62</v>
      </c>
      <c r="H52" s="217"/>
      <c r="I52" s="216">
        <f>SUM(I49:I51)</f>
        <v>0</v>
      </c>
      <c r="J52" s="218"/>
      <c r="K52" s="2"/>
    </row>
    <row r="54" spans="1:12" ht="15.75" thickBot="1">
      <c r="E54" s="26"/>
    </row>
    <row r="55" spans="1:12" ht="19.5" thickBot="1">
      <c r="A55" s="206" t="s">
        <v>32</v>
      </c>
      <c r="B55" s="207"/>
      <c r="C55" s="207"/>
      <c r="D55" s="207"/>
      <c r="E55" s="207"/>
      <c r="F55" s="207"/>
      <c r="G55" s="207"/>
      <c r="H55" s="207"/>
      <c r="I55" s="207"/>
      <c r="J55" s="208"/>
      <c r="K55" s="30"/>
      <c r="L55" s="30"/>
    </row>
    <row r="56" spans="1:12">
      <c r="A56" s="31" t="s">
        <v>33</v>
      </c>
      <c r="B56" s="209" t="s">
        <v>34</v>
      </c>
      <c r="C56" s="210"/>
      <c r="D56" s="210"/>
      <c r="E56" s="210"/>
      <c r="F56" s="210"/>
      <c r="G56" s="210"/>
      <c r="H56" s="210"/>
      <c r="I56" s="211"/>
      <c r="J56" s="57" t="s">
        <v>35</v>
      </c>
      <c r="K56" s="58"/>
      <c r="L56" s="58"/>
    </row>
    <row r="57" spans="1:12">
      <c r="A57" s="41">
        <v>1</v>
      </c>
      <c r="B57" s="193" t="s">
        <v>70</v>
      </c>
      <c r="C57" s="194"/>
      <c r="D57" s="194"/>
      <c r="E57" s="194"/>
      <c r="F57" s="194"/>
      <c r="G57" s="194"/>
      <c r="H57" s="194"/>
      <c r="I57" s="195"/>
      <c r="J57" s="43">
        <v>15</v>
      </c>
    </row>
    <row r="58" spans="1:12">
      <c r="A58" s="41">
        <v>2</v>
      </c>
      <c r="B58" s="193" t="s">
        <v>71</v>
      </c>
      <c r="C58" s="194"/>
      <c r="D58" s="194"/>
      <c r="E58" s="194"/>
      <c r="F58" s="194"/>
      <c r="G58" s="194"/>
      <c r="H58" s="194"/>
      <c r="I58" s="195"/>
      <c r="J58" s="43">
        <v>10</v>
      </c>
    </row>
    <row r="59" spans="1:12">
      <c r="A59" s="41">
        <v>3</v>
      </c>
      <c r="B59" s="193" t="s">
        <v>72</v>
      </c>
      <c r="C59" s="194"/>
      <c r="D59" s="194"/>
      <c r="E59" s="194"/>
      <c r="F59" s="194"/>
      <c r="G59" s="194"/>
      <c r="H59" s="194"/>
      <c r="I59" s="195"/>
      <c r="J59" s="43">
        <v>10</v>
      </c>
    </row>
    <row r="60" spans="1:12">
      <c r="A60" s="41">
        <v>4</v>
      </c>
      <c r="B60" s="193" t="s">
        <v>73</v>
      </c>
      <c r="C60" s="194"/>
      <c r="D60" s="194"/>
      <c r="E60" s="194"/>
      <c r="F60" s="194"/>
      <c r="G60" s="194"/>
      <c r="H60" s="194"/>
      <c r="I60" s="195"/>
      <c r="J60" s="43">
        <v>25</v>
      </c>
    </row>
    <row r="61" spans="1:12">
      <c r="A61" s="41">
        <v>5</v>
      </c>
      <c r="B61" s="193" t="s">
        <v>74</v>
      </c>
      <c r="C61" s="194"/>
      <c r="D61" s="194"/>
      <c r="E61" s="194"/>
      <c r="F61" s="194"/>
      <c r="G61" s="194"/>
      <c r="H61" s="194"/>
      <c r="I61" s="195"/>
      <c r="J61" s="127">
        <v>17</v>
      </c>
    </row>
    <row r="62" spans="1:12">
      <c r="A62" s="41">
        <v>6</v>
      </c>
      <c r="B62" s="193" t="s">
        <v>75</v>
      </c>
      <c r="C62" s="194"/>
      <c r="D62" s="194"/>
      <c r="E62" s="194"/>
      <c r="F62" s="194"/>
      <c r="G62" s="194"/>
      <c r="H62" s="194"/>
      <c r="I62" s="195"/>
      <c r="J62" s="127">
        <v>10</v>
      </c>
    </row>
    <row r="63" spans="1:12">
      <c r="A63" s="41">
        <v>7</v>
      </c>
      <c r="B63" s="193" t="s">
        <v>76</v>
      </c>
      <c r="C63" s="194"/>
      <c r="D63" s="194"/>
      <c r="E63" s="194"/>
      <c r="F63" s="194"/>
      <c r="G63" s="194"/>
      <c r="H63" s="194"/>
      <c r="I63" s="195"/>
      <c r="J63" s="127">
        <v>7</v>
      </c>
    </row>
    <row r="64" spans="1:12">
      <c r="A64" s="41">
        <v>8</v>
      </c>
      <c r="B64" s="193" t="s">
        <v>77</v>
      </c>
      <c r="C64" s="194"/>
      <c r="D64" s="194"/>
      <c r="E64" s="194"/>
      <c r="F64" s="194"/>
      <c r="G64" s="194"/>
      <c r="H64" s="194"/>
      <c r="I64" s="195"/>
      <c r="J64" s="127">
        <v>6</v>
      </c>
    </row>
    <row r="65" spans="1:10">
      <c r="A65" s="41">
        <v>9</v>
      </c>
      <c r="B65" s="193" t="s">
        <v>78</v>
      </c>
      <c r="C65" s="194"/>
      <c r="D65" s="194"/>
      <c r="E65" s="194"/>
      <c r="F65" s="194"/>
      <c r="G65" s="194"/>
      <c r="H65" s="194"/>
      <c r="I65" s="195"/>
      <c r="J65" s="128">
        <v>7</v>
      </c>
    </row>
    <row r="66" spans="1:10">
      <c r="A66" s="41">
        <v>10</v>
      </c>
      <c r="B66" s="193" t="s">
        <v>79</v>
      </c>
      <c r="C66" s="194"/>
      <c r="D66" s="194"/>
      <c r="E66" s="194"/>
      <c r="F66" s="194"/>
      <c r="G66" s="194"/>
      <c r="H66" s="194"/>
      <c r="I66" s="195"/>
      <c r="J66" s="128">
        <v>20</v>
      </c>
    </row>
    <row r="67" spans="1:10">
      <c r="A67" s="41">
        <v>11</v>
      </c>
      <c r="B67" s="193" t="s">
        <v>80</v>
      </c>
      <c r="C67" s="194"/>
      <c r="D67" s="194"/>
      <c r="E67" s="194"/>
      <c r="F67" s="194"/>
      <c r="G67" s="194"/>
      <c r="H67" s="194"/>
      <c r="I67" s="195"/>
      <c r="J67" s="128">
        <v>10</v>
      </c>
    </row>
    <row r="68" spans="1:10">
      <c r="A68" s="41">
        <v>12</v>
      </c>
      <c r="B68" s="193" t="s">
        <v>81</v>
      </c>
      <c r="C68" s="194"/>
      <c r="D68" s="194"/>
      <c r="E68" s="194"/>
      <c r="F68" s="194"/>
      <c r="G68" s="194"/>
      <c r="H68" s="194"/>
      <c r="I68" s="195"/>
      <c r="J68" s="127">
        <v>10</v>
      </c>
    </row>
    <row r="69" spans="1:10">
      <c r="A69" s="131">
        <v>13</v>
      </c>
      <c r="B69" s="189" t="s">
        <v>82</v>
      </c>
      <c r="C69" s="189"/>
      <c r="D69" s="189"/>
      <c r="E69" s="189"/>
      <c r="F69" s="189"/>
      <c r="G69" s="189"/>
      <c r="H69" s="189"/>
      <c r="I69" s="189"/>
      <c r="J69" s="132">
        <v>10</v>
      </c>
    </row>
    <row r="70" spans="1:10">
      <c r="A70" s="131">
        <v>14</v>
      </c>
      <c r="B70" s="189" t="s">
        <v>83</v>
      </c>
      <c r="C70" s="189"/>
      <c r="D70" s="189"/>
      <c r="E70" s="189"/>
      <c r="F70" s="189"/>
      <c r="G70" s="189"/>
      <c r="H70" s="189"/>
      <c r="I70" s="189"/>
      <c r="J70" s="132">
        <v>10</v>
      </c>
    </row>
    <row r="71" spans="1:10">
      <c r="A71" s="131">
        <v>15</v>
      </c>
      <c r="B71" s="189" t="s">
        <v>84</v>
      </c>
      <c r="C71" s="189"/>
      <c r="D71" s="189"/>
      <c r="E71" s="189"/>
      <c r="F71" s="189"/>
      <c r="G71" s="189"/>
      <c r="H71" s="189"/>
      <c r="I71" s="189"/>
      <c r="J71" s="132">
        <v>10</v>
      </c>
    </row>
    <row r="72" spans="1:10">
      <c r="A72" s="131">
        <v>16</v>
      </c>
      <c r="B72" s="189" t="s">
        <v>85</v>
      </c>
      <c r="C72" s="189"/>
      <c r="D72" s="189"/>
      <c r="E72" s="189"/>
      <c r="F72" s="189"/>
      <c r="G72" s="189"/>
      <c r="H72" s="189"/>
      <c r="I72" s="189"/>
      <c r="J72" s="132">
        <v>25</v>
      </c>
    </row>
    <row r="73" spans="1:10" ht="15.75" thickBot="1">
      <c r="A73" s="129"/>
      <c r="B73" s="190" t="s">
        <v>15</v>
      </c>
      <c r="C73" s="191"/>
      <c r="D73" s="191"/>
      <c r="E73" s="191"/>
      <c r="F73" s="191"/>
      <c r="G73" s="191"/>
      <c r="H73" s="191"/>
      <c r="I73" s="192"/>
      <c r="J73" s="130">
        <f>SUM(J57:J72)</f>
        <v>202</v>
      </c>
    </row>
  </sheetData>
  <mergeCells count="83">
    <mergeCell ref="L39:M39"/>
    <mergeCell ref="L34:M34"/>
    <mergeCell ref="A21:F21"/>
    <mergeCell ref="L38:M38"/>
    <mergeCell ref="L37:M37"/>
    <mergeCell ref="K35:K36"/>
    <mergeCell ref="A24:I24"/>
    <mergeCell ref="I35:I36"/>
    <mergeCell ref="A31:C31"/>
    <mergeCell ref="A33:L33"/>
    <mergeCell ref="D35:D36"/>
    <mergeCell ref="B35:B36"/>
    <mergeCell ref="C35:C36"/>
    <mergeCell ref="A1:C1"/>
    <mergeCell ref="E1:H1"/>
    <mergeCell ref="A3:K3"/>
    <mergeCell ref="J1:K1"/>
    <mergeCell ref="A2:C2"/>
    <mergeCell ref="F2:H2"/>
    <mergeCell ref="J2:K2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B57:I57"/>
    <mergeCell ref="I48:J48"/>
    <mergeCell ref="I51:J51"/>
    <mergeCell ref="F35:F36"/>
    <mergeCell ref="J35:J36"/>
    <mergeCell ref="H35:H36"/>
    <mergeCell ref="G51:H51"/>
    <mergeCell ref="G49:H49"/>
    <mergeCell ref="I49:J49"/>
    <mergeCell ref="G48:H48"/>
    <mergeCell ref="A47:J47"/>
    <mergeCell ref="A45:E45"/>
    <mergeCell ref="G45:L45"/>
    <mergeCell ref="A35:A36"/>
    <mergeCell ref="L41:M41"/>
    <mergeCell ref="L40:M40"/>
    <mergeCell ref="G50:H50"/>
    <mergeCell ref="C51:D51"/>
    <mergeCell ref="C49:D49"/>
    <mergeCell ref="E50:F50"/>
    <mergeCell ref="E49:F49"/>
    <mergeCell ref="L44:M44"/>
    <mergeCell ref="L43:M43"/>
    <mergeCell ref="L42:M42"/>
    <mergeCell ref="L35:M36"/>
    <mergeCell ref="B70:I70"/>
    <mergeCell ref="A55:J55"/>
    <mergeCell ref="B56:I56"/>
    <mergeCell ref="I50:J50"/>
    <mergeCell ref="C52:D52"/>
    <mergeCell ref="G52:H52"/>
    <mergeCell ref="I52:J52"/>
    <mergeCell ref="C50:D50"/>
    <mergeCell ref="E52:F52"/>
    <mergeCell ref="E51:F51"/>
    <mergeCell ref="E48:F48"/>
    <mergeCell ref="G35:G36"/>
    <mergeCell ref="B71:I71"/>
    <mergeCell ref="B72:I72"/>
    <mergeCell ref="B73:I73"/>
    <mergeCell ref="B58:I58"/>
    <mergeCell ref="B59:I59"/>
    <mergeCell ref="B60:I60"/>
    <mergeCell ref="B69:I69"/>
    <mergeCell ref="B61:I61"/>
    <mergeCell ref="B62:I62"/>
    <mergeCell ref="B63:I63"/>
    <mergeCell ref="B64:I64"/>
    <mergeCell ref="B68:I68"/>
    <mergeCell ref="B65:I65"/>
    <mergeCell ref="B66:I66"/>
    <mergeCell ref="B67:I67"/>
  </mergeCells>
  <pageMargins left="0" right="0" top="0.59055118110236204" bottom="0" header="0" footer="0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82"/>
  <sheetViews>
    <sheetView topLeftCell="A25" zoomScale="85" zoomScaleNormal="85" workbookViewId="0">
      <pane xSplit="3" topLeftCell="D1" activePane="topRight" state="frozen"/>
      <selection pane="topRight" activeCell="K38" sqref="K38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0" t="s">
        <v>41</v>
      </c>
      <c r="B1" s="260"/>
      <c r="C1" s="260"/>
      <c r="D1" s="1"/>
      <c r="E1" s="260" t="s">
        <v>24</v>
      </c>
      <c r="F1" s="260"/>
      <c r="G1" s="260"/>
      <c r="H1" s="260"/>
      <c r="I1" s="134"/>
      <c r="J1" s="262">
        <v>8</v>
      </c>
      <c r="K1" s="262"/>
    </row>
    <row r="2" spans="1:12" ht="28.5">
      <c r="A2" s="263">
        <v>46309</v>
      </c>
      <c r="B2" s="264"/>
      <c r="C2" s="264"/>
      <c r="D2" s="3"/>
      <c r="E2" s="3"/>
      <c r="F2" s="265"/>
      <c r="G2" s="265"/>
      <c r="H2" s="265"/>
      <c r="I2" s="135"/>
      <c r="J2" s="265"/>
      <c r="K2" s="265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50" t="s">
        <v>25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2"/>
    </row>
    <row r="5" spans="1:12" s="8" customFormat="1" ht="18" customHeight="1">
      <c r="A5" s="66">
        <v>1</v>
      </c>
      <c r="B5" s="20">
        <v>2</v>
      </c>
      <c r="C5" s="20">
        <v>3</v>
      </c>
      <c r="D5" s="20">
        <v>4</v>
      </c>
      <c r="E5" s="20">
        <v>5</v>
      </c>
      <c r="F5" s="20">
        <v>6</v>
      </c>
      <c r="G5" s="20">
        <v>7</v>
      </c>
      <c r="H5" s="20">
        <v>8</v>
      </c>
      <c r="I5" s="20">
        <v>9</v>
      </c>
      <c r="J5" s="20">
        <v>10</v>
      </c>
      <c r="K5" s="20">
        <v>10</v>
      </c>
      <c r="L5" s="67">
        <v>11</v>
      </c>
    </row>
    <row r="6" spans="1:12" ht="82.9" customHeight="1">
      <c r="A6" s="253" t="s">
        <v>1</v>
      </c>
      <c r="B6" s="254" t="s">
        <v>2</v>
      </c>
      <c r="C6" s="254" t="s">
        <v>3</v>
      </c>
      <c r="D6" s="254" t="s">
        <v>4</v>
      </c>
      <c r="E6" s="136" t="s">
        <v>5</v>
      </c>
      <c r="F6" s="254" t="s">
        <v>6</v>
      </c>
      <c r="G6" s="255" t="s">
        <v>7</v>
      </c>
      <c r="H6" s="256" t="s">
        <v>8</v>
      </c>
      <c r="I6" s="254" t="s">
        <v>9</v>
      </c>
      <c r="J6" s="257" t="s">
        <v>30</v>
      </c>
      <c r="K6" s="258" t="s">
        <v>10</v>
      </c>
      <c r="L6" s="259"/>
    </row>
    <row r="7" spans="1:12" s="8" customFormat="1" ht="63.6" customHeight="1">
      <c r="A7" s="253"/>
      <c r="B7" s="254"/>
      <c r="C7" s="254"/>
      <c r="D7" s="254"/>
      <c r="E7" s="136" t="s">
        <v>11</v>
      </c>
      <c r="F7" s="254"/>
      <c r="G7" s="255"/>
      <c r="H7" s="256"/>
      <c r="I7" s="254"/>
      <c r="J7" s="225"/>
      <c r="K7" s="136" t="s">
        <v>7</v>
      </c>
      <c r="L7" s="68" t="s">
        <v>8</v>
      </c>
    </row>
    <row r="8" spans="1:12" s="8" customFormat="1">
      <c r="A8" s="83">
        <v>1</v>
      </c>
      <c r="B8" s="84" t="s">
        <v>42</v>
      </c>
      <c r="C8" s="84" t="s">
        <v>43</v>
      </c>
      <c r="D8" s="114" t="s">
        <v>65</v>
      </c>
      <c r="E8" s="63" t="s">
        <v>47</v>
      </c>
      <c r="F8" s="42">
        <v>0.30555555555555552</v>
      </c>
      <c r="G8" s="23">
        <v>15</v>
      </c>
      <c r="H8" s="27">
        <v>800.74</v>
      </c>
      <c r="I8" s="24">
        <v>0.57638888888888895</v>
      </c>
      <c r="J8" s="22">
        <f>I8-F8</f>
        <v>0.27083333333333343</v>
      </c>
      <c r="K8" s="27"/>
      <c r="L8" s="74"/>
    </row>
    <row r="9" spans="1:12">
      <c r="A9" s="83">
        <v>2</v>
      </c>
      <c r="B9" s="84" t="s">
        <v>42</v>
      </c>
      <c r="C9" s="84" t="s">
        <v>44</v>
      </c>
      <c r="D9" s="114" t="s">
        <v>64</v>
      </c>
      <c r="E9" s="85" t="s">
        <v>48</v>
      </c>
      <c r="F9" s="42">
        <v>0.28819444444444448</v>
      </c>
      <c r="G9" s="23">
        <v>18</v>
      </c>
      <c r="H9" s="27">
        <v>1040.174</v>
      </c>
      <c r="I9" s="24">
        <v>0.58333333333333337</v>
      </c>
      <c r="J9" s="22">
        <f t="shared" ref="J9:J12" si="0">I9-F9</f>
        <v>0.2951388888888889</v>
      </c>
      <c r="K9" s="27"/>
      <c r="L9" s="74"/>
    </row>
    <row r="10" spans="1:12">
      <c r="A10" s="21">
        <v>3</v>
      </c>
      <c r="B10" s="63" t="s">
        <v>42</v>
      </c>
      <c r="C10" s="62" t="s">
        <v>45</v>
      </c>
      <c r="D10" s="114" t="s">
        <v>68</v>
      </c>
      <c r="E10" s="86" t="s">
        <v>47</v>
      </c>
      <c r="F10" s="42">
        <v>0.3125</v>
      </c>
      <c r="G10" s="23">
        <v>4</v>
      </c>
      <c r="H10" s="27">
        <v>1435.278</v>
      </c>
      <c r="I10" s="24">
        <v>0.58333333333333337</v>
      </c>
      <c r="J10" s="22">
        <f t="shared" si="0"/>
        <v>0.27083333333333337</v>
      </c>
      <c r="K10" s="27"/>
      <c r="L10" s="74"/>
    </row>
    <row r="11" spans="1:12">
      <c r="A11" s="83">
        <v>4</v>
      </c>
      <c r="B11" s="63" t="s">
        <v>42</v>
      </c>
      <c r="C11" s="62" t="s">
        <v>46</v>
      </c>
      <c r="D11" s="114" t="s">
        <v>61</v>
      </c>
      <c r="E11" s="63" t="s">
        <v>48</v>
      </c>
      <c r="F11" s="42">
        <v>0.30902777777777779</v>
      </c>
      <c r="G11" s="23">
        <v>33</v>
      </c>
      <c r="H11" s="27">
        <v>1252.239</v>
      </c>
      <c r="I11" s="24">
        <v>0.625</v>
      </c>
      <c r="J11" s="22">
        <f t="shared" si="0"/>
        <v>0.31597222222222221</v>
      </c>
      <c r="K11" s="27"/>
      <c r="L11" s="74"/>
    </row>
    <row r="12" spans="1:12">
      <c r="A12" s="69">
        <v>5</v>
      </c>
      <c r="B12" s="93" t="s">
        <v>51</v>
      </c>
      <c r="C12" s="84" t="s">
        <v>57</v>
      </c>
      <c r="D12" s="118" t="s">
        <v>60</v>
      </c>
      <c r="E12" s="85" t="s">
        <v>48</v>
      </c>
      <c r="F12" s="24">
        <v>0.30555555555555552</v>
      </c>
      <c r="G12" s="23">
        <v>22</v>
      </c>
      <c r="H12" s="27">
        <v>1175.8520000000001</v>
      </c>
      <c r="I12" s="24">
        <v>0.62152777777777779</v>
      </c>
      <c r="J12" s="22">
        <f t="shared" si="0"/>
        <v>0.31597222222222227</v>
      </c>
      <c r="K12" s="27"/>
      <c r="L12" s="74"/>
    </row>
    <row r="13" spans="1:12">
      <c r="A13" s="69">
        <v>6</v>
      </c>
      <c r="B13" s="70"/>
      <c r="C13" s="71"/>
      <c r="D13" s="72"/>
      <c r="E13" s="73"/>
      <c r="F13" s="24"/>
      <c r="G13" s="23"/>
      <c r="H13" s="27"/>
      <c r="I13" s="24"/>
      <c r="J13" s="22"/>
      <c r="K13" s="27"/>
      <c r="L13" s="74"/>
    </row>
    <row r="14" spans="1:12">
      <c r="A14" s="69">
        <v>7</v>
      </c>
      <c r="B14" s="70"/>
      <c r="C14" s="71"/>
      <c r="D14" s="72"/>
      <c r="E14" s="73"/>
      <c r="F14" s="24"/>
      <c r="G14" s="23"/>
      <c r="H14" s="27"/>
      <c r="I14" s="24"/>
      <c r="J14" s="22"/>
      <c r="K14" s="27"/>
      <c r="L14" s="74"/>
    </row>
    <row r="15" spans="1:12">
      <c r="A15" s="69">
        <v>8</v>
      </c>
      <c r="B15" s="70"/>
      <c r="C15" s="71"/>
      <c r="D15" s="72"/>
      <c r="E15" s="73"/>
      <c r="F15" s="24"/>
      <c r="G15" s="23"/>
      <c r="H15" s="27"/>
      <c r="I15" s="24"/>
      <c r="J15" s="22"/>
      <c r="K15" s="27"/>
      <c r="L15" s="74"/>
    </row>
    <row r="16" spans="1:12">
      <c r="A16" s="69">
        <v>9</v>
      </c>
      <c r="B16" s="70"/>
      <c r="C16" s="71"/>
      <c r="D16" s="72"/>
      <c r="E16" s="73"/>
      <c r="F16" s="24"/>
      <c r="G16" s="23"/>
      <c r="H16" s="27"/>
      <c r="I16" s="24"/>
      <c r="J16" s="22"/>
      <c r="K16" s="27"/>
      <c r="L16" s="74"/>
    </row>
    <row r="17" spans="1:14">
      <c r="A17" s="69">
        <v>10</v>
      </c>
      <c r="B17" s="70"/>
      <c r="C17" s="71"/>
      <c r="D17" s="72"/>
      <c r="E17" s="73"/>
      <c r="F17" s="24"/>
      <c r="G17" s="23"/>
      <c r="H17" s="27"/>
      <c r="I17" s="24"/>
      <c r="J17" s="22"/>
      <c r="K17" s="27"/>
      <c r="L17" s="74"/>
    </row>
    <row r="18" spans="1:14">
      <c r="A18" s="69">
        <v>11</v>
      </c>
      <c r="B18" s="70"/>
      <c r="C18" s="71"/>
      <c r="D18" s="72"/>
      <c r="E18" s="73"/>
      <c r="F18" s="24"/>
      <c r="G18" s="23"/>
      <c r="H18" s="27"/>
      <c r="I18" s="24"/>
      <c r="J18" s="22"/>
      <c r="K18" s="27"/>
      <c r="L18" s="74"/>
    </row>
    <row r="19" spans="1:14">
      <c r="A19" s="69">
        <v>12</v>
      </c>
      <c r="B19" s="70"/>
      <c r="C19" s="71"/>
      <c r="D19" s="72"/>
      <c r="E19" s="73"/>
      <c r="F19" s="24"/>
      <c r="G19" s="23"/>
      <c r="H19" s="27"/>
      <c r="I19" s="24"/>
      <c r="J19" s="22"/>
      <c r="K19" s="75"/>
      <c r="L19" s="74"/>
    </row>
    <row r="20" spans="1:14">
      <c r="A20" s="69">
        <v>13</v>
      </c>
      <c r="B20" s="70"/>
      <c r="C20" s="71"/>
      <c r="D20" s="72"/>
      <c r="E20" s="73"/>
      <c r="F20" s="24"/>
      <c r="G20" s="23"/>
      <c r="H20" s="27"/>
      <c r="I20" s="24"/>
      <c r="J20" s="22"/>
      <c r="K20" s="75"/>
      <c r="L20" s="76"/>
    </row>
    <row r="21" spans="1:14" ht="15.75" thickBot="1">
      <c r="A21" s="270" t="s">
        <v>15</v>
      </c>
      <c r="B21" s="271"/>
      <c r="C21" s="271"/>
      <c r="D21" s="271"/>
      <c r="E21" s="271"/>
      <c r="F21" s="272"/>
      <c r="G21" s="77">
        <f>SUM(G8:G20)</f>
        <v>92</v>
      </c>
      <c r="H21" s="77">
        <f>SUM(H8:H20)</f>
        <v>5704.2830000000004</v>
      </c>
      <c r="I21" s="78"/>
      <c r="J21" s="78"/>
      <c r="K21" s="77">
        <f>SUM(K8:K20)</f>
        <v>0</v>
      </c>
      <c r="L21" s="79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8"/>
    </row>
    <row r="24" spans="1:14" ht="18.75">
      <c r="A24" s="277" t="s">
        <v>26</v>
      </c>
      <c r="B24" s="278"/>
      <c r="C24" s="278"/>
      <c r="D24" s="278"/>
      <c r="E24" s="278"/>
      <c r="F24" s="278"/>
      <c r="G24" s="278"/>
      <c r="H24" s="278"/>
      <c r="I24" s="279"/>
      <c r="J24" s="8"/>
      <c r="K24" s="8"/>
      <c r="L24" s="8"/>
      <c r="N24" s="48"/>
    </row>
    <row r="25" spans="1:14">
      <c r="A25" s="32">
        <v>1</v>
      </c>
      <c r="B25" s="82">
        <v>2</v>
      </c>
      <c r="C25" s="82">
        <v>3</v>
      </c>
      <c r="D25" s="82">
        <v>4</v>
      </c>
      <c r="E25" s="82">
        <v>5</v>
      </c>
      <c r="F25" s="82">
        <v>6</v>
      </c>
      <c r="G25" s="82">
        <v>7</v>
      </c>
      <c r="H25" s="82">
        <v>8</v>
      </c>
      <c r="I25" s="33">
        <v>9</v>
      </c>
      <c r="J25" s="8"/>
      <c r="K25" s="8"/>
      <c r="N25" s="48"/>
    </row>
    <row r="26" spans="1:14" ht="30">
      <c r="A26" s="60" t="s">
        <v>1</v>
      </c>
      <c r="B26" s="136" t="s">
        <v>2</v>
      </c>
      <c r="C26" s="136" t="s">
        <v>3</v>
      </c>
      <c r="D26" s="136" t="s">
        <v>27</v>
      </c>
      <c r="E26" s="136" t="s">
        <v>6</v>
      </c>
      <c r="F26" s="136" t="s">
        <v>28</v>
      </c>
      <c r="G26" s="136" t="s">
        <v>8</v>
      </c>
      <c r="H26" s="136" t="s">
        <v>31</v>
      </c>
      <c r="I26" s="34" t="s">
        <v>30</v>
      </c>
      <c r="J26" s="8"/>
      <c r="K26" s="8"/>
      <c r="L26" s="8"/>
      <c r="N26" s="48"/>
    </row>
    <row r="27" spans="1:14">
      <c r="A27" s="64">
        <v>14</v>
      </c>
      <c r="B27" s="63"/>
      <c r="C27" s="62"/>
      <c r="D27" s="44"/>
      <c r="E27" s="42"/>
      <c r="F27" s="23"/>
      <c r="G27" s="27"/>
      <c r="H27" s="38"/>
      <c r="I27" s="39"/>
      <c r="J27" s="8"/>
      <c r="K27" s="8"/>
      <c r="L27" s="8"/>
    </row>
    <row r="28" spans="1:14">
      <c r="A28" s="62">
        <v>15</v>
      </c>
      <c r="B28" s="63"/>
      <c r="C28" s="62"/>
      <c r="D28" s="44"/>
      <c r="E28" s="42"/>
      <c r="F28" s="23"/>
      <c r="G28" s="27"/>
      <c r="H28" s="38"/>
      <c r="I28" s="39"/>
      <c r="J28" s="8"/>
      <c r="K28" s="8"/>
      <c r="L28" s="8"/>
    </row>
    <row r="29" spans="1:14">
      <c r="A29" s="62">
        <v>16</v>
      </c>
      <c r="B29" s="62"/>
      <c r="C29" s="62"/>
      <c r="D29" s="44"/>
      <c r="E29" s="42"/>
      <c r="F29" s="23"/>
      <c r="G29" s="27"/>
      <c r="H29" s="38"/>
      <c r="I29" s="39"/>
      <c r="J29" s="8"/>
      <c r="K29" s="8"/>
      <c r="L29" s="8"/>
    </row>
    <row r="30" spans="1:14">
      <c r="A30" s="65"/>
      <c r="B30" s="65"/>
      <c r="C30" s="65"/>
      <c r="D30" s="44"/>
      <c r="E30" s="42"/>
      <c r="F30" s="23"/>
      <c r="G30" s="27"/>
      <c r="H30" s="38"/>
      <c r="I30" s="39"/>
      <c r="J30" s="8"/>
      <c r="K30" s="8"/>
      <c r="L30" s="8"/>
    </row>
    <row r="31" spans="1:14" ht="15.75" thickBot="1">
      <c r="A31" s="270" t="s">
        <v>15</v>
      </c>
      <c r="B31" s="271"/>
      <c r="C31" s="272"/>
      <c r="D31" s="10"/>
      <c r="E31" s="35"/>
      <c r="F31" s="35">
        <f>SUM(F30:F30)</f>
        <v>0</v>
      </c>
      <c r="G31" s="35">
        <f>SUM(G30:G30)</f>
        <v>0</v>
      </c>
      <c r="H31" s="36"/>
      <c r="I31" s="37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4" ht="18.75">
      <c r="A33" s="277" t="s">
        <v>12</v>
      </c>
      <c r="B33" s="278"/>
      <c r="C33" s="278"/>
      <c r="D33" s="278"/>
      <c r="E33" s="278"/>
      <c r="F33" s="278"/>
      <c r="G33" s="278"/>
      <c r="H33" s="278"/>
      <c r="I33" s="278"/>
      <c r="J33" s="278"/>
      <c r="K33" s="278"/>
      <c r="L33" s="279"/>
    </row>
    <row r="34" spans="1:14" ht="15.75" thickBot="1">
      <c r="A34" s="103">
        <v>1</v>
      </c>
      <c r="B34" s="104">
        <v>2</v>
      </c>
      <c r="C34" s="104">
        <v>3</v>
      </c>
      <c r="D34" s="104">
        <v>4</v>
      </c>
      <c r="E34" s="104">
        <v>5</v>
      </c>
      <c r="F34" s="104">
        <v>6</v>
      </c>
      <c r="G34" s="104">
        <v>7</v>
      </c>
      <c r="H34" s="104">
        <v>8</v>
      </c>
      <c r="I34" s="104">
        <v>9</v>
      </c>
      <c r="J34" s="104">
        <v>10</v>
      </c>
      <c r="K34" s="104">
        <v>11</v>
      </c>
      <c r="L34" s="268">
        <v>12</v>
      </c>
      <c r="M34" s="269"/>
    </row>
    <row r="35" spans="1:14" ht="75">
      <c r="A35" s="244" t="s">
        <v>1</v>
      </c>
      <c r="B35" s="224" t="s">
        <v>2</v>
      </c>
      <c r="C35" s="224" t="s">
        <v>3</v>
      </c>
      <c r="D35" s="224" t="s">
        <v>4</v>
      </c>
      <c r="E35" s="106" t="s">
        <v>5</v>
      </c>
      <c r="F35" s="224" t="s">
        <v>14</v>
      </c>
      <c r="G35" s="224" t="s">
        <v>13</v>
      </c>
      <c r="H35" s="224" t="s">
        <v>37</v>
      </c>
      <c r="I35" s="224" t="s">
        <v>39</v>
      </c>
      <c r="J35" s="224" t="s">
        <v>38</v>
      </c>
      <c r="K35" s="224" t="s">
        <v>40</v>
      </c>
      <c r="L35" s="202" t="s">
        <v>36</v>
      </c>
      <c r="M35" s="203"/>
    </row>
    <row r="36" spans="1:14" ht="75">
      <c r="A36" s="245"/>
      <c r="B36" s="225"/>
      <c r="C36" s="225"/>
      <c r="D36" s="225"/>
      <c r="E36" s="137" t="s">
        <v>11</v>
      </c>
      <c r="F36" s="225"/>
      <c r="G36" s="225"/>
      <c r="H36" s="225"/>
      <c r="I36" s="225"/>
      <c r="J36" s="225"/>
      <c r="K36" s="225"/>
      <c r="L36" s="204"/>
      <c r="M36" s="205"/>
    </row>
    <row r="37" spans="1:14" s="30" customFormat="1" ht="46.5" customHeight="1">
      <c r="A37" s="45">
        <v>17</v>
      </c>
      <c r="B37" s="63" t="s">
        <v>42</v>
      </c>
      <c r="C37" s="62" t="s">
        <v>49</v>
      </c>
      <c r="D37" s="115" t="s">
        <v>62</v>
      </c>
      <c r="E37" s="63" t="s">
        <v>47</v>
      </c>
      <c r="F37" s="116">
        <v>46248</v>
      </c>
      <c r="G37" s="94">
        <v>240000</v>
      </c>
      <c r="H37" s="87" t="s">
        <v>59</v>
      </c>
      <c r="I37" s="88">
        <v>46248</v>
      </c>
      <c r="J37" s="143" t="s">
        <v>106</v>
      </c>
      <c r="K37" s="89"/>
      <c r="L37" s="275" t="s">
        <v>50</v>
      </c>
      <c r="M37" s="276"/>
    </row>
    <row r="38" spans="1:14" s="58" customFormat="1">
      <c r="A38" s="45">
        <v>18</v>
      </c>
      <c r="B38" s="144" t="s">
        <v>51</v>
      </c>
      <c r="C38" s="145" t="s">
        <v>52</v>
      </c>
      <c r="D38" s="146" t="s">
        <v>63</v>
      </c>
      <c r="E38" s="147" t="s">
        <v>47</v>
      </c>
      <c r="F38" s="148">
        <v>46296</v>
      </c>
      <c r="G38" s="149">
        <v>125000</v>
      </c>
      <c r="H38" s="150" t="s">
        <v>59</v>
      </c>
      <c r="I38" s="151">
        <v>46297</v>
      </c>
      <c r="J38" s="151">
        <v>46308</v>
      </c>
      <c r="K38" s="152" t="s">
        <v>53</v>
      </c>
      <c r="L38" s="280" t="s">
        <v>54</v>
      </c>
      <c r="M38" s="281"/>
      <c r="N38" s="58" t="s">
        <v>108</v>
      </c>
    </row>
    <row r="39" spans="1:14" ht="49.5" customHeight="1">
      <c r="A39" s="45">
        <v>19</v>
      </c>
      <c r="B39" s="84" t="s">
        <v>55</v>
      </c>
      <c r="C39" s="84" t="s">
        <v>56</v>
      </c>
      <c r="D39" s="84" t="s">
        <v>61</v>
      </c>
      <c r="E39" s="92" t="s">
        <v>47</v>
      </c>
      <c r="F39" s="96" t="s">
        <v>66</v>
      </c>
      <c r="G39" s="94">
        <v>680000</v>
      </c>
      <c r="H39" s="97"/>
      <c r="I39" s="91"/>
      <c r="J39" s="91"/>
      <c r="K39" s="98"/>
      <c r="L39" s="248" t="s">
        <v>58</v>
      </c>
      <c r="M39" s="249"/>
    </row>
    <row r="40" spans="1:14">
      <c r="A40" s="45">
        <v>20</v>
      </c>
      <c r="B40" s="17"/>
      <c r="C40" s="17"/>
      <c r="D40" s="17"/>
      <c r="E40" s="17"/>
      <c r="F40" s="99"/>
      <c r="G40" s="100"/>
      <c r="H40" s="17"/>
      <c r="I40" s="17"/>
      <c r="J40" s="82"/>
      <c r="K40" s="82"/>
      <c r="L40" s="246"/>
      <c r="M40" s="247"/>
    </row>
    <row r="41" spans="1:14">
      <c r="A41" s="45">
        <v>21</v>
      </c>
      <c r="B41" s="46"/>
      <c r="C41" s="47"/>
      <c r="D41" s="47"/>
      <c r="E41" s="87"/>
      <c r="F41" s="101"/>
      <c r="G41" s="95"/>
      <c r="H41" s="102"/>
      <c r="I41" s="101"/>
      <c r="J41" s="101"/>
      <c r="K41" s="102"/>
      <c r="L41" s="200"/>
      <c r="M41" s="201"/>
    </row>
    <row r="42" spans="1:14">
      <c r="A42" s="45">
        <v>22</v>
      </c>
      <c r="B42" s="46"/>
      <c r="C42" s="47"/>
      <c r="D42" s="80"/>
      <c r="E42" s="40"/>
      <c r="F42" s="49"/>
      <c r="G42" s="95"/>
      <c r="H42" s="54"/>
      <c r="I42" s="49"/>
      <c r="J42" s="49"/>
      <c r="K42" s="54"/>
      <c r="L42" s="198"/>
      <c r="M42" s="199"/>
    </row>
    <row r="43" spans="1:14" ht="15.75" thickBot="1">
      <c r="A43" s="45">
        <v>23</v>
      </c>
      <c r="B43" s="108"/>
      <c r="C43" s="109"/>
      <c r="D43" s="109"/>
      <c r="E43" s="110"/>
      <c r="F43" s="111"/>
      <c r="G43" s="112"/>
      <c r="H43" s="113"/>
      <c r="I43" s="111"/>
      <c r="J43" s="111"/>
      <c r="K43" s="113"/>
      <c r="L43" s="196"/>
      <c r="M43" s="197"/>
    </row>
    <row r="44" spans="1:14" ht="15.75" thickBot="1">
      <c r="A44" s="238" t="s">
        <v>15</v>
      </c>
      <c r="B44" s="239"/>
      <c r="C44" s="239"/>
      <c r="D44" s="239"/>
      <c r="E44" s="240"/>
      <c r="F44" s="105"/>
      <c r="G44" s="241">
        <f>SUM(G37:G43)</f>
        <v>1045000</v>
      </c>
      <c r="H44" s="242"/>
      <c r="I44" s="242"/>
      <c r="J44" s="242"/>
      <c r="K44" s="242"/>
      <c r="L44" s="243"/>
    </row>
    <row r="45" spans="1:14" ht="15.75" thickBot="1">
      <c r="A45" s="50"/>
      <c r="B45" s="50"/>
      <c r="C45" s="50"/>
      <c r="D45" s="50"/>
      <c r="E45" s="51"/>
      <c r="F45" s="51"/>
      <c r="G45" s="52"/>
      <c r="H45" s="52"/>
      <c r="J45" s="9"/>
      <c r="K45" s="53"/>
    </row>
    <row r="46" spans="1:14" ht="18.75">
      <c r="A46" s="235" t="s">
        <v>16</v>
      </c>
      <c r="B46" s="236"/>
      <c r="C46" s="236"/>
      <c r="D46" s="236"/>
      <c r="E46" s="236"/>
      <c r="F46" s="236"/>
      <c r="G46" s="236"/>
      <c r="H46" s="236"/>
      <c r="I46" s="236"/>
      <c r="J46" s="237"/>
      <c r="K46" s="2"/>
    </row>
    <row r="47" spans="1:14" ht="30">
      <c r="A47" s="55"/>
      <c r="B47" s="18"/>
      <c r="C47" s="133"/>
      <c r="D47" s="133" t="s">
        <v>17</v>
      </c>
      <c r="E47" s="223" t="s">
        <v>18</v>
      </c>
      <c r="F47" s="223"/>
      <c r="G47" s="223" t="s">
        <v>19</v>
      </c>
      <c r="H47" s="223"/>
      <c r="I47" s="223" t="s">
        <v>29</v>
      </c>
      <c r="J47" s="232"/>
      <c r="K47" s="2"/>
    </row>
    <row r="48" spans="1:14">
      <c r="A48" s="55"/>
      <c r="B48" s="25" t="s">
        <v>20</v>
      </c>
      <c r="C48" s="219">
        <v>1891.5989999999999</v>
      </c>
      <c r="D48" s="220"/>
      <c r="E48" s="230">
        <v>1824.4960000000001</v>
      </c>
      <c r="F48" s="231"/>
      <c r="G48" s="230">
        <v>1824.4960000000001</v>
      </c>
      <c r="H48" s="231"/>
      <c r="I48" s="233"/>
      <c r="J48" s="234"/>
      <c r="K48" s="2"/>
    </row>
    <row r="49" spans="1:14">
      <c r="A49" s="56"/>
      <c r="B49" s="25" t="s">
        <v>21</v>
      </c>
      <c r="C49" s="219">
        <v>1741.77</v>
      </c>
      <c r="D49" s="220"/>
      <c r="E49" s="226">
        <v>1658.78</v>
      </c>
      <c r="F49" s="227"/>
      <c r="G49" s="226">
        <v>1658.78</v>
      </c>
      <c r="H49" s="227"/>
      <c r="I49" s="212"/>
      <c r="J49" s="213"/>
      <c r="K49" s="2"/>
    </row>
    <row r="50" spans="1:14" ht="15.75" thickBot="1">
      <c r="A50" s="56"/>
      <c r="B50" s="25" t="s">
        <v>22</v>
      </c>
      <c r="C50" s="228">
        <v>2449.0300000000002</v>
      </c>
      <c r="D50" s="229"/>
      <c r="E50" s="221">
        <v>2221.0100000000002</v>
      </c>
      <c r="F50" s="222"/>
      <c r="G50" s="221">
        <v>2221.0100000000002</v>
      </c>
      <c r="H50" s="222"/>
      <c r="I50" s="212">
        <v>22.8</v>
      </c>
      <c r="J50" s="213"/>
      <c r="K50" s="2" t="s">
        <v>107</v>
      </c>
    </row>
    <row r="51" spans="1:14" ht="15.75" thickBot="1">
      <c r="A51" s="11"/>
      <c r="B51" s="12" t="s">
        <v>23</v>
      </c>
      <c r="C51" s="214">
        <f>SUM(C48:D50)</f>
        <v>6082.3989999999994</v>
      </c>
      <c r="D51" s="215"/>
      <c r="E51" s="216">
        <f>SUM(E48:E50)</f>
        <v>5704.2860000000001</v>
      </c>
      <c r="F51" s="217"/>
      <c r="G51" s="216">
        <f>G48+G49+G50</f>
        <v>5704.2860000000001</v>
      </c>
      <c r="H51" s="217"/>
      <c r="I51" s="216">
        <f>SUM(I48:I50)</f>
        <v>22.8</v>
      </c>
      <c r="J51" s="218"/>
      <c r="K51" s="2"/>
    </row>
    <row r="53" spans="1:14" ht="15.75" thickBot="1">
      <c r="E53" s="26"/>
    </row>
    <row r="54" spans="1:14" ht="19.5" thickBot="1">
      <c r="A54" s="206" t="s">
        <v>32</v>
      </c>
      <c r="B54" s="207"/>
      <c r="C54" s="207"/>
      <c r="D54" s="207"/>
      <c r="E54" s="207"/>
      <c r="F54" s="207"/>
      <c r="G54" s="207"/>
      <c r="H54" s="207"/>
      <c r="I54" s="207"/>
      <c r="J54" s="208"/>
      <c r="K54" s="30"/>
      <c r="L54" s="30"/>
    </row>
    <row r="55" spans="1:14">
      <c r="A55" s="31" t="s">
        <v>33</v>
      </c>
      <c r="B55" s="209" t="s">
        <v>34</v>
      </c>
      <c r="C55" s="210"/>
      <c r="D55" s="210"/>
      <c r="E55" s="210"/>
      <c r="F55" s="210"/>
      <c r="G55" s="210"/>
      <c r="H55" s="210"/>
      <c r="I55" s="211"/>
      <c r="J55" s="57" t="s">
        <v>35</v>
      </c>
      <c r="K55" s="58"/>
      <c r="L55" s="58"/>
    </row>
    <row r="56" spans="1:14">
      <c r="A56" s="41">
        <v>1</v>
      </c>
      <c r="B56" s="193" t="s">
        <v>70</v>
      </c>
      <c r="C56" s="194"/>
      <c r="D56" s="194"/>
      <c r="E56" s="194"/>
      <c r="F56" s="194"/>
      <c r="G56" s="194"/>
      <c r="H56" s="194"/>
      <c r="I56" s="195"/>
      <c r="J56" s="43">
        <v>8</v>
      </c>
    </row>
    <row r="57" spans="1:14">
      <c r="A57" s="41">
        <v>2</v>
      </c>
      <c r="B57" s="193" t="s">
        <v>86</v>
      </c>
      <c r="C57" s="194"/>
      <c r="D57" s="194"/>
      <c r="E57" s="194"/>
      <c r="F57" s="194"/>
      <c r="G57" s="194"/>
      <c r="H57" s="194"/>
      <c r="I57" s="195"/>
      <c r="J57" s="43">
        <v>5</v>
      </c>
    </row>
    <row r="58" spans="1:14">
      <c r="A58" s="41">
        <v>3</v>
      </c>
      <c r="B58" s="193" t="s">
        <v>71</v>
      </c>
      <c r="C58" s="194"/>
      <c r="D58" s="194"/>
      <c r="E58" s="194"/>
      <c r="F58" s="194"/>
      <c r="G58" s="194"/>
      <c r="H58" s="194"/>
      <c r="I58" s="195"/>
      <c r="J58" s="43">
        <v>10</v>
      </c>
    </row>
    <row r="59" spans="1:14">
      <c r="A59" s="41">
        <v>4</v>
      </c>
      <c r="B59" s="193" t="s">
        <v>87</v>
      </c>
      <c r="C59" s="194"/>
      <c r="D59" s="194"/>
      <c r="E59" s="194"/>
      <c r="F59" s="194"/>
      <c r="G59" s="194"/>
      <c r="H59" s="194"/>
      <c r="I59" s="195"/>
      <c r="J59" s="43">
        <v>7</v>
      </c>
    </row>
    <row r="60" spans="1:14">
      <c r="A60" s="41">
        <v>5</v>
      </c>
      <c r="B60" s="193" t="s">
        <v>73</v>
      </c>
      <c r="C60" s="194"/>
      <c r="D60" s="194"/>
      <c r="E60" s="194"/>
      <c r="F60" s="194"/>
      <c r="G60" s="194"/>
      <c r="H60" s="194"/>
      <c r="I60" s="195"/>
      <c r="J60" s="127">
        <v>10</v>
      </c>
    </row>
    <row r="61" spans="1:14">
      <c r="A61" s="41">
        <v>6</v>
      </c>
      <c r="B61" s="193" t="s">
        <v>88</v>
      </c>
      <c r="C61" s="194"/>
      <c r="D61" s="194"/>
      <c r="E61" s="194"/>
      <c r="F61" s="194"/>
      <c r="G61" s="194"/>
      <c r="H61" s="194"/>
      <c r="I61" s="195"/>
      <c r="J61" s="127">
        <v>25</v>
      </c>
    </row>
    <row r="62" spans="1:14">
      <c r="A62" s="41">
        <v>7</v>
      </c>
      <c r="B62" s="193" t="s">
        <v>89</v>
      </c>
      <c r="C62" s="194"/>
      <c r="D62" s="194"/>
      <c r="E62" s="194"/>
      <c r="F62" s="194"/>
      <c r="G62" s="194"/>
      <c r="H62" s="194"/>
      <c r="I62" s="195"/>
      <c r="J62" s="127">
        <v>10</v>
      </c>
    </row>
    <row r="63" spans="1:14">
      <c r="A63" s="41">
        <v>8</v>
      </c>
      <c r="B63" s="193" t="s">
        <v>90</v>
      </c>
      <c r="C63" s="194"/>
      <c r="D63" s="194"/>
      <c r="E63" s="194"/>
      <c r="F63" s="194"/>
      <c r="G63" s="194"/>
      <c r="H63" s="194"/>
      <c r="I63" s="195"/>
      <c r="J63" s="127">
        <v>7</v>
      </c>
    </row>
    <row r="64" spans="1:14" s="4" customFormat="1">
      <c r="A64" s="41">
        <v>9</v>
      </c>
      <c r="B64" s="193" t="s">
        <v>91</v>
      </c>
      <c r="C64" s="194"/>
      <c r="D64" s="194"/>
      <c r="E64" s="194"/>
      <c r="F64" s="194"/>
      <c r="G64" s="194"/>
      <c r="H64" s="194"/>
      <c r="I64" s="195"/>
      <c r="J64" s="128">
        <v>7</v>
      </c>
      <c r="L64" s="2"/>
      <c r="M64" s="2"/>
      <c r="N64" s="2"/>
    </row>
    <row r="65" spans="1:14" s="4" customFormat="1">
      <c r="A65" s="41">
        <v>10</v>
      </c>
      <c r="B65" s="193" t="s">
        <v>92</v>
      </c>
      <c r="C65" s="194"/>
      <c r="D65" s="194"/>
      <c r="E65" s="194"/>
      <c r="F65" s="194"/>
      <c r="G65" s="194"/>
      <c r="H65" s="194"/>
      <c r="I65" s="195"/>
      <c r="J65" s="128">
        <v>21</v>
      </c>
      <c r="L65" s="2"/>
      <c r="M65" s="2"/>
      <c r="N65" s="2"/>
    </row>
    <row r="66" spans="1:14" s="4" customFormat="1">
      <c r="A66" s="41">
        <v>11</v>
      </c>
      <c r="B66" s="193" t="s">
        <v>93</v>
      </c>
      <c r="C66" s="194"/>
      <c r="D66" s="194"/>
      <c r="E66" s="194"/>
      <c r="F66" s="194"/>
      <c r="G66" s="194"/>
      <c r="H66" s="194"/>
      <c r="I66" s="195"/>
      <c r="J66" s="128">
        <v>5</v>
      </c>
      <c r="L66" s="2"/>
      <c r="M66" s="2"/>
      <c r="N66" s="2"/>
    </row>
    <row r="67" spans="1:14" s="4" customFormat="1">
      <c r="A67" s="41">
        <v>12</v>
      </c>
      <c r="B67" s="193" t="s">
        <v>94</v>
      </c>
      <c r="C67" s="194"/>
      <c r="D67" s="194"/>
      <c r="E67" s="194"/>
      <c r="F67" s="194"/>
      <c r="G67" s="194"/>
      <c r="H67" s="194"/>
      <c r="I67" s="195"/>
      <c r="J67" s="127">
        <v>5</v>
      </c>
      <c r="L67" s="2"/>
      <c r="M67" s="2"/>
      <c r="N67" s="2"/>
    </row>
    <row r="68" spans="1:14" s="4" customFormat="1">
      <c r="A68" s="131">
        <v>13</v>
      </c>
      <c r="B68" s="189" t="s">
        <v>95</v>
      </c>
      <c r="C68" s="189"/>
      <c r="D68" s="189"/>
      <c r="E68" s="189"/>
      <c r="F68" s="189"/>
      <c r="G68" s="189"/>
      <c r="H68" s="189"/>
      <c r="I68" s="189"/>
      <c r="J68" s="132">
        <v>10</v>
      </c>
      <c r="L68" s="2"/>
      <c r="M68" s="2"/>
      <c r="N68" s="2"/>
    </row>
    <row r="69" spans="1:14" s="4" customFormat="1">
      <c r="A69" s="131">
        <v>14</v>
      </c>
      <c r="B69" s="189" t="s">
        <v>80</v>
      </c>
      <c r="C69" s="189"/>
      <c r="D69" s="189"/>
      <c r="E69" s="189"/>
      <c r="F69" s="189"/>
      <c r="G69" s="189"/>
      <c r="H69" s="189"/>
      <c r="I69" s="189"/>
      <c r="J69" s="132">
        <v>30</v>
      </c>
      <c r="L69" s="2"/>
      <c r="M69" s="2"/>
      <c r="N69" s="2"/>
    </row>
    <row r="70" spans="1:14" s="4" customFormat="1">
      <c r="A70" s="131">
        <v>15</v>
      </c>
      <c r="B70" s="189" t="s">
        <v>96</v>
      </c>
      <c r="C70" s="189"/>
      <c r="D70" s="189"/>
      <c r="E70" s="189"/>
      <c r="F70" s="189"/>
      <c r="G70" s="189"/>
      <c r="H70" s="189"/>
      <c r="I70" s="189"/>
      <c r="J70" s="132">
        <v>15</v>
      </c>
      <c r="L70" s="2"/>
      <c r="M70" s="2"/>
      <c r="N70" s="2"/>
    </row>
    <row r="71" spans="1:14" s="4" customFormat="1">
      <c r="A71" s="131">
        <v>16</v>
      </c>
      <c r="B71" s="189" t="s">
        <v>97</v>
      </c>
      <c r="C71" s="189"/>
      <c r="D71" s="189"/>
      <c r="E71" s="189"/>
      <c r="F71" s="189"/>
      <c r="G71" s="189"/>
      <c r="H71" s="189"/>
      <c r="I71" s="189"/>
      <c r="J71" s="132">
        <v>31</v>
      </c>
      <c r="L71" s="2"/>
      <c r="M71" s="2"/>
      <c r="N71" s="2"/>
    </row>
    <row r="72" spans="1:14" s="4" customFormat="1">
      <c r="A72" s="131">
        <v>17</v>
      </c>
      <c r="B72" s="189" t="s">
        <v>83</v>
      </c>
      <c r="C72" s="189"/>
      <c r="D72" s="189"/>
      <c r="E72" s="189"/>
      <c r="F72" s="189"/>
      <c r="G72" s="189"/>
      <c r="H72" s="189"/>
      <c r="I72" s="189"/>
      <c r="J72" s="132">
        <v>30</v>
      </c>
      <c r="L72" s="2"/>
      <c r="M72" s="2"/>
      <c r="N72" s="2"/>
    </row>
    <row r="73" spans="1:14" s="4" customFormat="1">
      <c r="A73" s="131">
        <v>18</v>
      </c>
      <c r="B73" s="189" t="s">
        <v>98</v>
      </c>
      <c r="C73" s="189"/>
      <c r="D73" s="189"/>
      <c r="E73" s="189"/>
      <c r="F73" s="189"/>
      <c r="G73" s="189"/>
      <c r="H73" s="189"/>
      <c r="I73" s="189"/>
      <c r="J73" s="132">
        <v>25</v>
      </c>
      <c r="L73" s="2"/>
      <c r="M73" s="2"/>
      <c r="N73" s="2"/>
    </row>
    <row r="74" spans="1:14" s="4" customFormat="1">
      <c r="A74" s="131">
        <v>19</v>
      </c>
      <c r="B74" s="189" t="s">
        <v>99</v>
      </c>
      <c r="C74" s="189"/>
      <c r="D74" s="189"/>
      <c r="E74" s="189"/>
      <c r="F74" s="189"/>
      <c r="G74" s="189"/>
      <c r="H74" s="189"/>
      <c r="I74" s="189"/>
      <c r="J74" s="132">
        <v>35</v>
      </c>
      <c r="L74" s="2"/>
      <c r="M74" s="2"/>
      <c r="N74" s="2"/>
    </row>
    <row r="75" spans="1:14" s="4" customFormat="1">
      <c r="A75" s="131">
        <v>20</v>
      </c>
      <c r="B75" s="189" t="s">
        <v>100</v>
      </c>
      <c r="C75" s="189"/>
      <c r="D75" s="189"/>
      <c r="E75" s="189"/>
      <c r="F75" s="189"/>
      <c r="G75" s="189"/>
      <c r="H75" s="189"/>
      <c r="I75" s="189"/>
      <c r="J75" s="132">
        <v>15</v>
      </c>
      <c r="L75" s="2"/>
      <c r="M75" s="2"/>
      <c r="N75" s="2"/>
    </row>
    <row r="76" spans="1:14" s="4" customFormat="1">
      <c r="A76" s="131">
        <v>21</v>
      </c>
      <c r="B76" s="189" t="s">
        <v>101</v>
      </c>
      <c r="C76" s="189"/>
      <c r="D76" s="189"/>
      <c r="E76" s="189"/>
      <c r="F76" s="189"/>
      <c r="G76" s="189"/>
      <c r="H76" s="189"/>
      <c r="I76" s="189"/>
      <c r="J76" s="132">
        <v>10</v>
      </c>
      <c r="L76" s="2"/>
      <c r="M76" s="2"/>
      <c r="N76" s="2"/>
    </row>
    <row r="77" spans="1:14" s="4" customFormat="1">
      <c r="A77" s="131">
        <v>22</v>
      </c>
      <c r="B77" s="189" t="s">
        <v>102</v>
      </c>
      <c r="C77" s="189"/>
      <c r="D77" s="189"/>
      <c r="E77" s="189"/>
      <c r="F77" s="189"/>
      <c r="G77" s="189"/>
      <c r="H77" s="189"/>
      <c r="I77" s="189"/>
      <c r="J77" s="132">
        <v>10</v>
      </c>
      <c r="L77" s="2"/>
      <c r="M77" s="2"/>
      <c r="N77" s="2"/>
    </row>
    <row r="78" spans="1:14" s="4" customFormat="1">
      <c r="A78" s="131">
        <v>23</v>
      </c>
      <c r="B78" s="189" t="s">
        <v>103</v>
      </c>
      <c r="C78" s="189"/>
      <c r="D78" s="189"/>
      <c r="E78" s="189"/>
      <c r="F78" s="189"/>
      <c r="G78" s="189"/>
      <c r="H78" s="189"/>
      <c r="I78" s="189"/>
      <c r="J78" s="132">
        <v>10</v>
      </c>
      <c r="L78" s="2"/>
      <c r="M78" s="2"/>
      <c r="N78" s="2"/>
    </row>
    <row r="79" spans="1:14" s="4" customFormat="1">
      <c r="A79" s="131">
        <v>24</v>
      </c>
      <c r="B79" s="189" t="s">
        <v>104</v>
      </c>
      <c r="C79" s="189"/>
      <c r="D79" s="189"/>
      <c r="E79" s="189"/>
      <c r="F79" s="189"/>
      <c r="G79" s="189"/>
      <c r="H79" s="189"/>
      <c r="I79" s="189"/>
      <c r="J79" s="132">
        <v>3.5</v>
      </c>
      <c r="L79" s="2"/>
      <c r="M79" s="2"/>
      <c r="N79" s="2"/>
    </row>
    <row r="80" spans="1:14" s="4" customFormat="1">
      <c r="A80" s="131">
        <v>25</v>
      </c>
      <c r="B80" s="189" t="s">
        <v>105</v>
      </c>
      <c r="C80" s="189"/>
      <c r="D80" s="189"/>
      <c r="E80" s="189"/>
      <c r="F80" s="189"/>
      <c r="G80" s="189"/>
      <c r="H80" s="189"/>
      <c r="I80" s="189"/>
      <c r="J80" s="132">
        <v>3.5</v>
      </c>
      <c r="L80" s="2"/>
      <c r="M80" s="2"/>
      <c r="N80" s="2"/>
    </row>
    <row r="81" spans="1:14" s="4" customFormat="1">
      <c r="A81" s="131">
        <v>26</v>
      </c>
      <c r="B81" s="189"/>
      <c r="C81" s="189"/>
      <c r="D81" s="189"/>
      <c r="E81" s="189"/>
      <c r="F81" s="189"/>
      <c r="G81" s="189"/>
      <c r="H81" s="189"/>
      <c r="I81" s="189"/>
      <c r="J81" s="132"/>
      <c r="L81" s="2"/>
      <c r="M81" s="2"/>
      <c r="N81" s="2"/>
    </row>
    <row r="82" spans="1:14" s="4" customFormat="1" ht="15.75" thickBot="1">
      <c r="A82" s="129"/>
      <c r="B82" s="190" t="s">
        <v>15</v>
      </c>
      <c r="C82" s="191"/>
      <c r="D82" s="191"/>
      <c r="E82" s="191"/>
      <c r="F82" s="191"/>
      <c r="G82" s="191"/>
      <c r="H82" s="191"/>
      <c r="I82" s="192"/>
      <c r="J82" s="130">
        <f>SUM(J56:J80)</f>
        <v>348</v>
      </c>
      <c r="L82" s="2"/>
      <c r="M82" s="2"/>
      <c r="N82" s="2"/>
    </row>
  </sheetData>
  <mergeCells count="92">
    <mergeCell ref="A1:C1"/>
    <mergeCell ref="E1:H1"/>
    <mergeCell ref="J1:K1"/>
    <mergeCell ref="A2:C2"/>
    <mergeCell ref="F2:H2"/>
    <mergeCell ref="J2:K2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K35:K36"/>
    <mergeCell ref="L35:M36"/>
    <mergeCell ref="L37:M37"/>
    <mergeCell ref="L38:M38"/>
    <mergeCell ref="L39:M39"/>
    <mergeCell ref="L40:M40"/>
    <mergeCell ref="L41:M41"/>
    <mergeCell ref="L42:M42"/>
    <mergeCell ref="L43:M43"/>
    <mergeCell ref="A44:E44"/>
    <mergeCell ref="G44:L44"/>
    <mergeCell ref="A46:J46"/>
    <mergeCell ref="E47:F47"/>
    <mergeCell ref="G47:H47"/>
    <mergeCell ref="I47:J47"/>
    <mergeCell ref="C48:D48"/>
    <mergeCell ref="E48:F48"/>
    <mergeCell ref="G48:H48"/>
    <mergeCell ref="I48:J48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C51:D51"/>
    <mergeCell ref="E51:F51"/>
    <mergeCell ref="G51:H51"/>
    <mergeCell ref="I51:J51"/>
    <mergeCell ref="A54:J54"/>
    <mergeCell ref="B67:I67"/>
    <mergeCell ref="B56:I56"/>
    <mergeCell ref="B57:I57"/>
    <mergeCell ref="B58:I58"/>
    <mergeCell ref="B59:I59"/>
    <mergeCell ref="B60:I60"/>
    <mergeCell ref="B61:I61"/>
    <mergeCell ref="B62:I62"/>
    <mergeCell ref="B63:I63"/>
    <mergeCell ref="B64:I64"/>
    <mergeCell ref="B65:I65"/>
    <mergeCell ref="B66:I66"/>
    <mergeCell ref="B68:I68"/>
    <mergeCell ref="B69:I69"/>
    <mergeCell ref="B70:I70"/>
    <mergeCell ref="B71:I71"/>
    <mergeCell ref="B82:I82"/>
    <mergeCell ref="B72:I72"/>
    <mergeCell ref="B73:I73"/>
    <mergeCell ref="B74:I74"/>
    <mergeCell ref="B75:I75"/>
    <mergeCell ref="B76:I76"/>
    <mergeCell ref="B77:I77"/>
    <mergeCell ref="B78:I78"/>
    <mergeCell ref="B79:I79"/>
    <mergeCell ref="B80:I80"/>
    <mergeCell ref="B81:I81"/>
  </mergeCells>
  <pageMargins left="0" right="0" top="0.59055118110236204" bottom="0" header="0" footer="0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FF00"/>
    <pageSetUpPr fitToPage="1"/>
  </sheetPr>
  <dimension ref="A1:N82"/>
  <sheetViews>
    <sheetView topLeftCell="A43" zoomScale="85" zoomScaleNormal="85" workbookViewId="0">
      <pane xSplit="3" topLeftCell="D1" activePane="topRight" state="frozen"/>
      <selection pane="topRight" activeCell="J58" activeCellId="1" sqref="J56 J58:J60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0" t="s">
        <v>41</v>
      </c>
      <c r="B1" s="260"/>
      <c r="C1" s="260"/>
      <c r="D1" s="1"/>
      <c r="E1" s="260" t="s">
        <v>24</v>
      </c>
      <c r="F1" s="260"/>
      <c r="G1" s="260"/>
      <c r="H1" s="260"/>
      <c r="I1" s="140"/>
      <c r="J1" s="262">
        <v>8</v>
      </c>
      <c r="K1" s="262"/>
    </row>
    <row r="2" spans="1:12" ht="28.5">
      <c r="A2" s="263">
        <v>46310</v>
      </c>
      <c r="B2" s="264"/>
      <c r="C2" s="264"/>
      <c r="D2" s="3"/>
      <c r="E2" s="3"/>
      <c r="F2" s="265"/>
      <c r="G2" s="265"/>
      <c r="H2" s="265"/>
      <c r="I2" s="141"/>
      <c r="J2" s="265"/>
      <c r="K2" s="265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50" t="s">
        <v>25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2"/>
    </row>
    <row r="5" spans="1:12" s="8" customFormat="1" ht="18" customHeight="1">
      <c r="A5" s="66">
        <v>1</v>
      </c>
      <c r="B5" s="20">
        <v>2</v>
      </c>
      <c r="C5" s="20">
        <v>3</v>
      </c>
      <c r="D5" s="20">
        <v>4</v>
      </c>
      <c r="E5" s="20">
        <v>5</v>
      </c>
      <c r="F5" s="20">
        <v>6</v>
      </c>
      <c r="G5" s="20">
        <v>7</v>
      </c>
      <c r="H5" s="20">
        <v>8</v>
      </c>
      <c r="I5" s="20">
        <v>9</v>
      </c>
      <c r="J5" s="20">
        <v>10</v>
      </c>
      <c r="K5" s="20">
        <v>10</v>
      </c>
      <c r="L5" s="67">
        <v>11</v>
      </c>
    </row>
    <row r="6" spans="1:12" ht="82.9" customHeight="1">
      <c r="A6" s="253" t="s">
        <v>1</v>
      </c>
      <c r="B6" s="254" t="s">
        <v>2</v>
      </c>
      <c r="C6" s="254" t="s">
        <v>3</v>
      </c>
      <c r="D6" s="254" t="s">
        <v>4</v>
      </c>
      <c r="E6" s="138" t="s">
        <v>5</v>
      </c>
      <c r="F6" s="254" t="s">
        <v>6</v>
      </c>
      <c r="G6" s="255" t="s">
        <v>7</v>
      </c>
      <c r="H6" s="256" t="s">
        <v>8</v>
      </c>
      <c r="I6" s="254" t="s">
        <v>9</v>
      </c>
      <c r="J6" s="257" t="s">
        <v>30</v>
      </c>
      <c r="K6" s="258" t="s">
        <v>10</v>
      </c>
      <c r="L6" s="259"/>
    </row>
    <row r="7" spans="1:12" s="8" customFormat="1" ht="63.6" customHeight="1">
      <c r="A7" s="253"/>
      <c r="B7" s="254"/>
      <c r="C7" s="254"/>
      <c r="D7" s="254"/>
      <c r="E7" s="138" t="s">
        <v>11</v>
      </c>
      <c r="F7" s="254"/>
      <c r="G7" s="255"/>
      <c r="H7" s="256"/>
      <c r="I7" s="254"/>
      <c r="J7" s="225"/>
      <c r="K7" s="138" t="s">
        <v>7</v>
      </c>
      <c r="L7" s="68" t="s">
        <v>8</v>
      </c>
    </row>
    <row r="8" spans="1:12" s="8" customFormat="1">
      <c r="A8" s="83">
        <v>1</v>
      </c>
      <c r="B8" s="84" t="s">
        <v>42</v>
      </c>
      <c r="C8" s="84" t="s">
        <v>43</v>
      </c>
      <c r="D8" s="114" t="s">
        <v>65</v>
      </c>
      <c r="E8" s="63" t="s">
        <v>47</v>
      </c>
      <c r="F8" s="42">
        <v>0.2986111111111111</v>
      </c>
      <c r="G8" s="23">
        <v>15</v>
      </c>
      <c r="H8" s="27">
        <v>813.04700000000003</v>
      </c>
      <c r="I8" s="24">
        <v>0.60416666666666663</v>
      </c>
      <c r="J8" s="22">
        <f>I8-F8</f>
        <v>0.30555555555555552</v>
      </c>
      <c r="K8" s="27"/>
      <c r="L8" s="74"/>
    </row>
    <row r="9" spans="1:12">
      <c r="A9" s="83">
        <v>2</v>
      </c>
      <c r="B9" s="84" t="s">
        <v>42</v>
      </c>
      <c r="C9" s="84" t="s">
        <v>44</v>
      </c>
      <c r="D9" s="114" t="s">
        <v>64</v>
      </c>
      <c r="E9" s="85" t="s">
        <v>48</v>
      </c>
      <c r="F9" s="42">
        <v>0.27430555555555552</v>
      </c>
      <c r="G9" s="23">
        <v>20</v>
      </c>
      <c r="H9" s="27">
        <v>622.471</v>
      </c>
      <c r="I9" s="24">
        <v>0.57638888888888895</v>
      </c>
      <c r="J9" s="22">
        <f t="shared" ref="J9:J12" si="0">I9-F9</f>
        <v>0.30208333333333343</v>
      </c>
      <c r="K9" s="27"/>
      <c r="L9" s="74"/>
    </row>
    <row r="10" spans="1:12">
      <c r="A10" s="21">
        <v>3</v>
      </c>
      <c r="B10" s="63" t="s">
        <v>42</v>
      </c>
      <c r="C10" s="62" t="s">
        <v>45</v>
      </c>
      <c r="D10" s="114" t="s">
        <v>68</v>
      </c>
      <c r="E10" s="86" t="s">
        <v>47</v>
      </c>
      <c r="F10" s="42">
        <v>0.3125</v>
      </c>
      <c r="G10" s="23">
        <v>13</v>
      </c>
      <c r="H10" s="27">
        <v>876.02200000000005</v>
      </c>
      <c r="I10" s="24">
        <v>0.54166666666666663</v>
      </c>
      <c r="J10" s="22">
        <f t="shared" si="0"/>
        <v>0.22916666666666663</v>
      </c>
      <c r="K10" s="27"/>
      <c r="L10" s="74"/>
    </row>
    <row r="11" spans="1:12">
      <c r="A11" s="83">
        <v>4</v>
      </c>
      <c r="B11" s="63" t="s">
        <v>42</v>
      </c>
      <c r="C11" s="62" t="s">
        <v>46</v>
      </c>
      <c r="D11" s="114" t="s">
        <v>61</v>
      </c>
      <c r="E11" s="63" t="s">
        <v>48</v>
      </c>
      <c r="F11" s="42">
        <v>0.29166666666666669</v>
      </c>
      <c r="G11" s="23">
        <v>18</v>
      </c>
      <c r="H11" s="27">
        <v>1676.0250000000001</v>
      </c>
      <c r="I11" s="24">
        <v>0.58333333333333337</v>
      </c>
      <c r="J11" s="22">
        <f t="shared" si="0"/>
        <v>0.29166666666666669</v>
      </c>
      <c r="K11" s="27"/>
      <c r="L11" s="74"/>
    </row>
    <row r="12" spans="1:12">
      <c r="A12" s="69">
        <v>5</v>
      </c>
      <c r="B12" s="93" t="s">
        <v>51</v>
      </c>
      <c r="C12" s="84" t="s">
        <v>57</v>
      </c>
      <c r="D12" s="118" t="s">
        <v>60</v>
      </c>
      <c r="E12" s="85" t="s">
        <v>48</v>
      </c>
      <c r="F12" s="24">
        <v>0.30208333333333331</v>
      </c>
      <c r="G12" s="23">
        <v>4</v>
      </c>
      <c r="H12" s="27">
        <v>1851.3720000000001</v>
      </c>
      <c r="I12" s="24">
        <v>0.56944444444444442</v>
      </c>
      <c r="J12" s="22">
        <f t="shared" si="0"/>
        <v>0.2673611111111111</v>
      </c>
      <c r="K12" s="27"/>
      <c r="L12" s="74"/>
    </row>
    <row r="13" spans="1:12">
      <c r="A13" s="69">
        <v>6</v>
      </c>
      <c r="B13" s="70"/>
      <c r="C13" s="71"/>
      <c r="D13" s="72"/>
      <c r="E13" s="73"/>
      <c r="F13" s="24"/>
      <c r="G13" s="23"/>
      <c r="H13" s="27"/>
      <c r="I13" s="24"/>
      <c r="J13" s="22"/>
      <c r="K13" s="27"/>
      <c r="L13" s="74"/>
    </row>
    <row r="14" spans="1:12">
      <c r="A14" s="69">
        <v>7</v>
      </c>
      <c r="B14" s="70"/>
      <c r="C14" s="71"/>
      <c r="D14" s="72"/>
      <c r="E14" s="73"/>
      <c r="F14" s="24"/>
      <c r="G14" s="23"/>
      <c r="H14" s="27"/>
      <c r="I14" s="24"/>
      <c r="J14" s="22"/>
      <c r="K14" s="27"/>
      <c r="L14" s="74"/>
    </row>
    <row r="15" spans="1:12">
      <c r="A15" s="69">
        <v>8</v>
      </c>
      <c r="B15" s="70"/>
      <c r="C15" s="71"/>
      <c r="D15" s="72"/>
      <c r="E15" s="73"/>
      <c r="F15" s="24"/>
      <c r="G15" s="23"/>
      <c r="H15" s="27"/>
      <c r="I15" s="24"/>
      <c r="J15" s="22"/>
      <c r="K15" s="27"/>
      <c r="L15" s="74"/>
    </row>
    <row r="16" spans="1:12">
      <c r="A16" s="69">
        <v>9</v>
      </c>
      <c r="B16" s="70"/>
      <c r="C16" s="71"/>
      <c r="D16" s="72"/>
      <c r="E16" s="73"/>
      <c r="F16" s="24"/>
      <c r="G16" s="23"/>
      <c r="H16" s="27"/>
      <c r="I16" s="24"/>
      <c r="J16" s="22"/>
      <c r="K16" s="27"/>
      <c r="L16" s="74"/>
    </row>
    <row r="17" spans="1:14">
      <c r="A17" s="69">
        <v>10</v>
      </c>
      <c r="B17" s="70"/>
      <c r="C17" s="71"/>
      <c r="D17" s="72"/>
      <c r="E17" s="73"/>
      <c r="F17" s="24"/>
      <c r="G17" s="23"/>
      <c r="H17" s="27"/>
      <c r="I17" s="24"/>
      <c r="J17" s="22"/>
      <c r="K17" s="27"/>
      <c r="L17" s="74"/>
    </row>
    <row r="18" spans="1:14">
      <c r="A18" s="69">
        <v>11</v>
      </c>
      <c r="B18" s="70"/>
      <c r="C18" s="71"/>
      <c r="D18" s="72"/>
      <c r="E18" s="73"/>
      <c r="F18" s="24"/>
      <c r="G18" s="23"/>
      <c r="H18" s="27"/>
      <c r="I18" s="24"/>
      <c r="J18" s="22"/>
      <c r="K18" s="27"/>
      <c r="L18" s="74"/>
    </row>
    <row r="19" spans="1:14">
      <c r="A19" s="69">
        <v>12</v>
      </c>
      <c r="B19" s="70"/>
      <c r="C19" s="71"/>
      <c r="D19" s="72"/>
      <c r="E19" s="73"/>
      <c r="F19" s="24"/>
      <c r="G19" s="23"/>
      <c r="H19" s="27"/>
      <c r="I19" s="24"/>
      <c r="J19" s="22"/>
      <c r="K19" s="75"/>
      <c r="L19" s="74"/>
    </row>
    <row r="20" spans="1:14">
      <c r="A20" s="69">
        <v>13</v>
      </c>
      <c r="B20" s="70"/>
      <c r="C20" s="71"/>
      <c r="D20" s="72"/>
      <c r="E20" s="73"/>
      <c r="F20" s="24"/>
      <c r="G20" s="23"/>
      <c r="H20" s="27"/>
      <c r="I20" s="24"/>
      <c r="J20" s="22"/>
      <c r="K20" s="75"/>
      <c r="L20" s="76"/>
    </row>
    <row r="21" spans="1:14" ht="15.75" thickBot="1">
      <c r="A21" s="270" t="s">
        <v>15</v>
      </c>
      <c r="B21" s="271"/>
      <c r="C21" s="271"/>
      <c r="D21" s="271"/>
      <c r="E21" s="271"/>
      <c r="F21" s="272"/>
      <c r="G21" s="77">
        <f>SUM(G8:G20)</f>
        <v>70</v>
      </c>
      <c r="H21" s="77">
        <f>SUM(H8:H20)</f>
        <v>5838.9369999999999</v>
      </c>
      <c r="I21" s="78"/>
      <c r="J21" s="78"/>
      <c r="K21" s="77">
        <f>SUM(K8:K20)</f>
        <v>0</v>
      </c>
      <c r="L21" s="79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8"/>
    </row>
    <row r="24" spans="1:14" ht="18.75">
      <c r="A24" s="277" t="s">
        <v>26</v>
      </c>
      <c r="B24" s="278"/>
      <c r="C24" s="278"/>
      <c r="D24" s="278"/>
      <c r="E24" s="278"/>
      <c r="F24" s="278"/>
      <c r="G24" s="278"/>
      <c r="H24" s="278"/>
      <c r="I24" s="279"/>
      <c r="J24" s="8"/>
      <c r="K24" s="8"/>
      <c r="L24" s="8"/>
      <c r="N24" s="48"/>
    </row>
    <row r="25" spans="1:14">
      <c r="A25" s="32">
        <v>1</v>
      </c>
      <c r="B25" s="82">
        <v>2</v>
      </c>
      <c r="C25" s="82">
        <v>3</v>
      </c>
      <c r="D25" s="82">
        <v>4</v>
      </c>
      <c r="E25" s="82">
        <v>5</v>
      </c>
      <c r="F25" s="82">
        <v>6</v>
      </c>
      <c r="G25" s="82">
        <v>7</v>
      </c>
      <c r="H25" s="82">
        <v>8</v>
      </c>
      <c r="I25" s="33">
        <v>9</v>
      </c>
      <c r="J25" s="8"/>
      <c r="K25" s="8"/>
      <c r="N25" s="48"/>
    </row>
    <row r="26" spans="1:14" ht="30">
      <c r="A26" s="60" t="s">
        <v>1</v>
      </c>
      <c r="B26" s="138" t="s">
        <v>2</v>
      </c>
      <c r="C26" s="138" t="s">
        <v>3</v>
      </c>
      <c r="D26" s="138" t="s">
        <v>27</v>
      </c>
      <c r="E26" s="138" t="s">
        <v>6</v>
      </c>
      <c r="F26" s="138" t="s">
        <v>28</v>
      </c>
      <c r="G26" s="138" t="s">
        <v>8</v>
      </c>
      <c r="H26" s="138" t="s">
        <v>31</v>
      </c>
      <c r="I26" s="34" t="s">
        <v>30</v>
      </c>
      <c r="J26" s="8"/>
      <c r="K26" s="8"/>
      <c r="L26" s="8"/>
      <c r="N26" s="48"/>
    </row>
    <row r="27" spans="1:14">
      <c r="A27" s="64">
        <v>14</v>
      </c>
      <c r="B27" s="63"/>
      <c r="C27" s="62"/>
      <c r="D27" s="44"/>
      <c r="E27" s="42"/>
      <c r="F27" s="23"/>
      <c r="G27" s="27"/>
      <c r="H27" s="38"/>
      <c r="I27" s="39"/>
      <c r="J27" s="8"/>
      <c r="K27" s="8"/>
      <c r="L27" s="8"/>
    </row>
    <row r="28" spans="1:14">
      <c r="A28" s="62">
        <v>15</v>
      </c>
      <c r="B28" s="63"/>
      <c r="C28" s="62"/>
      <c r="D28" s="44"/>
      <c r="E28" s="42"/>
      <c r="F28" s="23"/>
      <c r="G28" s="27"/>
      <c r="H28" s="38"/>
      <c r="I28" s="39"/>
      <c r="J28" s="8"/>
      <c r="K28" s="8"/>
      <c r="L28" s="8"/>
    </row>
    <row r="29" spans="1:14">
      <c r="A29" s="62">
        <v>16</v>
      </c>
      <c r="B29" s="62"/>
      <c r="C29" s="62"/>
      <c r="D29" s="44"/>
      <c r="E29" s="42"/>
      <c r="F29" s="23"/>
      <c r="G29" s="27"/>
      <c r="H29" s="38"/>
      <c r="I29" s="39"/>
      <c r="J29" s="8"/>
      <c r="K29" s="8"/>
      <c r="L29" s="8"/>
    </row>
    <row r="30" spans="1:14">
      <c r="A30" s="65"/>
      <c r="B30" s="65"/>
      <c r="C30" s="65"/>
      <c r="D30" s="44"/>
      <c r="E30" s="42"/>
      <c r="F30" s="23"/>
      <c r="G30" s="27"/>
      <c r="H30" s="38"/>
      <c r="I30" s="39"/>
      <c r="J30" s="8"/>
      <c r="K30" s="8"/>
      <c r="L30" s="8"/>
    </row>
    <row r="31" spans="1:14" ht="15.75" thickBot="1">
      <c r="A31" s="270" t="s">
        <v>15</v>
      </c>
      <c r="B31" s="271"/>
      <c r="C31" s="272"/>
      <c r="D31" s="10"/>
      <c r="E31" s="35"/>
      <c r="F31" s="35">
        <f>SUM(F30:F30)</f>
        <v>0</v>
      </c>
      <c r="G31" s="35">
        <f>SUM(G30:G30)</f>
        <v>0</v>
      </c>
      <c r="H31" s="36"/>
      <c r="I31" s="37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77" t="s">
        <v>12</v>
      </c>
      <c r="B33" s="278"/>
      <c r="C33" s="278"/>
      <c r="D33" s="278"/>
      <c r="E33" s="278"/>
      <c r="F33" s="278"/>
      <c r="G33" s="278"/>
      <c r="H33" s="278"/>
      <c r="I33" s="278"/>
      <c r="J33" s="278"/>
      <c r="K33" s="278"/>
      <c r="L33" s="279"/>
    </row>
    <row r="34" spans="1:13" ht="15.75" thickBot="1">
      <c r="A34" s="103">
        <v>1</v>
      </c>
      <c r="B34" s="104">
        <v>2</v>
      </c>
      <c r="C34" s="104">
        <v>3</v>
      </c>
      <c r="D34" s="104">
        <v>4</v>
      </c>
      <c r="E34" s="104">
        <v>5</v>
      </c>
      <c r="F34" s="104">
        <v>6</v>
      </c>
      <c r="G34" s="104">
        <v>7</v>
      </c>
      <c r="H34" s="104">
        <v>8</v>
      </c>
      <c r="I34" s="104">
        <v>9</v>
      </c>
      <c r="J34" s="104">
        <v>10</v>
      </c>
      <c r="K34" s="104">
        <v>11</v>
      </c>
      <c r="L34" s="268">
        <v>12</v>
      </c>
      <c r="M34" s="269"/>
    </row>
    <row r="35" spans="1:13" ht="75">
      <c r="A35" s="244" t="s">
        <v>1</v>
      </c>
      <c r="B35" s="224" t="s">
        <v>2</v>
      </c>
      <c r="C35" s="224" t="s">
        <v>3</v>
      </c>
      <c r="D35" s="224" t="s">
        <v>4</v>
      </c>
      <c r="E35" s="106" t="s">
        <v>5</v>
      </c>
      <c r="F35" s="224" t="s">
        <v>14</v>
      </c>
      <c r="G35" s="224" t="s">
        <v>13</v>
      </c>
      <c r="H35" s="224" t="s">
        <v>37</v>
      </c>
      <c r="I35" s="224" t="s">
        <v>39</v>
      </c>
      <c r="J35" s="224" t="s">
        <v>38</v>
      </c>
      <c r="K35" s="224" t="s">
        <v>40</v>
      </c>
      <c r="L35" s="202" t="s">
        <v>36</v>
      </c>
      <c r="M35" s="203"/>
    </row>
    <row r="36" spans="1:13" ht="75">
      <c r="A36" s="245"/>
      <c r="B36" s="225"/>
      <c r="C36" s="225"/>
      <c r="D36" s="225"/>
      <c r="E36" s="139" t="s">
        <v>11</v>
      </c>
      <c r="F36" s="225"/>
      <c r="G36" s="225"/>
      <c r="H36" s="225"/>
      <c r="I36" s="225"/>
      <c r="J36" s="225"/>
      <c r="K36" s="225"/>
      <c r="L36" s="204"/>
      <c r="M36" s="205"/>
    </row>
    <row r="37" spans="1:13" s="30" customFormat="1" ht="46.5" customHeight="1">
      <c r="A37" s="45">
        <v>17</v>
      </c>
      <c r="B37" s="63" t="s">
        <v>42</v>
      </c>
      <c r="C37" s="62" t="s">
        <v>49</v>
      </c>
      <c r="D37" s="115" t="s">
        <v>62</v>
      </c>
      <c r="E37" s="63" t="s">
        <v>47</v>
      </c>
      <c r="F37" s="116">
        <v>46248</v>
      </c>
      <c r="G37" s="94">
        <v>240000</v>
      </c>
      <c r="H37" s="87" t="s">
        <v>59</v>
      </c>
      <c r="I37" s="88">
        <v>46248</v>
      </c>
      <c r="J37" s="143" t="s">
        <v>106</v>
      </c>
      <c r="K37" s="89"/>
      <c r="L37" s="275" t="s">
        <v>50</v>
      </c>
      <c r="M37" s="276"/>
    </row>
    <row r="38" spans="1:13" s="58" customFormat="1" ht="60">
      <c r="A38" s="45">
        <v>18</v>
      </c>
      <c r="B38" s="84" t="s">
        <v>55</v>
      </c>
      <c r="C38" s="84" t="s">
        <v>56</v>
      </c>
      <c r="D38" s="84" t="s">
        <v>61</v>
      </c>
      <c r="E38" s="92" t="s">
        <v>47</v>
      </c>
      <c r="F38" s="96" t="s">
        <v>66</v>
      </c>
      <c r="G38" s="94">
        <v>680000</v>
      </c>
      <c r="H38" s="97"/>
      <c r="I38" s="91"/>
      <c r="J38" s="91"/>
      <c r="K38" s="98"/>
      <c r="L38" s="248" t="s">
        <v>58</v>
      </c>
      <c r="M38" s="249"/>
    </row>
    <row r="39" spans="1:13" ht="16.5" customHeight="1">
      <c r="A39" s="153">
        <v>19</v>
      </c>
      <c r="B39" s="17"/>
      <c r="C39" s="17"/>
      <c r="D39" s="17"/>
      <c r="E39" s="17"/>
      <c r="F39" s="99"/>
      <c r="G39" s="100"/>
      <c r="H39" s="17"/>
      <c r="I39" s="17"/>
      <c r="J39" s="82"/>
      <c r="K39" s="82"/>
      <c r="L39" s="282"/>
      <c r="M39" s="283"/>
    </row>
    <row r="40" spans="1:13">
      <c r="A40" s="45">
        <v>20</v>
      </c>
      <c r="B40" s="17"/>
      <c r="C40" s="17"/>
      <c r="D40" s="17"/>
      <c r="E40" s="17"/>
      <c r="F40" s="99"/>
      <c r="G40" s="100"/>
      <c r="H40" s="17"/>
      <c r="I40" s="17"/>
      <c r="J40" s="82"/>
      <c r="K40" s="82"/>
      <c r="L40" s="246"/>
      <c r="M40" s="247"/>
    </row>
    <row r="41" spans="1:13">
      <c r="A41" s="45">
        <v>21</v>
      </c>
      <c r="B41" s="46"/>
      <c r="C41" s="47"/>
      <c r="D41" s="47"/>
      <c r="E41" s="87"/>
      <c r="F41" s="101"/>
      <c r="G41" s="95"/>
      <c r="H41" s="102"/>
      <c r="I41" s="101"/>
      <c r="J41" s="101"/>
      <c r="K41" s="102"/>
      <c r="L41" s="200"/>
      <c r="M41" s="201"/>
    </row>
    <row r="42" spans="1:13">
      <c r="A42" s="45">
        <v>22</v>
      </c>
      <c r="B42" s="46"/>
      <c r="C42" s="47"/>
      <c r="D42" s="80"/>
      <c r="E42" s="40"/>
      <c r="F42" s="49"/>
      <c r="G42" s="95"/>
      <c r="H42" s="54"/>
      <c r="I42" s="49"/>
      <c r="J42" s="49"/>
      <c r="K42" s="54"/>
      <c r="L42" s="198"/>
      <c r="M42" s="199"/>
    </row>
    <row r="43" spans="1:13" ht="15.75" thickBot="1">
      <c r="A43" s="45">
        <v>23</v>
      </c>
      <c r="B43" s="108"/>
      <c r="C43" s="109"/>
      <c r="D43" s="109"/>
      <c r="E43" s="110"/>
      <c r="F43" s="111"/>
      <c r="G43" s="112"/>
      <c r="H43" s="113"/>
      <c r="I43" s="111"/>
      <c r="J43" s="111"/>
      <c r="K43" s="113"/>
      <c r="L43" s="196"/>
      <c r="M43" s="197"/>
    </row>
    <row r="44" spans="1:13" ht="15.75" thickBot="1">
      <c r="A44" s="238" t="s">
        <v>15</v>
      </c>
      <c r="B44" s="239"/>
      <c r="C44" s="239"/>
      <c r="D44" s="239"/>
      <c r="E44" s="240"/>
      <c r="F44" s="105"/>
      <c r="G44" s="241">
        <f>SUM(G37:G43)</f>
        <v>920000</v>
      </c>
      <c r="H44" s="242"/>
      <c r="I44" s="242"/>
      <c r="J44" s="242"/>
      <c r="K44" s="242"/>
      <c r="L44" s="243"/>
    </row>
    <row r="45" spans="1:13" ht="15.75" thickBot="1">
      <c r="A45" s="50"/>
      <c r="B45" s="50"/>
      <c r="C45" s="50"/>
      <c r="D45" s="50"/>
      <c r="E45" s="51"/>
      <c r="F45" s="51"/>
      <c r="G45" s="52"/>
      <c r="H45" s="52"/>
      <c r="J45" s="9"/>
      <c r="K45" s="53"/>
    </row>
    <row r="46" spans="1:13" ht="18.75">
      <c r="A46" s="235" t="s">
        <v>16</v>
      </c>
      <c r="B46" s="236"/>
      <c r="C46" s="236"/>
      <c r="D46" s="236"/>
      <c r="E46" s="236"/>
      <c r="F46" s="236"/>
      <c r="G46" s="236"/>
      <c r="H46" s="236"/>
      <c r="I46" s="236"/>
      <c r="J46" s="237"/>
      <c r="K46" s="2"/>
    </row>
    <row r="47" spans="1:13" ht="30">
      <c r="A47" s="55"/>
      <c r="B47" s="18"/>
      <c r="C47" s="142"/>
      <c r="D47" s="142" t="s">
        <v>17</v>
      </c>
      <c r="E47" s="223" t="s">
        <v>18</v>
      </c>
      <c r="F47" s="223"/>
      <c r="G47" s="223" t="s">
        <v>19</v>
      </c>
      <c r="H47" s="223"/>
      <c r="I47" s="223" t="s">
        <v>29</v>
      </c>
      <c r="J47" s="232"/>
      <c r="K47" s="2"/>
    </row>
    <row r="48" spans="1:13">
      <c r="A48" s="55"/>
      <c r="B48" s="25" t="s">
        <v>20</v>
      </c>
      <c r="C48" s="219">
        <v>2933.0590000000002</v>
      </c>
      <c r="D48" s="220"/>
      <c r="E48" s="230">
        <v>3073.4140000000002</v>
      </c>
      <c r="F48" s="231"/>
      <c r="G48" s="230">
        <v>3073.4140000000002</v>
      </c>
      <c r="H48" s="231"/>
      <c r="I48" s="233"/>
      <c r="J48" s="234"/>
      <c r="K48" s="2"/>
    </row>
    <row r="49" spans="1:14">
      <c r="A49" s="56"/>
      <c r="B49" s="25" t="s">
        <v>21</v>
      </c>
      <c r="C49" s="219">
        <v>706.35</v>
      </c>
      <c r="D49" s="220"/>
      <c r="E49" s="226">
        <v>675.154</v>
      </c>
      <c r="F49" s="227"/>
      <c r="G49" s="226">
        <v>675.154</v>
      </c>
      <c r="H49" s="227"/>
      <c r="I49" s="212"/>
      <c r="J49" s="213"/>
      <c r="K49" s="2"/>
    </row>
    <row r="50" spans="1:14" ht="15.75" thickBot="1">
      <c r="A50" s="56"/>
      <c r="B50" s="25" t="s">
        <v>22</v>
      </c>
      <c r="C50" s="228">
        <v>2128.4</v>
      </c>
      <c r="D50" s="229"/>
      <c r="E50" s="221">
        <v>2090.37</v>
      </c>
      <c r="F50" s="222"/>
      <c r="G50" s="221">
        <v>2090.37</v>
      </c>
      <c r="H50" s="222"/>
      <c r="I50" s="212"/>
      <c r="J50" s="213"/>
      <c r="K50" s="2"/>
    </row>
    <row r="51" spans="1:14" ht="15.75" thickBot="1">
      <c r="A51" s="11"/>
      <c r="B51" s="12" t="s">
        <v>23</v>
      </c>
      <c r="C51" s="214">
        <f>SUM(C48:D50)</f>
        <v>5767.8090000000002</v>
      </c>
      <c r="D51" s="215"/>
      <c r="E51" s="216">
        <f>SUM(E48:E50)</f>
        <v>5838.9380000000001</v>
      </c>
      <c r="F51" s="217"/>
      <c r="G51" s="216">
        <f>G48+G49+G50</f>
        <v>5838.9380000000001</v>
      </c>
      <c r="H51" s="217"/>
      <c r="I51" s="216">
        <f>SUM(I48:I50)</f>
        <v>0</v>
      </c>
      <c r="J51" s="218"/>
      <c r="K51" s="2"/>
    </row>
    <row r="53" spans="1:14" ht="15.75" thickBot="1">
      <c r="E53" s="26"/>
    </row>
    <row r="54" spans="1:14" ht="19.5" thickBot="1">
      <c r="A54" s="206" t="s">
        <v>32</v>
      </c>
      <c r="B54" s="207"/>
      <c r="C54" s="207"/>
      <c r="D54" s="207"/>
      <c r="E54" s="207"/>
      <c r="F54" s="207"/>
      <c r="G54" s="207"/>
      <c r="H54" s="207"/>
      <c r="I54" s="207"/>
      <c r="J54" s="208"/>
      <c r="K54" s="30"/>
      <c r="L54" s="30"/>
    </row>
    <row r="55" spans="1:14">
      <c r="A55" s="31" t="s">
        <v>33</v>
      </c>
      <c r="B55" s="209" t="s">
        <v>34</v>
      </c>
      <c r="C55" s="210"/>
      <c r="D55" s="210"/>
      <c r="E55" s="210"/>
      <c r="F55" s="210"/>
      <c r="G55" s="210"/>
      <c r="H55" s="210"/>
      <c r="I55" s="211"/>
      <c r="J55" s="57" t="s">
        <v>35</v>
      </c>
      <c r="K55" s="58"/>
      <c r="L55" s="58"/>
    </row>
    <row r="56" spans="1:14">
      <c r="A56" s="41">
        <v>1</v>
      </c>
      <c r="B56" s="193" t="s">
        <v>81</v>
      </c>
      <c r="C56" s="194"/>
      <c r="D56" s="194"/>
      <c r="E56" s="194"/>
      <c r="F56" s="194"/>
      <c r="G56" s="194"/>
      <c r="H56" s="194"/>
      <c r="I56" s="195"/>
      <c r="J56" s="43">
        <v>10</v>
      </c>
    </row>
    <row r="57" spans="1:14">
      <c r="A57" s="41">
        <v>2</v>
      </c>
      <c r="B57" s="193" t="s">
        <v>96</v>
      </c>
      <c r="C57" s="194"/>
      <c r="D57" s="194"/>
      <c r="E57" s="194"/>
      <c r="F57" s="194"/>
      <c r="G57" s="194"/>
      <c r="H57" s="194"/>
      <c r="I57" s="195"/>
      <c r="J57" s="43">
        <v>9</v>
      </c>
    </row>
    <row r="58" spans="1:14">
      <c r="A58" s="41">
        <v>3</v>
      </c>
      <c r="B58" s="193" t="s">
        <v>98</v>
      </c>
      <c r="C58" s="194"/>
      <c r="D58" s="194"/>
      <c r="E58" s="194"/>
      <c r="F58" s="194"/>
      <c r="G58" s="194"/>
      <c r="H58" s="194"/>
      <c r="I58" s="195"/>
      <c r="J58" s="43">
        <v>5</v>
      </c>
    </row>
    <row r="59" spans="1:14">
      <c r="A59" s="41">
        <v>4</v>
      </c>
      <c r="B59" s="193" t="s">
        <v>109</v>
      </c>
      <c r="C59" s="194"/>
      <c r="D59" s="194"/>
      <c r="E59" s="194"/>
      <c r="F59" s="194"/>
      <c r="G59" s="194"/>
      <c r="H59" s="194"/>
      <c r="I59" s="195"/>
      <c r="J59" s="43">
        <v>6</v>
      </c>
    </row>
    <row r="60" spans="1:14">
      <c r="A60" s="41">
        <v>5</v>
      </c>
      <c r="B60" s="193" t="s">
        <v>110</v>
      </c>
      <c r="C60" s="194"/>
      <c r="D60" s="194"/>
      <c r="E60" s="194"/>
      <c r="F60" s="194"/>
      <c r="G60" s="194"/>
      <c r="H60" s="194"/>
      <c r="I60" s="195"/>
      <c r="J60" s="127">
        <v>23</v>
      </c>
    </row>
    <row r="61" spans="1:14">
      <c r="A61" s="41">
        <v>6</v>
      </c>
      <c r="B61" s="193" t="s">
        <v>111</v>
      </c>
      <c r="C61" s="194"/>
      <c r="D61" s="194"/>
      <c r="E61" s="194"/>
      <c r="F61" s="194"/>
      <c r="G61" s="194"/>
      <c r="H61" s="194"/>
      <c r="I61" s="195"/>
      <c r="J61" s="127">
        <v>304</v>
      </c>
    </row>
    <row r="62" spans="1:14">
      <c r="A62" s="41">
        <v>7</v>
      </c>
      <c r="B62" s="193" t="s">
        <v>112</v>
      </c>
      <c r="C62" s="194"/>
      <c r="D62" s="194"/>
      <c r="E62" s="194"/>
      <c r="F62" s="194"/>
      <c r="G62" s="194"/>
      <c r="H62" s="194"/>
      <c r="I62" s="195"/>
      <c r="J62" s="127">
        <v>140</v>
      </c>
    </row>
    <row r="63" spans="1:14" hidden="1">
      <c r="A63" s="41">
        <v>8</v>
      </c>
      <c r="B63" s="193" t="s">
        <v>113</v>
      </c>
      <c r="C63" s="194"/>
      <c r="D63" s="194"/>
      <c r="E63" s="194"/>
      <c r="F63" s="194"/>
      <c r="G63" s="194"/>
      <c r="H63" s="194"/>
      <c r="I63" s="195"/>
      <c r="J63" s="127">
        <v>4</v>
      </c>
    </row>
    <row r="64" spans="1:14" s="4" customFormat="1" hidden="1">
      <c r="A64" s="41">
        <v>9</v>
      </c>
      <c r="B64" s="193" t="s">
        <v>114</v>
      </c>
      <c r="C64" s="194"/>
      <c r="D64" s="194"/>
      <c r="E64" s="194"/>
      <c r="F64" s="194"/>
      <c r="G64" s="194"/>
      <c r="H64" s="194"/>
      <c r="I64" s="195"/>
      <c r="J64" s="128">
        <v>3</v>
      </c>
      <c r="L64" s="2"/>
      <c r="M64" s="2"/>
      <c r="N64" s="2"/>
    </row>
    <row r="65" spans="1:14" s="4" customFormat="1" hidden="1">
      <c r="A65" s="41">
        <v>10</v>
      </c>
      <c r="B65" s="193" t="s">
        <v>75</v>
      </c>
      <c r="C65" s="194"/>
      <c r="D65" s="194"/>
      <c r="E65" s="194"/>
      <c r="F65" s="194"/>
      <c r="G65" s="194"/>
      <c r="H65" s="194"/>
      <c r="I65" s="195"/>
      <c r="J65" s="128">
        <v>38</v>
      </c>
      <c r="L65" s="2"/>
      <c r="M65" s="2"/>
      <c r="N65" s="2"/>
    </row>
    <row r="66" spans="1:14" s="4" customFormat="1" hidden="1">
      <c r="A66" s="41">
        <v>11</v>
      </c>
      <c r="B66" s="193" t="s">
        <v>89</v>
      </c>
      <c r="C66" s="194"/>
      <c r="D66" s="194"/>
      <c r="E66" s="194"/>
      <c r="F66" s="194"/>
      <c r="G66" s="194"/>
      <c r="H66" s="194"/>
      <c r="I66" s="195"/>
      <c r="J66" s="128">
        <v>15</v>
      </c>
      <c r="L66" s="2"/>
      <c r="M66" s="2"/>
      <c r="N66" s="2"/>
    </row>
    <row r="67" spans="1:14" s="4" customFormat="1" hidden="1">
      <c r="A67" s="41">
        <v>12</v>
      </c>
      <c r="B67" s="193" t="s">
        <v>115</v>
      </c>
      <c r="C67" s="194"/>
      <c r="D67" s="194"/>
      <c r="E67" s="194"/>
      <c r="F67" s="194"/>
      <c r="G67" s="194"/>
      <c r="H67" s="194"/>
      <c r="I67" s="195"/>
      <c r="J67" s="127">
        <v>4.5</v>
      </c>
      <c r="L67" s="2"/>
      <c r="M67" s="2"/>
      <c r="N67" s="2"/>
    </row>
    <row r="68" spans="1:14" s="4" customFormat="1" hidden="1">
      <c r="A68" s="131">
        <v>13</v>
      </c>
      <c r="B68" s="189" t="s">
        <v>116</v>
      </c>
      <c r="C68" s="189"/>
      <c r="D68" s="189"/>
      <c r="E68" s="189"/>
      <c r="F68" s="189"/>
      <c r="G68" s="189"/>
      <c r="H68" s="189"/>
      <c r="I68" s="189"/>
      <c r="J68" s="132">
        <v>6</v>
      </c>
      <c r="L68" s="2"/>
      <c r="M68" s="2"/>
      <c r="N68" s="2"/>
    </row>
    <row r="69" spans="1:14" s="4" customFormat="1" hidden="1">
      <c r="A69" s="131">
        <v>14</v>
      </c>
      <c r="B69" s="189" t="s">
        <v>117</v>
      </c>
      <c r="C69" s="189"/>
      <c r="D69" s="189"/>
      <c r="E69" s="189"/>
      <c r="F69" s="189"/>
      <c r="G69" s="189"/>
      <c r="H69" s="189"/>
      <c r="I69" s="189"/>
      <c r="J69" s="132">
        <v>5</v>
      </c>
      <c r="L69" s="2"/>
      <c r="M69" s="2"/>
      <c r="N69" s="2"/>
    </row>
    <row r="70" spans="1:14" s="4" customFormat="1" hidden="1">
      <c r="A70" s="131">
        <v>15</v>
      </c>
      <c r="B70" s="189"/>
      <c r="C70" s="189"/>
      <c r="D70" s="189"/>
      <c r="E70" s="189"/>
      <c r="F70" s="189"/>
      <c r="G70" s="189"/>
      <c r="H70" s="189"/>
      <c r="I70" s="189"/>
      <c r="J70" s="132"/>
      <c r="L70" s="2"/>
      <c r="M70" s="2"/>
      <c r="N70" s="2"/>
    </row>
    <row r="71" spans="1:14" s="4" customFormat="1" hidden="1">
      <c r="A71" s="131">
        <v>16</v>
      </c>
      <c r="B71" s="189"/>
      <c r="C71" s="189"/>
      <c r="D71" s="189"/>
      <c r="E71" s="189"/>
      <c r="F71" s="189"/>
      <c r="G71" s="189"/>
      <c r="H71" s="189"/>
      <c r="I71" s="189"/>
      <c r="J71" s="132"/>
      <c r="L71" s="2"/>
      <c r="M71" s="2"/>
      <c r="N71" s="2"/>
    </row>
    <row r="72" spans="1:14" s="4" customFormat="1" hidden="1">
      <c r="A72" s="131">
        <v>17</v>
      </c>
      <c r="B72" s="189"/>
      <c r="C72" s="189"/>
      <c r="D72" s="189"/>
      <c r="E72" s="189"/>
      <c r="F72" s="189"/>
      <c r="G72" s="189"/>
      <c r="H72" s="189"/>
      <c r="I72" s="189"/>
      <c r="J72" s="132"/>
      <c r="L72" s="2"/>
      <c r="M72" s="2"/>
      <c r="N72" s="2"/>
    </row>
    <row r="73" spans="1:14" s="4" customFormat="1" hidden="1">
      <c r="A73" s="131">
        <v>18</v>
      </c>
      <c r="B73" s="189"/>
      <c r="C73" s="189"/>
      <c r="D73" s="189"/>
      <c r="E73" s="189"/>
      <c r="F73" s="189"/>
      <c r="G73" s="189"/>
      <c r="H73" s="189"/>
      <c r="I73" s="189"/>
      <c r="J73" s="132"/>
      <c r="L73" s="2"/>
      <c r="M73" s="2"/>
      <c r="N73" s="2"/>
    </row>
    <row r="74" spans="1:14" s="4" customFormat="1" hidden="1">
      <c r="A74" s="131">
        <v>19</v>
      </c>
      <c r="B74" s="189"/>
      <c r="C74" s="189"/>
      <c r="D74" s="189"/>
      <c r="E74" s="189"/>
      <c r="F74" s="189"/>
      <c r="G74" s="189"/>
      <c r="H74" s="189"/>
      <c r="I74" s="189"/>
      <c r="J74" s="132"/>
      <c r="L74" s="2"/>
      <c r="M74" s="2"/>
      <c r="N74" s="2"/>
    </row>
    <row r="75" spans="1:14" s="4" customFormat="1" hidden="1">
      <c r="A75" s="131">
        <v>20</v>
      </c>
      <c r="B75" s="189"/>
      <c r="C75" s="189"/>
      <c r="D75" s="189"/>
      <c r="E75" s="189"/>
      <c r="F75" s="189"/>
      <c r="G75" s="189"/>
      <c r="H75" s="189"/>
      <c r="I75" s="189"/>
      <c r="J75" s="132"/>
      <c r="L75" s="2"/>
      <c r="M75" s="2"/>
      <c r="N75" s="2"/>
    </row>
    <row r="76" spans="1:14" s="4" customFormat="1" hidden="1">
      <c r="A76" s="131">
        <v>21</v>
      </c>
      <c r="B76" s="189"/>
      <c r="C76" s="189"/>
      <c r="D76" s="189"/>
      <c r="E76" s="189"/>
      <c r="F76" s="189"/>
      <c r="G76" s="189"/>
      <c r="H76" s="189"/>
      <c r="I76" s="189"/>
      <c r="J76" s="132"/>
      <c r="L76" s="2"/>
      <c r="M76" s="2"/>
      <c r="N76" s="2"/>
    </row>
    <row r="77" spans="1:14" s="4" customFormat="1" hidden="1">
      <c r="A77" s="131">
        <v>22</v>
      </c>
      <c r="B77" s="189"/>
      <c r="C77" s="189"/>
      <c r="D77" s="189"/>
      <c r="E77" s="189"/>
      <c r="F77" s="189"/>
      <c r="G77" s="189"/>
      <c r="H77" s="189"/>
      <c r="I77" s="189"/>
      <c r="J77" s="132"/>
      <c r="L77" s="2"/>
      <c r="M77" s="2"/>
      <c r="N77" s="2"/>
    </row>
    <row r="78" spans="1:14" s="4" customFormat="1" hidden="1">
      <c r="A78" s="131">
        <v>23</v>
      </c>
      <c r="B78" s="189"/>
      <c r="C78" s="189"/>
      <c r="D78" s="189"/>
      <c r="E78" s="189"/>
      <c r="F78" s="189"/>
      <c r="G78" s="189"/>
      <c r="H78" s="189"/>
      <c r="I78" s="189"/>
      <c r="J78" s="132"/>
      <c r="L78" s="2"/>
      <c r="M78" s="2"/>
      <c r="N78" s="2"/>
    </row>
    <row r="79" spans="1:14" s="4" customFormat="1" hidden="1">
      <c r="A79" s="131">
        <v>24</v>
      </c>
      <c r="B79" s="189"/>
      <c r="C79" s="189"/>
      <c r="D79" s="189"/>
      <c r="E79" s="189"/>
      <c r="F79" s="189"/>
      <c r="G79" s="189"/>
      <c r="H79" s="189"/>
      <c r="I79" s="189"/>
      <c r="J79" s="132"/>
      <c r="L79" s="2"/>
      <c r="M79" s="2"/>
      <c r="N79" s="2"/>
    </row>
    <row r="80" spans="1:14" s="4" customFormat="1" hidden="1">
      <c r="A80" s="131">
        <v>25</v>
      </c>
      <c r="B80" s="189"/>
      <c r="C80" s="189"/>
      <c r="D80" s="189"/>
      <c r="E80" s="189"/>
      <c r="F80" s="189"/>
      <c r="G80" s="189"/>
      <c r="H80" s="189"/>
      <c r="I80" s="189"/>
      <c r="J80" s="132"/>
      <c r="L80" s="2"/>
      <c r="M80" s="2"/>
      <c r="N80" s="2"/>
    </row>
    <row r="81" spans="1:14" s="4" customFormat="1" hidden="1">
      <c r="A81" s="131">
        <v>26</v>
      </c>
      <c r="B81" s="189"/>
      <c r="C81" s="189"/>
      <c r="D81" s="189"/>
      <c r="E81" s="189"/>
      <c r="F81" s="189"/>
      <c r="G81" s="189"/>
      <c r="H81" s="189"/>
      <c r="I81" s="189"/>
      <c r="J81" s="132"/>
      <c r="L81" s="2"/>
      <c r="M81" s="2"/>
      <c r="N81" s="2"/>
    </row>
    <row r="82" spans="1:14" s="4" customFormat="1" ht="15.75" hidden="1" thickBot="1">
      <c r="A82" s="129"/>
      <c r="B82" s="190" t="s">
        <v>15</v>
      </c>
      <c r="C82" s="191"/>
      <c r="D82" s="191"/>
      <c r="E82" s="191"/>
      <c r="F82" s="191"/>
      <c r="G82" s="191"/>
      <c r="H82" s="191"/>
      <c r="I82" s="192"/>
      <c r="J82" s="130">
        <f>SUM(J56:J80)</f>
        <v>572.5</v>
      </c>
      <c r="L82" s="2"/>
      <c r="M82" s="2"/>
      <c r="N82" s="2"/>
    </row>
  </sheetData>
  <autoFilter ref="A55:J82" xr:uid="{568FBF0E-6835-4014-A1ED-24B6EA850784}">
    <filterColumn colId="1" showButton="0">
      <filters>
        <filter val="6008 САЛО СОЛЕНОЕ С ЧЕРНЫМ ПЕРЦЕМ мл/к в/у ОСТАНКИНО"/>
        <filter val="6209 Блинчики с куриным мясом пл. 1/350 зам. ОСТАНКИНО"/>
        <filter val="7083 СЛИВОЧНЫЕ ПМ сос п/о мгс 1.5*4_А_50с  ОСТАНКИНО"/>
        <filter val="7562 КРАКОВСКАЯ ГОСТ Останкино п/к н/о мгс  ОСТАНКИНО"/>
        <filter val="7564 Балыковая в/к в/у Останкино Вес  ОСТАНКИНО"/>
        <filter val="Масло сливочное 72,5 % 180 гр.(10 шт) СЛАВЯНА  Останкино"/>
        <filter val="Сыч/Прод Коровино Тильзитер 50% 200г НОВАЯ СЗМЖ  ОСТАНКИНО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92">
    <mergeCell ref="B80:I80"/>
    <mergeCell ref="B81:I81"/>
    <mergeCell ref="B82:I82"/>
    <mergeCell ref="L39:M39"/>
    <mergeCell ref="B74:I74"/>
    <mergeCell ref="B75:I75"/>
    <mergeCell ref="B76:I76"/>
    <mergeCell ref="B77:I77"/>
    <mergeCell ref="B78:I78"/>
    <mergeCell ref="B79:I79"/>
    <mergeCell ref="B68:I68"/>
    <mergeCell ref="B69:I69"/>
    <mergeCell ref="B70:I70"/>
    <mergeCell ref="B71:I71"/>
    <mergeCell ref="B72:I72"/>
    <mergeCell ref="B73:I73"/>
    <mergeCell ref="B67:I67"/>
    <mergeCell ref="B56:I56"/>
    <mergeCell ref="B57:I57"/>
    <mergeCell ref="B58:I58"/>
    <mergeCell ref="B59:I59"/>
    <mergeCell ref="B60:I60"/>
    <mergeCell ref="B61:I61"/>
    <mergeCell ref="B62:I62"/>
    <mergeCell ref="B63:I63"/>
    <mergeCell ref="B64:I64"/>
    <mergeCell ref="B65:I65"/>
    <mergeCell ref="B66:I66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C51:D51"/>
    <mergeCell ref="E51:F51"/>
    <mergeCell ref="G51:H51"/>
    <mergeCell ref="I51:J51"/>
    <mergeCell ref="A54:J54"/>
    <mergeCell ref="E47:F47"/>
    <mergeCell ref="G47:H47"/>
    <mergeCell ref="I47:J47"/>
    <mergeCell ref="C48:D48"/>
    <mergeCell ref="E48:F48"/>
    <mergeCell ref="G48:H48"/>
    <mergeCell ref="I48:J48"/>
    <mergeCell ref="A46:J46"/>
    <mergeCell ref="K35:K36"/>
    <mergeCell ref="L35:M36"/>
    <mergeCell ref="L37:M37"/>
    <mergeCell ref="L38:M38"/>
    <mergeCell ref="L40:M40"/>
    <mergeCell ref="L41:M41"/>
    <mergeCell ref="L42:M42"/>
    <mergeCell ref="L43:M43"/>
    <mergeCell ref="A44:E44"/>
    <mergeCell ref="G44:L44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A1:C1"/>
    <mergeCell ref="E1:H1"/>
    <mergeCell ref="J1:K1"/>
    <mergeCell ref="A2:C2"/>
    <mergeCell ref="F2:H2"/>
    <mergeCell ref="J2:K2"/>
  </mergeCells>
  <pageMargins left="0" right="0" top="0.59055118110236204" bottom="0" header="0" footer="0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  <pageSetUpPr fitToPage="1"/>
  </sheetPr>
  <dimension ref="A1:N91"/>
  <sheetViews>
    <sheetView topLeftCell="A49" zoomScale="85" zoomScaleNormal="85" workbookViewId="0">
      <pane xSplit="3" topLeftCell="D1" activePane="topRight" state="frozen"/>
      <selection pane="topRight" activeCell="M59" sqref="M59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0.7109375" style="4" customWidth="1"/>
    <col min="12" max="12" width="30.2851562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0" t="s">
        <v>41</v>
      </c>
      <c r="B1" s="260"/>
      <c r="C1" s="260"/>
      <c r="D1" s="1"/>
      <c r="E1" s="260" t="s">
        <v>24</v>
      </c>
      <c r="F1" s="260"/>
      <c r="G1" s="260"/>
      <c r="H1" s="260"/>
      <c r="I1" s="157"/>
      <c r="J1" s="262">
        <v>8</v>
      </c>
      <c r="K1" s="262"/>
    </row>
    <row r="2" spans="1:12" ht="28.5">
      <c r="A2" s="263">
        <v>46311</v>
      </c>
      <c r="B2" s="264"/>
      <c r="C2" s="264"/>
      <c r="D2" s="3"/>
      <c r="E2" s="3"/>
      <c r="F2" s="265"/>
      <c r="G2" s="265"/>
      <c r="H2" s="265"/>
      <c r="I2" s="158"/>
      <c r="J2" s="265"/>
      <c r="K2" s="265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50" t="s">
        <v>25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2"/>
    </row>
    <row r="5" spans="1:12" s="8" customFormat="1" ht="18" customHeight="1">
      <c r="A5" s="66">
        <v>1</v>
      </c>
      <c r="B5" s="20">
        <v>2</v>
      </c>
      <c r="C5" s="20">
        <v>3</v>
      </c>
      <c r="D5" s="20">
        <v>4</v>
      </c>
      <c r="E5" s="20">
        <v>5</v>
      </c>
      <c r="F5" s="20">
        <v>6</v>
      </c>
      <c r="G5" s="20">
        <v>7</v>
      </c>
      <c r="H5" s="20">
        <v>8</v>
      </c>
      <c r="I5" s="20">
        <v>9</v>
      </c>
      <c r="J5" s="20">
        <v>10</v>
      </c>
      <c r="K5" s="20">
        <v>10</v>
      </c>
      <c r="L5" s="67">
        <v>11</v>
      </c>
    </row>
    <row r="6" spans="1:12" ht="82.9" customHeight="1">
      <c r="A6" s="253" t="s">
        <v>1</v>
      </c>
      <c r="B6" s="254" t="s">
        <v>2</v>
      </c>
      <c r="C6" s="254" t="s">
        <v>3</v>
      </c>
      <c r="D6" s="254" t="s">
        <v>4</v>
      </c>
      <c r="E6" s="155" t="s">
        <v>5</v>
      </c>
      <c r="F6" s="254" t="s">
        <v>6</v>
      </c>
      <c r="G6" s="255" t="s">
        <v>7</v>
      </c>
      <c r="H6" s="256" t="s">
        <v>8</v>
      </c>
      <c r="I6" s="254" t="s">
        <v>9</v>
      </c>
      <c r="J6" s="257" t="s">
        <v>30</v>
      </c>
      <c r="K6" s="258" t="s">
        <v>10</v>
      </c>
      <c r="L6" s="259"/>
    </row>
    <row r="7" spans="1:12" s="8" customFormat="1" ht="63.6" customHeight="1">
      <c r="A7" s="253"/>
      <c r="B7" s="254"/>
      <c r="C7" s="254"/>
      <c r="D7" s="254"/>
      <c r="E7" s="155" t="s">
        <v>11</v>
      </c>
      <c r="F7" s="254"/>
      <c r="G7" s="255"/>
      <c r="H7" s="256"/>
      <c r="I7" s="254"/>
      <c r="J7" s="225"/>
      <c r="K7" s="155" t="s">
        <v>7</v>
      </c>
      <c r="L7" s="68" t="s">
        <v>8</v>
      </c>
    </row>
    <row r="8" spans="1:12" s="8" customFormat="1">
      <c r="A8" s="83">
        <v>1</v>
      </c>
      <c r="B8" s="84" t="s">
        <v>42</v>
      </c>
      <c r="C8" s="84" t="s">
        <v>43</v>
      </c>
      <c r="D8" s="114" t="s">
        <v>65</v>
      </c>
      <c r="E8" s="63" t="s">
        <v>47</v>
      </c>
      <c r="F8" s="42">
        <v>0.30555555555555552</v>
      </c>
      <c r="G8" s="23">
        <v>14</v>
      </c>
      <c r="H8" s="27">
        <v>1164.7660000000001</v>
      </c>
      <c r="I8" s="24">
        <v>0.60416666666666663</v>
      </c>
      <c r="J8" s="22">
        <f>I8-F8</f>
        <v>0.2986111111111111</v>
      </c>
      <c r="K8" s="27"/>
      <c r="L8" s="74"/>
    </row>
    <row r="9" spans="1:12">
      <c r="A9" s="83">
        <v>2</v>
      </c>
      <c r="B9" s="84" t="s">
        <v>42</v>
      </c>
      <c r="C9" s="84" t="s">
        <v>44</v>
      </c>
      <c r="D9" s="114" t="s">
        <v>64</v>
      </c>
      <c r="E9" s="85" t="s">
        <v>48</v>
      </c>
      <c r="F9" s="42">
        <v>0.30208333333333331</v>
      </c>
      <c r="G9" s="23">
        <v>22</v>
      </c>
      <c r="H9" s="27">
        <v>1025.3699999999999</v>
      </c>
      <c r="I9" s="24">
        <v>0.58680555555555558</v>
      </c>
      <c r="J9" s="22">
        <f t="shared" ref="J9:J12" si="0">I9-F9</f>
        <v>0.28472222222222227</v>
      </c>
      <c r="K9" s="27"/>
      <c r="L9" s="74"/>
    </row>
    <row r="10" spans="1:12">
      <c r="A10" s="21">
        <v>3</v>
      </c>
      <c r="B10" s="63" t="s">
        <v>42</v>
      </c>
      <c r="C10" s="62" t="s">
        <v>45</v>
      </c>
      <c r="D10" s="114" t="s">
        <v>68</v>
      </c>
      <c r="E10" s="86" t="s">
        <v>47</v>
      </c>
      <c r="F10" s="42">
        <v>0.3125</v>
      </c>
      <c r="G10" s="23">
        <v>20</v>
      </c>
      <c r="H10" s="27">
        <v>1161.857</v>
      </c>
      <c r="I10" s="24">
        <v>0.63541666666666663</v>
      </c>
      <c r="J10" s="22">
        <f t="shared" si="0"/>
        <v>0.32291666666666663</v>
      </c>
      <c r="K10" s="27"/>
      <c r="L10" s="74"/>
    </row>
    <row r="11" spans="1:12">
      <c r="A11" s="83">
        <v>4</v>
      </c>
      <c r="B11" s="63" t="s">
        <v>42</v>
      </c>
      <c r="C11" s="62" t="s">
        <v>46</v>
      </c>
      <c r="D11" s="114" t="s">
        <v>61</v>
      </c>
      <c r="E11" s="63" t="s">
        <v>48</v>
      </c>
      <c r="F11" s="42">
        <v>0.30208333333333331</v>
      </c>
      <c r="G11" s="23">
        <v>28</v>
      </c>
      <c r="H11" s="27">
        <v>829.34500000000003</v>
      </c>
      <c r="I11" s="24">
        <v>0.61805555555555558</v>
      </c>
      <c r="J11" s="22">
        <f t="shared" si="0"/>
        <v>0.31597222222222227</v>
      </c>
      <c r="K11" s="27"/>
      <c r="L11" s="74"/>
    </row>
    <row r="12" spans="1:12">
      <c r="A12" s="69">
        <v>5</v>
      </c>
      <c r="B12" s="93" t="s">
        <v>51</v>
      </c>
      <c r="C12" s="84" t="s">
        <v>57</v>
      </c>
      <c r="D12" s="118" t="s">
        <v>60</v>
      </c>
      <c r="E12" s="85" t="s">
        <v>48</v>
      </c>
      <c r="F12" s="24">
        <v>0.2951388888888889</v>
      </c>
      <c r="G12" s="23">
        <v>28</v>
      </c>
      <c r="H12" s="27">
        <v>806.24099999999999</v>
      </c>
      <c r="I12" s="24">
        <v>0.61458333333333337</v>
      </c>
      <c r="J12" s="22">
        <f t="shared" si="0"/>
        <v>0.31944444444444448</v>
      </c>
      <c r="K12" s="27"/>
      <c r="L12" s="74"/>
    </row>
    <row r="13" spans="1:12">
      <c r="A13" s="69">
        <v>6</v>
      </c>
      <c r="B13" s="62" t="s">
        <v>51</v>
      </c>
      <c r="C13" s="84" t="s">
        <v>52</v>
      </c>
      <c r="D13" s="164"/>
      <c r="E13" s="86" t="s">
        <v>47</v>
      </c>
      <c r="F13" s="24"/>
      <c r="G13" s="23"/>
      <c r="H13" s="27"/>
      <c r="I13" s="24"/>
      <c r="J13" s="22"/>
      <c r="K13" s="27"/>
      <c r="L13" s="74"/>
    </row>
    <row r="14" spans="1:12">
      <c r="A14" s="69">
        <v>7</v>
      </c>
      <c r="B14" s="70"/>
      <c r="C14" s="71"/>
      <c r="D14" s="72"/>
      <c r="E14" s="73"/>
      <c r="F14" s="24"/>
      <c r="G14" s="23"/>
      <c r="H14" s="27"/>
      <c r="I14" s="24"/>
      <c r="J14" s="22"/>
      <c r="K14" s="27"/>
      <c r="L14" s="74"/>
    </row>
    <row r="15" spans="1:12">
      <c r="A15" s="69">
        <v>8</v>
      </c>
      <c r="B15" s="70"/>
      <c r="C15" s="71"/>
      <c r="D15" s="72"/>
      <c r="E15" s="73"/>
      <c r="F15" s="24"/>
      <c r="G15" s="23"/>
      <c r="H15" s="27"/>
      <c r="I15" s="24"/>
      <c r="J15" s="22"/>
      <c r="K15" s="27"/>
      <c r="L15" s="74"/>
    </row>
    <row r="16" spans="1:12">
      <c r="A16" s="69">
        <v>9</v>
      </c>
      <c r="B16" s="70"/>
      <c r="C16" s="71"/>
      <c r="D16" s="72"/>
      <c r="E16" s="73"/>
      <c r="F16" s="24"/>
      <c r="G16" s="23"/>
      <c r="H16" s="27"/>
      <c r="I16" s="24"/>
      <c r="J16" s="22"/>
      <c r="K16" s="27"/>
      <c r="L16" s="74"/>
    </row>
    <row r="17" spans="1:14">
      <c r="A17" s="69">
        <v>10</v>
      </c>
      <c r="B17" s="70"/>
      <c r="C17" s="71"/>
      <c r="D17" s="72"/>
      <c r="E17" s="73"/>
      <c r="F17" s="24"/>
      <c r="G17" s="23"/>
      <c r="H17" s="27"/>
      <c r="I17" s="24"/>
      <c r="J17" s="22"/>
      <c r="K17" s="27"/>
      <c r="L17" s="74"/>
    </row>
    <row r="18" spans="1:14">
      <c r="A18" s="69">
        <v>11</v>
      </c>
      <c r="B18" s="70"/>
      <c r="C18" s="71"/>
      <c r="D18" s="72"/>
      <c r="E18" s="73"/>
      <c r="F18" s="24"/>
      <c r="G18" s="23"/>
      <c r="H18" s="27"/>
      <c r="I18" s="24"/>
      <c r="J18" s="22"/>
      <c r="K18" s="27"/>
      <c r="L18" s="74"/>
    </row>
    <row r="19" spans="1:14">
      <c r="A19" s="69">
        <v>12</v>
      </c>
      <c r="B19" s="70"/>
      <c r="C19" s="71"/>
      <c r="D19" s="72"/>
      <c r="E19" s="73"/>
      <c r="F19" s="24"/>
      <c r="G19" s="23"/>
      <c r="H19" s="27"/>
      <c r="I19" s="24"/>
      <c r="J19" s="22"/>
      <c r="K19" s="75"/>
      <c r="L19" s="74"/>
    </row>
    <row r="20" spans="1:14">
      <c r="A20" s="69">
        <v>13</v>
      </c>
      <c r="B20" s="70"/>
      <c r="C20" s="71"/>
      <c r="D20" s="72"/>
      <c r="E20" s="73"/>
      <c r="F20" s="24"/>
      <c r="G20" s="23"/>
      <c r="H20" s="27"/>
      <c r="I20" s="24"/>
      <c r="J20" s="22"/>
      <c r="K20" s="75"/>
      <c r="L20" s="76"/>
    </row>
    <row r="21" spans="1:14" ht="15.75" thickBot="1">
      <c r="A21" s="270" t="s">
        <v>15</v>
      </c>
      <c r="B21" s="271"/>
      <c r="C21" s="271"/>
      <c r="D21" s="271"/>
      <c r="E21" s="271"/>
      <c r="F21" s="272"/>
      <c r="G21" s="77">
        <f>SUM(G8:G20)</f>
        <v>112</v>
      </c>
      <c r="H21" s="77">
        <f>SUM(H8:H20)</f>
        <v>4987.5789999999997</v>
      </c>
      <c r="I21" s="78"/>
      <c r="J21" s="78"/>
      <c r="K21" s="77">
        <f>SUM(K8:K20)</f>
        <v>0</v>
      </c>
      <c r="L21" s="79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8"/>
    </row>
    <row r="24" spans="1:14" ht="18.75">
      <c r="A24" s="277" t="s">
        <v>26</v>
      </c>
      <c r="B24" s="278"/>
      <c r="C24" s="278"/>
      <c r="D24" s="278"/>
      <c r="E24" s="278"/>
      <c r="F24" s="278"/>
      <c r="G24" s="278"/>
      <c r="H24" s="278"/>
      <c r="I24" s="279"/>
      <c r="J24" s="8"/>
      <c r="K24" s="8"/>
      <c r="L24" s="8"/>
      <c r="N24" s="48"/>
    </row>
    <row r="25" spans="1:14">
      <c r="A25" s="32">
        <v>1</v>
      </c>
      <c r="B25" s="82">
        <v>2</v>
      </c>
      <c r="C25" s="82">
        <v>3</v>
      </c>
      <c r="D25" s="82">
        <v>4</v>
      </c>
      <c r="E25" s="82">
        <v>5</v>
      </c>
      <c r="F25" s="82">
        <v>6</v>
      </c>
      <c r="G25" s="82">
        <v>7</v>
      </c>
      <c r="H25" s="82">
        <v>8</v>
      </c>
      <c r="I25" s="33">
        <v>9</v>
      </c>
      <c r="J25" s="8"/>
      <c r="K25" s="8"/>
      <c r="N25" s="48"/>
    </row>
    <row r="26" spans="1:14" ht="30">
      <c r="A26" s="60" t="s">
        <v>1</v>
      </c>
      <c r="B26" s="155" t="s">
        <v>2</v>
      </c>
      <c r="C26" s="155" t="s">
        <v>3</v>
      </c>
      <c r="D26" s="155" t="s">
        <v>27</v>
      </c>
      <c r="E26" s="155" t="s">
        <v>6</v>
      </c>
      <c r="F26" s="155" t="s">
        <v>28</v>
      </c>
      <c r="G26" s="155" t="s">
        <v>8</v>
      </c>
      <c r="H26" s="155" t="s">
        <v>31</v>
      </c>
      <c r="I26" s="34" t="s">
        <v>30</v>
      </c>
      <c r="J26" s="8"/>
      <c r="K26" s="8"/>
      <c r="L26" s="8"/>
      <c r="N26" s="48"/>
    </row>
    <row r="27" spans="1:14">
      <c r="A27" s="64">
        <v>14</v>
      </c>
      <c r="B27" s="63"/>
      <c r="C27" s="62"/>
      <c r="D27" s="44"/>
      <c r="E27" s="42"/>
      <c r="F27" s="23"/>
      <c r="G27" s="27"/>
      <c r="H27" s="38"/>
      <c r="I27" s="39"/>
      <c r="J27" s="8"/>
      <c r="K27" s="8"/>
      <c r="L27" s="8"/>
    </row>
    <row r="28" spans="1:14">
      <c r="A28" s="62">
        <v>15</v>
      </c>
      <c r="B28" s="63"/>
      <c r="C28" s="62"/>
      <c r="D28" s="44"/>
      <c r="E28" s="42"/>
      <c r="F28" s="23"/>
      <c r="G28" s="27"/>
      <c r="H28" s="38"/>
      <c r="I28" s="39"/>
      <c r="J28" s="8"/>
      <c r="K28" s="8"/>
      <c r="L28" s="8"/>
    </row>
    <row r="29" spans="1:14">
      <c r="A29" s="62">
        <v>16</v>
      </c>
      <c r="B29" s="62"/>
      <c r="C29" s="62"/>
      <c r="D29" s="44"/>
      <c r="E29" s="42"/>
      <c r="F29" s="23"/>
      <c r="G29" s="27"/>
      <c r="H29" s="38"/>
      <c r="I29" s="39"/>
      <c r="J29" s="8"/>
      <c r="K29" s="8"/>
      <c r="L29" s="8"/>
    </row>
    <row r="30" spans="1:14">
      <c r="A30" s="65"/>
      <c r="B30" s="65"/>
      <c r="C30" s="65"/>
      <c r="D30" s="44"/>
      <c r="E30" s="42"/>
      <c r="F30" s="23"/>
      <c r="G30" s="27"/>
      <c r="H30" s="38"/>
      <c r="I30" s="39"/>
      <c r="J30" s="8"/>
      <c r="K30" s="8"/>
      <c r="L30" s="8"/>
    </row>
    <row r="31" spans="1:14" ht="15.75" thickBot="1">
      <c r="A31" s="270" t="s">
        <v>15</v>
      </c>
      <c r="B31" s="271"/>
      <c r="C31" s="272"/>
      <c r="D31" s="10"/>
      <c r="E31" s="35"/>
      <c r="F31" s="35">
        <f>SUM(F30:F30)</f>
        <v>0</v>
      </c>
      <c r="G31" s="35">
        <f>SUM(G30:G30)</f>
        <v>0</v>
      </c>
      <c r="H31" s="36"/>
      <c r="I31" s="37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77" t="s">
        <v>12</v>
      </c>
      <c r="B33" s="278"/>
      <c r="C33" s="278"/>
      <c r="D33" s="278"/>
      <c r="E33" s="278"/>
      <c r="F33" s="278"/>
      <c r="G33" s="278"/>
      <c r="H33" s="278"/>
      <c r="I33" s="278"/>
      <c r="J33" s="278"/>
      <c r="K33" s="278"/>
      <c r="L33" s="279"/>
    </row>
    <row r="34" spans="1:13" ht="15.75" thickBot="1">
      <c r="A34" s="103">
        <v>1</v>
      </c>
      <c r="B34" s="104">
        <v>2</v>
      </c>
      <c r="C34" s="104">
        <v>3</v>
      </c>
      <c r="D34" s="104">
        <v>4</v>
      </c>
      <c r="E34" s="104">
        <v>5</v>
      </c>
      <c r="F34" s="104">
        <v>6</v>
      </c>
      <c r="G34" s="104">
        <v>7</v>
      </c>
      <c r="H34" s="104">
        <v>8</v>
      </c>
      <c r="I34" s="104">
        <v>9</v>
      </c>
      <c r="J34" s="104">
        <v>10</v>
      </c>
      <c r="K34" s="104">
        <v>11</v>
      </c>
      <c r="L34" s="268">
        <v>12</v>
      </c>
      <c r="M34" s="269"/>
    </row>
    <row r="35" spans="1:13" ht="75">
      <c r="A35" s="244" t="s">
        <v>1</v>
      </c>
      <c r="B35" s="224" t="s">
        <v>2</v>
      </c>
      <c r="C35" s="224" t="s">
        <v>3</v>
      </c>
      <c r="D35" s="224" t="s">
        <v>4</v>
      </c>
      <c r="E35" s="106" t="s">
        <v>5</v>
      </c>
      <c r="F35" s="224" t="s">
        <v>14</v>
      </c>
      <c r="G35" s="224" t="s">
        <v>13</v>
      </c>
      <c r="H35" s="224" t="s">
        <v>37</v>
      </c>
      <c r="I35" s="224" t="s">
        <v>39</v>
      </c>
      <c r="J35" s="224" t="s">
        <v>38</v>
      </c>
      <c r="K35" s="224" t="s">
        <v>40</v>
      </c>
      <c r="L35" s="202" t="s">
        <v>36</v>
      </c>
      <c r="M35" s="203"/>
    </row>
    <row r="36" spans="1:13" ht="75">
      <c r="A36" s="245"/>
      <c r="B36" s="225"/>
      <c r="C36" s="225"/>
      <c r="D36" s="225"/>
      <c r="E36" s="156" t="s">
        <v>11</v>
      </c>
      <c r="F36" s="225"/>
      <c r="G36" s="225"/>
      <c r="H36" s="225"/>
      <c r="I36" s="225"/>
      <c r="J36" s="225"/>
      <c r="K36" s="225"/>
      <c r="L36" s="204"/>
      <c r="M36" s="205"/>
    </row>
    <row r="37" spans="1:13" s="30" customFormat="1" ht="46.5" customHeight="1">
      <c r="A37" s="45">
        <v>17</v>
      </c>
      <c r="B37" s="63" t="s">
        <v>42</v>
      </c>
      <c r="C37" s="62" t="s">
        <v>49</v>
      </c>
      <c r="D37" s="115" t="s">
        <v>62</v>
      </c>
      <c r="E37" s="63" t="s">
        <v>47</v>
      </c>
      <c r="F37" s="116">
        <v>46248</v>
      </c>
      <c r="G37" s="94">
        <v>240000</v>
      </c>
      <c r="H37" s="87" t="s">
        <v>59</v>
      </c>
      <c r="I37" s="88">
        <v>46248</v>
      </c>
      <c r="J37" s="143" t="s">
        <v>106</v>
      </c>
      <c r="K37" s="89"/>
      <c r="L37" s="275" t="s">
        <v>50</v>
      </c>
      <c r="M37" s="276"/>
    </row>
    <row r="38" spans="1:13" s="58" customFormat="1" ht="60">
      <c r="A38" s="45">
        <v>18</v>
      </c>
      <c r="B38" s="84" t="s">
        <v>55</v>
      </c>
      <c r="C38" s="84" t="s">
        <v>56</v>
      </c>
      <c r="D38" s="84" t="s">
        <v>61</v>
      </c>
      <c r="E38" s="92" t="s">
        <v>47</v>
      </c>
      <c r="F38" s="96" t="s">
        <v>66</v>
      </c>
      <c r="G38" s="94">
        <v>680000</v>
      </c>
      <c r="H38" s="97"/>
      <c r="I38" s="91"/>
      <c r="J38" s="91"/>
      <c r="K38" s="98"/>
      <c r="L38" s="248" t="s">
        <v>58</v>
      </c>
      <c r="M38" s="249"/>
    </row>
    <row r="39" spans="1:13" ht="16.5" customHeight="1">
      <c r="A39" s="153">
        <v>19</v>
      </c>
      <c r="B39" s="17"/>
      <c r="C39" s="17"/>
      <c r="D39" s="17"/>
      <c r="E39" s="17"/>
      <c r="F39" s="99"/>
      <c r="G39" s="100"/>
      <c r="H39" s="17"/>
      <c r="I39" s="17"/>
      <c r="J39" s="82"/>
      <c r="K39" s="82"/>
      <c r="L39" s="282"/>
      <c r="M39" s="283"/>
    </row>
    <row r="40" spans="1:13">
      <c r="A40" s="45">
        <v>20</v>
      </c>
      <c r="B40" s="17"/>
      <c r="C40" s="17"/>
      <c r="D40" s="17"/>
      <c r="E40" s="17"/>
      <c r="F40" s="99"/>
      <c r="G40" s="100"/>
      <c r="H40" s="17"/>
      <c r="I40" s="17"/>
      <c r="J40" s="82"/>
      <c r="K40" s="82"/>
      <c r="L40" s="246"/>
      <c r="M40" s="247"/>
    </row>
    <row r="41" spans="1:13">
      <c r="A41" s="45">
        <v>21</v>
      </c>
      <c r="B41" s="46"/>
      <c r="C41" s="47"/>
      <c r="D41" s="47"/>
      <c r="E41" s="87"/>
      <c r="F41" s="101"/>
      <c r="G41" s="95"/>
      <c r="H41" s="102"/>
      <c r="I41" s="101"/>
      <c r="J41" s="101"/>
      <c r="K41" s="102"/>
      <c r="L41" s="200"/>
      <c r="M41" s="201"/>
    </row>
    <row r="42" spans="1:13">
      <c r="A42" s="45">
        <v>22</v>
      </c>
      <c r="B42" s="46"/>
      <c r="C42" s="47"/>
      <c r="D42" s="80"/>
      <c r="E42" s="40"/>
      <c r="F42" s="49"/>
      <c r="G42" s="95"/>
      <c r="H42" s="54"/>
      <c r="I42" s="49"/>
      <c r="J42" s="49"/>
      <c r="K42" s="54"/>
      <c r="L42" s="198"/>
      <c r="M42" s="199"/>
    </row>
    <row r="43" spans="1:13" ht="15.75" thickBot="1">
      <c r="A43" s="45">
        <v>23</v>
      </c>
      <c r="B43" s="108"/>
      <c r="C43" s="109"/>
      <c r="D43" s="109"/>
      <c r="E43" s="110"/>
      <c r="F43" s="111"/>
      <c r="G43" s="112"/>
      <c r="H43" s="113"/>
      <c r="I43" s="111"/>
      <c r="J43" s="111"/>
      <c r="K43" s="113"/>
      <c r="L43" s="196"/>
      <c r="M43" s="197"/>
    </row>
    <row r="44" spans="1:13" ht="15.75" thickBot="1">
      <c r="A44" s="238" t="s">
        <v>15</v>
      </c>
      <c r="B44" s="239"/>
      <c r="C44" s="239"/>
      <c r="D44" s="239"/>
      <c r="E44" s="240"/>
      <c r="F44" s="105"/>
      <c r="G44" s="241">
        <f>SUM(G37:G43)</f>
        <v>920000</v>
      </c>
      <c r="H44" s="242"/>
      <c r="I44" s="242"/>
      <c r="J44" s="242"/>
      <c r="K44" s="242"/>
      <c r="L44" s="243"/>
    </row>
    <row r="45" spans="1:13" ht="15.75" thickBot="1">
      <c r="A45" s="50"/>
      <c r="B45" s="50"/>
      <c r="C45" s="50"/>
      <c r="D45" s="50"/>
      <c r="E45" s="51"/>
      <c r="F45" s="51"/>
      <c r="G45" s="52"/>
      <c r="H45" s="52"/>
      <c r="J45" s="9"/>
      <c r="K45" s="53"/>
    </row>
    <row r="46" spans="1:13" ht="18.75">
      <c r="A46" s="235" t="s">
        <v>16</v>
      </c>
      <c r="B46" s="236"/>
      <c r="C46" s="236"/>
      <c r="D46" s="236"/>
      <c r="E46" s="236"/>
      <c r="F46" s="236"/>
      <c r="G46" s="236"/>
      <c r="H46" s="236"/>
      <c r="I46" s="236"/>
      <c r="J46" s="237"/>
      <c r="K46" s="2"/>
    </row>
    <row r="47" spans="1:13" ht="30">
      <c r="A47" s="55"/>
      <c r="B47" s="18"/>
      <c r="C47" s="154"/>
      <c r="D47" s="154" t="s">
        <v>17</v>
      </c>
      <c r="E47" s="223" t="s">
        <v>18</v>
      </c>
      <c r="F47" s="223"/>
      <c r="G47" s="223" t="s">
        <v>19</v>
      </c>
      <c r="H47" s="223"/>
      <c r="I47" s="223" t="s">
        <v>29</v>
      </c>
      <c r="J47" s="232"/>
      <c r="K47" s="2"/>
    </row>
    <row r="48" spans="1:13">
      <c r="A48" s="55"/>
      <c r="B48" s="25" t="s">
        <v>20</v>
      </c>
      <c r="C48" s="219">
        <v>2771.52</v>
      </c>
      <c r="D48" s="220"/>
      <c r="E48" s="230">
        <v>2671.884</v>
      </c>
      <c r="F48" s="231"/>
      <c r="G48" s="230">
        <v>2671.884</v>
      </c>
      <c r="H48" s="231"/>
      <c r="I48" s="233"/>
      <c r="J48" s="234"/>
      <c r="K48" s="2"/>
    </row>
    <row r="49" spans="1:14">
      <c r="A49" s="56"/>
      <c r="B49" s="25" t="s">
        <v>21</v>
      </c>
      <c r="C49" s="219">
        <v>1470.01</v>
      </c>
      <c r="D49" s="220"/>
      <c r="E49" s="226">
        <v>1180.52</v>
      </c>
      <c r="F49" s="227"/>
      <c r="G49" s="226">
        <v>1180.52</v>
      </c>
      <c r="H49" s="227"/>
      <c r="I49" s="212">
        <v>2</v>
      </c>
      <c r="J49" s="213"/>
      <c r="K49" s="2"/>
    </row>
    <row r="50" spans="1:14" ht="15.75" thickBot="1">
      <c r="A50" s="56"/>
      <c r="B50" s="25" t="s">
        <v>22</v>
      </c>
      <c r="C50" s="228">
        <v>1236.6300000000001</v>
      </c>
      <c r="D50" s="229"/>
      <c r="E50" s="221">
        <v>1135.18</v>
      </c>
      <c r="F50" s="222"/>
      <c r="G50" s="221">
        <v>1135.18</v>
      </c>
      <c r="H50" s="222"/>
      <c r="I50" s="212"/>
      <c r="J50" s="213"/>
      <c r="K50" s="2"/>
    </row>
    <row r="51" spans="1:14" ht="15.75" thickBot="1">
      <c r="A51" s="11"/>
      <c r="B51" s="12" t="s">
        <v>23</v>
      </c>
      <c r="C51" s="214">
        <f>SUM(C48:D50)</f>
        <v>5478.16</v>
      </c>
      <c r="D51" s="215"/>
      <c r="E51" s="216">
        <f>SUM(E48:E50)</f>
        <v>4987.5839999999998</v>
      </c>
      <c r="F51" s="217"/>
      <c r="G51" s="216">
        <f>G48+G49+G50</f>
        <v>4987.5839999999998</v>
      </c>
      <c r="H51" s="217"/>
      <c r="I51" s="216">
        <f>SUM(I48:I50)</f>
        <v>2</v>
      </c>
      <c r="J51" s="218"/>
      <c r="K51" s="2"/>
    </row>
    <row r="53" spans="1:14" ht="15.75" thickBot="1">
      <c r="E53" s="26"/>
    </row>
    <row r="54" spans="1:14" ht="19.5" thickBot="1">
      <c r="A54" s="206" t="s">
        <v>32</v>
      </c>
      <c r="B54" s="207"/>
      <c r="C54" s="207"/>
      <c r="D54" s="207"/>
      <c r="E54" s="207"/>
      <c r="F54" s="207"/>
      <c r="G54" s="207"/>
      <c r="H54" s="207"/>
      <c r="I54" s="207"/>
      <c r="J54" s="208"/>
      <c r="K54" s="30"/>
      <c r="L54" s="30"/>
    </row>
    <row r="55" spans="1:14">
      <c r="A55" s="31" t="s">
        <v>33</v>
      </c>
      <c r="B55" s="209" t="s">
        <v>34</v>
      </c>
      <c r="C55" s="210"/>
      <c r="D55" s="210"/>
      <c r="E55" s="210"/>
      <c r="F55" s="210"/>
      <c r="G55" s="210"/>
      <c r="H55" s="210"/>
      <c r="I55" s="211"/>
      <c r="J55" s="57" t="s">
        <v>35</v>
      </c>
      <c r="K55" s="58"/>
      <c r="L55" s="58"/>
    </row>
    <row r="56" spans="1:14">
      <c r="A56" s="41">
        <v>1</v>
      </c>
      <c r="B56" s="193" t="s">
        <v>79</v>
      </c>
      <c r="C56" s="194"/>
      <c r="D56" s="194"/>
      <c r="E56" s="194"/>
      <c r="F56" s="194"/>
      <c r="G56" s="194"/>
      <c r="H56" s="194"/>
      <c r="I56" s="195"/>
      <c r="J56" s="165">
        <v>7</v>
      </c>
      <c r="K56" s="4" t="s">
        <v>147</v>
      </c>
      <c r="L56" s="2" t="str">
        <f>VLOOKUP(B56,[1]Sheet!$A:$I,9,0)</f>
        <v>матрица</v>
      </c>
      <c r="M56" s="2">
        <f>VLOOKUP(B56,[1]Sheet!$A:$AF,32,0)</f>
        <v>0</v>
      </c>
    </row>
    <row r="57" spans="1:14">
      <c r="A57" s="41">
        <v>2</v>
      </c>
      <c r="B57" s="193" t="s">
        <v>118</v>
      </c>
      <c r="C57" s="194"/>
      <c r="D57" s="194"/>
      <c r="E57" s="194"/>
      <c r="F57" s="194"/>
      <c r="G57" s="194"/>
      <c r="H57" s="194"/>
      <c r="I57" s="195"/>
      <c r="J57" s="43">
        <v>5</v>
      </c>
    </row>
    <row r="58" spans="1:14">
      <c r="A58" s="41">
        <v>3</v>
      </c>
      <c r="B58" s="193" t="s">
        <v>80</v>
      </c>
      <c r="C58" s="194"/>
      <c r="D58" s="194"/>
      <c r="E58" s="194"/>
      <c r="F58" s="194"/>
      <c r="G58" s="194"/>
      <c r="H58" s="194"/>
      <c r="I58" s="195"/>
      <c r="J58" s="165">
        <v>10</v>
      </c>
      <c r="K58" s="4" t="s">
        <v>147</v>
      </c>
      <c r="L58" s="2" t="str">
        <f>VLOOKUP(B58,[1]Sheet!$A:$I,9,0)</f>
        <v>матрица</v>
      </c>
      <c r="M58" s="2" t="str">
        <f>VLOOKUP(B58,[1]Sheet!$A:$AF,32,0)</f>
        <v>завод не отгрузил (06,10,26)</v>
      </c>
    </row>
    <row r="59" spans="1:14">
      <c r="A59" s="41">
        <v>4</v>
      </c>
      <c r="B59" s="193" t="s">
        <v>81</v>
      </c>
      <c r="C59" s="194"/>
      <c r="D59" s="194"/>
      <c r="E59" s="194"/>
      <c r="F59" s="194"/>
      <c r="G59" s="194"/>
      <c r="H59" s="194"/>
      <c r="I59" s="195"/>
      <c r="J59" s="165">
        <v>5</v>
      </c>
      <c r="K59" s="4" t="s">
        <v>147</v>
      </c>
      <c r="L59" s="2" t="str">
        <f>VLOOKUP(B59,[1]Sheet!$A:$I,9,0)</f>
        <v>матрица</v>
      </c>
      <c r="M59" s="2" t="str">
        <f>VLOOKUP(B59,[1]Sheet!$A:$AF,32,0)</f>
        <v>58кг списано (11,08,26)</v>
      </c>
    </row>
    <row r="60" spans="1:14">
      <c r="A60" s="41">
        <v>5</v>
      </c>
      <c r="B60" s="193" t="s">
        <v>96</v>
      </c>
      <c r="C60" s="194"/>
      <c r="D60" s="194"/>
      <c r="E60" s="194"/>
      <c r="F60" s="194"/>
      <c r="G60" s="194"/>
      <c r="H60" s="194"/>
      <c r="I60" s="195"/>
      <c r="J60" s="127">
        <v>11</v>
      </c>
    </row>
    <row r="61" spans="1:14">
      <c r="A61" s="41">
        <v>6</v>
      </c>
      <c r="B61" s="193" t="s">
        <v>119</v>
      </c>
      <c r="C61" s="194"/>
      <c r="D61" s="194"/>
      <c r="E61" s="194"/>
      <c r="F61" s="194"/>
      <c r="G61" s="194"/>
      <c r="H61" s="194"/>
      <c r="I61" s="195"/>
      <c r="J61" s="166">
        <v>10</v>
      </c>
      <c r="K61" s="4" t="s">
        <v>147</v>
      </c>
      <c r="L61" s="169" t="s">
        <v>148</v>
      </c>
    </row>
    <row r="62" spans="1:14">
      <c r="A62" s="41">
        <v>7</v>
      </c>
      <c r="B62" s="193" t="s">
        <v>83</v>
      </c>
      <c r="C62" s="194"/>
      <c r="D62" s="194"/>
      <c r="E62" s="194"/>
      <c r="F62" s="194"/>
      <c r="G62" s="194"/>
      <c r="H62" s="194"/>
      <c r="I62" s="195"/>
      <c r="J62" s="166">
        <v>10</v>
      </c>
      <c r="K62" s="4" t="s">
        <v>147</v>
      </c>
      <c r="L62" s="169" t="str">
        <f>VLOOKUP(B62,[1]Sheet!$A:$I,9,0)&amp;" (ротация на новый код)"</f>
        <v>вывод (ротация на новый код)</v>
      </c>
      <c r="M62" s="2" t="str">
        <f>VLOOKUP(B62,[1]Sheet!$A:$AF,32,0)</f>
        <v>ротация на код 7490 / 268шт списание (20,08,26)</v>
      </c>
    </row>
    <row r="63" spans="1:14">
      <c r="A63" s="41">
        <v>8</v>
      </c>
      <c r="B63" s="193" t="s">
        <v>120</v>
      </c>
      <c r="C63" s="194"/>
      <c r="D63" s="194"/>
      <c r="E63" s="194"/>
      <c r="F63" s="194"/>
      <c r="G63" s="194"/>
      <c r="H63" s="194"/>
      <c r="I63" s="195"/>
      <c r="J63" s="166">
        <v>9</v>
      </c>
      <c r="K63" s="4" t="s">
        <v>147</v>
      </c>
      <c r="L63" s="2" t="str">
        <f>VLOOKUP(B63,[1]Sheet!$A:$I,9,0)</f>
        <v>матрица</v>
      </c>
      <c r="M63" s="2">
        <f>VLOOKUP(B63,[1]Sheet!$A:$AF,32,0)</f>
        <v>0</v>
      </c>
    </row>
    <row r="64" spans="1:14" s="4" customFormat="1">
      <c r="A64" s="41">
        <v>9</v>
      </c>
      <c r="B64" s="193" t="s">
        <v>98</v>
      </c>
      <c r="C64" s="194"/>
      <c r="D64" s="194"/>
      <c r="E64" s="194"/>
      <c r="F64" s="194"/>
      <c r="G64" s="194"/>
      <c r="H64" s="194"/>
      <c r="I64" s="195"/>
      <c r="J64" s="167">
        <v>20</v>
      </c>
      <c r="K64" s="4" t="s">
        <v>147</v>
      </c>
      <c r="L64" s="2" t="str">
        <f>VLOOKUP(B64,[1]Sheet!$A:$I,9,0)</f>
        <v>матрица</v>
      </c>
      <c r="M64" s="2">
        <f>VLOOKUP(B64,[1]Sheet!$A:$AF,32,0)</f>
        <v>0</v>
      </c>
      <c r="N64" s="2"/>
    </row>
    <row r="65" spans="1:14" s="4" customFormat="1">
      <c r="A65" s="41">
        <v>10</v>
      </c>
      <c r="B65" s="193" t="s">
        <v>121</v>
      </c>
      <c r="C65" s="194"/>
      <c r="D65" s="194"/>
      <c r="E65" s="194"/>
      <c r="F65" s="194"/>
      <c r="G65" s="194"/>
      <c r="H65" s="194"/>
      <c r="I65" s="195"/>
      <c r="J65" s="128">
        <v>15</v>
      </c>
      <c r="L65" s="2"/>
      <c r="M65" s="2"/>
      <c r="N65" s="2"/>
    </row>
    <row r="66" spans="1:14" s="4" customFormat="1">
      <c r="A66" s="41">
        <v>11</v>
      </c>
      <c r="B66" s="193" t="s">
        <v>110</v>
      </c>
      <c r="C66" s="194"/>
      <c r="D66" s="194"/>
      <c r="E66" s="194"/>
      <c r="F66" s="194"/>
      <c r="G66" s="194"/>
      <c r="H66" s="194"/>
      <c r="I66" s="195"/>
      <c r="J66" s="167">
        <v>25</v>
      </c>
      <c r="K66" s="4" t="s">
        <v>147</v>
      </c>
      <c r="L66" s="2" t="str">
        <f>VLOOKUP(B66,[1]Sheet!$A:$I,9,0)</f>
        <v>матрица</v>
      </c>
      <c r="M66" s="2">
        <f>VLOOKUP(B66,[1]Sheet!$A:$AF,32,0)</f>
        <v>0</v>
      </c>
      <c r="N66" s="2"/>
    </row>
    <row r="67" spans="1:14" s="4" customFormat="1">
      <c r="A67" s="41">
        <v>12</v>
      </c>
      <c r="B67" s="193" t="s">
        <v>99</v>
      </c>
      <c r="C67" s="194"/>
      <c r="D67" s="194"/>
      <c r="E67" s="194"/>
      <c r="F67" s="194"/>
      <c r="G67" s="194"/>
      <c r="H67" s="194"/>
      <c r="I67" s="195"/>
      <c r="J67" s="166">
        <v>10</v>
      </c>
      <c r="K67" s="4" t="s">
        <v>147</v>
      </c>
      <c r="L67" s="2" t="str">
        <f>VLOOKUP(B67,[1]Sheet!$A:$I,9,0)</f>
        <v>матрица</v>
      </c>
      <c r="M67" s="2" t="str">
        <f>VLOOKUP(B67,[1]Sheet!$A:$AF,32,0)</f>
        <v>374шт списание (11,08,26)</v>
      </c>
      <c r="N67" s="2"/>
    </row>
    <row r="68" spans="1:14" s="4" customFormat="1">
      <c r="A68" s="131">
        <v>13</v>
      </c>
      <c r="B68" s="189" t="s">
        <v>101</v>
      </c>
      <c r="C68" s="189"/>
      <c r="D68" s="189"/>
      <c r="E68" s="189"/>
      <c r="F68" s="189"/>
      <c r="G68" s="189"/>
      <c r="H68" s="189"/>
      <c r="I68" s="189"/>
      <c r="J68" s="132">
        <v>10</v>
      </c>
      <c r="L68" s="2"/>
      <c r="M68" s="2"/>
      <c r="N68" s="2"/>
    </row>
    <row r="69" spans="1:14" s="4" customFormat="1">
      <c r="A69" s="131">
        <v>14</v>
      </c>
      <c r="B69" s="189" t="s">
        <v>122</v>
      </c>
      <c r="C69" s="189"/>
      <c r="D69" s="189"/>
      <c r="E69" s="189"/>
      <c r="F69" s="189"/>
      <c r="G69" s="189"/>
      <c r="H69" s="189"/>
      <c r="I69" s="189"/>
      <c r="J69" s="168">
        <v>6</v>
      </c>
      <c r="K69" s="4" t="s">
        <v>147</v>
      </c>
      <c r="L69" s="2" t="str">
        <f>VLOOKUP(B69,[1]Sheet!$A:$I,9,0)</f>
        <v>матрица</v>
      </c>
      <c r="M69" s="2">
        <f>VLOOKUP(B69,[1]Sheet!$A:$AF,32,0)</f>
        <v>0</v>
      </c>
      <c r="N69" s="2"/>
    </row>
    <row r="70" spans="1:14" s="4" customFormat="1">
      <c r="A70" s="131">
        <v>15</v>
      </c>
      <c r="B70" s="189" t="s">
        <v>123</v>
      </c>
      <c r="C70" s="189"/>
      <c r="D70" s="189"/>
      <c r="E70" s="189"/>
      <c r="F70" s="189"/>
      <c r="G70" s="189"/>
      <c r="H70" s="189"/>
      <c r="I70" s="189"/>
      <c r="J70" s="168">
        <v>8</v>
      </c>
      <c r="K70" s="4" t="s">
        <v>147</v>
      </c>
      <c r="L70" s="2" t="str">
        <f>VLOOKUP(B70,[1]Sheet!$A:$I,9,0)</f>
        <v>увеличить / матрица</v>
      </c>
      <c r="M70" s="2" t="str">
        <f>VLOOKUP(B70,[1]Sheet!$A:$AF,32,0)</f>
        <v>34шт списание (11,08,26)</v>
      </c>
      <c r="N70" s="2"/>
    </row>
    <row r="71" spans="1:14" s="4" customFormat="1" hidden="1">
      <c r="A71" s="131">
        <v>16</v>
      </c>
      <c r="B71" s="189" t="s">
        <v>124</v>
      </c>
      <c r="C71" s="189"/>
      <c r="D71" s="189"/>
      <c r="E71" s="189"/>
      <c r="F71" s="189"/>
      <c r="G71" s="189"/>
      <c r="H71" s="189"/>
      <c r="I71" s="189"/>
      <c r="J71" s="132">
        <v>10</v>
      </c>
      <c r="L71" s="2"/>
      <c r="M71" s="2"/>
      <c r="N71" s="2"/>
    </row>
    <row r="72" spans="1:14" s="4" customFormat="1" hidden="1">
      <c r="A72" s="131">
        <v>17</v>
      </c>
      <c r="B72" s="189" t="s">
        <v>125</v>
      </c>
      <c r="C72" s="189"/>
      <c r="D72" s="189"/>
      <c r="E72" s="189"/>
      <c r="F72" s="189"/>
      <c r="G72" s="189"/>
      <c r="H72" s="189"/>
      <c r="I72" s="189"/>
      <c r="J72" s="132">
        <v>11</v>
      </c>
      <c r="L72" s="2"/>
      <c r="M72" s="2"/>
      <c r="N72" s="2"/>
    </row>
    <row r="73" spans="1:14" s="4" customFormat="1" hidden="1">
      <c r="A73" s="131">
        <v>18</v>
      </c>
      <c r="B73" s="189" t="s">
        <v>126</v>
      </c>
      <c r="C73" s="189"/>
      <c r="D73" s="189"/>
      <c r="E73" s="189"/>
      <c r="F73" s="189"/>
      <c r="G73" s="189"/>
      <c r="H73" s="189"/>
      <c r="I73" s="189"/>
      <c r="J73" s="132">
        <v>6</v>
      </c>
      <c r="L73" s="2"/>
      <c r="M73" s="2"/>
      <c r="N73" s="2"/>
    </row>
    <row r="74" spans="1:14" s="4" customFormat="1" hidden="1">
      <c r="A74" s="131">
        <v>19</v>
      </c>
      <c r="B74" s="189" t="s">
        <v>113</v>
      </c>
      <c r="C74" s="189"/>
      <c r="D74" s="189"/>
      <c r="E74" s="189"/>
      <c r="F74" s="189"/>
      <c r="G74" s="189"/>
      <c r="H74" s="189"/>
      <c r="I74" s="189"/>
      <c r="J74" s="132">
        <v>10</v>
      </c>
      <c r="L74" s="2"/>
      <c r="M74" s="2"/>
      <c r="N74" s="2"/>
    </row>
    <row r="75" spans="1:14" s="4" customFormat="1" hidden="1">
      <c r="A75" s="131">
        <v>20</v>
      </c>
      <c r="B75" s="189" t="s">
        <v>72</v>
      </c>
      <c r="C75" s="189"/>
      <c r="D75" s="189"/>
      <c r="E75" s="189"/>
      <c r="F75" s="189"/>
      <c r="G75" s="189"/>
      <c r="H75" s="189"/>
      <c r="I75" s="189"/>
      <c r="J75" s="132">
        <v>9</v>
      </c>
      <c r="L75" s="2"/>
      <c r="M75" s="2"/>
      <c r="N75" s="2"/>
    </row>
    <row r="76" spans="1:14" s="4" customFormat="1" hidden="1">
      <c r="A76" s="131">
        <v>21</v>
      </c>
      <c r="B76" s="189" t="s">
        <v>127</v>
      </c>
      <c r="C76" s="189"/>
      <c r="D76" s="189"/>
      <c r="E76" s="189"/>
      <c r="F76" s="189"/>
      <c r="G76" s="189"/>
      <c r="H76" s="189"/>
      <c r="I76" s="189"/>
      <c r="J76" s="132">
        <v>30</v>
      </c>
      <c r="L76" s="2"/>
      <c r="M76" s="2"/>
      <c r="N76" s="2"/>
    </row>
    <row r="77" spans="1:14" s="4" customFormat="1" hidden="1">
      <c r="A77" s="131">
        <v>22</v>
      </c>
      <c r="B77" s="189" t="s">
        <v>128</v>
      </c>
      <c r="C77" s="189"/>
      <c r="D77" s="189"/>
      <c r="E77" s="189"/>
      <c r="F77" s="189"/>
      <c r="G77" s="189"/>
      <c r="H77" s="189"/>
      <c r="I77" s="189"/>
      <c r="J77" s="132">
        <v>15</v>
      </c>
      <c r="L77" s="2"/>
      <c r="M77" s="2"/>
      <c r="N77" s="2"/>
    </row>
    <row r="78" spans="1:14" s="4" customFormat="1" hidden="1">
      <c r="A78" s="131">
        <v>23</v>
      </c>
      <c r="B78" s="189" t="s">
        <v>129</v>
      </c>
      <c r="C78" s="189"/>
      <c r="D78" s="189"/>
      <c r="E78" s="189"/>
      <c r="F78" s="189"/>
      <c r="G78" s="189"/>
      <c r="H78" s="189"/>
      <c r="I78" s="189"/>
      <c r="J78" s="132">
        <v>20</v>
      </c>
      <c r="L78" s="2"/>
      <c r="M78" s="2"/>
      <c r="N78" s="2"/>
    </row>
    <row r="79" spans="1:14" s="4" customFormat="1" hidden="1">
      <c r="A79" s="131">
        <v>24</v>
      </c>
      <c r="B79" s="189" t="s">
        <v>130</v>
      </c>
      <c r="C79" s="189"/>
      <c r="D79" s="189"/>
      <c r="E79" s="189"/>
      <c r="F79" s="189"/>
      <c r="G79" s="189"/>
      <c r="H79" s="189"/>
      <c r="I79" s="189"/>
      <c r="J79" s="132">
        <v>20</v>
      </c>
      <c r="L79" s="2"/>
      <c r="M79" s="2"/>
      <c r="N79" s="2"/>
    </row>
    <row r="80" spans="1:14" s="4" customFormat="1" hidden="1">
      <c r="A80" s="131">
        <v>25</v>
      </c>
      <c r="B80" s="189" t="s">
        <v>131</v>
      </c>
      <c r="C80" s="189"/>
      <c r="D80" s="189"/>
      <c r="E80" s="189"/>
      <c r="F80" s="189"/>
      <c r="G80" s="189"/>
      <c r="H80" s="189"/>
      <c r="I80" s="189"/>
      <c r="J80" s="132">
        <v>10</v>
      </c>
      <c r="L80" s="2"/>
      <c r="M80" s="2"/>
      <c r="N80" s="2"/>
    </row>
    <row r="81" spans="1:14" s="4" customFormat="1" hidden="1">
      <c r="A81" s="131">
        <v>26</v>
      </c>
      <c r="B81" s="189" t="s">
        <v>132</v>
      </c>
      <c r="C81" s="189"/>
      <c r="D81" s="189"/>
      <c r="E81" s="189"/>
      <c r="F81" s="189"/>
      <c r="G81" s="189"/>
      <c r="H81" s="189"/>
      <c r="I81" s="189"/>
      <c r="J81" s="132">
        <v>9</v>
      </c>
      <c r="L81" s="2"/>
      <c r="M81" s="2"/>
      <c r="N81" s="2"/>
    </row>
    <row r="82" spans="1:14" s="4" customFormat="1" hidden="1">
      <c r="A82" s="131">
        <v>27</v>
      </c>
      <c r="B82" s="189" t="s">
        <v>133</v>
      </c>
      <c r="C82" s="189"/>
      <c r="D82" s="189"/>
      <c r="E82" s="189"/>
      <c r="F82" s="189"/>
      <c r="G82" s="189"/>
      <c r="H82" s="189"/>
      <c r="I82" s="189"/>
      <c r="J82" s="132">
        <v>15</v>
      </c>
      <c r="L82" s="2"/>
      <c r="M82" s="2"/>
      <c r="N82" s="2"/>
    </row>
    <row r="83" spans="1:14" s="4" customFormat="1" hidden="1">
      <c r="A83" s="131">
        <v>28</v>
      </c>
      <c r="B83" s="189" t="s">
        <v>134</v>
      </c>
      <c r="C83" s="189"/>
      <c r="D83" s="189"/>
      <c r="E83" s="189"/>
      <c r="F83" s="189"/>
      <c r="G83" s="189"/>
      <c r="H83" s="189"/>
      <c r="I83" s="189"/>
      <c r="J83" s="132">
        <v>30</v>
      </c>
      <c r="L83" s="2"/>
      <c r="M83" s="2"/>
      <c r="N83" s="2"/>
    </row>
    <row r="84" spans="1:14" s="4" customFormat="1" hidden="1">
      <c r="A84" s="131">
        <v>29</v>
      </c>
      <c r="B84" s="189" t="s">
        <v>135</v>
      </c>
      <c r="C84" s="189"/>
      <c r="D84" s="189"/>
      <c r="E84" s="189"/>
      <c r="F84" s="189"/>
      <c r="G84" s="189"/>
      <c r="H84" s="189"/>
      <c r="I84" s="189"/>
      <c r="J84" s="132">
        <v>15</v>
      </c>
      <c r="L84" s="2"/>
      <c r="M84" s="2"/>
      <c r="N84" s="2"/>
    </row>
    <row r="85" spans="1:14" s="4" customFormat="1" hidden="1">
      <c r="A85" s="131">
        <v>30</v>
      </c>
      <c r="B85" s="189" t="s">
        <v>136</v>
      </c>
      <c r="C85" s="189"/>
      <c r="D85" s="189"/>
      <c r="E85" s="189"/>
      <c r="F85" s="189"/>
      <c r="G85" s="189"/>
      <c r="H85" s="189"/>
      <c r="I85" s="189"/>
      <c r="J85" s="132">
        <v>30</v>
      </c>
      <c r="L85" s="2"/>
      <c r="M85" s="2"/>
      <c r="N85" s="2"/>
    </row>
    <row r="86" spans="1:14" s="4" customFormat="1" hidden="1">
      <c r="A86" s="131">
        <v>31</v>
      </c>
      <c r="B86" s="189" t="s">
        <v>137</v>
      </c>
      <c r="C86" s="189"/>
      <c r="D86" s="189"/>
      <c r="E86" s="189"/>
      <c r="F86" s="189"/>
      <c r="G86" s="189"/>
      <c r="H86" s="189"/>
      <c r="I86" s="189"/>
      <c r="J86" s="132">
        <v>15</v>
      </c>
      <c r="L86" s="2"/>
      <c r="M86" s="2"/>
      <c r="N86" s="2"/>
    </row>
    <row r="87" spans="1:14" s="4" customFormat="1" hidden="1">
      <c r="A87" s="131">
        <v>32</v>
      </c>
      <c r="B87" s="189" t="s">
        <v>138</v>
      </c>
      <c r="C87" s="189"/>
      <c r="D87" s="189"/>
      <c r="E87" s="189"/>
      <c r="F87" s="189"/>
      <c r="G87" s="189"/>
      <c r="H87" s="189"/>
      <c r="I87" s="189"/>
      <c r="J87" s="132">
        <v>20</v>
      </c>
      <c r="L87" s="2"/>
      <c r="M87" s="2"/>
      <c r="N87" s="2"/>
    </row>
    <row r="88" spans="1:14" s="4" customFormat="1" hidden="1">
      <c r="A88" s="131">
        <v>33</v>
      </c>
      <c r="B88" s="189" t="s">
        <v>139</v>
      </c>
      <c r="C88" s="189"/>
      <c r="D88" s="189"/>
      <c r="E88" s="189"/>
      <c r="F88" s="189"/>
      <c r="G88" s="189"/>
      <c r="H88" s="189"/>
      <c r="I88" s="189"/>
      <c r="J88" s="132">
        <v>50</v>
      </c>
      <c r="L88" s="2"/>
      <c r="M88" s="2"/>
      <c r="N88" s="2"/>
    </row>
    <row r="89" spans="1:14" s="4" customFormat="1" hidden="1">
      <c r="A89" s="131">
        <v>34</v>
      </c>
      <c r="B89" s="189" t="s">
        <v>140</v>
      </c>
      <c r="C89" s="189"/>
      <c r="D89" s="189"/>
      <c r="E89" s="189"/>
      <c r="F89" s="189"/>
      <c r="G89" s="189"/>
      <c r="H89" s="189"/>
      <c r="I89" s="189"/>
      <c r="J89" s="132">
        <v>20</v>
      </c>
      <c r="L89" s="2"/>
      <c r="M89" s="2"/>
      <c r="N89" s="2"/>
    </row>
    <row r="90" spans="1:14" s="4" customFormat="1" hidden="1">
      <c r="A90" s="131">
        <v>35</v>
      </c>
      <c r="B90" s="189" t="s">
        <v>141</v>
      </c>
      <c r="C90" s="189"/>
      <c r="D90" s="189"/>
      <c r="E90" s="189"/>
      <c r="F90" s="189"/>
      <c r="G90" s="189"/>
      <c r="H90" s="189"/>
      <c r="I90" s="189"/>
      <c r="J90" s="132">
        <v>100</v>
      </c>
      <c r="L90" s="2"/>
      <c r="M90" s="2"/>
      <c r="N90" s="2"/>
    </row>
    <row r="91" spans="1:14" s="4" customFormat="1" ht="15.75" hidden="1" thickBot="1">
      <c r="A91" s="129"/>
      <c r="B91" s="190" t="s">
        <v>15</v>
      </c>
      <c r="C91" s="191"/>
      <c r="D91" s="191"/>
      <c r="E91" s="191"/>
      <c r="F91" s="191"/>
      <c r="G91" s="191"/>
      <c r="H91" s="191"/>
      <c r="I91" s="192"/>
      <c r="J91" s="130">
        <f>SUM(J56:J90)</f>
        <v>606</v>
      </c>
      <c r="L91" s="2"/>
      <c r="M91" s="2"/>
      <c r="N91" s="2"/>
    </row>
  </sheetData>
  <autoFilter ref="A55:J91" xr:uid="{A4A60B04-8ACB-40D2-B5E6-8D1E233EDEB2}">
    <filterColumn colId="1" showButton="0">
      <filters>
        <filter val="4063 МЯСНАЯ Папа может вар п/о_Л   ОСТАНКИНО"/>
        <filter val="4421577 Спред растительно-сливочный &quot;Сливочный вкус&quot; 82,5% 180гр  Останкино"/>
        <filter val="5931 ОХОТНИЧЬЯ Папа может с/к в/у 1/220 8шт.   ОСТАНКИНО"/>
        <filter val="6008 САЛО СОЛЕНОЕ С ЧЕРНЫМ ПЕРЦЕМ мл/к в/у ОСТАНКИНО"/>
        <filter val="6209 Блинчики с куриным мясом пл. 1/350 зам. ОСТАНКИНО"/>
        <filter val="6470 ВЕТЧ.МРАМОРНАЯ в/у_45с  ОСТАНКИНО"/>
        <filter val="6713 СОЧНЫЙ ГРИЛЬ ПМ сос п/о мгс 0,41кг 8 шт.  ОСТАНКИНО"/>
        <filter val="6797 С ИНДЕЙКОЙ Папа может вар п/о 0,4кг 8шт. ОСТАНКИНО"/>
        <filter val="7083 СЛИВОЧНЫЕ ПМ сос п/о мгс 1.5*4_А_50с  ОСТАНКИНО"/>
        <filter val="7216 СОЧНЫЕ СО СЛ.МАСЛ.ПМ пельм пл.0.7кг зам. ОСТАНКИНО"/>
        <filter val="7513 ВОСКРЕСЕНСКАЯ ВЯЛЕНАЯ в/к в/у срез 1/260  ОСТАНКИНО"/>
        <filter val="7539 ДОКТОРСКАЯ ГОСТ вар п/о 0,35кг ОСТАНКИНО"/>
        <filter val="7564 Балыковая в/к в/у Останкино Вес  ОСТАНКИНО"/>
        <filter val="7603 БАЛЫКОВАЯ в/к в/у 0.33кг 8шт. ОСТАНКИНО"/>
        <filter val="Сыр ПАПА МОЖЕТ &quot;Голландский традиционный&quot; 45% 180 гр (10шт)  Останкино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101">
    <mergeCell ref="A1:C1"/>
    <mergeCell ref="E1:H1"/>
    <mergeCell ref="J1:K1"/>
    <mergeCell ref="A2:C2"/>
    <mergeCell ref="F2:H2"/>
    <mergeCell ref="J2:K2"/>
    <mergeCell ref="J6:J7"/>
    <mergeCell ref="K6:L6"/>
    <mergeCell ref="A21:F21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E47:F47"/>
    <mergeCell ref="G47:H47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C51:D51"/>
    <mergeCell ref="E51:F51"/>
    <mergeCell ref="G51:H51"/>
    <mergeCell ref="I51:J51"/>
    <mergeCell ref="A54:J54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B62:I62"/>
    <mergeCell ref="B63:I63"/>
    <mergeCell ref="B64:I64"/>
    <mergeCell ref="B65:I65"/>
    <mergeCell ref="B66:I66"/>
    <mergeCell ref="B67:I67"/>
    <mergeCell ref="B56:I56"/>
    <mergeCell ref="B57:I57"/>
    <mergeCell ref="B58:I58"/>
    <mergeCell ref="B59:I59"/>
    <mergeCell ref="B60:I60"/>
    <mergeCell ref="B61:I61"/>
    <mergeCell ref="B74:I74"/>
    <mergeCell ref="B75:I75"/>
    <mergeCell ref="B76:I76"/>
    <mergeCell ref="B77:I77"/>
    <mergeCell ref="B78:I78"/>
    <mergeCell ref="B79:I79"/>
    <mergeCell ref="B68:I68"/>
    <mergeCell ref="B69:I69"/>
    <mergeCell ref="B70:I70"/>
    <mergeCell ref="B71:I71"/>
    <mergeCell ref="B72:I72"/>
    <mergeCell ref="B73:I73"/>
    <mergeCell ref="B89:I89"/>
    <mergeCell ref="B90:I90"/>
    <mergeCell ref="B80:I80"/>
    <mergeCell ref="B81:I81"/>
    <mergeCell ref="B91:I91"/>
    <mergeCell ref="B82:I82"/>
    <mergeCell ref="B83:I83"/>
    <mergeCell ref="B84:I84"/>
    <mergeCell ref="B85:I85"/>
    <mergeCell ref="B86:I86"/>
    <mergeCell ref="B87:I87"/>
    <mergeCell ref="B88:I88"/>
  </mergeCells>
  <pageMargins left="0" right="0" top="0.59055118110236204" bottom="0" header="0" footer="0"/>
  <pageSetup paperSize="9" scale="5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FF00"/>
    <pageSetUpPr fitToPage="1"/>
  </sheetPr>
  <dimension ref="A1:N91"/>
  <sheetViews>
    <sheetView tabSelected="1" topLeftCell="A43" zoomScale="85" zoomScaleNormal="85" workbookViewId="0">
      <pane xSplit="3" topLeftCell="D1" activePane="topRight" state="frozen"/>
      <selection pane="topRight" activeCell="S70" sqref="S70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3.7109375" style="175" customWidth="1"/>
    <col min="12" max="12" width="28.71093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0" t="s">
        <v>41</v>
      </c>
      <c r="B1" s="260"/>
      <c r="C1" s="260"/>
      <c r="D1" s="1"/>
      <c r="E1" s="260" t="s">
        <v>24</v>
      </c>
      <c r="F1" s="260"/>
      <c r="G1" s="260"/>
      <c r="H1" s="260"/>
      <c r="I1" s="159"/>
      <c r="J1" s="262">
        <v>8</v>
      </c>
      <c r="K1" s="284"/>
    </row>
    <row r="2" spans="1:12" ht="28.5">
      <c r="A2" s="263">
        <v>46312</v>
      </c>
      <c r="B2" s="264"/>
      <c r="C2" s="264"/>
      <c r="D2" s="3"/>
      <c r="E2" s="3"/>
      <c r="F2" s="265"/>
      <c r="G2" s="265"/>
      <c r="H2" s="265"/>
      <c r="I2" s="160"/>
      <c r="J2" s="265"/>
      <c r="K2" s="285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88"/>
    </row>
    <row r="4" spans="1:12" ht="18" customHeight="1">
      <c r="A4" s="250" t="s">
        <v>25</v>
      </c>
      <c r="B4" s="251"/>
      <c r="C4" s="251"/>
      <c r="D4" s="251"/>
      <c r="E4" s="251"/>
      <c r="F4" s="251"/>
      <c r="G4" s="251"/>
      <c r="H4" s="251"/>
      <c r="I4" s="251"/>
      <c r="J4" s="251"/>
      <c r="K4" s="289"/>
      <c r="L4" s="252"/>
    </row>
    <row r="5" spans="1:12" s="8" customFormat="1" ht="18" customHeight="1">
      <c r="A5" s="66">
        <v>1</v>
      </c>
      <c r="B5" s="20">
        <v>2</v>
      </c>
      <c r="C5" s="20">
        <v>3</v>
      </c>
      <c r="D5" s="20">
        <v>4</v>
      </c>
      <c r="E5" s="20">
        <v>5</v>
      </c>
      <c r="F5" s="20">
        <v>6</v>
      </c>
      <c r="G5" s="20">
        <v>7</v>
      </c>
      <c r="H5" s="20">
        <v>8</v>
      </c>
      <c r="I5" s="20">
        <v>9</v>
      </c>
      <c r="J5" s="20">
        <v>10</v>
      </c>
      <c r="K5" s="170">
        <v>10</v>
      </c>
      <c r="L5" s="67">
        <v>11</v>
      </c>
    </row>
    <row r="6" spans="1:12" ht="82.9" customHeight="1">
      <c r="A6" s="253" t="s">
        <v>1</v>
      </c>
      <c r="B6" s="254" t="s">
        <v>2</v>
      </c>
      <c r="C6" s="254" t="s">
        <v>3</v>
      </c>
      <c r="D6" s="254" t="s">
        <v>4</v>
      </c>
      <c r="E6" s="161" t="s">
        <v>5</v>
      </c>
      <c r="F6" s="254" t="s">
        <v>6</v>
      </c>
      <c r="G6" s="255" t="s">
        <v>7</v>
      </c>
      <c r="H6" s="256" t="s">
        <v>8</v>
      </c>
      <c r="I6" s="254" t="s">
        <v>9</v>
      </c>
      <c r="J6" s="257" t="s">
        <v>30</v>
      </c>
      <c r="K6" s="286" t="s">
        <v>10</v>
      </c>
      <c r="L6" s="259"/>
    </row>
    <row r="7" spans="1:12" s="8" customFormat="1" ht="63.6" customHeight="1">
      <c r="A7" s="253"/>
      <c r="B7" s="254"/>
      <c r="C7" s="254"/>
      <c r="D7" s="254"/>
      <c r="E7" s="161" t="s">
        <v>11</v>
      </c>
      <c r="F7" s="254"/>
      <c r="G7" s="255"/>
      <c r="H7" s="256"/>
      <c r="I7" s="254"/>
      <c r="J7" s="225"/>
      <c r="K7" s="171" t="s">
        <v>7</v>
      </c>
      <c r="L7" s="68" t="s">
        <v>8</v>
      </c>
    </row>
    <row r="8" spans="1:12" s="8" customFormat="1">
      <c r="A8" s="83">
        <v>1</v>
      </c>
      <c r="B8" s="84" t="s">
        <v>42</v>
      </c>
      <c r="C8" s="84" t="s">
        <v>43</v>
      </c>
      <c r="D8" s="114" t="s">
        <v>65</v>
      </c>
      <c r="E8" s="63" t="s">
        <v>47</v>
      </c>
      <c r="F8" s="42">
        <v>0.28472222222222221</v>
      </c>
      <c r="G8" s="23">
        <v>17</v>
      </c>
      <c r="H8" s="27">
        <v>539.15</v>
      </c>
      <c r="I8" s="24">
        <v>0.58333333333333337</v>
      </c>
      <c r="J8" s="22">
        <f>I8-F8</f>
        <v>0.29861111111111116</v>
      </c>
      <c r="K8" s="172"/>
      <c r="L8" s="74"/>
    </row>
    <row r="9" spans="1:12">
      <c r="A9" s="83">
        <v>2</v>
      </c>
      <c r="B9" s="84" t="s">
        <v>42</v>
      </c>
      <c r="C9" s="84" t="s">
        <v>44</v>
      </c>
      <c r="D9" s="114" t="s">
        <v>64</v>
      </c>
      <c r="E9" s="85" t="s">
        <v>48</v>
      </c>
      <c r="F9" s="42">
        <v>0.29166666666666669</v>
      </c>
      <c r="G9" s="23">
        <v>25</v>
      </c>
      <c r="H9" s="27">
        <v>707.75300000000004</v>
      </c>
      <c r="I9" s="24">
        <v>0.60416666666666663</v>
      </c>
      <c r="J9" s="22">
        <f t="shared" ref="J9:J12" si="0">I9-F9</f>
        <v>0.31249999999999994</v>
      </c>
      <c r="K9" s="172"/>
      <c r="L9" s="74"/>
    </row>
    <row r="10" spans="1:12">
      <c r="A10" s="21">
        <v>3</v>
      </c>
      <c r="B10" s="63" t="s">
        <v>42</v>
      </c>
      <c r="C10" s="62" t="s">
        <v>45</v>
      </c>
      <c r="D10" s="114" t="s">
        <v>68</v>
      </c>
      <c r="E10" s="86" t="s">
        <v>47</v>
      </c>
      <c r="F10" s="42"/>
      <c r="G10" s="23"/>
      <c r="H10" s="27"/>
      <c r="I10" s="24"/>
      <c r="J10" s="22">
        <f t="shared" si="0"/>
        <v>0</v>
      </c>
      <c r="K10" s="172"/>
      <c r="L10" s="74"/>
    </row>
    <row r="11" spans="1:12">
      <c r="A11" s="83">
        <v>4</v>
      </c>
      <c r="B11" s="63" t="s">
        <v>42</v>
      </c>
      <c r="C11" s="62" t="s">
        <v>46</v>
      </c>
      <c r="D11" s="114" t="s">
        <v>61</v>
      </c>
      <c r="E11" s="63" t="s">
        <v>48</v>
      </c>
      <c r="F11" s="42"/>
      <c r="G11" s="23"/>
      <c r="H11" s="27"/>
      <c r="I11" s="24"/>
      <c r="J11" s="22">
        <f t="shared" si="0"/>
        <v>0</v>
      </c>
      <c r="K11" s="172"/>
      <c r="L11" s="74"/>
    </row>
    <row r="12" spans="1:12">
      <c r="A12" s="69">
        <v>5</v>
      </c>
      <c r="B12" s="93" t="s">
        <v>51</v>
      </c>
      <c r="C12" s="84" t="s">
        <v>57</v>
      </c>
      <c r="D12" s="118" t="s">
        <v>60</v>
      </c>
      <c r="E12" s="85" t="s">
        <v>48</v>
      </c>
      <c r="F12" s="24">
        <v>0.2951388888888889</v>
      </c>
      <c r="G12" s="23">
        <v>43</v>
      </c>
      <c r="H12" s="27">
        <v>836.572</v>
      </c>
      <c r="I12" s="24">
        <v>0.625</v>
      </c>
      <c r="J12" s="22">
        <f t="shared" si="0"/>
        <v>0.3298611111111111</v>
      </c>
      <c r="K12" s="172"/>
      <c r="L12" s="74"/>
    </row>
    <row r="13" spans="1:12">
      <c r="A13" s="69">
        <v>6</v>
      </c>
      <c r="B13" s="62" t="s">
        <v>51</v>
      </c>
      <c r="C13" s="84" t="s">
        <v>52</v>
      </c>
      <c r="D13" s="164"/>
      <c r="E13" s="86" t="s">
        <v>47</v>
      </c>
      <c r="F13" s="24"/>
      <c r="G13" s="23"/>
      <c r="H13" s="27"/>
      <c r="I13" s="24"/>
      <c r="J13" s="22"/>
      <c r="K13" s="172"/>
      <c r="L13" s="74"/>
    </row>
    <row r="14" spans="1:12">
      <c r="A14" s="69">
        <v>7</v>
      </c>
      <c r="B14" s="70"/>
      <c r="C14" s="71"/>
      <c r="D14" s="72"/>
      <c r="E14" s="73"/>
      <c r="F14" s="24"/>
      <c r="G14" s="23"/>
      <c r="H14" s="27"/>
      <c r="I14" s="24"/>
      <c r="J14" s="22"/>
      <c r="K14" s="172"/>
      <c r="L14" s="74"/>
    </row>
    <row r="15" spans="1:12">
      <c r="A15" s="69">
        <v>8</v>
      </c>
      <c r="B15" s="70"/>
      <c r="C15" s="71"/>
      <c r="D15" s="72"/>
      <c r="E15" s="73"/>
      <c r="F15" s="24"/>
      <c r="G15" s="23"/>
      <c r="H15" s="27"/>
      <c r="I15" s="24"/>
      <c r="J15" s="22"/>
      <c r="K15" s="172"/>
      <c r="L15" s="74"/>
    </row>
    <row r="16" spans="1:12">
      <c r="A16" s="69">
        <v>9</v>
      </c>
      <c r="B16" s="70"/>
      <c r="C16" s="71"/>
      <c r="D16" s="72"/>
      <c r="E16" s="73"/>
      <c r="F16" s="24"/>
      <c r="G16" s="23"/>
      <c r="H16" s="27"/>
      <c r="I16" s="24"/>
      <c r="J16" s="22"/>
      <c r="K16" s="172"/>
      <c r="L16" s="74"/>
    </row>
    <row r="17" spans="1:14">
      <c r="A17" s="69">
        <v>10</v>
      </c>
      <c r="B17" s="70"/>
      <c r="C17" s="71"/>
      <c r="D17" s="72"/>
      <c r="E17" s="73"/>
      <c r="F17" s="24"/>
      <c r="G17" s="23"/>
      <c r="H17" s="27"/>
      <c r="I17" s="24"/>
      <c r="J17" s="22"/>
      <c r="K17" s="172"/>
      <c r="L17" s="74"/>
    </row>
    <row r="18" spans="1:14">
      <c r="A18" s="69">
        <v>11</v>
      </c>
      <c r="B18" s="70"/>
      <c r="C18" s="71"/>
      <c r="D18" s="72"/>
      <c r="E18" s="73"/>
      <c r="F18" s="24"/>
      <c r="G18" s="23"/>
      <c r="H18" s="27"/>
      <c r="I18" s="24"/>
      <c r="J18" s="22"/>
      <c r="K18" s="172"/>
      <c r="L18" s="74"/>
    </row>
    <row r="19" spans="1:14">
      <c r="A19" s="69">
        <v>12</v>
      </c>
      <c r="B19" s="70"/>
      <c r="C19" s="71"/>
      <c r="D19" s="72"/>
      <c r="E19" s="73"/>
      <c r="F19" s="24"/>
      <c r="G19" s="23"/>
      <c r="H19" s="27"/>
      <c r="I19" s="24"/>
      <c r="J19" s="22"/>
      <c r="K19" s="173"/>
      <c r="L19" s="74"/>
    </row>
    <row r="20" spans="1:14">
      <c r="A20" s="69">
        <v>13</v>
      </c>
      <c r="B20" s="70"/>
      <c r="C20" s="71"/>
      <c r="D20" s="72"/>
      <c r="E20" s="73"/>
      <c r="F20" s="24"/>
      <c r="G20" s="23"/>
      <c r="H20" s="27"/>
      <c r="I20" s="24"/>
      <c r="J20" s="22"/>
      <c r="K20" s="173"/>
      <c r="L20" s="76"/>
    </row>
    <row r="21" spans="1:14" ht="15.75" thickBot="1">
      <c r="A21" s="270" t="s">
        <v>15</v>
      </c>
      <c r="B21" s="271"/>
      <c r="C21" s="271"/>
      <c r="D21" s="271"/>
      <c r="E21" s="271"/>
      <c r="F21" s="272"/>
      <c r="G21" s="77">
        <f>SUM(G8:G20)</f>
        <v>85</v>
      </c>
      <c r="H21" s="77">
        <f>SUM(H8:H20)</f>
        <v>2083.4749999999999</v>
      </c>
      <c r="I21" s="78"/>
      <c r="J21" s="78"/>
      <c r="K21" s="174">
        <f>SUM(K8:K20)</f>
        <v>0</v>
      </c>
      <c r="L21" s="79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8"/>
    </row>
    <row r="24" spans="1:14" ht="18.75">
      <c r="A24" s="277" t="s">
        <v>26</v>
      </c>
      <c r="B24" s="278"/>
      <c r="C24" s="278"/>
      <c r="D24" s="278"/>
      <c r="E24" s="278"/>
      <c r="F24" s="278"/>
      <c r="G24" s="278"/>
      <c r="H24" s="278"/>
      <c r="I24" s="279"/>
      <c r="J24" s="8"/>
      <c r="K24" s="176"/>
      <c r="L24" s="8"/>
      <c r="N24" s="48"/>
    </row>
    <row r="25" spans="1:14">
      <c r="A25" s="32">
        <v>1</v>
      </c>
      <c r="B25" s="82">
        <v>2</v>
      </c>
      <c r="C25" s="82">
        <v>3</v>
      </c>
      <c r="D25" s="82">
        <v>4</v>
      </c>
      <c r="E25" s="82">
        <v>5</v>
      </c>
      <c r="F25" s="82">
        <v>6</v>
      </c>
      <c r="G25" s="82">
        <v>7</v>
      </c>
      <c r="H25" s="82">
        <v>8</v>
      </c>
      <c r="I25" s="33">
        <v>9</v>
      </c>
      <c r="J25" s="8"/>
      <c r="K25" s="176"/>
      <c r="N25" s="48"/>
    </row>
    <row r="26" spans="1:14" ht="30">
      <c r="A26" s="60" t="s">
        <v>1</v>
      </c>
      <c r="B26" s="161" t="s">
        <v>2</v>
      </c>
      <c r="C26" s="161" t="s">
        <v>3</v>
      </c>
      <c r="D26" s="161" t="s">
        <v>27</v>
      </c>
      <c r="E26" s="161" t="s">
        <v>6</v>
      </c>
      <c r="F26" s="161" t="s">
        <v>28</v>
      </c>
      <c r="G26" s="161" t="s">
        <v>8</v>
      </c>
      <c r="H26" s="161" t="s">
        <v>31</v>
      </c>
      <c r="I26" s="34" t="s">
        <v>30</v>
      </c>
      <c r="J26" s="8"/>
      <c r="K26" s="176"/>
      <c r="L26" s="8"/>
      <c r="N26" s="48"/>
    </row>
    <row r="27" spans="1:14">
      <c r="A27" s="64">
        <v>14</v>
      </c>
      <c r="B27" s="63"/>
      <c r="C27" s="62"/>
      <c r="D27" s="44"/>
      <c r="E27" s="42"/>
      <c r="F27" s="23"/>
      <c r="G27" s="27"/>
      <c r="H27" s="38"/>
      <c r="I27" s="39"/>
      <c r="J27" s="8"/>
      <c r="K27" s="176"/>
      <c r="L27" s="8"/>
    </row>
    <row r="28" spans="1:14">
      <c r="A28" s="62">
        <v>15</v>
      </c>
      <c r="B28" s="63"/>
      <c r="C28" s="62"/>
      <c r="D28" s="44"/>
      <c r="E28" s="42"/>
      <c r="F28" s="23"/>
      <c r="G28" s="27"/>
      <c r="H28" s="38"/>
      <c r="I28" s="39"/>
      <c r="J28" s="8"/>
      <c r="K28" s="176"/>
      <c r="L28" s="8"/>
    </row>
    <row r="29" spans="1:14">
      <c r="A29" s="62">
        <v>16</v>
      </c>
      <c r="B29" s="62"/>
      <c r="C29" s="62"/>
      <c r="D29" s="44"/>
      <c r="E29" s="42"/>
      <c r="F29" s="23"/>
      <c r="G29" s="27"/>
      <c r="H29" s="38"/>
      <c r="I29" s="39"/>
      <c r="J29" s="8"/>
      <c r="K29" s="176"/>
      <c r="L29" s="8"/>
    </row>
    <row r="30" spans="1:14">
      <c r="A30" s="65"/>
      <c r="B30" s="65"/>
      <c r="C30" s="65"/>
      <c r="D30" s="44"/>
      <c r="E30" s="42"/>
      <c r="F30" s="23"/>
      <c r="G30" s="27"/>
      <c r="H30" s="38"/>
      <c r="I30" s="39"/>
      <c r="J30" s="8"/>
      <c r="K30" s="176"/>
      <c r="L30" s="8"/>
    </row>
    <row r="31" spans="1:14" ht="15.75" thickBot="1">
      <c r="A31" s="270" t="s">
        <v>15</v>
      </c>
      <c r="B31" s="271"/>
      <c r="C31" s="272"/>
      <c r="D31" s="10"/>
      <c r="E31" s="35"/>
      <c r="F31" s="35">
        <f>SUM(F30:F30)</f>
        <v>0</v>
      </c>
      <c r="G31" s="35">
        <f>SUM(G30:G30)</f>
        <v>0</v>
      </c>
      <c r="H31" s="36"/>
      <c r="I31" s="37"/>
      <c r="J31" s="2"/>
      <c r="K31" s="177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77" t="s">
        <v>12</v>
      </c>
      <c r="B33" s="278"/>
      <c r="C33" s="278"/>
      <c r="D33" s="278"/>
      <c r="E33" s="278"/>
      <c r="F33" s="278"/>
      <c r="G33" s="278"/>
      <c r="H33" s="278"/>
      <c r="I33" s="278"/>
      <c r="J33" s="278"/>
      <c r="K33" s="287"/>
      <c r="L33" s="279"/>
    </row>
    <row r="34" spans="1:13" ht="15.75" thickBot="1">
      <c r="A34" s="103">
        <v>1</v>
      </c>
      <c r="B34" s="104">
        <v>2</v>
      </c>
      <c r="C34" s="104">
        <v>3</v>
      </c>
      <c r="D34" s="104">
        <v>4</v>
      </c>
      <c r="E34" s="104">
        <v>5</v>
      </c>
      <c r="F34" s="104">
        <v>6</v>
      </c>
      <c r="G34" s="104">
        <v>7</v>
      </c>
      <c r="H34" s="104">
        <v>8</v>
      </c>
      <c r="I34" s="104">
        <v>9</v>
      </c>
      <c r="J34" s="104">
        <v>10</v>
      </c>
      <c r="K34" s="178">
        <v>11</v>
      </c>
      <c r="L34" s="268">
        <v>12</v>
      </c>
      <c r="M34" s="269"/>
    </row>
    <row r="35" spans="1:13" ht="75">
      <c r="A35" s="244" t="s">
        <v>1</v>
      </c>
      <c r="B35" s="224" t="s">
        <v>2</v>
      </c>
      <c r="C35" s="224" t="s">
        <v>3</v>
      </c>
      <c r="D35" s="224" t="s">
        <v>4</v>
      </c>
      <c r="E35" s="106" t="s">
        <v>5</v>
      </c>
      <c r="F35" s="224" t="s">
        <v>14</v>
      </c>
      <c r="G35" s="224" t="s">
        <v>13</v>
      </c>
      <c r="H35" s="224" t="s">
        <v>37</v>
      </c>
      <c r="I35" s="224" t="s">
        <v>39</v>
      </c>
      <c r="J35" s="224" t="s">
        <v>38</v>
      </c>
      <c r="K35" s="290" t="s">
        <v>40</v>
      </c>
      <c r="L35" s="202" t="s">
        <v>36</v>
      </c>
      <c r="M35" s="203"/>
    </row>
    <row r="36" spans="1:13" ht="75">
      <c r="A36" s="245"/>
      <c r="B36" s="225"/>
      <c r="C36" s="225"/>
      <c r="D36" s="225"/>
      <c r="E36" s="162" t="s">
        <v>11</v>
      </c>
      <c r="F36" s="225"/>
      <c r="G36" s="225"/>
      <c r="H36" s="225"/>
      <c r="I36" s="225"/>
      <c r="J36" s="225"/>
      <c r="K36" s="291"/>
      <c r="L36" s="204"/>
      <c r="M36" s="205"/>
    </row>
    <row r="37" spans="1:13" s="30" customFormat="1" ht="46.5" customHeight="1">
      <c r="A37" s="45">
        <v>17</v>
      </c>
      <c r="B37" s="63" t="s">
        <v>42</v>
      </c>
      <c r="C37" s="62" t="s">
        <v>49</v>
      </c>
      <c r="D37" s="115" t="s">
        <v>62</v>
      </c>
      <c r="E37" s="63" t="s">
        <v>47</v>
      </c>
      <c r="F37" s="116">
        <v>46248</v>
      </c>
      <c r="G37" s="94">
        <v>240000</v>
      </c>
      <c r="H37" s="87" t="s">
        <v>59</v>
      </c>
      <c r="I37" s="88">
        <v>46248</v>
      </c>
      <c r="J37" s="143" t="s">
        <v>106</v>
      </c>
      <c r="K37" s="179"/>
      <c r="L37" s="275" t="s">
        <v>50</v>
      </c>
      <c r="M37" s="276"/>
    </row>
    <row r="38" spans="1:13" s="58" customFormat="1" ht="60">
      <c r="A38" s="45">
        <v>18</v>
      </c>
      <c r="B38" s="84" t="s">
        <v>55</v>
      </c>
      <c r="C38" s="84" t="s">
        <v>56</v>
      </c>
      <c r="D38" s="84" t="s">
        <v>61</v>
      </c>
      <c r="E38" s="92" t="s">
        <v>47</v>
      </c>
      <c r="F38" s="96" t="s">
        <v>66</v>
      </c>
      <c r="G38" s="94">
        <v>680000</v>
      </c>
      <c r="H38" s="97"/>
      <c r="I38" s="91"/>
      <c r="J38" s="91"/>
      <c r="K38" s="180"/>
      <c r="L38" s="248" t="s">
        <v>58</v>
      </c>
      <c r="M38" s="249"/>
    </row>
    <row r="39" spans="1:13" ht="16.5" customHeight="1">
      <c r="A39" s="153">
        <v>19</v>
      </c>
      <c r="B39" s="17"/>
      <c r="C39" s="17"/>
      <c r="D39" s="17"/>
      <c r="E39" s="17"/>
      <c r="F39" s="99"/>
      <c r="G39" s="100"/>
      <c r="H39" s="17"/>
      <c r="I39" s="17"/>
      <c r="J39" s="82"/>
      <c r="K39" s="181"/>
      <c r="L39" s="282"/>
      <c r="M39" s="283"/>
    </row>
    <row r="40" spans="1:13">
      <c r="A40" s="45">
        <v>20</v>
      </c>
      <c r="B40" s="17"/>
      <c r="C40" s="17"/>
      <c r="D40" s="17"/>
      <c r="E40" s="17"/>
      <c r="F40" s="99"/>
      <c r="G40" s="100"/>
      <c r="H40" s="17"/>
      <c r="I40" s="17"/>
      <c r="J40" s="82"/>
      <c r="K40" s="181"/>
      <c r="L40" s="246"/>
      <c r="M40" s="247"/>
    </row>
    <row r="41" spans="1:13">
      <c r="A41" s="45">
        <v>21</v>
      </c>
      <c r="B41" s="46"/>
      <c r="C41" s="47"/>
      <c r="D41" s="47"/>
      <c r="E41" s="87"/>
      <c r="F41" s="101"/>
      <c r="G41" s="95"/>
      <c r="H41" s="102"/>
      <c r="I41" s="101"/>
      <c r="J41" s="101"/>
      <c r="K41" s="182"/>
      <c r="L41" s="200"/>
      <c r="M41" s="201"/>
    </row>
    <row r="42" spans="1:13">
      <c r="A42" s="45">
        <v>22</v>
      </c>
      <c r="B42" s="46"/>
      <c r="C42" s="47"/>
      <c r="D42" s="80"/>
      <c r="E42" s="40"/>
      <c r="F42" s="49"/>
      <c r="G42" s="95"/>
      <c r="H42" s="54"/>
      <c r="I42" s="49"/>
      <c r="J42" s="49"/>
      <c r="K42" s="183"/>
      <c r="L42" s="198"/>
      <c r="M42" s="199"/>
    </row>
    <row r="43" spans="1:13" ht="15.75" thickBot="1">
      <c r="A43" s="45">
        <v>23</v>
      </c>
      <c r="B43" s="108"/>
      <c r="C43" s="109"/>
      <c r="D43" s="109"/>
      <c r="E43" s="110"/>
      <c r="F43" s="111"/>
      <c r="G43" s="112"/>
      <c r="H43" s="113"/>
      <c r="I43" s="111"/>
      <c r="J43" s="111"/>
      <c r="K43" s="184"/>
      <c r="L43" s="196"/>
      <c r="M43" s="197"/>
    </row>
    <row r="44" spans="1:13" ht="15.75" thickBot="1">
      <c r="A44" s="238" t="s">
        <v>15</v>
      </c>
      <c r="B44" s="239"/>
      <c r="C44" s="239"/>
      <c r="D44" s="239"/>
      <c r="E44" s="240"/>
      <c r="F44" s="105"/>
      <c r="G44" s="241">
        <f>SUM(G37:G43)</f>
        <v>920000</v>
      </c>
      <c r="H44" s="242"/>
      <c r="I44" s="242"/>
      <c r="J44" s="242"/>
      <c r="K44" s="242"/>
      <c r="L44" s="243"/>
    </row>
    <row r="45" spans="1:13" ht="15.75" thickBot="1">
      <c r="A45" s="50"/>
      <c r="B45" s="50"/>
      <c r="C45" s="50"/>
      <c r="D45" s="50"/>
      <c r="E45" s="51"/>
      <c r="F45" s="51"/>
      <c r="G45" s="52"/>
      <c r="H45" s="52"/>
      <c r="J45" s="9"/>
      <c r="K45" s="185"/>
    </row>
    <row r="46" spans="1:13" ht="18.75">
      <c r="A46" s="235" t="s">
        <v>16</v>
      </c>
      <c r="B46" s="236"/>
      <c r="C46" s="236"/>
      <c r="D46" s="236"/>
      <c r="E46" s="236"/>
      <c r="F46" s="236"/>
      <c r="G46" s="236"/>
      <c r="H46" s="236"/>
      <c r="I46" s="236"/>
      <c r="J46" s="237"/>
      <c r="K46" s="177"/>
    </row>
    <row r="47" spans="1:13" ht="30">
      <c r="A47" s="55"/>
      <c r="B47" s="18"/>
      <c r="C47" s="163"/>
      <c r="D47" s="163" t="s">
        <v>17</v>
      </c>
      <c r="E47" s="223" t="s">
        <v>18</v>
      </c>
      <c r="F47" s="223"/>
      <c r="G47" s="223" t="s">
        <v>19</v>
      </c>
      <c r="H47" s="223"/>
      <c r="I47" s="223" t="s">
        <v>29</v>
      </c>
      <c r="J47" s="232"/>
      <c r="K47" s="177"/>
    </row>
    <row r="48" spans="1:13">
      <c r="A48" s="55"/>
      <c r="B48" s="25" t="s">
        <v>20</v>
      </c>
      <c r="C48" s="219">
        <v>1335.2</v>
      </c>
      <c r="D48" s="220"/>
      <c r="E48" s="230">
        <v>1279.6500000000001</v>
      </c>
      <c r="F48" s="231"/>
      <c r="G48" s="230">
        <v>1279.6500000000001</v>
      </c>
      <c r="H48" s="231"/>
      <c r="I48" s="233"/>
      <c r="J48" s="234"/>
      <c r="K48" s="177"/>
    </row>
    <row r="49" spans="1:14">
      <c r="A49" s="56"/>
      <c r="B49" s="25" t="s">
        <v>21</v>
      </c>
      <c r="C49" s="219">
        <v>395.79</v>
      </c>
      <c r="D49" s="220"/>
      <c r="E49" s="226">
        <v>324.66000000000003</v>
      </c>
      <c r="F49" s="227"/>
      <c r="G49" s="226">
        <v>324.66000000000003</v>
      </c>
      <c r="H49" s="227"/>
      <c r="I49" s="212"/>
      <c r="J49" s="213"/>
      <c r="K49" s="177"/>
    </row>
    <row r="50" spans="1:14" ht="15.75" thickBot="1">
      <c r="A50" s="56"/>
      <c r="B50" s="25" t="s">
        <v>22</v>
      </c>
      <c r="C50" s="228">
        <v>511.18</v>
      </c>
      <c r="D50" s="229"/>
      <c r="E50" s="221">
        <v>479.17</v>
      </c>
      <c r="F50" s="222"/>
      <c r="G50" s="221">
        <v>479.17</v>
      </c>
      <c r="H50" s="222"/>
      <c r="I50" s="212"/>
      <c r="J50" s="213"/>
      <c r="K50" s="177"/>
    </row>
    <row r="51" spans="1:14" ht="15.75" thickBot="1">
      <c r="A51" s="11"/>
      <c r="B51" s="12" t="s">
        <v>23</v>
      </c>
      <c r="C51" s="214">
        <f>SUM(C48:D50)</f>
        <v>2242.17</v>
      </c>
      <c r="D51" s="215"/>
      <c r="E51" s="216">
        <f>SUM(E48:E50)</f>
        <v>2083.48</v>
      </c>
      <c r="F51" s="217"/>
      <c r="G51" s="216">
        <f>G48+G49+G50</f>
        <v>2083.48</v>
      </c>
      <c r="H51" s="217"/>
      <c r="I51" s="216">
        <f>SUM(I48:I50)</f>
        <v>0</v>
      </c>
      <c r="J51" s="218"/>
      <c r="K51" s="177"/>
    </row>
    <row r="53" spans="1:14" ht="15.75" thickBot="1">
      <c r="E53" s="26"/>
    </row>
    <row r="54" spans="1:14" ht="19.5" thickBot="1">
      <c r="A54" s="206" t="s">
        <v>32</v>
      </c>
      <c r="B54" s="207"/>
      <c r="C54" s="207"/>
      <c r="D54" s="207"/>
      <c r="E54" s="207"/>
      <c r="F54" s="207"/>
      <c r="G54" s="207"/>
      <c r="H54" s="207"/>
      <c r="I54" s="207"/>
      <c r="J54" s="208"/>
      <c r="K54" s="186"/>
      <c r="L54" s="30"/>
    </row>
    <row r="55" spans="1:14">
      <c r="A55" s="31" t="s">
        <v>33</v>
      </c>
      <c r="B55" s="209" t="s">
        <v>34</v>
      </c>
      <c r="C55" s="210"/>
      <c r="D55" s="210"/>
      <c r="E55" s="210"/>
      <c r="F55" s="210"/>
      <c r="G55" s="210"/>
      <c r="H55" s="210"/>
      <c r="I55" s="211"/>
      <c r="J55" s="57" t="s">
        <v>35</v>
      </c>
      <c r="K55" s="187"/>
      <c r="L55" s="58"/>
    </row>
    <row r="56" spans="1:14" hidden="1">
      <c r="A56" s="41">
        <v>1</v>
      </c>
      <c r="B56" s="193" t="s">
        <v>142</v>
      </c>
      <c r="C56" s="194"/>
      <c r="D56" s="194"/>
      <c r="E56" s="194"/>
      <c r="F56" s="194"/>
      <c r="G56" s="194"/>
      <c r="H56" s="194"/>
      <c r="I56" s="195"/>
      <c r="J56" s="43">
        <v>8</v>
      </c>
      <c r="K56" s="4"/>
    </row>
    <row r="57" spans="1:14" hidden="1">
      <c r="A57" s="41">
        <v>2</v>
      </c>
      <c r="B57" s="193" t="s">
        <v>125</v>
      </c>
      <c r="C57" s="194"/>
      <c r="D57" s="194"/>
      <c r="E57" s="194"/>
      <c r="F57" s="194"/>
      <c r="G57" s="194"/>
      <c r="H57" s="194"/>
      <c r="I57" s="195"/>
      <c r="J57" s="43">
        <v>7</v>
      </c>
      <c r="K57" s="4"/>
    </row>
    <row r="58" spans="1:14" hidden="1">
      <c r="A58" s="41">
        <v>3</v>
      </c>
      <c r="B58" s="193" t="s">
        <v>143</v>
      </c>
      <c r="C58" s="194"/>
      <c r="D58" s="194"/>
      <c r="E58" s="194"/>
      <c r="F58" s="194"/>
      <c r="G58" s="194"/>
      <c r="H58" s="194"/>
      <c r="I58" s="195"/>
      <c r="J58" s="43">
        <v>5</v>
      </c>
      <c r="K58" s="4"/>
    </row>
    <row r="59" spans="1:14" hidden="1">
      <c r="A59" s="41">
        <v>4</v>
      </c>
      <c r="B59" s="193" t="s">
        <v>86</v>
      </c>
      <c r="C59" s="194"/>
      <c r="D59" s="194"/>
      <c r="E59" s="194"/>
      <c r="F59" s="194"/>
      <c r="G59" s="194"/>
      <c r="H59" s="194"/>
      <c r="I59" s="195"/>
      <c r="J59" s="43">
        <v>5</v>
      </c>
      <c r="K59" s="4"/>
    </row>
    <row r="60" spans="1:14" hidden="1">
      <c r="A60" s="41">
        <v>5</v>
      </c>
      <c r="B60" s="193" t="s">
        <v>127</v>
      </c>
      <c r="C60" s="194"/>
      <c r="D60" s="194"/>
      <c r="E60" s="194"/>
      <c r="F60" s="194"/>
      <c r="G60" s="194"/>
      <c r="H60" s="194"/>
      <c r="I60" s="195"/>
      <c r="J60" s="127">
        <v>7</v>
      </c>
      <c r="K60" s="4"/>
    </row>
    <row r="61" spans="1:14" hidden="1">
      <c r="A61" s="41">
        <v>6</v>
      </c>
      <c r="B61" s="193" t="s">
        <v>114</v>
      </c>
      <c r="C61" s="194"/>
      <c r="D61" s="194"/>
      <c r="E61" s="194"/>
      <c r="F61" s="194"/>
      <c r="G61" s="194"/>
      <c r="H61" s="194"/>
      <c r="I61" s="195"/>
      <c r="J61" s="127">
        <v>10</v>
      </c>
      <c r="K61" s="4"/>
    </row>
    <row r="62" spans="1:14" hidden="1">
      <c r="A62" s="41">
        <v>7</v>
      </c>
      <c r="B62" s="193" t="s">
        <v>74</v>
      </c>
      <c r="C62" s="194"/>
      <c r="D62" s="194"/>
      <c r="E62" s="194"/>
      <c r="F62" s="194"/>
      <c r="G62" s="194"/>
      <c r="H62" s="194"/>
      <c r="I62" s="195"/>
      <c r="J62" s="127">
        <v>8</v>
      </c>
      <c r="K62" s="4"/>
    </row>
    <row r="63" spans="1:14" hidden="1">
      <c r="A63" s="41">
        <v>8</v>
      </c>
      <c r="B63" s="193" t="s">
        <v>144</v>
      </c>
      <c r="C63" s="194"/>
      <c r="D63" s="194"/>
      <c r="E63" s="194"/>
      <c r="F63" s="194"/>
      <c r="G63" s="194"/>
      <c r="H63" s="194"/>
      <c r="I63" s="195"/>
      <c r="J63" s="127">
        <v>8</v>
      </c>
      <c r="K63" s="4"/>
    </row>
    <row r="64" spans="1:14" s="4" customFormat="1" hidden="1">
      <c r="A64" s="41">
        <v>9</v>
      </c>
      <c r="B64" s="193" t="s">
        <v>128</v>
      </c>
      <c r="C64" s="194"/>
      <c r="D64" s="194"/>
      <c r="E64" s="194"/>
      <c r="F64" s="194"/>
      <c r="G64" s="194"/>
      <c r="H64" s="194"/>
      <c r="I64" s="195"/>
      <c r="J64" s="128">
        <v>7</v>
      </c>
      <c r="L64" s="2"/>
      <c r="M64" s="2"/>
      <c r="N64" s="2"/>
    </row>
    <row r="65" spans="1:14" s="4" customFormat="1" hidden="1">
      <c r="A65" s="41">
        <v>10</v>
      </c>
      <c r="B65" s="193" t="s">
        <v>139</v>
      </c>
      <c r="C65" s="194"/>
      <c r="D65" s="194"/>
      <c r="E65" s="194"/>
      <c r="F65" s="194"/>
      <c r="G65" s="194"/>
      <c r="H65" s="194"/>
      <c r="I65" s="195"/>
      <c r="J65" s="128">
        <v>27</v>
      </c>
      <c r="L65" s="2"/>
      <c r="M65" s="2"/>
      <c r="N65" s="2"/>
    </row>
    <row r="66" spans="1:14" s="4" customFormat="1" hidden="1">
      <c r="A66" s="41">
        <v>11</v>
      </c>
      <c r="B66" s="193" t="s">
        <v>145</v>
      </c>
      <c r="C66" s="194"/>
      <c r="D66" s="194"/>
      <c r="E66" s="194"/>
      <c r="F66" s="194"/>
      <c r="G66" s="194"/>
      <c r="H66" s="194"/>
      <c r="I66" s="195"/>
      <c r="J66" s="128">
        <v>10</v>
      </c>
      <c r="L66" s="2"/>
      <c r="M66" s="2"/>
      <c r="N66" s="2"/>
    </row>
    <row r="67" spans="1:14" s="4" customFormat="1" hidden="1">
      <c r="A67" s="41">
        <v>12</v>
      </c>
      <c r="B67" s="193" t="s">
        <v>140</v>
      </c>
      <c r="C67" s="194"/>
      <c r="D67" s="194"/>
      <c r="E67" s="194"/>
      <c r="F67" s="194"/>
      <c r="G67" s="194"/>
      <c r="H67" s="194"/>
      <c r="I67" s="195"/>
      <c r="J67" s="127">
        <v>30</v>
      </c>
      <c r="L67" s="2"/>
      <c r="M67" s="2"/>
      <c r="N67" s="2"/>
    </row>
    <row r="68" spans="1:14" s="4" customFormat="1">
      <c r="A68" s="131">
        <v>13</v>
      </c>
      <c r="B68" s="189" t="s">
        <v>80</v>
      </c>
      <c r="C68" s="189"/>
      <c r="D68" s="189"/>
      <c r="E68" s="189"/>
      <c r="F68" s="189"/>
      <c r="G68" s="189"/>
      <c r="H68" s="189"/>
      <c r="I68" s="189"/>
      <c r="J68" s="132">
        <v>5</v>
      </c>
      <c r="K68" s="175" t="str">
        <f>VLOOKUP(B68,[1]Sheet!$A:$I,9,0)</f>
        <v>матрица</v>
      </c>
      <c r="L68" s="2" t="str">
        <f>VLOOKUP(B68,[1]Sheet!$A:$AF,32,0)</f>
        <v>завод не отгрузил (06,10,26)</v>
      </c>
      <c r="M68" s="2"/>
      <c r="N68" s="2"/>
    </row>
    <row r="69" spans="1:14" s="4" customFormat="1">
      <c r="A69" s="131">
        <v>14</v>
      </c>
      <c r="B69" s="189" t="s">
        <v>119</v>
      </c>
      <c r="C69" s="189"/>
      <c r="D69" s="189"/>
      <c r="E69" s="189"/>
      <c r="F69" s="189"/>
      <c r="G69" s="189"/>
      <c r="H69" s="189"/>
      <c r="I69" s="189"/>
      <c r="J69" s="132">
        <v>5</v>
      </c>
      <c r="K69" s="188" t="s">
        <v>148</v>
      </c>
      <c r="L69" s="2"/>
      <c r="M69" s="2"/>
      <c r="N69" s="2"/>
    </row>
    <row r="70" spans="1:14" s="4" customFormat="1">
      <c r="A70" s="131">
        <v>15</v>
      </c>
      <c r="B70" s="189" t="s">
        <v>98</v>
      </c>
      <c r="C70" s="189"/>
      <c r="D70" s="189"/>
      <c r="E70" s="189"/>
      <c r="F70" s="189"/>
      <c r="G70" s="189"/>
      <c r="H70" s="189"/>
      <c r="I70" s="189"/>
      <c r="J70" s="132">
        <v>10</v>
      </c>
      <c r="K70" s="175" t="str">
        <f>VLOOKUP(B70,[1]Sheet!$A:$I,9,0)</f>
        <v>матрица</v>
      </c>
      <c r="L70" s="2" t="s">
        <v>149</v>
      </c>
      <c r="M70" s="2"/>
      <c r="N70" s="2"/>
    </row>
    <row r="71" spans="1:14" s="4" customFormat="1">
      <c r="A71" s="131">
        <v>16</v>
      </c>
      <c r="B71" s="189" t="s">
        <v>122</v>
      </c>
      <c r="C71" s="189"/>
      <c r="D71" s="189"/>
      <c r="E71" s="189"/>
      <c r="F71" s="189"/>
      <c r="G71" s="189"/>
      <c r="H71" s="189"/>
      <c r="I71" s="189"/>
      <c r="J71" s="132">
        <v>7</v>
      </c>
      <c r="K71" s="175" t="str">
        <f>VLOOKUP(B71,[1]Sheet!$A:$I,9,0)</f>
        <v>матрица</v>
      </c>
      <c r="L71" s="2" t="s">
        <v>150</v>
      </c>
      <c r="M71" s="2"/>
      <c r="N71" s="2"/>
    </row>
    <row r="72" spans="1:14" s="4" customFormat="1">
      <c r="A72" s="131">
        <v>17</v>
      </c>
      <c r="B72" s="189" t="s">
        <v>123</v>
      </c>
      <c r="C72" s="189"/>
      <c r="D72" s="189"/>
      <c r="E72" s="189"/>
      <c r="F72" s="189"/>
      <c r="G72" s="189"/>
      <c r="H72" s="189"/>
      <c r="I72" s="189"/>
      <c r="J72" s="132">
        <v>6</v>
      </c>
      <c r="K72" s="175" t="s">
        <v>152</v>
      </c>
      <c r="L72" s="2" t="s">
        <v>151</v>
      </c>
      <c r="M72" s="2"/>
      <c r="N72" s="2"/>
    </row>
    <row r="73" spans="1:14" s="4" customFormat="1">
      <c r="A73" s="131">
        <v>18</v>
      </c>
      <c r="B73" s="189" t="s">
        <v>99</v>
      </c>
      <c r="C73" s="189"/>
      <c r="D73" s="189"/>
      <c r="E73" s="189"/>
      <c r="F73" s="189"/>
      <c r="G73" s="189"/>
      <c r="H73" s="189"/>
      <c r="I73" s="189"/>
      <c r="J73" s="132">
        <v>5</v>
      </c>
      <c r="K73" s="175" t="str">
        <f>VLOOKUP(B73,[1]Sheet!$A:$I,9,0)</f>
        <v>матрица</v>
      </c>
      <c r="L73" s="2" t="s">
        <v>151</v>
      </c>
      <c r="M73" s="2"/>
      <c r="N73" s="2"/>
    </row>
    <row r="74" spans="1:14" s="4" customFormat="1" hidden="1">
      <c r="A74" s="131">
        <v>19</v>
      </c>
      <c r="B74" s="189" t="s">
        <v>146</v>
      </c>
      <c r="C74" s="189"/>
      <c r="D74" s="189"/>
      <c r="E74" s="189"/>
      <c r="F74" s="189"/>
      <c r="G74" s="189"/>
      <c r="H74" s="189"/>
      <c r="I74" s="189"/>
      <c r="J74" s="132">
        <v>5</v>
      </c>
      <c r="L74" s="2"/>
      <c r="M74" s="2"/>
      <c r="N74" s="2"/>
    </row>
    <row r="75" spans="1:14" s="4" customFormat="1" hidden="1">
      <c r="A75" s="131">
        <v>20</v>
      </c>
      <c r="B75" s="189"/>
      <c r="C75" s="189"/>
      <c r="D75" s="189"/>
      <c r="E75" s="189"/>
      <c r="F75" s="189"/>
      <c r="G75" s="189"/>
      <c r="H75" s="189"/>
      <c r="I75" s="189"/>
      <c r="J75" s="132"/>
      <c r="L75" s="2"/>
      <c r="M75" s="2"/>
      <c r="N75" s="2"/>
    </row>
    <row r="76" spans="1:14" s="4" customFormat="1" hidden="1">
      <c r="A76" s="131">
        <v>21</v>
      </c>
      <c r="B76" s="189"/>
      <c r="C76" s="189"/>
      <c r="D76" s="189"/>
      <c r="E76" s="189"/>
      <c r="F76" s="189"/>
      <c r="G76" s="189"/>
      <c r="H76" s="189"/>
      <c r="I76" s="189"/>
      <c r="J76" s="132"/>
      <c r="L76" s="2"/>
      <c r="M76" s="2"/>
      <c r="N76" s="2"/>
    </row>
    <row r="77" spans="1:14" s="4" customFormat="1" hidden="1">
      <c r="A77" s="131">
        <v>22</v>
      </c>
      <c r="B77" s="189"/>
      <c r="C77" s="189"/>
      <c r="D77" s="189"/>
      <c r="E77" s="189"/>
      <c r="F77" s="189"/>
      <c r="G77" s="189"/>
      <c r="H77" s="189"/>
      <c r="I77" s="189"/>
      <c r="J77" s="132"/>
      <c r="L77" s="2"/>
      <c r="M77" s="2"/>
      <c r="N77" s="2"/>
    </row>
    <row r="78" spans="1:14" s="4" customFormat="1" hidden="1">
      <c r="A78" s="131">
        <v>23</v>
      </c>
      <c r="B78" s="189"/>
      <c r="C78" s="189"/>
      <c r="D78" s="189"/>
      <c r="E78" s="189"/>
      <c r="F78" s="189"/>
      <c r="G78" s="189"/>
      <c r="H78" s="189"/>
      <c r="I78" s="189"/>
      <c r="J78" s="132"/>
      <c r="L78" s="2"/>
      <c r="M78" s="2"/>
      <c r="N78" s="2"/>
    </row>
    <row r="79" spans="1:14" s="4" customFormat="1" hidden="1">
      <c r="A79" s="131">
        <v>24</v>
      </c>
      <c r="B79" s="189"/>
      <c r="C79" s="189"/>
      <c r="D79" s="189"/>
      <c r="E79" s="189"/>
      <c r="F79" s="189"/>
      <c r="G79" s="189"/>
      <c r="H79" s="189"/>
      <c r="I79" s="189"/>
      <c r="J79" s="132"/>
      <c r="L79" s="2"/>
      <c r="M79" s="2"/>
      <c r="N79" s="2"/>
    </row>
    <row r="80" spans="1:14" s="4" customFormat="1" hidden="1">
      <c r="A80" s="131">
        <v>25</v>
      </c>
      <c r="B80" s="189"/>
      <c r="C80" s="189"/>
      <c r="D80" s="189"/>
      <c r="E80" s="189"/>
      <c r="F80" s="189"/>
      <c r="G80" s="189"/>
      <c r="H80" s="189"/>
      <c r="I80" s="189"/>
      <c r="J80" s="132"/>
      <c r="L80" s="2"/>
      <c r="M80" s="2"/>
      <c r="N80" s="2"/>
    </row>
    <row r="81" spans="1:14" s="4" customFormat="1" hidden="1">
      <c r="A81" s="131">
        <v>26</v>
      </c>
      <c r="B81" s="189"/>
      <c r="C81" s="189"/>
      <c r="D81" s="189"/>
      <c r="E81" s="189"/>
      <c r="F81" s="189"/>
      <c r="G81" s="189"/>
      <c r="H81" s="189"/>
      <c r="I81" s="189"/>
      <c r="J81" s="132"/>
      <c r="L81" s="2"/>
      <c r="M81" s="2"/>
      <c r="N81" s="2"/>
    </row>
    <row r="82" spans="1:14" s="4" customFormat="1" hidden="1">
      <c r="A82" s="131">
        <v>27</v>
      </c>
      <c r="B82" s="189"/>
      <c r="C82" s="189"/>
      <c r="D82" s="189"/>
      <c r="E82" s="189"/>
      <c r="F82" s="189"/>
      <c r="G82" s="189"/>
      <c r="H82" s="189"/>
      <c r="I82" s="189"/>
      <c r="J82" s="132"/>
      <c r="L82" s="2"/>
      <c r="M82" s="2"/>
      <c r="N82" s="2"/>
    </row>
    <row r="83" spans="1:14" s="4" customFormat="1" hidden="1">
      <c r="A83" s="131">
        <v>28</v>
      </c>
      <c r="B83" s="189"/>
      <c r="C83" s="189"/>
      <c r="D83" s="189"/>
      <c r="E83" s="189"/>
      <c r="F83" s="189"/>
      <c r="G83" s="189"/>
      <c r="H83" s="189"/>
      <c r="I83" s="189"/>
      <c r="J83" s="132"/>
      <c r="L83" s="2"/>
      <c r="M83" s="2"/>
      <c r="N83" s="2"/>
    </row>
    <row r="84" spans="1:14" s="4" customFormat="1" hidden="1">
      <c r="A84" s="131">
        <v>29</v>
      </c>
      <c r="B84" s="189"/>
      <c r="C84" s="189"/>
      <c r="D84" s="189"/>
      <c r="E84" s="189"/>
      <c r="F84" s="189"/>
      <c r="G84" s="189"/>
      <c r="H84" s="189"/>
      <c r="I84" s="189"/>
      <c r="J84" s="132"/>
      <c r="L84" s="2"/>
      <c r="M84" s="2"/>
      <c r="N84" s="2"/>
    </row>
    <row r="85" spans="1:14" s="4" customFormat="1" hidden="1">
      <c r="A85" s="131">
        <v>30</v>
      </c>
      <c r="B85" s="189"/>
      <c r="C85" s="189"/>
      <c r="D85" s="189"/>
      <c r="E85" s="189"/>
      <c r="F85" s="189"/>
      <c r="G85" s="189"/>
      <c r="H85" s="189"/>
      <c r="I85" s="189"/>
      <c r="J85" s="132"/>
      <c r="L85" s="2"/>
      <c r="M85" s="2"/>
      <c r="N85" s="2"/>
    </row>
    <row r="86" spans="1:14" s="4" customFormat="1" hidden="1">
      <c r="A86" s="131">
        <v>31</v>
      </c>
      <c r="B86" s="189"/>
      <c r="C86" s="189"/>
      <c r="D86" s="189"/>
      <c r="E86" s="189"/>
      <c r="F86" s="189"/>
      <c r="G86" s="189"/>
      <c r="H86" s="189"/>
      <c r="I86" s="189"/>
      <c r="J86" s="132"/>
      <c r="L86" s="2"/>
      <c r="M86" s="2"/>
      <c r="N86" s="2"/>
    </row>
    <row r="87" spans="1:14" s="4" customFormat="1" hidden="1">
      <c r="A87" s="131">
        <v>32</v>
      </c>
      <c r="B87" s="189"/>
      <c r="C87" s="189"/>
      <c r="D87" s="189"/>
      <c r="E87" s="189"/>
      <c r="F87" s="189"/>
      <c r="G87" s="189"/>
      <c r="H87" s="189"/>
      <c r="I87" s="189"/>
      <c r="J87" s="132"/>
      <c r="L87" s="2"/>
      <c r="M87" s="2"/>
      <c r="N87" s="2"/>
    </row>
    <row r="88" spans="1:14" s="4" customFormat="1" hidden="1">
      <c r="A88" s="131">
        <v>33</v>
      </c>
      <c r="B88" s="189"/>
      <c r="C88" s="189"/>
      <c r="D88" s="189"/>
      <c r="E88" s="189"/>
      <c r="F88" s="189"/>
      <c r="G88" s="189"/>
      <c r="H88" s="189"/>
      <c r="I88" s="189"/>
      <c r="J88" s="132"/>
      <c r="L88" s="2"/>
      <c r="M88" s="2"/>
      <c r="N88" s="2"/>
    </row>
    <row r="89" spans="1:14" s="4" customFormat="1" hidden="1">
      <c r="A89" s="131">
        <v>34</v>
      </c>
      <c r="B89" s="189"/>
      <c r="C89" s="189"/>
      <c r="D89" s="189"/>
      <c r="E89" s="189"/>
      <c r="F89" s="189"/>
      <c r="G89" s="189"/>
      <c r="H89" s="189"/>
      <c r="I89" s="189"/>
      <c r="J89" s="132"/>
      <c r="L89" s="2"/>
      <c r="M89" s="2"/>
      <c r="N89" s="2"/>
    </row>
    <row r="90" spans="1:14" s="4" customFormat="1" hidden="1">
      <c r="A90" s="131">
        <v>35</v>
      </c>
      <c r="B90" s="189"/>
      <c r="C90" s="189"/>
      <c r="D90" s="189"/>
      <c r="E90" s="189"/>
      <c r="F90" s="189"/>
      <c r="G90" s="189"/>
      <c r="H90" s="189"/>
      <c r="I90" s="189"/>
      <c r="J90" s="132"/>
      <c r="L90" s="2"/>
      <c r="M90" s="2"/>
      <c r="N90" s="2"/>
    </row>
    <row r="91" spans="1:14" s="4" customFormat="1" ht="15.75" hidden="1" thickBot="1">
      <c r="A91" s="129"/>
      <c r="B91" s="190" t="s">
        <v>15</v>
      </c>
      <c r="C91" s="191"/>
      <c r="D91" s="191"/>
      <c r="E91" s="191"/>
      <c r="F91" s="191"/>
      <c r="G91" s="191"/>
      <c r="H91" s="191"/>
      <c r="I91" s="192"/>
      <c r="J91" s="130">
        <f>SUM(J56:J90)</f>
        <v>175</v>
      </c>
      <c r="L91" s="2"/>
      <c r="M91" s="2"/>
      <c r="N91" s="2"/>
    </row>
  </sheetData>
  <autoFilter ref="A55:J91" xr:uid="{03B89D15-79AD-4890-AF81-208F7841EE74}">
    <filterColumn colId="1" showButton="0">
      <filters>
        <filter val="5931 ОХОТНИЧЬЯ Папа может с/к в/у 1/220 8шт.   ОСТАНКИНО"/>
        <filter val="6470 ВЕТЧ.МРАМОРНАЯ в/у_45с  ОСТАНКИНО"/>
        <filter val="7083 СЛИВОЧНЫЕ ПМ сос п/о мгс 1.5*4_А_50с  ОСТАНКИНО"/>
        <filter val="7513 ВОСКРЕСЕНСКАЯ ВЯЛЕНАЯ в/к в/у срез 1/260  ОСТАНКИНО"/>
        <filter val="7539 ДОКТОРСКАЯ ГОСТ вар п/о 0,35кг ОСТАНКИНО"/>
        <filter val="7603 БАЛЫКОВАЯ в/к в/у 0.33кг 8шт. ОСТАНКИНО"/>
        <filter val="Сыч/Прод Коровино Тильзитер Оригин 50% ВЕС НОВАЯ (5 кг брус) СЗМЖ  ОСТАНКИНО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101">
    <mergeCell ref="B86:I86"/>
    <mergeCell ref="B87:I87"/>
    <mergeCell ref="B88:I88"/>
    <mergeCell ref="B89:I89"/>
    <mergeCell ref="B90:I90"/>
    <mergeCell ref="B91:I91"/>
    <mergeCell ref="B80:I80"/>
    <mergeCell ref="B81:I81"/>
    <mergeCell ref="B82:I82"/>
    <mergeCell ref="B83:I83"/>
    <mergeCell ref="B84:I84"/>
    <mergeCell ref="B85:I85"/>
    <mergeCell ref="B74:I74"/>
    <mergeCell ref="B75:I75"/>
    <mergeCell ref="B76:I76"/>
    <mergeCell ref="B77:I77"/>
    <mergeCell ref="B78:I78"/>
    <mergeCell ref="B79:I79"/>
    <mergeCell ref="B68:I68"/>
    <mergeCell ref="B69:I69"/>
    <mergeCell ref="B70:I70"/>
    <mergeCell ref="B71:I71"/>
    <mergeCell ref="B72:I72"/>
    <mergeCell ref="B73:I73"/>
    <mergeCell ref="B62:I62"/>
    <mergeCell ref="B63:I63"/>
    <mergeCell ref="B64:I64"/>
    <mergeCell ref="B65:I65"/>
    <mergeCell ref="B66:I66"/>
    <mergeCell ref="B67:I67"/>
    <mergeCell ref="B56:I56"/>
    <mergeCell ref="B57:I57"/>
    <mergeCell ref="B58:I58"/>
    <mergeCell ref="B59:I59"/>
    <mergeCell ref="B60:I60"/>
    <mergeCell ref="B61:I61"/>
    <mergeCell ref="C51:D51"/>
    <mergeCell ref="E51:F51"/>
    <mergeCell ref="G51:H51"/>
    <mergeCell ref="I51:J51"/>
    <mergeCell ref="A54:J54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E47:F47"/>
    <mergeCell ref="G47:H47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A1:C1"/>
    <mergeCell ref="E1:H1"/>
    <mergeCell ref="J1:K1"/>
    <mergeCell ref="A2:C2"/>
    <mergeCell ref="F2:H2"/>
    <mergeCell ref="J2:K2"/>
    <mergeCell ref="J6:J7"/>
    <mergeCell ref="K6:L6"/>
    <mergeCell ref="A21:F21"/>
  </mergeCells>
  <pageMargins left="0" right="0" top="0.59055118110236204" bottom="0" header="0" footer="0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9B1A-004A-44E5-A426-875A27F4B8AA}">
  <sheetPr filterMode="1">
    <tabColor rgb="FFFFFF00"/>
  </sheetPr>
  <dimension ref="A1:J38"/>
  <sheetViews>
    <sheetView workbookViewId="0">
      <selection activeCell="N44" sqref="N44"/>
    </sheetView>
  </sheetViews>
  <sheetFormatPr defaultRowHeight="15"/>
  <sheetData>
    <row r="1" spans="1:10" ht="19.5" thickBot="1">
      <c r="A1" s="206" t="s">
        <v>32</v>
      </c>
      <c r="B1" s="207"/>
      <c r="C1" s="207"/>
      <c r="D1" s="207"/>
      <c r="E1" s="207"/>
      <c r="F1" s="207"/>
      <c r="G1" s="207"/>
      <c r="H1" s="207"/>
      <c r="I1" s="207"/>
      <c r="J1" s="208"/>
    </row>
    <row r="2" spans="1:10">
      <c r="A2" s="31" t="s">
        <v>33</v>
      </c>
      <c r="B2" s="209" t="s">
        <v>34</v>
      </c>
      <c r="C2" s="210"/>
      <c r="D2" s="210"/>
      <c r="E2" s="210"/>
      <c r="F2" s="210"/>
      <c r="G2" s="210"/>
      <c r="H2" s="210"/>
      <c r="I2" s="211"/>
      <c r="J2" s="57" t="s">
        <v>35</v>
      </c>
    </row>
    <row r="3" spans="1:10">
      <c r="A3" s="41">
        <v>1</v>
      </c>
      <c r="B3" s="193" t="s">
        <v>79</v>
      </c>
      <c r="C3" s="194"/>
      <c r="D3" s="194"/>
      <c r="E3" s="194"/>
      <c r="F3" s="194"/>
      <c r="G3" s="194"/>
      <c r="H3" s="194"/>
      <c r="I3" s="195"/>
      <c r="J3" s="43">
        <v>7</v>
      </c>
    </row>
    <row r="4" spans="1:10">
      <c r="A4" s="41">
        <v>2</v>
      </c>
      <c r="B4" s="193" t="s">
        <v>118</v>
      </c>
      <c r="C4" s="194"/>
      <c r="D4" s="194"/>
      <c r="E4" s="194"/>
      <c r="F4" s="194"/>
      <c r="G4" s="194"/>
      <c r="H4" s="194"/>
      <c r="I4" s="195"/>
      <c r="J4" s="43">
        <v>5</v>
      </c>
    </row>
    <row r="5" spans="1:10">
      <c r="A5" s="41">
        <v>3</v>
      </c>
      <c r="B5" s="193" t="s">
        <v>80</v>
      </c>
      <c r="C5" s="194"/>
      <c r="D5" s="194"/>
      <c r="E5" s="194"/>
      <c r="F5" s="194"/>
      <c r="G5" s="194"/>
      <c r="H5" s="194"/>
      <c r="I5" s="195"/>
      <c r="J5" s="43">
        <v>10</v>
      </c>
    </row>
    <row r="6" spans="1:10">
      <c r="A6" s="41">
        <v>4</v>
      </c>
      <c r="B6" s="193" t="s">
        <v>81</v>
      </c>
      <c r="C6" s="194"/>
      <c r="D6" s="194"/>
      <c r="E6" s="194"/>
      <c r="F6" s="194"/>
      <c r="G6" s="194"/>
      <c r="H6" s="194"/>
      <c r="I6" s="195"/>
      <c r="J6" s="43">
        <v>5</v>
      </c>
    </row>
    <row r="7" spans="1:10">
      <c r="A7" s="41">
        <v>5</v>
      </c>
      <c r="B7" s="193" t="s">
        <v>96</v>
      </c>
      <c r="C7" s="194"/>
      <c r="D7" s="194"/>
      <c r="E7" s="194"/>
      <c r="F7" s="194"/>
      <c r="G7" s="194"/>
      <c r="H7" s="194"/>
      <c r="I7" s="195"/>
      <c r="J7" s="127">
        <v>11</v>
      </c>
    </row>
    <row r="8" spans="1:10">
      <c r="A8" s="41">
        <v>6</v>
      </c>
      <c r="B8" s="193" t="s">
        <v>119</v>
      </c>
      <c r="C8" s="194"/>
      <c r="D8" s="194"/>
      <c r="E8" s="194"/>
      <c r="F8" s="194"/>
      <c r="G8" s="194"/>
      <c r="H8" s="194"/>
      <c r="I8" s="195"/>
      <c r="J8" s="127">
        <v>10</v>
      </c>
    </row>
    <row r="9" spans="1:10">
      <c r="A9" s="41">
        <v>7</v>
      </c>
      <c r="B9" s="193" t="s">
        <v>83</v>
      </c>
      <c r="C9" s="194"/>
      <c r="D9" s="194"/>
      <c r="E9" s="194"/>
      <c r="F9" s="194"/>
      <c r="G9" s="194"/>
      <c r="H9" s="194"/>
      <c r="I9" s="195"/>
      <c r="J9" s="127">
        <v>10</v>
      </c>
    </row>
    <row r="10" spans="1:10">
      <c r="A10" s="41">
        <v>8</v>
      </c>
      <c r="B10" s="193" t="s">
        <v>120</v>
      </c>
      <c r="C10" s="194"/>
      <c r="D10" s="194"/>
      <c r="E10" s="194"/>
      <c r="F10" s="194"/>
      <c r="G10" s="194"/>
      <c r="H10" s="194"/>
      <c r="I10" s="195"/>
      <c r="J10" s="127">
        <v>9</v>
      </c>
    </row>
    <row r="11" spans="1:10">
      <c r="A11" s="41">
        <v>9</v>
      </c>
      <c r="B11" s="193" t="s">
        <v>98</v>
      </c>
      <c r="C11" s="194"/>
      <c r="D11" s="194"/>
      <c r="E11" s="194"/>
      <c r="F11" s="194"/>
      <c r="G11" s="194"/>
      <c r="H11" s="194"/>
      <c r="I11" s="195"/>
      <c r="J11" s="128">
        <v>20</v>
      </c>
    </row>
    <row r="12" spans="1:10">
      <c r="A12" s="41">
        <v>10</v>
      </c>
      <c r="B12" s="193" t="s">
        <v>121</v>
      </c>
      <c r="C12" s="194"/>
      <c r="D12" s="194"/>
      <c r="E12" s="194"/>
      <c r="F12" s="194"/>
      <c r="G12" s="194"/>
      <c r="H12" s="194"/>
      <c r="I12" s="195"/>
      <c r="J12" s="128">
        <v>15</v>
      </c>
    </row>
    <row r="13" spans="1:10">
      <c r="A13" s="41">
        <v>11</v>
      </c>
      <c r="B13" s="193" t="s">
        <v>110</v>
      </c>
      <c r="C13" s="194"/>
      <c r="D13" s="194"/>
      <c r="E13" s="194"/>
      <c r="F13" s="194"/>
      <c r="G13" s="194"/>
      <c r="H13" s="194"/>
      <c r="I13" s="195"/>
      <c r="J13" s="128">
        <v>25</v>
      </c>
    </row>
    <row r="14" spans="1:10">
      <c r="A14" s="41">
        <v>12</v>
      </c>
      <c r="B14" s="193" t="s">
        <v>99</v>
      </c>
      <c r="C14" s="194"/>
      <c r="D14" s="194"/>
      <c r="E14" s="194"/>
      <c r="F14" s="194"/>
      <c r="G14" s="194"/>
      <c r="H14" s="194"/>
      <c r="I14" s="195"/>
      <c r="J14" s="127">
        <v>10</v>
      </c>
    </row>
    <row r="15" spans="1:10">
      <c r="A15" s="131">
        <v>13</v>
      </c>
      <c r="B15" s="189" t="s">
        <v>101</v>
      </c>
      <c r="C15" s="189"/>
      <c r="D15" s="189"/>
      <c r="E15" s="189"/>
      <c r="F15" s="189"/>
      <c r="G15" s="189"/>
      <c r="H15" s="189"/>
      <c r="I15" s="189"/>
      <c r="J15" s="132">
        <v>10</v>
      </c>
    </row>
    <row r="16" spans="1:10">
      <c r="A16" s="131">
        <v>14</v>
      </c>
      <c r="B16" s="189" t="s">
        <v>122</v>
      </c>
      <c r="C16" s="189"/>
      <c r="D16" s="189"/>
      <c r="E16" s="189"/>
      <c r="F16" s="189"/>
      <c r="G16" s="189"/>
      <c r="H16" s="189"/>
      <c r="I16" s="189"/>
      <c r="J16" s="132">
        <v>6</v>
      </c>
    </row>
    <row r="17" spans="1:10">
      <c r="A17" s="131">
        <v>15</v>
      </c>
      <c r="B17" s="189" t="s">
        <v>123</v>
      </c>
      <c r="C17" s="189"/>
      <c r="D17" s="189"/>
      <c r="E17" s="189"/>
      <c r="F17" s="189"/>
      <c r="G17" s="189"/>
      <c r="H17" s="189"/>
      <c r="I17" s="189"/>
      <c r="J17" s="132">
        <v>8</v>
      </c>
    </row>
    <row r="18" spans="1:10" hidden="1">
      <c r="A18" s="131">
        <v>16</v>
      </c>
      <c r="B18" s="189" t="s">
        <v>124</v>
      </c>
      <c r="C18" s="189"/>
      <c r="D18" s="189"/>
      <c r="E18" s="189"/>
      <c r="F18" s="189"/>
      <c r="G18" s="189"/>
      <c r="H18" s="189"/>
      <c r="I18" s="189"/>
      <c r="J18" s="132">
        <v>10</v>
      </c>
    </row>
    <row r="19" spans="1:10" hidden="1">
      <c r="A19" s="131">
        <v>17</v>
      </c>
      <c r="B19" s="189" t="s">
        <v>125</v>
      </c>
      <c r="C19" s="189"/>
      <c r="D19" s="189"/>
      <c r="E19" s="189"/>
      <c r="F19" s="189"/>
      <c r="G19" s="189"/>
      <c r="H19" s="189"/>
      <c r="I19" s="189"/>
      <c r="J19" s="132">
        <v>11</v>
      </c>
    </row>
    <row r="20" spans="1:10" hidden="1">
      <c r="A20" s="131">
        <v>18</v>
      </c>
      <c r="B20" s="189" t="s">
        <v>126</v>
      </c>
      <c r="C20" s="189"/>
      <c r="D20" s="189"/>
      <c r="E20" s="189"/>
      <c r="F20" s="189"/>
      <c r="G20" s="189"/>
      <c r="H20" s="189"/>
      <c r="I20" s="189"/>
      <c r="J20" s="132">
        <v>6</v>
      </c>
    </row>
    <row r="21" spans="1:10" hidden="1">
      <c r="A21" s="131">
        <v>19</v>
      </c>
      <c r="B21" s="189" t="s">
        <v>113</v>
      </c>
      <c r="C21" s="189"/>
      <c r="D21" s="189"/>
      <c r="E21" s="189"/>
      <c r="F21" s="189"/>
      <c r="G21" s="189"/>
      <c r="H21" s="189"/>
      <c r="I21" s="189"/>
      <c r="J21" s="132">
        <v>10</v>
      </c>
    </row>
    <row r="22" spans="1:10" hidden="1">
      <c r="A22" s="131">
        <v>20</v>
      </c>
      <c r="B22" s="189" t="s">
        <v>72</v>
      </c>
      <c r="C22" s="189"/>
      <c r="D22" s="189"/>
      <c r="E22" s="189"/>
      <c r="F22" s="189"/>
      <c r="G22" s="189"/>
      <c r="H22" s="189"/>
      <c r="I22" s="189"/>
      <c r="J22" s="132">
        <v>9</v>
      </c>
    </row>
    <row r="23" spans="1:10" hidden="1">
      <c r="A23" s="131">
        <v>21</v>
      </c>
      <c r="B23" s="189" t="s">
        <v>127</v>
      </c>
      <c r="C23" s="189"/>
      <c r="D23" s="189"/>
      <c r="E23" s="189"/>
      <c r="F23" s="189"/>
      <c r="G23" s="189"/>
      <c r="H23" s="189"/>
      <c r="I23" s="189"/>
      <c r="J23" s="132">
        <v>30</v>
      </c>
    </row>
    <row r="24" spans="1:10" hidden="1">
      <c r="A24" s="131">
        <v>22</v>
      </c>
      <c r="B24" s="189" t="s">
        <v>128</v>
      </c>
      <c r="C24" s="189"/>
      <c r="D24" s="189"/>
      <c r="E24" s="189"/>
      <c r="F24" s="189"/>
      <c r="G24" s="189"/>
      <c r="H24" s="189"/>
      <c r="I24" s="189"/>
      <c r="J24" s="132">
        <v>15</v>
      </c>
    </row>
    <row r="25" spans="1:10" hidden="1">
      <c r="A25" s="131">
        <v>23</v>
      </c>
      <c r="B25" s="189" t="s">
        <v>129</v>
      </c>
      <c r="C25" s="189"/>
      <c r="D25" s="189"/>
      <c r="E25" s="189"/>
      <c r="F25" s="189"/>
      <c r="G25" s="189"/>
      <c r="H25" s="189"/>
      <c r="I25" s="189"/>
      <c r="J25" s="132">
        <v>20</v>
      </c>
    </row>
    <row r="26" spans="1:10" hidden="1">
      <c r="A26" s="131">
        <v>24</v>
      </c>
      <c r="B26" s="189" t="s">
        <v>130</v>
      </c>
      <c r="C26" s="189"/>
      <c r="D26" s="189"/>
      <c r="E26" s="189"/>
      <c r="F26" s="189"/>
      <c r="G26" s="189"/>
      <c r="H26" s="189"/>
      <c r="I26" s="189"/>
      <c r="J26" s="132">
        <v>20</v>
      </c>
    </row>
    <row r="27" spans="1:10" hidden="1">
      <c r="A27" s="131">
        <v>25</v>
      </c>
      <c r="B27" s="189" t="s">
        <v>131</v>
      </c>
      <c r="C27" s="189"/>
      <c r="D27" s="189"/>
      <c r="E27" s="189"/>
      <c r="F27" s="189"/>
      <c r="G27" s="189"/>
      <c r="H27" s="189"/>
      <c r="I27" s="189"/>
      <c r="J27" s="132">
        <v>10</v>
      </c>
    </row>
    <row r="28" spans="1:10" hidden="1">
      <c r="A28" s="131">
        <v>26</v>
      </c>
      <c r="B28" s="189" t="s">
        <v>132</v>
      </c>
      <c r="C28" s="189"/>
      <c r="D28" s="189"/>
      <c r="E28" s="189"/>
      <c r="F28" s="189"/>
      <c r="G28" s="189"/>
      <c r="H28" s="189"/>
      <c r="I28" s="189"/>
      <c r="J28" s="132">
        <v>9</v>
      </c>
    </row>
    <row r="29" spans="1:10" hidden="1">
      <c r="A29" s="131">
        <v>27</v>
      </c>
      <c r="B29" s="189" t="s">
        <v>133</v>
      </c>
      <c r="C29" s="189"/>
      <c r="D29" s="189"/>
      <c r="E29" s="189"/>
      <c r="F29" s="189"/>
      <c r="G29" s="189"/>
      <c r="H29" s="189"/>
      <c r="I29" s="189"/>
      <c r="J29" s="132">
        <v>15</v>
      </c>
    </row>
    <row r="30" spans="1:10" hidden="1">
      <c r="A30" s="131">
        <v>28</v>
      </c>
      <c r="B30" s="189" t="s">
        <v>134</v>
      </c>
      <c r="C30" s="189"/>
      <c r="D30" s="189"/>
      <c r="E30" s="189"/>
      <c r="F30" s="189"/>
      <c r="G30" s="189"/>
      <c r="H30" s="189"/>
      <c r="I30" s="189"/>
      <c r="J30" s="132">
        <v>30</v>
      </c>
    </row>
    <row r="31" spans="1:10" hidden="1">
      <c r="A31" s="131">
        <v>29</v>
      </c>
      <c r="B31" s="189" t="s">
        <v>135</v>
      </c>
      <c r="C31" s="189"/>
      <c r="D31" s="189"/>
      <c r="E31" s="189"/>
      <c r="F31" s="189"/>
      <c r="G31" s="189"/>
      <c r="H31" s="189"/>
      <c r="I31" s="189"/>
      <c r="J31" s="132">
        <v>15</v>
      </c>
    </row>
    <row r="32" spans="1:10" hidden="1">
      <c r="A32" s="131">
        <v>30</v>
      </c>
      <c r="B32" s="189" t="s">
        <v>136</v>
      </c>
      <c r="C32" s="189"/>
      <c r="D32" s="189"/>
      <c r="E32" s="189"/>
      <c r="F32" s="189"/>
      <c r="G32" s="189"/>
      <c r="H32" s="189"/>
      <c r="I32" s="189"/>
      <c r="J32" s="132">
        <v>30</v>
      </c>
    </row>
    <row r="33" spans="1:10" hidden="1">
      <c r="A33" s="131">
        <v>31</v>
      </c>
      <c r="B33" s="189" t="s">
        <v>137</v>
      </c>
      <c r="C33" s="189"/>
      <c r="D33" s="189"/>
      <c r="E33" s="189"/>
      <c r="F33" s="189"/>
      <c r="G33" s="189"/>
      <c r="H33" s="189"/>
      <c r="I33" s="189"/>
      <c r="J33" s="132">
        <v>15</v>
      </c>
    </row>
    <row r="34" spans="1:10" hidden="1">
      <c r="A34" s="131">
        <v>32</v>
      </c>
      <c r="B34" s="189" t="s">
        <v>138</v>
      </c>
      <c r="C34" s="189"/>
      <c r="D34" s="189"/>
      <c r="E34" s="189"/>
      <c r="F34" s="189"/>
      <c r="G34" s="189"/>
      <c r="H34" s="189"/>
      <c r="I34" s="189"/>
      <c r="J34" s="132">
        <v>20</v>
      </c>
    </row>
    <row r="35" spans="1:10" hidden="1">
      <c r="A35" s="131">
        <v>33</v>
      </c>
      <c r="B35" s="189" t="s">
        <v>139</v>
      </c>
      <c r="C35" s="189"/>
      <c r="D35" s="189"/>
      <c r="E35" s="189"/>
      <c r="F35" s="189"/>
      <c r="G35" s="189"/>
      <c r="H35" s="189"/>
      <c r="I35" s="189"/>
      <c r="J35" s="132">
        <v>50</v>
      </c>
    </row>
    <row r="36" spans="1:10" hidden="1">
      <c r="A36" s="131">
        <v>34</v>
      </c>
      <c r="B36" s="189" t="s">
        <v>140</v>
      </c>
      <c r="C36" s="189"/>
      <c r="D36" s="189"/>
      <c r="E36" s="189"/>
      <c r="F36" s="189"/>
      <c r="G36" s="189"/>
      <c r="H36" s="189"/>
      <c r="I36" s="189"/>
      <c r="J36" s="132">
        <v>20</v>
      </c>
    </row>
    <row r="37" spans="1:10" hidden="1">
      <c r="A37" s="131">
        <v>35</v>
      </c>
      <c r="B37" s="189" t="s">
        <v>141</v>
      </c>
      <c r="C37" s="189"/>
      <c r="D37" s="189"/>
      <c r="E37" s="189"/>
      <c r="F37" s="189"/>
      <c r="G37" s="189"/>
      <c r="H37" s="189"/>
      <c r="I37" s="189"/>
      <c r="J37" s="132">
        <v>100</v>
      </c>
    </row>
    <row r="38" spans="1:10" ht="15.75" hidden="1" thickBot="1">
      <c r="A38" s="129"/>
      <c r="B38" s="190" t="s">
        <v>15</v>
      </c>
      <c r="C38" s="191"/>
      <c r="D38" s="191"/>
      <c r="E38" s="191"/>
      <c r="F38" s="191"/>
      <c r="G38" s="191"/>
      <c r="H38" s="191"/>
      <c r="I38" s="192"/>
      <c r="J38" s="130">
        <f>SUM(J3:J37)</f>
        <v>606</v>
      </c>
    </row>
  </sheetData>
  <autoFilter ref="A2:J38" xr:uid="{74269D55-4C69-4900-B5DC-F6CFBCE15267}">
    <filterColumn colId="1" showButton="0">
      <filters>
        <filter val="4063 МЯСНАЯ Папа может вар п/о_Л   ОСТАНКИНО"/>
        <filter val="4421577 Спред растительно-сливочный &quot;Сливочный вкус&quot; 82,5% 180гр  Останкино"/>
        <filter val="5931 ОХОТНИЧЬЯ Папа может с/к в/у 1/220 8шт.   ОСТАНКИНО"/>
        <filter val="6008 САЛО СОЛЕНОЕ С ЧЕРНЫМ ПЕРЦЕМ мл/к в/у ОСТАНКИНО"/>
        <filter val="6209 Блинчики с куриным мясом пл. 1/350 зам. ОСТАНКИНО"/>
        <filter val="6470 ВЕТЧ.МРАМОРНАЯ в/у_45с  ОСТАНКИНО"/>
        <filter val="6713 СОЧНЫЙ ГРИЛЬ ПМ сос п/о мгс 0,41кг 8 шт.  ОСТАНКИНО"/>
        <filter val="6797 С ИНДЕЙКОЙ Папа может вар п/о 0,4кг 8шт. ОСТАНКИНО"/>
        <filter val="7083 СЛИВОЧНЫЕ ПМ сос п/о мгс 1.5*4_А_50с  ОСТАНКИНО"/>
        <filter val="7216 СОЧНЫЕ СО СЛ.МАСЛ.ПМ пельм пл.0.7кг зам. ОСТАНКИНО"/>
        <filter val="7513 ВОСКРЕСЕНСКАЯ ВЯЛЕНАЯ в/к в/у срез 1/260  ОСТАНКИНО"/>
        <filter val="7539 ДОКТОРСКАЯ ГОСТ вар п/о 0,35кг ОСТАНКИНО"/>
        <filter val="7564 Балыковая в/к в/у Останкино Вес  ОСТАНКИНО"/>
        <filter val="7603 БАЛЫКОВАЯ в/к в/у 0.33кг 8шт. ОСТАНКИНО"/>
        <filter val="Сыр ПАПА МОЖЕТ &quot;Голландский традиционный&quot; 45% 180 гр (10шт)  Останкино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38">
    <mergeCell ref="B6:I6"/>
    <mergeCell ref="A1:J1"/>
    <mergeCell ref="B2:I2"/>
    <mergeCell ref="B3:I3"/>
    <mergeCell ref="B4:I4"/>
    <mergeCell ref="B5:I5"/>
    <mergeCell ref="B18:I18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30:I30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7:I37"/>
    <mergeCell ref="B38:I38"/>
    <mergeCell ref="B31:I31"/>
    <mergeCell ref="B32:I32"/>
    <mergeCell ref="B33:I33"/>
    <mergeCell ref="B34:I34"/>
    <mergeCell ref="B35:I35"/>
    <mergeCell ref="B36:I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13.10</vt:lpstr>
      <vt:lpstr>14.10</vt:lpstr>
      <vt:lpstr>15.10</vt:lpstr>
      <vt:lpstr>16.10</vt:lpstr>
      <vt:lpstr>17.10</vt:lpstr>
      <vt:lpstr>дефицит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DirKCK</dc:creator>
  <cp:lastModifiedBy>Uaer4</cp:lastModifiedBy>
  <cp:lastPrinted>2026-09-21T08:49:36Z</cp:lastPrinted>
  <dcterms:created xsi:type="dcterms:W3CDTF">2015-06-05T18:19:00Z</dcterms:created>
  <dcterms:modified xsi:type="dcterms:W3CDTF">2026-10-19T10:23:03Z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8A425840EC104B7E8198849E84926F67_12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