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19,10,26\"/>
    </mc:Choice>
  </mc:AlternateContent>
  <xr:revisionPtr revIDLastSave="0" documentId="13_ncr:1_{60CAABAC-76A4-4980-A5CB-FD1FBC61CF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TDSheet!$E$9:$I$89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8" i="1" l="1"/>
  <c r="J87" i="1"/>
  <c r="J85" i="1"/>
  <c r="J74" i="1"/>
  <c r="J71" i="1"/>
  <c r="J70" i="1"/>
  <c r="J67" i="1"/>
  <c r="J66" i="1"/>
  <c r="J61" i="1"/>
  <c r="J56" i="1"/>
  <c r="J54" i="1"/>
  <c r="J52" i="1"/>
  <c r="J51" i="1"/>
  <c r="J49" i="1"/>
  <c r="J42" i="1"/>
  <c r="J41" i="1"/>
  <c r="J38" i="1"/>
  <c r="J27" i="1"/>
  <c r="J24" i="1"/>
  <c r="J22" i="1"/>
  <c r="J13" i="1"/>
</calcChain>
</file>

<file path=xl/sharedStrings.xml><?xml version="1.0" encoding="utf-8"?>
<sst xmlns="http://schemas.openxmlformats.org/spreadsheetml/2006/main" count="113" uniqueCount="113">
  <si>
    <t>Параметры:</t>
  </si>
  <si>
    <t>Период отчета: 17.10.2026 - 17.10.2026</t>
  </si>
  <si>
    <t>Отбор:</t>
  </si>
  <si>
    <t>Партнер Не в группе из списка "18 (4) ИП Арефьев( Филиал...; 1463 (45) МР ИП Ставриенк...; Физическое лицо Поляков В...; ИП Поляков опт  Мелитопол...; Физическое лицо Патяка О...." И
Документ.Склад.Подразделение В группе из списка "Основное подразделение Ме..." И
Документ.Склад Равно "АСП1 Мелитополь Останкино"</t>
  </si>
  <si>
    <t>в Разрезе складов</t>
  </si>
  <si>
    <t>Номенклатура</t>
  </si>
  <si>
    <t>Итого</t>
  </si>
  <si>
    <t>по заказам</t>
  </si>
  <si>
    <t>реализация</t>
  </si>
  <si>
    <t>отклонения</t>
  </si>
  <si>
    <t>Недогруз вес</t>
  </si>
  <si>
    <t>Заказано вес</t>
  </si>
  <si>
    <t>Отгружено вес</t>
  </si>
  <si>
    <t>Отклонения вес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</si>
  <si>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</si>
  <si>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</si>
  <si>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</si>
  <si>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</si>
  <si>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</si>
  <si>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</si>
  <si>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</si>
  <si>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</si>
  <si>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</si>
  <si>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</si>
  <si>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</si>
  <si>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</si>
  <si>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</si>
  <si>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</si>
  <si>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</si>
  <si>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</si>
  <si>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</si>
  <si>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</si>
  <si>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</si>
  <si>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</si>
  <si>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</si>
  <si>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</si>
  <si>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</si>
  <si>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</si>
  <si>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</si>
  <si>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</si>
  <si>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</si>
  <si>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</si>
  <si>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</si>
  <si>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</si>
  <si>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</si>
  <si>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</si>
  <si>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</si>
  <si>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</si>
  <si>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</si>
  <si>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</si>
  <si>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</si>
  <si>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</si>
  <si>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</si>
  <si>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</si>
  <si>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</si>
  <si>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</si>
  <si>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</si>
  <si>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</si>
  <si>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</si>
  <si>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</si>
  <si>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</si>
  <si>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</si>
  <si>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</si>
  <si>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</si>
  <si>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</si>
  <si>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</si>
  <si>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</si>
  <si>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</si>
  <si>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</si>
  <si>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</si>
  <si>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</si>
  <si>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</si>
  <si>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</si>
  <si>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</si>
  <si>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</si>
  <si>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</si>
  <si>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</si>
  <si>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</si>
  <si>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</si>
  <si>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</si>
  <si>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</si>
  <si>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</si>
  <si>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</si>
  <si>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</si>
  <si>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</si>
  <si>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</si>
  <si>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</si>
  <si>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</si>
  <si>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</si>
  <si>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</si>
  <si>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</si>
  <si>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</si>
  <si>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остаток - 68,5 кг</t>
  </si>
  <si>
    <t>остаток - 104,8 кг</t>
  </si>
  <si>
    <t>остаток - 8,4 кг</t>
  </si>
  <si>
    <t>остаток - 53,3 кг</t>
  </si>
  <si>
    <t>остаток - 66,7 кг</t>
  </si>
  <si>
    <t>остаток - 124,3 кг</t>
  </si>
  <si>
    <t>остаток - 271,4 кг</t>
  </si>
  <si>
    <t>остаток - 115,6 кг</t>
  </si>
  <si>
    <t>остаток - 1,2 кг + 06,10 в уценку перевели 80 кг</t>
  </si>
  <si>
    <t>остаток - 56,6 кг</t>
  </si>
  <si>
    <t>остаток - 19,6 кг</t>
  </si>
  <si>
    <t>остаток - 25,4 кг</t>
  </si>
  <si>
    <t>остаток - 133,6 кг</t>
  </si>
  <si>
    <t>остаток - 309,1 кг</t>
  </si>
  <si>
    <t>остаток - 88,6 кг</t>
  </si>
  <si>
    <t>остаток - 22,4 кг</t>
  </si>
  <si>
    <t>рост продаж в 1,9 раза</t>
  </si>
  <si>
    <t>остаток - 6,3 кг + рост продаж в 1,9 раза</t>
  </si>
  <si>
    <t>остаток - 6,4 кг + рост продаж в 1,3 раза</t>
  </si>
  <si>
    <t>рост продаж в 3,1 раза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</si>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</sst>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8"/>
      <name val="Arial"/>
      <family val="2"/>
    </font>
    <font>
      <sz val="10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indexed="24"/>
      </left>
      <right/>
      <top/>
      <bottom/>
      <diagonal/>
    </border>
    <border>
      <left/>
      <right style="thin">
        <color indexed="24"/>
      </right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1" fillId="2" borderId="7" xfId="0" applyNumberFormat="1" applyFont="1" applyFill="1" applyBorder="1" applyAlignment="1">
      <alignment vertical="top"/>
    </xf>
    <xf numFmtId="0" fontId="1" fillId="2" borderId="7" xfId="0" applyNumberFormat="1" applyFont="1" applyFill="1" applyBorder="1" applyAlignment="1">
      <alignment vertical="top" wrapText="1"/>
    </xf>
    <xf numFmtId="164" fontId="0" fillId="0" borderId="7" xfId="0" applyNumberFormat="1" applyFont="1" applyBorder="1" applyAlignment="1">
      <alignment horizontal="right" vertical="top"/>
    </xf>
    <xf numFmtId="165" fontId="0" fillId="0" borderId="7" xfId="0" applyNumberFormat="1" applyFont="1" applyBorder="1" applyAlignment="1">
      <alignment horizontal="right" vertical="top"/>
    </xf>
    <xf numFmtId="0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horizontal="right" vertical="top"/>
    </xf>
    <xf numFmtId="1" fontId="0" fillId="0" borderId="7" xfId="0" applyNumberFormat="1" applyFont="1" applyBorder="1" applyAlignment="1">
      <alignment horizontal="right" vertical="top"/>
    </xf>
    <xf numFmtId="2" fontId="0" fillId="0" borderId="7" xfId="0" applyNumberFormat="1" applyFont="1" applyBorder="1" applyAlignment="1">
      <alignment horizontal="right" vertical="top"/>
    </xf>
    <xf numFmtId="0" fontId="0" fillId="0" borderId="9" xfId="0" applyNumberFormat="1" applyFont="1" applyBorder="1" applyAlignment="1">
      <alignment horizontal="right" vertical="top"/>
    </xf>
    <xf numFmtId="0" fontId="0" fillId="0" borderId="10" xfId="0" applyNumberFormat="1" applyFont="1" applyBorder="1" applyAlignment="1">
      <alignment horizontal="right" vertical="top"/>
    </xf>
    <xf numFmtId="165" fontId="1" fillId="2" borderId="7" xfId="0" applyNumberFormat="1" applyFont="1" applyFill="1" applyBorder="1" applyAlignment="1">
      <alignment horizontal="right" vertical="top"/>
    </xf>
    <xf numFmtId="164" fontId="1" fillId="2" borderId="7" xfId="0" applyNumberFormat="1" applyFont="1" applyFill="1" applyBorder="1" applyAlignment="1">
      <alignment horizontal="right" vertical="top"/>
    </xf>
    <xf numFmtId="0" fontId="1" fillId="0" borderId="0" xfId="0" applyNumberFormat="1" applyFont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1" fillId="2" borderId="0" xfId="0" applyNumberFormat="1" applyFont="1" applyFill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/>
    </xf>
    <xf numFmtId="0" fontId="1" fillId="2" borderId="8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1" fontId="0" fillId="0" borderId="7" xfId="0" applyNumberFormat="1" applyFont="1" applyBorder="1" applyAlignment="1">
      <alignment horizontal="right" vertical="top"/>
    </xf>
    <xf numFmtId="165" fontId="0" fillId="0" borderId="7" xfId="0" applyNumberFormat="1" applyFont="1" applyBorder="1" applyAlignment="1">
      <alignment horizontal="right" vertical="top"/>
    </xf>
    <xf numFmtId="164" fontId="0" fillId="0" borderId="7" xfId="0" applyNumberFormat="1" applyFont="1" applyBorder="1" applyAlignment="1">
      <alignment horizontal="right" vertical="top"/>
    </xf>
    <xf numFmtId="2" fontId="0" fillId="0" borderId="7" xfId="0" applyNumberFormat="1" applyFont="1" applyBorder="1" applyAlignment="1">
      <alignment horizontal="right" vertical="top"/>
    </xf>
    <xf numFmtId="165" fontId="1" fillId="2" borderId="7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10,26/12,10,26%20&#1054;&#1089;&#1090;&#1072;&#1085;&#1082;&#1080;&#1085;&#1086;%20&#1050;&#1048;%20&#1080;%20&#1047;&#1055;&#1060;/&#1076;&#1074;%2012,10,26%20&#1084;&#1083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8127.5429999999997</v>
          </cell>
          <cell r="F5">
            <v>11399.475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0.96399999999999997</v>
          </cell>
          <cell r="D6">
            <v>155.65100000000001</v>
          </cell>
          <cell r="E6">
            <v>4.43</v>
          </cell>
          <cell r="F6">
            <v>148.40600000000001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273</v>
          </cell>
          <cell r="D7">
            <v>56</v>
          </cell>
          <cell r="E7">
            <v>125</v>
          </cell>
          <cell r="F7">
            <v>194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91.57</v>
          </cell>
          <cell r="D8">
            <v>50.146000000000001</v>
          </cell>
          <cell r="E8">
            <v>37.061999999999998</v>
          </cell>
          <cell r="F8">
            <v>103.654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416</v>
          </cell>
          <cell r="D9">
            <v>9</v>
          </cell>
          <cell r="E9">
            <v>141</v>
          </cell>
          <cell r="F9">
            <v>268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511.53899999999999</v>
          </cell>
          <cell r="D10">
            <v>5.423</v>
          </cell>
          <cell r="E10">
            <v>169.22900000000001</v>
          </cell>
          <cell r="F10">
            <v>331.66800000000001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16.992000000000001</v>
          </cell>
          <cell r="D11">
            <v>48.036000000000001</v>
          </cell>
          <cell r="E11">
            <v>31.558</v>
          </cell>
          <cell r="F11">
            <v>31.466000000000001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61.94</v>
          </cell>
          <cell r="D12">
            <v>40.808</v>
          </cell>
          <cell r="E12">
            <v>26.93</v>
          </cell>
          <cell r="F12">
            <v>73.134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383.74</v>
          </cell>
          <cell r="D13">
            <v>21.661999999999999</v>
          </cell>
          <cell r="E13">
            <v>133.386</v>
          </cell>
          <cell r="F13">
            <v>261.79000000000002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203</v>
          </cell>
          <cell r="D14">
            <v>131</v>
          </cell>
          <cell r="E14">
            <v>93</v>
          </cell>
          <cell r="F14">
            <v>216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42.776000000000003</v>
          </cell>
          <cell r="D15">
            <v>6.3819999999999997</v>
          </cell>
          <cell r="E15">
            <v>10.893000000000001</v>
          </cell>
          <cell r="F15">
            <v>33.186999999999998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310</v>
          </cell>
          <cell r="E16">
            <v>146</v>
          </cell>
          <cell r="F16">
            <v>147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34</v>
          </cell>
          <cell r="D17">
            <v>2</v>
          </cell>
          <cell r="E17">
            <v>29</v>
          </cell>
          <cell r="F17">
            <v>6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272.29199999999997</v>
          </cell>
          <cell r="D18">
            <v>418.50599999999997</v>
          </cell>
          <cell r="E18">
            <v>203.44499999999999</v>
          </cell>
          <cell r="F18">
            <v>415.14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20.085999999999999</v>
          </cell>
          <cell r="D19">
            <v>1.002</v>
          </cell>
          <cell r="E19">
            <v>19.545999999999999</v>
          </cell>
          <cell r="F19">
            <v>0.51200000000000001</v>
          </cell>
          <cell r="G19">
            <v>1</v>
          </cell>
          <cell r="H19">
            <v>120</v>
          </cell>
          <cell r="I19" t="str">
            <v>ротация на код 7700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200</v>
          </cell>
          <cell r="E20">
            <v>8</v>
          </cell>
          <cell r="G20">
            <v>0.4</v>
          </cell>
          <cell r="H20">
            <v>45</v>
          </cell>
          <cell r="I20" t="str">
            <v>матрица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32.624000000000002</v>
          </cell>
          <cell r="D21">
            <v>136.89699999999999</v>
          </cell>
          <cell r="E21">
            <v>44.076000000000001</v>
          </cell>
          <cell r="F21">
            <v>115.996</v>
          </cell>
          <cell r="G21">
            <v>1</v>
          </cell>
          <cell r="H21">
            <v>60</v>
          </cell>
          <cell r="I21" t="str">
            <v>матрица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185</v>
          </cell>
          <cell r="D22">
            <v>15</v>
          </cell>
          <cell r="E22">
            <v>163</v>
          </cell>
          <cell r="F22">
            <v>10</v>
          </cell>
          <cell r="G22">
            <v>0.22</v>
          </cell>
          <cell r="H22">
            <v>120</v>
          </cell>
          <cell r="I22" t="str">
            <v>матрица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3.5</v>
          </cell>
          <cell r="D23">
            <v>42.996000000000002</v>
          </cell>
          <cell r="E23">
            <v>12.742000000000001</v>
          </cell>
          <cell r="F23">
            <v>33.423999999999999</v>
          </cell>
          <cell r="G23">
            <v>1</v>
          </cell>
          <cell r="H23">
            <v>40</v>
          </cell>
          <cell r="I23" t="str">
            <v>матрица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21.652000000000001</v>
          </cell>
          <cell r="D24">
            <v>4.085</v>
          </cell>
          <cell r="E24">
            <v>23.797000000000001</v>
          </cell>
          <cell r="F24">
            <v>-4.9000000000000002E-2</v>
          </cell>
          <cell r="G24">
            <v>1</v>
          </cell>
          <cell r="H24">
            <v>60</v>
          </cell>
          <cell r="I24" t="str">
            <v>матрица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61</v>
          </cell>
          <cell r="D25">
            <v>10</v>
          </cell>
          <cell r="E25">
            <v>49</v>
          </cell>
          <cell r="F25">
            <v>6</v>
          </cell>
          <cell r="G25">
            <v>0.09</v>
          </cell>
          <cell r="H25">
            <v>60</v>
          </cell>
          <cell r="I25" t="str">
            <v>матрица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88</v>
          </cell>
          <cell r="E26">
            <v>29</v>
          </cell>
          <cell r="F26">
            <v>38</v>
          </cell>
          <cell r="G26">
            <v>0.09</v>
          </cell>
          <cell r="H26">
            <v>45</v>
          </cell>
          <cell r="I26" t="str">
            <v>матрица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219</v>
          </cell>
          <cell r="D27">
            <v>1</v>
          </cell>
          <cell r="E27">
            <v>56</v>
          </cell>
          <cell r="F27">
            <v>114</v>
          </cell>
          <cell r="G27">
            <v>0.15</v>
          </cell>
          <cell r="H27">
            <v>45</v>
          </cell>
          <cell r="I27" t="str">
            <v>матрица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560.52800000000002</v>
          </cell>
          <cell r="D28">
            <v>266.15199999999999</v>
          </cell>
          <cell r="E28">
            <v>368.10399999999998</v>
          </cell>
          <cell r="F28">
            <v>388.488</v>
          </cell>
          <cell r="G28">
            <v>1</v>
          </cell>
          <cell r="H28">
            <v>45</v>
          </cell>
          <cell r="I28" t="str">
            <v>матрица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71</v>
          </cell>
          <cell r="D29">
            <v>8</v>
          </cell>
          <cell r="E29">
            <v>42</v>
          </cell>
          <cell r="F29">
            <v>32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428</v>
          </cell>
          <cell r="D30">
            <v>9</v>
          </cell>
          <cell r="E30">
            <v>166</v>
          </cell>
          <cell r="F30">
            <v>249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271</v>
          </cell>
          <cell r="D31">
            <v>24</v>
          </cell>
          <cell r="E31">
            <v>158</v>
          </cell>
          <cell r="F31">
            <v>118</v>
          </cell>
          <cell r="G31">
            <v>0.4</v>
          </cell>
          <cell r="H31">
            <v>60</v>
          </cell>
          <cell r="I31" t="str">
            <v>матрица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62</v>
          </cell>
          <cell r="E32">
            <v>29</v>
          </cell>
          <cell r="F32">
            <v>33</v>
          </cell>
          <cell r="G32">
            <v>0.3</v>
          </cell>
          <cell r="H32">
            <v>45</v>
          </cell>
          <cell r="I32" t="str">
            <v>ротация на код 7725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69.778000000000006</v>
          </cell>
          <cell r="D33">
            <v>204.40299999999999</v>
          </cell>
          <cell r="E33">
            <v>65.174999999999997</v>
          </cell>
          <cell r="F33">
            <v>201.20500000000001</v>
          </cell>
          <cell r="G33">
            <v>1</v>
          </cell>
          <cell r="H33">
            <v>60</v>
          </cell>
          <cell r="I33" t="str">
            <v>матрица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82.012</v>
          </cell>
          <cell r="D34">
            <v>190.613</v>
          </cell>
          <cell r="E34">
            <v>49.826000000000001</v>
          </cell>
          <cell r="F34">
            <v>210.82499999999999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48.002000000000002</v>
          </cell>
          <cell r="D35">
            <v>45.350999999999999</v>
          </cell>
          <cell r="E35">
            <v>30.178000000000001</v>
          </cell>
          <cell r="F35">
            <v>45.061</v>
          </cell>
          <cell r="G35">
            <v>1</v>
          </cell>
          <cell r="H35">
            <v>45</v>
          </cell>
          <cell r="I35" t="str">
            <v>матрица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154.62899999999999</v>
          </cell>
          <cell r="D36">
            <v>3.089</v>
          </cell>
          <cell r="E36">
            <v>72.278999999999996</v>
          </cell>
          <cell r="F36">
            <v>67.959999999999994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383</v>
          </cell>
          <cell r="D37">
            <v>28</v>
          </cell>
          <cell r="E37">
            <v>216</v>
          </cell>
          <cell r="F37">
            <v>175</v>
          </cell>
          <cell r="G37">
            <v>0.3</v>
          </cell>
          <cell r="H37">
            <v>45</v>
          </cell>
          <cell r="I37" t="str">
            <v>матрица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98.415999999999997</v>
          </cell>
          <cell r="D38">
            <v>1.1419999999999999</v>
          </cell>
          <cell r="E38">
            <v>3.484</v>
          </cell>
          <cell r="F38">
            <v>1.1419999999999999</v>
          </cell>
          <cell r="G38">
            <v>1</v>
          </cell>
          <cell r="H38">
            <v>30</v>
          </cell>
          <cell r="I38" t="str">
            <v>матрица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96.96</v>
          </cell>
          <cell r="D39">
            <v>68.606999999999999</v>
          </cell>
          <cell r="E39">
            <v>59.865000000000002</v>
          </cell>
          <cell r="F39">
            <v>99.534999999999997</v>
          </cell>
          <cell r="G39">
            <v>1</v>
          </cell>
          <cell r="H39">
            <v>45</v>
          </cell>
          <cell r="I39" t="str">
            <v>матрица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526</v>
          </cell>
          <cell r="D40">
            <v>26</v>
          </cell>
          <cell r="E40">
            <v>346</v>
          </cell>
          <cell r="F40">
            <v>152</v>
          </cell>
          <cell r="G40">
            <v>0.35</v>
          </cell>
          <cell r="H40">
            <v>45</v>
          </cell>
          <cell r="I40" t="str">
            <v>матрица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165</v>
          </cell>
          <cell r="D41">
            <v>5</v>
          </cell>
          <cell r="E41">
            <v>139</v>
          </cell>
          <cell r="F41">
            <v>5</v>
          </cell>
          <cell r="G41">
            <v>0</v>
          </cell>
          <cell r="H41">
            <v>45</v>
          </cell>
          <cell r="I41" t="str">
            <v>вывод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249</v>
          </cell>
          <cell r="D42">
            <v>32</v>
          </cell>
          <cell r="E42">
            <v>113</v>
          </cell>
          <cell r="F42">
            <v>158</v>
          </cell>
          <cell r="G42">
            <v>0.41</v>
          </cell>
          <cell r="H42">
            <v>45</v>
          </cell>
          <cell r="I42" t="str">
            <v>матрица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185</v>
          </cell>
          <cell r="E43">
            <v>96</v>
          </cell>
          <cell r="F43">
            <v>86</v>
          </cell>
          <cell r="G43">
            <v>0.36</v>
          </cell>
          <cell r="H43">
            <v>45</v>
          </cell>
          <cell r="I43" t="str">
            <v>матрица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74</v>
          </cell>
          <cell r="D44">
            <v>40</v>
          </cell>
          <cell r="E44">
            <v>30</v>
          </cell>
          <cell r="F44">
            <v>80</v>
          </cell>
          <cell r="G44">
            <v>0.33</v>
          </cell>
          <cell r="H44">
            <v>45</v>
          </cell>
          <cell r="I44" t="str">
            <v>матрица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140</v>
          </cell>
          <cell r="D45">
            <v>1</v>
          </cell>
          <cell r="E45">
            <v>49</v>
          </cell>
          <cell r="F45">
            <v>85</v>
          </cell>
          <cell r="G45">
            <v>0.4</v>
          </cell>
          <cell r="H45">
            <v>60</v>
          </cell>
          <cell r="I45" t="str">
            <v>матрица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C46">
            <v>38</v>
          </cell>
          <cell r="D46">
            <v>8</v>
          </cell>
          <cell r="E46">
            <v>32</v>
          </cell>
          <cell r="F46">
            <v>12</v>
          </cell>
          <cell r="G46">
            <v>0.33</v>
          </cell>
          <cell r="H46">
            <v>45</v>
          </cell>
          <cell r="I46" t="str">
            <v>матрица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450.80500000000001</v>
          </cell>
          <cell r="D47">
            <v>42.604999999999997</v>
          </cell>
          <cell r="E47">
            <v>262.93900000000002</v>
          </cell>
          <cell r="F47">
            <v>184.01599999999999</v>
          </cell>
          <cell r="G47">
            <v>1</v>
          </cell>
          <cell r="H47">
            <v>45</v>
          </cell>
          <cell r="I47" t="str">
            <v>матрица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14</v>
          </cell>
          <cell r="D48">
            <v>78</v>
          </cell>
          <cell r="E48">
            <v>17</v>
          </cell>
          <cell r="F48">
            <v>71</v>
          </cell>
          <cell r="G48">
            <v>0.4</v>
          </cell>
          <cell r="H48">
            <v>45</v>
          </cell>
          <cell r="I48" t="str">
            <v>матрица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7.766</v>
          </cell>
          <cell r="E49">
            <v>1.9359999999999999</v>
          </cell>
          <cell r="F49">
            <v>5.83</v>
          </cell>
          <cell r="G49">
            <v>1</v>
          </cell>
          <cell r="H49">
            <v>60</v>
          </cell>
          <cell r="I49" t="str">
            <v>ротация на код 7754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22.574999999999999</v>
          </cell>
          <cell r="E50">
            <v>3.0179999999999998</v>
          </cell>
          <cell r="G50">
            <v>1</v>
          </cell>
          <cell r="H50">
            <v>60</v>
          </cell>
          <cell r="I50" t="str">
            <v>матрица</v>
          </cell>
        </row>
        <row r="51">
          <cell r="A51" t="str">
            <v>6929 КАРБОНАД ДОМАШНИЙ ПМ к/в кр/к в/у  ОСТАНКИНО</v>
          </cell>
          <cell r="B51" t="str">
            <v>кг</v>
          </cell>
          <cell r="C51">
            <v>81.31</v>
          </cell>
          <cell r="D51">
            <v>1.204</v>
          </cell>
          <cell r="F51">
            <v>1.204</v>
          </cell>
          <cell r="G51">
            <v>1</v>
          </cell>
          <cell r="H51">
            <v>45</v>
          </cell>
          <cell r="I51" t="str">
            <v>матрица</v>
          </cell>
        </row>
        <row r="52">
          <cell r="A52" t="str">
            <v>6967 БУРГУНДИЯ Папа может с/к в/у 1/250 8шт  Останкино</v>
          </cell>
          <cell r="B52" t="str">
            <v>шт</v>
          </cell>
          <cell r="C52">
            <v>3</v>
          </cell>
          <cell r="D52">
            <v>80</v>
          </cell>
          <cell r="E52">
            <v>6</v>
          </cell>
          <cell r="F52">
            <v>72</v>
          </cell>
          <cell r="G52">
            <v>0.25</v>
          </cell>
          <cell r="H52">
            <v>120</v>
          </cell>
          <cell r="I52" t="str">
            <v>матрица</v>
          </cell>
        </row>
        <row r="53">
          <cell r="A53" t="str">
            <v>7001 КЛАССИЧЕСКИЕ Папа может сар б/о мгс 1*3  Останкино</v>
          </cell>
          <cell r="B53" t="str">
            <v>кг</v>
          </cell>
          <cell r="C53">
            <v>117.792</v>
          </cell>
          <cell r="D53">
            <v>2.1059999999999999</v>
          </cell>
          <cell r="E53">
            <v>79.733000000000004</v>
          </cell>
          <cell r="F53">
            <v>29.263999999999999</v>
          </cell>
          <cell r="G53">
            <v>1</v>
          </cell>
          <cell r="H53">
            <v>45</v>
          </cell>
          <cell r="I53" t="str">
            <v>матрица</v>
          </cell>
        </row>
        <row r="54">
          <cell r="A54" t="str">
            <v>7040 С ИНДЕЙКОЙ ПМ сос ц/о в/у 1/270 8шт.  ОСТАНКИНО</v>
          </cell>
          <cell r="B54" t="str">
            <v>шт</v>
          </cell>
          <cell r="C54">
            <v>212</v>
          </cell>
          <cell r="D54">
            <v>3</v>
          </cell>
          <cell r="E54">
            <v>87</v>
          </cell>
          <cell r="F54">
            <v>110</v>
          </cell>
          <cell r="G54">
            <v>0.27</v>
          </cell>
          <cell r="I54" t="str">
            <v>матрица</v>
          </cell>
        </row>
        <row r="55">
          <cell r="A55" t="str">
            <v>7059 ШПИКАЧКИ СОЧНЫЕ С БЕК. п/о мгс 0,3кг 60с ОСТАНКИНО</v>
          </cell>
          <cell r="B55" t="str">
            <v>шт</v>
          </cell>
          <cell r="C55">
            <v>127</v>
          </cell>
          <cell r="D55">
            <v>4</v>
          </cell>
          <cell r="E55">
            <v>46</v>
          </cell>
          <cell r="F55">
            <v>80</v>
          </cell>
          <cell r="G55">
            <v>0.3</v>
          </cell>
          <cell r="H55">
            <v>60</v>
          </cell>
          <cell r="I55" t="str">
            <v>матрица</v>
          </cell>
        </row>
        <row r="56">
          <cell r="A56" t="str">
            <v>7066 СОЧНЫЕ ПМ сос п/о мгс 0,41кг 10шт 50с  Останкино</v>
          </cell>
          <cell r="B56" t="str">
            <v>шт</v>
          </cell>
          <cell r="C56">
            <v>559</v>
          </cell>
          <cell r="D56">
            <v>15</v>
          </cell>
          <cell r="E56">
            <v>287</v>
          </cell>
          <cell r="F56">
            <v>290</v>
          </cell>
          <cell r="G56">
            <v>0.41</v>
          </cell>
          <cell r="H56">
            <v>50</v>
          </cell>
          <cell r="I56" t="str">
            <v>матрица</v>
          </cell>
        </row>
        <row r="57">
          <cell r="A57" t="str">
            <v>7070 СОЧНЫЕ ПМ сос п/о 1,5*4_А_50с  Останкино</v>
          </cell>
          <cell r="B57" t="str">
            <v>кг</v>
          </cell>
          <cell r="C57">
            <v>267.714</v>
          </cell>
          <cell r="D57">
            <v>49.466999999999999</v>
          </cell>
          <cell r="E57">
            <v>81.692999999999998</v>
          </cell>
          <cell r="F57">
            <v>210.22300000000001</v>
          </cell>
          <cell r="G57">
            <v>1</v>
          </cell>
          <cell r="H57">
            <v>50</v>
          </cell>
          <cell r="I57" t="str">
            <v>матрица</v>
          </cell>
        </row>
        <row r="58">
          <cell r="A58" t="str">
            <v>7073 МОЛОЧ.ПРЕМИУМ ПМ сос п/о в/у 1/350_50с  Останкино</v>
          </cell>
          <cell r="B58" t="str">
            <v>шт</v>
          </cell>
          <cell r="C58">
            <v>135</v>
          </cell>
          <cell r="E58">
            <v>16</v>
          </cell>
          <cell r="F58">
            <v>117</v>
          </cell>
          <cell r="G58">
            <v>0.35</v>
          </cell>
          <cell r="H58">
            <v>50</v>
          </cell>
          <cell r="I58" t="str">
            <v>матрица</v>
          </cell>
        </row>
        <row r="59">
          <cell r="A59" t="str">
            <v>7075 МОЛОЧ.ПРЕМИУМ ПМ сос п/о мгс 1,5*4_О_50с  Останкино</v>
          </cell>
          <cell r="B59" t="str">
            <v>кг</v>
          </cell>
          <cell r="C59">
            <v>20.251999999999999</v>
          </cell>
          <cell r="D59">
            <v>75.117000000000004</v>
          </cell>
          <cell r="E59">
            <v>18.613</v>
          </cell>
          <cell r="F59">
            <v>61.283000000000001</v>
          </cell>
          <cell r="G59">
            <v>1</v>
          </cell>
          <cell r="H59">
            <v>50</v>
          </cell>
          <cell r="I59" t="str">
            <v>матрица</v>
          </cell>
        </row>
        <row r="60">
          <cell r="A60" t="str">
            <v>7080 СЛИВОЧНЫЕ ПМ сос п/о мгс 0,41кг 10шт 50с  Останкино</v>
          </cell>
          <cell r="B60" t="str">
            <v>шт</v>
          </cell>
          <cell r="C60">
            <v>534</v>
          </cell>
          <cell r="D60">
            <v>82</v>
          </cell>
          <cell r="E60">
            <v>224</v>
          </cell>
          <cell r="F60">
            <v>371</v>
          </cell>
          <cell r="G60">
            <v>0.41</v>
          </cell>
          <cell r="H60">
            <v>50</v>
          </cell>
          <cell r="I60" t="str">
            <v>матрица</v>
          </cell>
        </row>
        <row r="61">
          <cell r="A61" t="str">
            <v>7083 СЛИВОЧНЫЕ ПМ сос п/о мгс 1.5*4_А_50с  ОСТАНКИНО</v>
          </cell>
          <cell r="B61" t="str">
            <v>кг</v>
          </cell>
          <cell r="C61">
            <v>343.55700000000002</v>
          </cell>
          <cell r="D61">
            <v>10.981</v>
          </cell>
          <cell r="E61">
            <v>91.546999999999997</v>
          </cell>
          <cell r="F61">
            <v>248.91399999999999</v>
          </cell>
          <cell r="G61">
            <v>1</v>
          </cell>
          <cell r="H61">
            <v>50</v>
          </cell>
          <cell r="I61" t="str">
            <v>матрица</v>
          </cell>
        </row>
        <row r="62">
          <cell r="A62" t="str">
            <v>7090 СВИНИНА ПО-ДОМ.к/в мл/к в/у 0,3кг_50с  Останкино</v>
          </cell>
          <cell r="B62" t="str">
            <v>шт</v>
          </cell>
          <cell r="C62">
            <v>48</v>
          </cell>
          <cell r="D62">
            <v>72</v>
          </cell>
          <cell r="E62">
            <v>66</v>
          </cell>
          <cell r="F62">
            <v>42</v>
          </cell>
          <cell r="G62">
            <v>0.3</v>
          </cell>
          <cell r="H62">
            <v>50</v>
          </cell>
          <cell r="I62" t="str">
            <v>матрица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270</v>
          </cell>
          <cell r="E63">
            <v>3</v>
          </cell>
          <cell r="G63">
            <v>0.18</v>
          </cell>
          <cell r="H63">
            <v>50</v>
          </cell>
          <cell r="I63" t="str">
            <v>матрица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65</v>
          </cell>
          <cell r="E64">
            <v>20</v>
          </cell>
          <cell r="F64">
            <v>40</v>
          </cell>
          <cell r="G64">
            <v>0.22</v>
          </cell>
          <cell r="H64">
            <v>120</v>
          </cell>
          <cell r="I64" t="str">
            <v>матрица</v>
          </cell>
        </row>
        <row r="65">
          <cell r="A65" t="str">
            <v>7149 БАЛЫКОВАЯ Коровино п/к в/у 0,84кг_50с  Останкино</v>
          </cell>
          <cell r="B65" t="str">
            <v>шт</v>
          </cell>
          <cell r="C65">
            <v>5</v>
          </cell>
          <cell r="D65">
            <v>72</v>
          </cell>
          <cell r="F65">
            <v>75</v>
          </cell>
          <cell r="G65">
            <v>0.84</v>
          </cell>
          <cell r="H65">
            <v>50</v>
          </cell>
          <cell r="I65" t="str">
            <v>матрица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573</v>
          </cell>
          <cell r="D66">
            <v>202</v>
          </cell>
          <cell r="E66">
            <v>350</v>
          </cell>
          <cell r="F66">
            <v>378</v>
          </cell>
          <cell r="G66">
            <v>0.35</v>
          </cell>
          <cell r="H66">
            <v>50</v>
          </cell>
          <cell r="I66" t="str">
            <v>матрица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G67">
            <v>0</v>
          </cell>
          <cell r="I67" t="str">
            <v>матрица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237.78</v>
          </cell>
          <cell r="D68">
            <v>20.643000000000001</v>
          </cell>
          <cell r="E68">
            <v>164.75299999999999</v>
          </cell>
          <cell r="F68">
            <v>76.516000000000005</v>
          </cell>
          <cell r="G68">
            <v>1</v>
          </cell>
          <cell r="H68">
            <v>50</v>
          </cell>
          <cell r="I68" t="str">
            <v>матрица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274.61099999999999</v>
          </cell>
          <cell r="D69">
            <v>29.684000000000001</v>
          </cell>
          <cell r="E69">
            <v>187.55</v>
          </cell>
          <cell r="F69">
            <v>80.866</v>
          </cell>
          <cell r="G69">
            <v>1</v>
          </cell>
          <cell r="H69">
            <v>50</v>
          </cell>
          <cell r="I69" t="str">
            <v>матрица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363</v>
          </cell>
          <cell r="D70">
            <v>517</v>
          </cell>
          <cell r="E70">
            <v>321</v>
          </cell>
          <cell r="F70">
            <v>487</v>
          </cell>
          <cell r="G70">
            <v>0.35</v>
          </cell>
          <cell r="H70">
            <v>50</v>
          </cell>
          <cell r="I70" t="str">
            <v>матрица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53</v>
          </cell>
          <cell r="D71">
            <v>156</v>
          </cell>
          <cell r="E71">
            <v>72</v>
          </cell>
          <cell r="F71">
            <v>127</v>
          </cell>
          <cell r="G71">
            <v>0.3</v>
          </cell>
          <cell r="H71">
            <v>50</v>
          </cell>
          <cell r="I71" t="str">
            <v>матрица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88</v>
          </cell>
          <cell r="D72">
            <v>49</v>
          </cell>
          <cell r="E72">
            <v>61</v>
          </cell>
          <cell r="F72">
            <v>62</v>
          </cell>
          <cell r="G72">
            <v>0.3</v>
          </cell>
          <cell r="H72">
            <v>60</v>
          </cell>
          <cell r="I72" t="str">
            <v>матрица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450</v>
          </cell>
          <cell r="D73">
            <v>11</v>
          </cell>
          <cell r="E73">
            <v>278</v>
          </cell>
          <cell r="F73">
            <v>114</v>
          </cell>
          <cell r="G73">
            <v>0.28000000000000003</v>
          </cell>
          <cell r="H73">
            <v>50</v>
          </cell>
          <cell r="I73" t="str">
            <v>матрица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335</v>
          </cell>
          <cell r="D74">
            <v>229</v>
          </cell>
          <cell r="E74">
            <v>290</v>
          </cell>
          <cell r="F74">
            <v>224</v>
          </cell>
          <cell r="G74">
            <v>0.28000000000000003</v>
          </cell>
          <cell r="H74">
            <v>45</v>
          </cell>
          <cell r="I74" t="str">
            <v>матрица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295</v>
          </cell>
          <cell r="D75">
            <v>105</v>
          </cell>
          <cell r="E75">
            <v>173</v>
          </cell>
          <cell r="F75">
            <v>207</v>
          </cell>
          <cell r="G75">
            <v>0.28000000000000003</v>
          </cell>
          <cell r="H75">
            <v>45</v>
          </cell>
          <cell r="I75" t="str">
            <v>матрица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427</v>
          </cell>
          <cell r="D76">
            <v>2</v>
          </cell>
          <cell r="E76">
            <v>209</v>
          </cell>
          <cell r="F76">
            <v>193</v>
          </cell>
          <cell r="G76">
            <v>0.4</v>
          </cell>
          <cell r="H76">
            <v>50</v>
          </cell>
          <cell r="I76" t="str">
            <v>матрица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67.721999999999994</v>
          </cell>
          <cell r="F77">
            <v>67.721999999999994</v>
          </cell>
          <cell r="G77">
            <v>1</v>
          </cell>
          <cell r="H77">
            <v>30</v>
          </cell>
          <cell r="I77" t="str">
            <v>матрица</v>
          </cell>
        </row>
        <row r="78">
          <cell r="A78" t="str">
            <v>7344 КОНСЕРВЫ МЯС.ГОВЯДИНА ТУШ. В/С 338г_ЧЗ  ОСТАНКИНО</v>
          </cell>
          <cell r="B78" t="str">
            <v>шт</v>
          </cell>
          <cell r="C78">
            <v>160</v>
          </cell>
          <cell r="D78">
            <v>48</v>
          </cell>
          <cell r="E78">
            <v>30</v>
          </cell>
          <cell r="F78">
            <v>173</v>
          </cell>
          <cell r="G78">
            <v>0.33800000000000002</v>
          </cell>
          <cell r="H78" t="str">
            <v>3 года</v>
          </cell>
          <cell r="I78" t="str">
            <v>матрица</v>
          </cell>
        </row>
        <row r="79">
          <cell r="A79" t="str">
            <v>7345 КОНСЕРВЫ МЯС.СВИНИНА ТУШ. В/С 325г_ЧЗ  ОСТАНКИНО</v>
          </cell>
          <cell r="B79" t="str">
            <v>шт</v>
          </cell>
          <cell r="C79">
            <v>138</v>
          </cell>
          <cell r="D79">
            <v>36</v>
          </cell>
          <cell r="E79">
            <v>28</v>
          </cell>
          <cell r="F79">
            <v>141</v>
          </cell>
          <cell r="G79">
            <v>0.32500000000000001</v>
          </cell>
          <cell r="H79" t="str">
            <v>3 года</v>
          </cell>
          <cell r="I79" t="str">
            <v>матрица</v>
          </cell>
        </row>
        <row r="80">
          <cell r="A80" t="str">
            <v>7382  САЛЯМИ МЕЛКОЗЕРНЕНАЯ с/к в/у1/120 8шт.  ОСТАНКИНО</v>
          </cell>
          <cell r="B80" t="str">
            <v>шт</v>
          </cell>
          <cell r="C80">
            <v>351</v>
          </cell>
          <cell r="D80">
            <v>16</v>
          </cell>
          <cell r="E80">
            <v>131</v>
          </cell>
          <cell r="F80">
            <v>186</v>
          </cell>
          <cell r="G80">
            <v>0.12</v>
          </cell>
          <cell r="H80">
            <v>60</v>
          </cell>
          <cell r="I80" t="str">
            <v>матрица</v>
          </cell>
        </row>
        <row r="81">
          <cell r="A81" t="str">
            <v>7386 БАРСЕЛОНА ПМ с/к в/у 1/150  ОСТАНКИНО</v>
          </cell>
          <cell r="B81" t="str">
            <v>шт</v>
          </cell>
          <cell r="C81">
            <v>345</v>
          </cell>
          <cell r="D81">
            <v>48</v>
          </cell>
          <cell r="E81">
            <v>75</v>
          </cell>
          <cell r="F81">
            <v>310</v>
          </cell>
          <cell r="G81">
            <v>0.15</v>
          </cell>
          <cell r="H81">
            <v>90</v>
          </cell>
          <cell r="I81" t="str">
            <v>матрица</v>
          </cell>
        </row>
        <row r="82">
          <cell r="A82" t="str">
            <v>7456 САЛЯМИ ФИНСКАЯ Папа может с/к в/у 1/150  ОСТАНКИНО</v>
          </cell>
          <cell r="B82" t="str">
            <v>шт</v>
          </cell>
          <cell r="C82">
            <v>343</v>
          </cell>
          <cell r="D82">
            <v>51</v>
          </cell>
          <cell r="E82">
            <v>76</v>
          </cell>
          <cell r="F82">
            <v>309</v>
          </cell>
          <cell r="G82">
            <v>0.15</v>
          </cell>
          <cell r="H82">
            <v>90</v>
          </cell>
          <cell r="I82" t="str">
            <v>матрица</v>
          </cell>
        </row>
        <row r="83">
          <cell r="A83" t="str">
            <v>7461 ДЛЯ ДЕТЕЙ Папа Может сос п/о мгс 0,33кг ОСТАНКИНО</v>
          </cell>
          <cell r="B83" t="str">
            <v>шт</v>
          </cell>
          <cell r="C83">
            <v>26</v>
          </cell>
          <cell r="D83">
            <v>72</v>
          </cell>
          <cell r="E83">
            <v>37</v>
          </cell>
          <cell r="F83">
            <v>49</v>
          </cell>
          <cell r="G83">
            <v>0.33</v>
          </cell>
          <cell r="H83">
            <v>30</v>
          </cell>
          <cell r="I83" t="str">
            <v>матрица</v>
          </cell>
        </row>
        <row r="84">
          <cell r="A84" t="str">
            <v>7485 РИЕТ МЯСНОЙ С ГРИБАМИ ПМ п/о 1/150  ОСТАНКИНО</v>
          </cell>
          <cell r="B84" t="str">
            <v>шт</v>
          </cell>
          <cell r="C84">
            <v>285</v>
          </cell>
          <cell r="D84">
            <v>45</v>
          </cell>
          <cell r="E84">
            <v>31</v>
          </cell>
          <cell r="F84">
            <v>284</v>
          </cell>
          <cell r="G84">
            <v>0.15</v>
          </cell>
          <cell r="H84">
            <v>60</v>
          </cell>
          <cell r="I84" t="str">
            <v>матрица</v>
          </cell>
        </row>
        <row r="85">
          <cell r="A85" t="str">
            <v>7490 СОЧНЫЙ ГРИЛЬ сос ц/о мгс 0.41кг_Даблпак  ОСТАНКИНО</v>
          </cell>
          <cell r="B85" t="str">
            <v>шт</v>
          </cell>
          <cell r="D85">
            <v>40</v>
          </cell>
          <cell r="E85">
            <v>140</v>
          </cell>
          <cell r="F85">
            <v>42</v>
          </cell>
          <cell r="G85">
            <v>0.41</v>
          </cell>
          <cell r="H85">
            <v>45</v>
          </cell>
          <cell r="I85" t="str">
            <v>матрица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C86">
            <v>272</v>
          </cell>
          <cell r="D86">
            <v>24</v>
          </cell>
          <cell r="E86">
            <v>25</v>
          </cell>
          <cell r="F86">
            <v>265</v>
          </cell>
          <cell r="G86">
            <v>0.26</v>
          </cell>
          <cell r="H86">
            <v>45</v>
          </cell>
          <cell r="I86" t="str">
            <v>матрица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C87">
            <v>128.55500000000001</v>
          </cell>
          <cell r="D87">
            <v>19.934999999999999</v>
          </cell>
          <cell r="E87">
            <v>6.6870000000000003</v>
          </cell>
          <cell r="F87">
            <v>141.803</v>
          </cell>
          <cell r="G87">
            <v>1</v>
          </cell>
          <cell r="H87">
            <v>30</v>
          </cell>
          <cell r="I87" t="str">
            <v>матрица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C88">
            <v>129</v>
          </cell>
          <cell r="E88">
            <v>14</v>
          </cell>
          <cell r="F88">
            <v>114</v>
          </cell>
          <cell r="G88">
            <v>0.31</v>
          </cell>
          <cell r="H88">
            <v>45</v>
          </cell>
          <cell r="I88" t="str">
            <v>матрица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C89">
            <v>69.986000000000004</v>
          </cell>
          <cell r="E89">
            <v>5.6870000000000003</v>
          </cell>
          <cell r="F89">
            <v>62.912999999999997</v>
          </cell>
          <cell r="G89">
            <v>1</v>
          </cell>
          <cell r="H89">
            <v>30</v>
          </cell>
          <cell r="I89" t="str">
            <v>матрица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C90">
            <v>40</v>
          </cell>
          <cell r="E90">
            <v>38</v>
          </cell>
          <cell r="G90">
            <v>0.4</v>
          </cell>
          <cell r="H90">
            <v>60</v>
          </cell>
          <cell r="I90" t="str">
            <v>матрица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C91">
            <v>66</v>
          </cell>
          <cell r="E91">
            <v>41</v>
          </cell>
          <cell r="F91">
            <v>24</v>
          </cell>
          <cell r="G91">
            <v>0.35</v>
          </cell>
          <cell r="H91">
            <v>60</v>
          </cell>
          <cell r="I91" t="str">
            <v>матрица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C92">
            <v>66.528999999999996</v>
          </cell>
          <cell r="G92">
            <v>1</v>
          </cell>
          <cell r="H92">
            <v>45</v>
          </cell>
          <cell r="I92" t="str">
            <v>матрица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C93">
            <v>9.3320000000000007</v>
          </cell>
          <cell r="D93">
            <v>15.276999999999999</v>
          </cell>
          <cell r="E93">
            <v>14.382</v>
          </cell>
          <cell r="F93">
            <v>9.3770000000000007</v>
          </cell>
          <cell r="G93">
            <v>1</v>
          </cell>
          <cell r="I93" t="str">
            <v>матрица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123</v>
          </cell>
          <cell r="E94">
            <v>99</v>
          </cell>
          <cell r="F94">
            <v>21</v>
          </cell>
          <cell r="G94">
            <v>0.33</v>
          </cell>
          <cell r="H94">
            <v>45</v>
          </cell>
          <cell r="I94" t="str">
            <v>матрица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373</v>
          </cell>
          <cell r="D95">
            <v>10</v>
          </cell>
          <cell r="E95">
            <v>101</v>
          </cell>
          <cell r="F95">
            <v>262</v>
          </cell>
          <cell r="G95">
            <v>0.1</v>
          </cell>
          <cell r="H95">
            <v>60</v>
          </cell>
          <cell r="I95" t="str">
            <v>матрица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C96">
            <v>55</v>
          </cell>
          <cell r="D96">
            <v>30</v>
          </cell>
          <cell r="E96">
            <v>58</v>
          </cell>
          <cell r="F96">
            <v>26</v>
          </cell>
          <cell r="G96">
            <v>0.1</v>
          </cell>
          <cell r="H96">
            <v>60</v>
          </cell>
          <cell r="I96" t="str">
            <v>матрица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114</v>
          </cell>
          <cell r="E97">
            <v>113</v>
          </cell>
          <cell r="G97">
            <v>0.4</v>
          </cell>
          <cell r="H97">
            <v>60</v>
          </cell>
          <cell r="I97" t="str">
            <v>матрица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C98">
            <v>7</v>
          </cell>
          <cell r="E98">
            <v>7</v>
          </cell>
          <cell r="G98">
            <v>0</v>
          </cell>
          <cell r="I98" t="str">
            <v>вывод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C99">
            <v>8</v>
          </cell>
          <cell r="E99">
            <v>3</v>
          </cell>
          <cell r="F99">
            <v>3</v>
          </cell>
          <cell r="G99">
            <v>0</v>
          </cell>
          <cell r="I99" t="str">
            <v>вывод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C100">
            <v>96</v>
          </cell>
          <cell r="E100">
            <v>11</v>
          </cell>
          <cell r="F100">
            <v>83</v>
          </cell>
          <cell r="G100">
            <v>0.3</v>
          </cell>
          <cell r="H100">
            <v>45</v>
          </cell>
          <cell r="I100" t="str">
            <v>матрица</v>
          </cell>
        </row>
        <row r="101">
          <cell r="A101" t="str">
            <v>7730 ХОЧУ ВЕТЧ.ИЗ СВ.ОТРУБА мгс 1/100_45с_Л11  ОСТАНКИНО</v>
          </cell>
          <cell r="B101" t="str">
            <v>шт</v>
          </cell>
          <cell r="D101">
            <v>48</v>
          </cell>
          <cell r="E101">
            <v>2</v>
          </cell>
          <cell r="F101">
            <v>46</v>
          </cell>
          <cell r="G101">
            <v>0.1</v>
          </cell>
          <cell r="H101">
            <v>45</v>
          </cell>
          <cell r="I101" t="str">
            <v>матрица</v>
          </cell>
        </row>
        <row r="102">
          <cell r="A102" t="str">
            <v>7731 ХОЧУ ВЕТЧ. МРАМОР. с/н мгс 1/100_45с_Л11  ОСТАНКИНО</v>
          </cell>
          <cell r="B102" t="str">
            <v>шт</v>
          </cell>
          <cell r="D102">
            <v>48</v>
          </cell>
          <cell r="E102">
            <v>2</v>
          </cell>
          <cell r="F102">
            <v>46</v>
          </cell>
          <cell r="G102">
            <v>0.1</v>
          </cell>
          <cell r="H102">
            <v>45</v>
          </cell>
          <cell r="I102" t="str">
            <v>матрица</v>
          </cell>
        </row>
        <row r="103">
          <cell r="A103" t="str">
            <v>8014 ДОКТОРСКАЯ ПРЕМИУМ вар п/о(п)    ОСТАНКИНО</v>
          </cell>
          <cell r="B103" t="str">
            <v>кг</v>
          </cell>
          <cell r="G103">
            <v>0</v>
          </cell>
          <cell r="H103">
            <v>60</v>
          </cell>
          <cell r="I103" t="str">
            <v>матрица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C104">
            <v>29</v>
          </cell>
          <cell r="F104">
            <v>29</v>
          </cell>
          <cell r="G104">
            <v>0</v>
          </cell>
          <cell r="I104" t="str">
            <v>бонус</v>
          </cell>
        </row>
        <row r="105">
          <cell r="A105" t="str">
            <v>7512 ЧАЙНАЯ Останкино вар н/о мгс 1*3</v>
          </cell>
          <cell r="B105" t="str">
            <v>кг</v>
          </cell>
          <cell r="G105">
            <v>0</v>
          </cell>
          <cell r="I105" t="str">
            <v>РАЗОВО</v>
          </cell>
        </row>
        <row r="106">
          <cell r="A106" t="str">
            <v>6764 СЛИВОЧНЫЕ сос ц/о мгс 1*4</v>
          </cell>
          <cell r="B106" t="str">
            <v>кг</v>
          </cell>
          <cell r="G106">
            <v>0</v>
          </cell>
          <cell r="I106" t="str">
            <v>РАЗОВО</v>
          </cell>
        </row>
        <row r="107">
          <cell r="A107" t="str">
            <v>7224 МЯСНЫЕ ПРЕМИУМ пельм кор.0.4кг зам. (7224)</v>
          </cell>
          <cell r="B107" t="str">
            <v>шт</v>
          </cell>
          <cell r="G107">
            <v>0</v>
          </cell>
          <cell r="I107" t="str">
            <v>РАЗОВО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N89"/>
  <sheetViews>
    <sheetView tabSelected="1" workbookViewId="0">
      <selection activeCell="M96" sqref="M96"/>
    </sheetView>
  </sheetViews>
  <sheetFormatPr defaultRowHeight="11.25" outlineLevelRow="1" x14ac:dyDescent="0.2"/>
  <cols>
    <col min="1" max="1" width="10.5" customWidth="1"/>
    <col min="2" max="2" width="4.1640625" customWidth="1"/>
    <col min="3" max="3" width="20.6640625" customWidth="1"/>
    <col min="4" max="4" width="33.5" customWidth="1"/>
    <col min="5" max="5" width="13.6640625" hidden="1" customWidth="1"/>
    <col min="6" max="6" width="2" hidden="1" customWidth="1"/>
    <col min="7" max="7" width="12.33203125" hidden="1" customWidth="1"/>
    <col min="8" max="8" width="14.5" hidden="1" customWidth="1"/>
    <col min="9" max="9" width="12.1640625" customWidth="1"/>
    <col min="10" max="10" width="20.5" customWidth="1"/>
    <col min="11" max="11" width="42.5" customWidth="1"/>
    <col min="12" max="256" width="10.6640625" customWidth="1"/>
  </cols>
  <sheetData>
    <row r="1" spans="1:14" ht="9.9499999999999993" customHeight="1" x14ac:dyDescent="0.2"/>
    <row r="2" spans="1:14" ht="12.75" customHeight="1" outlineLevel="1" x14ac:dyDescent="0.2">
      <c r="A2" s="1" t="s">
        <v>0</v>
      </c>
      <c r="B2" s="1"/>
      <c r="C2" s="1" t="s">
        <v>1</v>
      </c>
      <c r="D2" s="1"/>
      <c r="E2" s="1"/>
      <c r="F2" s="1"/>
    </row>
    <row r="3" spans="1:14" ht="36.75" customHeight="1" outlineLevel="1" x14ac:dyDescent="0.2">
      <c r="A3" s="1" t="s">
        <v>2</v>
      </c>
      <c r="B3" s="1"/>
      <c r="C3" s="15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9.9499999999999993" customHeight="1" x14ac:dyDescent="0.2"/>
    <row r="5" spans="1:14" ht="21" customHeight="1" x14ac:dyDescent="0.2">
      <c r="A5" s="2" t="s">
        <v>4</v>
      </c>
      <c r="B5" s="2"/>
      <c r="C5" s="2"/>
    </row>
    <row r="6" spans="1:14" ht="9.9499999999999993" customHeight="1" x14ac:dyDescent="0.2"/>
    <row r="7" spans="1:14" ht="9.9499999999999993" customHeight="1" x14ac:dyDescent="0.2"/>
    <row r="8" spans="1:14" ht="12.75" customHeight="1" x14ac:dyDescent="0.2">
      <c r="A8" s="16" t="s">
        <v>5</v>
      </c>
      <c r="B8" s="16"/>
      <c r="C8" s="16"/>
      <c r="D8" s="16"/>
      <c r="E8" s="23" t="s">
        <v>112</v>
      </c>
      <c r="F8" s="23"/>
      <c r="G8" s="23"/>
      <c r="H8" s="23"/>
      <c r="I8" s="23"/>
    </row>
    <row r="9" spans="1:14" ht="12.75" customHeight="1" x14ac:dyDescent="0.2">
      <c r="A9" s="17"/>
      <c r="B9" s="18"/>
      <c r="C9" s="18"/>
      <c r="D9" s="19"/>
      <c r="E9" s="3" t="s">
        <v>7</v>
      </c>
      <c r="F9" s="23" t="s">
        <v>8</v>
      </c>
      <c r="G9" s="23"/>
      <c r="H9" s="3" t="s">
        <v>9</v>
      </c>
      <c r="I9" s="16" t="s">
        <v>10</v>
      </c>
    </row>
    <row r="10" spans="1:14" ht="24.75" hidden="1" customHeight="1" x14ac:dyDescent="0.2">
      <c r="A10" s="20"/>
      <c r="B10" s="21"/>
      <c r="C10" s="21"/>
      <c r="D10" s="22"/>
      <c r="E10" s="4" t="s">
        <v>11</v>
      </c>
      <c r="F10" s="25" t="s">
        <v>12</v>
      </c>
      <c r="G10" s="25"/>
      <c r="H10" s="4" t="s">
        <v>13</v>
      </c>
      <c r="I10" s="24"/>
    </row>
    <row r="11" spans="1:14" ht="11.25" hidden="1" customHeight="1" x14ac:dyDescent="0.2">
      <c r="A11" s="26" t="s">
        <v>14</v>
      </c>
      <c r="B11" s="26"/>
      <c r="C11" s="26"/>
      <c r="D11" s="26"/>
      <c r="E11" s="5">
        <v>7.2</v>
      </c>
      <c r="F11" s="28">
        <v>7.585</v>
      </c>
      <c r="G11" s="28"/>
      <c r="H11" s="6">
        <v>-0.38500000000000001</v>
      </c>
      <c r="I11" s="7"/>
    </row>
    <row r="12" spans="1:14" ht="11.25" hidden="1" customHeight="1" x14ac:dyDescent="0.2">
      <c r="A12" s="26" t="s">
        <v>15</v>
      </c>
      <c r="B12" s="26"/>
      <c r="C12" s="26"/>
      <c r="D12" s="26"/>
      <c r="E12" s="5">
        <v>0.4</v>
      </c>
      <c r="F12" s="29">
        <v>0.4</v>
      </c>
      <c r="G12" s="29"/>
      <c r="H12" s="8"/>
      <c r="I12" s="7"/>
    </row>
    <row r="13" spans="1:14" ht="11.25" customHeight="1" x14ac:dyDescent="0.2">
      <c r="A13" s="26" t="s">
        <v>16</v>
      </c>
      <c r="B13" s="26"/>
      <c r="C13" s="26"/>
      <c r="D13" s="26"/>
      <c r="E13" s="5">
        <v>8.6999999999999993</v>
      </c>
      <c r="F13" s="28">
        <v>8.4260000000000002</v>
      </c>
      <c r="G13" s="28"/>
      <c r="H13" s="6">
        <v>0.27400000000000002</v>
      </c>
      <c r="I13" s="6">
        <v>0.27400000000000002</v>
      </c>
      <c r="J13" t="str">
        <f>VLOOKUP(A13,[1]Sheet!$A:$I,9,0)</f>
        <v>матрица</v>
      </c>
      <c r="K13" t="s">
        <v>92</v>
      </c>
    </row>
    <row r="14" spans="1:14" ht="11.25" hidden="1" customHeight="1" x14ac:dyDescent="0.2">
      <c r="A14" s="26" t="s">
        <v>17</v>
      </c>
      <c r="B14" s="26"/>
      <c r="C14" s="26"/>
      <c r="D14" s="26"/>
      <c r="E14" s="9">
        <v>10</v>
      </c>
      <c r="F14" s="27">
        <v>10</v>
      </c>
      <c r="G14" s="27"/>
      <c r="H14" s="8"/>
      <c r="I14" s="7"/>
    </row>
    <row r="15" spans="1:14" ht="11.25" hidden="1" customHeight="1" x14ac:dyDescent="0.2">
      <c r="A15" s="26" t="s">
        <v>18</v>
      </c>
      <c r="B15" s="26"/>
      <c r="C15" s="26"/>
      <c r="D15" s="26"/>
      <c r="E15" s="9">
        <v>28</v>
      </c>
      <c r="F15" s="28">
        <v>31.064</v>
      </c>
      <c r="G15" s="28"/>
      <c r="H15" s="6">
        <v>-3.0640000000000001</v>
      </c>
      <c r="I15" s="7"/>
    </row>
    <row r="16" spans="1:14" ht="11.25" hidden="1" customHeight="1" x14ac:dyDescent="0.2">
      <c r="A16" s="26" t="s">
        <v>19</v>
      </c>
      <c r="B16" s="26"/>
      <c r="C16" s="26"/>
      <c r="D16" s="26"/>
      <c r="E16" s="9">
        <v>6</v>
      </c>
      <c r="F16" s="28">
        <v>6.0019999999999998</v>
      </c>
      <c r="G16" s="28"/>
      <c r="H16" s="6">
        <v>-2E-3</v>
      </c>
      <c r="I16" s="7"/>
    </row>
    <row r="17" spans="1:11" ht="11.25" hidden="1" customHeight="1" x14ac:dyDescent="0.2">
      <c r="A17" s="26" t="s">
        <v>20</v>
      </c>
      <c r="B17" s="26"/>
      <c r="C17" s="26"/>
      <c r="D17" s="26"/>
      <c r="E17" s="5">
        <v>1.3</v>
      </c>
      <c r="F17" s="30">
        <v>1.35</v>
      </c>
      <c r="G17" s="30"/>
      <c r="H17" s="10">
        <v>-0.05</v>
      </c>
      <c r="I17" s="7"/>
    </row>
    <row r="18" spans="1:11" ht="11.25" hidden="1" customHeight="1" x14ac:dyDescent="0.2">
      <c r="A18" s="26" t="s">
        <v>21</v>
      </c>
      <c r="B18" s="26"/>
      <c r="C18" s="26"/>
      <c r="D18" s="26"/>
      <c r="E18" s="5">
        <v>29.1</v>
      </c>
      <c r="F18" s="28">
        <v>31.337</v>
      </c>
      <c r="G18" s="28"/>
      <c r="H18" s="6">
        <v>-2.2370000000000001</v>
      </c>
      <c r="I18" s="7"/>
    </row>
    <row r="19" spans="1:11" ht="11.25" hidden="1" customHeight="1" x14ac:dyDescent="0.2">
      <c r="A19" s="26" t="s">
        <v>22</v>
      </c>
      <c r="B19" s="26"/>
      <c r="C19" s="26"/>
      <c r="D19" s="26"/>
      <c r="E19" s="5">
        <v>8.5</v>
      </c>
      <c r="F19" s="29">
        <v>8.5</v>
      </c>
      <c r="G19" s="29"/>
      <c r="H19" s="8"/>
      <c r="I19" s="7"/>
    </row>
    <row r="20" spans="1:11" ht="11.25" hidden="1" customHeight="1" x14ac:dyDescent="0.2">
      <c r="A20" s="26" t="s">
        <v>23</v>
      </c>
      <c r="B20" s="26"/>
      <c r="C20" s="26"/>
      <c r="D20" s="26"/>
      <c r="E20" s="5">
        <v>2.6</v>
      </c>
      <c r="F20" s="28">
        <v>2.7549999999999999</v>
      </c>
      <c r="G20" s="28"/>
      <c r="H20" s="6">
        <v>-0.155</v>
      </c>
      <c r="I20" s="7"/>
    </row>
    <row r="21" spans="1:11" ht="11.25" hidden="1" customHeight="1" x14ac:dyDescent="0.2">
      <c r="A21" s="26" t="s">
        <v>24</v>
      </c>
      <c r="B21" s="26"/>
      <c r="C21" s="26"/>
      <c r="D21" s="26"/>
      <c r="E21" s="10">
        <v>6.25</v>
      </c>
      <c r="F21" s="30">
        <v>6.25</v>
      </c>
      <c r="G21" s="30"/>
      <c r="H21" s="8"/>
      <c r="I21" s="7"/>
    </row>
    <row r="22" spans="1:11" ht="11.25" customHeight="1" x14ac:dyDescent="0.2">
      <c r="A22" s="26" t="s">
        <v>25</v>
      </c>
      <c r="B22" s="26"/>
      <c r="C22" s="26"/>
      <c r="D22" s="26"/>
      <c r="E22" s="9">
        <v>8</v>
      </c>
      <c r="F22" s="29">
        <v>7.2</v>
      </c>
      <c r="G22" s="29"/>
      <c r="H22" s="5">
        <v>0.8</v>
      </c>
      <c r="I22" s="5">
        <v>0.8</v>
      </c>
      <c r="J22" t="str">
        <f>VLOOKUP(A22,[1]Sheet!$A:$I,9,0)</f>
        <v>матрица</v>
      </c>
      <c r="K22" t="s">
        <v>93</v>
      </c>
    </row>
    <row r="23" spans="1:11" ht="11.25" hidden="1" customHeight="1" x14ac:dyDescent="0.2">
      <c r="A23" s="26" t="s">
        <v>26</v>
      </c>
      <c r="B23" s="26"/>
      <c r="C23" s="26"/>
      <c r="D23" s="26"/>
      <c r="E23" s="5">
        <v>64.599999999999994</v>
      </c>
      <c r="F23" s="28">
        <v>67.346000000000004</v>
      </c>
      <c r="G23" s="28"/>
      <c r="H23" s="6">
        <v>-2.746</v>
      </c>
      <c r="I23" s="7"/>
    </row>
    <row r="24" spans="1:11" ht="11.25" customHeight="1" x14ac:dyDescent="0.2">
      <c r="A24" s="26" t="s">
        <v>27</v>
      </c>
      <c r="B24" s="26"/>
      <c r="C24" s="26"/>
      <c r="D24" s="26"/>
      <c r="E24" s="5">
        <v>4.5</v>
      </c>
      <c r="F24" s="11"/>
      <c r="G24" s="12"/>
      <c r="H24" s="5">
        <v>4.5</v>
      </c>
      <c r="I24" s="5">
        <v>4.5</v>
      </c>
      <c r="J24" t="str">
        <f>VLOOKUP(A24,[1]Sheet!$A:$I,9,0)</f>
        <v>ротация на код 7700</v>
      </c>
    </row>
    <row r="25" spans="1:11" ht="11.25" hidden="1" customHeight="1" x14ac:dyDescent="0.2">
      <c r="A25" s="26" t="s">
        <v>28</v>
      </c>
      <c r="B25" s="26"/>
      <c r="C25" s="26"/>
      <c r="D25" s="26"/>
      <c r="E25" s="5">
        <v>1.6</v>
      </c>
      <c r="F25" s="29">
        <v>1.6</v>
      </c>
      <c r="G25" s="29"/>
      <c r="H25" s="8"/>
      <c r="I25" s="7"/>
    </row>
    <row r="26" spans="1:11" ht="11.25" hidden="1" customHeight="1" x14ac:dyDescent="0.2">
      <c r="A26" s="26" t="s">
        <v>29</v>
      </c>
      <c r="B26" s="26"/>
      <c r="C26" s="26"/>
      <c r="D26" s="26"/>
      <c r="E26" s="5">
        <v>17.5</v>
      </c>
      <c r="F26" s="28">
        <v>19.036999999999999</v>
      </c>
      <c r="G26" s="28"/>
      <c r="H26" s="6">
        <v>-1.5369999999999999</v>
      </c>
      <c r="I26" s="7"/>
    </row>
    <row r="27" spans="1:11" ht="11.25" customHeight="1" x14ac:dyDescent="0.2">
      <c r="A27" s="26" t="s">
        <v>30</v>
      </c>
      <c r="B27" s="26"/>
      <c r="C27" s="26"/>
      <c r="D27" s="26"/>
      <c r="E27" s="10">
        <v>3.08</v>
      </c>
      <c r="F27" s="30">
        <v>2.42</v>
      </c>
      <c r="G27" s="30"/>
      <c r="H27" s="10">
        <v>0.66</v>
      </c>
      <c r="I27" s="10">
        <v>0.66</v>
      </c>
      <c r="J27" t="str">
        <f>VLOOKUP(A27,[1]Sheet!$A:$I,9,0)</f>
        <v>матрица</v>
      </c>
      <c r="K27" t="s">
        <v>94</v>
      </c>
    </row>
    <row r="28" spans="1:11" ht="11.25" hidden="1" customHeight="1" x14ac:dyDescent="0.2">
      <c r="A28" s="26" t="s">
        <v>31</v>
      </c>
      <c r="B28" s="26"/>
      <c r="C28" s="26"/>
      <c r="D28" s="26"/>
      <c r="E28" s="5">
        <v>0.8</v>
      </c>
      <c r="F28" s="30">
        <v>0.97</v>
      </c>
      <c r="G28" s="30"/>
      <c r="H28" s="10">
        <v>-0.17</v>
      </c>
      <c r="I28" s="7"/>
    </row>
    <row r="29" spans="1:11" ht="11.25" hidden="1" customHeight="1" x14ac:dyDescent="0.2">
      <c r="A29" s="26" t="s">
        <v>32</v>
      </c>
      <c r="B29" s="26"/>
      <c r="C29" s="26"/>
      <c r="D29" s="26"/>
      <c r="E29" s="5">
        <v>5.2</v>
      </c>
      <c r="F29" s="28">
        <v>5.4610000000000003</v>
      </c>
      <c r="G29" s="28"/>
      <c r="H29" s="6">
        <v>-0.26100000000000001</v>
      </c>
      <c r="I29" s="7"/>
    </row>
    <row r="30" spans="1:11" ht="11.25" hidden="1" customHeight="1" x14ac:dyDescent="0.2">
      <c r="A30" s="26" t="s">
        <v>33</v>
      </c>
      <c r="B30" s="26"/>
      <c r="C30" s="26"/>
      <c r="D30" s="26"/>
      <c r="E30" s="10">
        <v>1.53</v>
      </c>
      <c r="F30" s="30">
        <v>1.98</v>
      </c>
      <c r="G30" s="30"/>
      <c r="H30" s="10">
        <v>-0.45</v>
      </c>
      <c r="I30" s="7"/>
    </row>
    <row r="31" spans="1:11" ht="11.25" hidden="1" customHeight="1" x14ac:dyDescent="0.2">
      <c r="A31" s="26" t="s">
        <v>34</v>
      </c>
      <c r="B31" s="26"/>
      <c r="C31" s="26"/>
      <c r="D31" s="26"/>
      <c r="E31" s="9">
        <v>55</v>
      </c>
      <c r="F31" s="28">
        <v>58.206000000000003</v>
      </c>
      <c r="G31" s="28"/>
      <c r="H31" s="6">
        <v>-3.206</v>
      </c>
      <c r="I31" s="7"/>
    </row>
    <row r="32" spans="1:11" ht="11.25" hidden="1" customHeight="1" x14ac:dyDescent="0.2">
      <c r="A32" s="26" t="s">
        <v>35</v>
      </c>
      <c r="B32" s="26"/>
      <c r="C32" s="26"/>
      <c r="D32" s="26"/>
      <c r="E32" s="5">
        <v>1.6</v>
      </c>
      <c r="F32" s="29">
        <v>1.6</v>
      </c>
      <c r="G32" s="29"/>
      <c r="H32" s="8"/>
      <c r="I32" s="7"/>
    </row>
    <row r="33" spans="1:11" ht="11.25" hidden="1" customHeight="1" x14ac:dyDescent="0.2">
      <c r="A33" s="26" t="s">
        <v>36</v>
      </c>
      <c r="B33" s="26"/>
      <c r="C33" s="26"/>
      <c r="D33" s="26"/>
      <c r="E33" s="9">
        <v>4</v>
      </c>
      <c r="F33" s="29">
        <v>5.6</v>
      </c>
      <c r="G33" s="29"/>
      <c r="H33" s="5">
        <v>-1.6</v>
      </c>
      <c r="I33" s="7"/>
    </row>
    <row r="34" spans="1:11" ht="11.25" hidden="1" customHeight="1" x14ac:dyDescent="0.2">
      <c r="A34" s="26" t="s">
        <v>37</v>
      </c>
      <c r="B34" s="26"/>
      <c r="C34" s="26"/>
      <c r="D34" s="26"/>
      <c r="E34" s="5">
        <v>7.2</v>
      </c>
      <c r="F34" s="29">
        <v>7.2</v>
      </c>
      <c r="G34" s="29"/>
      <c r="H34" s="8"/>
      <c r="I34" s="7"/>
    </row>
    <row r="35" spans="1:11" ht="11.25" hidden="1" customHeight="1" x14ac:dyDescent="0.2">
      <c r="A35" s="26" t="s">
        <v>38</v>
      </c>
      <c r="B35" s="26"/>
      <c r="C35" s="26"/>
      <c r="D35" s="26"/>
      <c r="E35" s="5">
        <v>2.4</v>
      </c>
      <c r="F35" s="27">
        <v>3</v>
      </c>
      <c r="G35" s="27"/>
      <c r="H35" s="5">
        <v>-0.6</v>
      </c>
      <c r="I35" s="7"/>
    </row>
    <row r="36" spans="1:11" ht="11.25" hidden="1" customHeight="1" x14ac:dyDescent="0.2">
      <c r="A36" s="26" t="s">
        <v>39</v>
      </c>
      <c r="B36" s="26"/>
      <c r="C36" s="26"/>
      <c r="D36" s="26"/>
      <c r="E36" s="5">
        <v>12.1</v>
      </c>
      <c r="F36" s="28">
        <v>14.061</v>
      </c>
      <c r="G36" s="28"/>
      <c r="H36" s="6">
        <v>-1.9610000000000001</v>
      </c>
      <c r="I36" s="7"/>
    </row>
    <row r="37" spans="1:11" ht="11.25" hidden="1" customHeight="1" x14ac:dyDescent="0.2">
      <c r="A37" s="26" t="s">
        <v>40</v>
      </c>
      <c r="B37" s="26"/>
      <c r="C37" s="26"/>
      <c r="D37" s="26"/>
      <c r="E37" s="9">
        <v>21</v>
      </c>
      <c r="F37" s="28">
        <v>23.864999999999998</v>
      </c>
      <c r="G37" s="28"/>
      <c r="H37" s="6">
        <v>-2.8650000000000002</v>
      </c>
      <c r="I37" s="7"/>
    </row>
    <row r="38" spans="1:11" ht="11.25" customHeight="1" x14ac:dyDescent="0.2">
      <c r="A38" s="26" t="s">
        <v>41</v>
      </c>
      <c r="B38" s="26"/>
      <c r="C38" s="26"/>
      <c r="D38" s="26"/>
      <c r="E38" s="9">
        <v>9</v>
      </c>
      <c r="F38" s="28">
        <v>7.375</v>
      </c>
      <c r="G38" s="28"/>
      <c r="H38" s="6">
        <v>1.625</v>
      </c>
      <c r="I38" s="6">
        <v>1.625</v>
      </c>
      <c r="J38" t="str">
        <f>VLOOKUP(A38,[1]Sheet!$A:$I,9,0)</f>
        <v>матрица</v>
      </c>
      <c r="K38" t="s">
        <v>95</v>
      </c>
    </row>
    <row r="39" spans="1:11" ht="11.25" hidden="1" customHeight="1" x14ac:dyDescent="0.2">
      <c r="A39" s="26" t="s">
        <v>42</v>
      </c>
      <c r="B39" s="26"/>
      <c r="C39" s="26"/>
      <c r="D39" s="26"/>
      <c r="E39" s="9">
        <v>23</v>
      </c>
      <c r="F39" s="28">
        <v>24.154</v>
      </c>
      <c r="G39" s="28"/>
      <c r="H39" s="6">
        <v>-1.1539999999999999</v>
      </c>
      <c r="I39" s="7"/>
    </row>
    <row r="40" spans="1:11" ht="11.25" hidden="1" customHeight="1" x14ac:dyDescent="0.2">
      <c r="A40" s="26" t="s">
        <v>43</v>
      </c>
      <c r="B40" s="26"/>
      <c r="C40" s="26"/>
      <c r="D40" s="26"/>
      <c r="E40" s="5">
        <v>0.6</v>
      </c>
      <c r="F40" s="29">
        <v>0.6</v>
      </c>
      <c r="G40" s="29"/>
      <c r="H40" s="8"/>
      <c r="I40" s="7"/>
    </row>
    <row r="41" spans="1:11" ht="11.25" customHeight="1" x14ac:dyDescent="0.2">
      <c r="A41" s="26" t="s">
        <v>44</v>
      </c>
      <c r="B41" s="26"/>
      <c r="C41" s="26"/>
      <c r="D41" s="26"/>
      <c r="E41" s="9">
        <v>16</v>
      </c>
      <c r="F41" s="28">
        <v>15.619</v>
      </c>
      <c r="G41" s="28"/>
      <c r="H41" s="6">
        <v>0.38100000000000001</v>
      </c>
      <c r="I41" s="6">
        <v>0.38100000000000001</v>
      </c>
      <c r="J41" t="str">
        <f>VLOOKUP(A41,[1]Sheet!$A:$I,9,0)</f>
        <v>матрица</v>
      </c>
      <c r="K41" t="s">
        <v>96</v>
      </c>
    </row>
    <row r="42" spans="1:11" ht="11.25" customHeight="1" x14ac:dyDescent="0.2">
      <c r="A42" s="26" t="s">
        <v>45</v>
      </c>
      <c r="B42" s="26"/>
      <c r="C42" s="26"/>
      <c r="D42" s="26"/>
      <c r="E42" s="6">
        <v>42.524999999999999</v>
      </c>
      <c r="F42" s="29">
        <v>40.6</v>
      </c>
      <c r="G42" s="29"/>
      <c r="H42" s="6">
        <v>1.925</v>
      </c>
      <c r="I42" s="6">
        <v>1.925</v>
      </c>
      <c r="J42" t="str">
        <f>VLOOKUP(A42,[1]Sheet!$A:$I,9,0)</f>
        <v>матрица</v>
      </c>
      <c r="K42" t="s">
        <v>97</v>
      </c>
    </row>
    <row r="43" spans="1:11" ht="11.25" hidden="1" customHeight="1" x14ac:dyDescent="0.2">
      <c r="A43" s="26" t="s">
        <v>46</v>
      </c>
      <c r="B43" s="26"/>
      <c r="C43" s="26"/>
      <c r="D43" s="26"/>
      <c r="E43" s="10">
        <v>15.99</v>
      </c>
      <c r="F43" s="30">
        <v>15.99</v>
      </c>
      <c r="G43" s="30"/>
      <c r="H43" s="8"/>
      <c r="I43" s="7"/>
    </row>
    <row r="44" spans="1:11" ht="11.25" hidden="1" customHeight="1" x14ac:dyDescent="0.2">
      <c r="A44" s="26" t="s">
        <v>47</v>
      </c>
      <c r="B44" s="26"/>
      <c r="C44" s="26"/>
      <c r="D44" s="26"/>
      <c r="E44" s="9">
        <v>1</v>
      </c>
      <c r="F44" s="28">
        <v>1.0349999999999999</v>
      </c>
      <c r="G44" s="28"/>
      <c r="H44" s="6">
        <v>-3.5000000000000003E-2</v>
      </c>
      <c r="I44" s="7"/>
    </row>
    <row r="45" spans="1:11" ht="11.25" hidden="1" customHeight="1" x14ac:dyDescent="0.2">
      <c r="A45" s="26" t="s">
        <v>48</v>
      </c>
      <c r="B45" s="26"/>
      <c r="C45" s="26"/>
      <c r="D45" s="26"/>
      <c r="E45" s="10">
        <v>8.64</v>
      </c>
      <c r="F45" s="30">
        <v>9.36</v>
      </c>
      <c r="G45" s="30"/>
      <c r="H45" s="10">
        <v>-0.72</v>
      </c>
      <c r="I45" s="7"/>
    </row>
    <row r="46" spans="1:11" ht="11.25" hidden="1" customHeight="1" x14ac:dyDescent="0.2">
      <c r="A46" s="26" t="s">
        <v>49</v>
      </c>
      <c r="B46" s="26"/>
      <c r="C46" s="26"/>
      <c r="D46" s="26"/>
      <c r="E46" s="10">
        <v>2.64</v>
      </c>
      <c r="F46" s="30">
        <v>2.64</v>
      </c>
      <c r="G46" s="30"/>
      <c r="H46" s="8"/>
      <c r="I46" s="7"/>
    </row>
    <row r="47" spans="1:11" ht="11.25" hidden="1" customHeight="1" x14ac:dyDescent="0.2">
      <c r="A47" s="26" t="s">
        <v>50</v>
      </c>
      <c r="B47" s="26"/>
      <c r="C47" s="26"/>
      <c r="D47" s="26"/>
      <c r="E47" s="5">
        <v>2.4</v>
      </c>
      <c r="F47" s="29">
        <v>2.4</v>
      </c>
      <c r="G47" s="29"/>
      <c r="H47" s="8"/>
      <c r="I47" s="7"/>
    </row>
    <row r="48" spans="1:11" ht="11.25" hidden="1" customHeight="1" x14ac:dyDescent="0.2">
      <c r="A48" s="26" t="s">
        <v>51</v>
      </c>
      <c r="B48" s="26"/>
      <c r="C48" s="26"/>
      <c r="D48" s="26"/>
      <c r="E48" s="10">
        <v>3.96</v>
      </c>
      <c r="F48" s="30">
        <v>3.96</v>
      </c>
      <c r="G48" s="30"/>
      <c r="H48" s="8"/>
      <c r="I48" s="7"/>
    </row>
    <row r="49" spans="1:11" ht="11.25" customHeight="1" x14ac:dyDescent="0.2">
      <c r="A49" s="26" t="s">
        <v>52</v>
      </c>
      <c r="B49" s="26"/>
      <c r="C49" s="26"/>
      <c r="D49" s="26"/>
      <c r="E49" s="9">
        <v>64</v>
      </c>
      <c r="F49" s="28">
        <v>62.655999999999999</v>
      </c>
      <c r="G49" s="28"/>
      <c r="H49" s="6">
        <v>1.3440000000000001</v>
      </c>
      <c r="I49" s="6">
        <v>1.3440000000000001</v>
      </c>
      <c r="J49" t="str">
        <f>VLOOKUP(A49,[1]Sheet!$A:$I,9,0)</f>
        <v>матрица</v>
      </c>
      <c r="K49" t="s">
        <v>98</v>
      </c>
    </row>
    <row r="50" spans="1:11" ht="11.25" hidden="1" customHeight="1" x14ac:dyDescent="0.2">
      <c r="A50" s="26" t="s">
        <v>53</v>
      </c>
      <c r="B50" s="26"/>
      <c r="C50" s="26"/>
      <c r="D50" s="26"/>
      <c r="E50" s="5">
        <v>2.8</v>
      </c>
      <c r="F50" s="29">
        <v>2.8</v>
      </c>
      <c r="G50" s="29"/>
      <c r="H50" s="8"/>
      <c r="I50" s="7"/>
    </row>
    <row r="51" spans="1:11" ht="11.25" customHeight="1" x14ac:dyDescent="0.2">
      <c r="A51" s="26" t="s">
        <v>54</v>
      </c>
      <c r="B51" s="26"/>
      <c r="C51" s="26"/>
      <c r="D51" s="26"/>
      <c r="E51" s="5">
        <v>1.5</v>
      </c>
      <c r="F51" s="28">
        <v>1.4810000000000001</v>
      </c>
      <c r="G51" s="28"/>
      <c r="H51" s="6">
        <v>1.9E-2</v>
      </c>
      <c r="I51" s="6">
        <v>1.9E-2</v>
      </c>
      <c r="J51" t="str">
        <f>VLOOKUP(A51,[1]Sheet!$A:$I,9,0)</f>
        <v>матрица</v>
      </c>
      <c r="K51" t="s">
        <v>99</v>
      </c>
    </row>
    <row r="52" spans="1:11" ht="11.25" customHeight="1" x14ac:dyDescent="0.2">
      <c r="A52" s="26" t="s">
        <v>55</v>
      </c>
      <c r="B52" s="26"/>
      <c r="C52" s="26"/>
      <c r="D52" s="26"/>
      <c r="E52" s="5">
        <v>1.5</v>
      </c>
      <c r="F52" s="11"/>
      <c r="G52" s="12"/>
      <c r="H52" s="5">
        <v>1.5</v>
      </c>
      <c r="I52" s="5">
        <v>1.5</v>
      </c>
      <c r="J52" t="str">
        <f>VLOOKUP(A52,[1]Sheet!$A:$I,9,0)</f>
        <v>матрица</v>
      </c>
      <c r="K52" t="s">
        <v>100</v>
      </c>
    </row>
    <row r="53" spans="1:11" ht="11.25" hidden="1" customHeight="1" x14ac:dyDescent="0.2">
      <c r="A53" s="26" t="s">
        <v>56</v>
      </c>
      <c r="B53" s="26"/>
      <c r="C53" s="26"/>
      <c r="D53" s="26"/>
      <c r="E53" s="9">
        <v>1</v>
      </c>
      <c r="F53" s="27">
        <v>1</v>
      </c>
      <c r="G53" s="27"/>
      <c r="H53" s="8"/>
      <c r="I53" s="7"/>
    </row>
    <row r="54" spans="1:11" ht="11.25" customHeight="1" x14ac:dyDescent="0.2">
      <c r="A54" s="26" t="s">
        <v>57</v>
      </c>
      <c r="B54" s="26"/>
      <c r="C54" s="26"/>
      <c r="D54" s="26"/>
      <c r="E54" s="9">
        <v>9</v>
      </c>
      <c r="F54" s="28">
        <v>7.4029999999999996</v>
      </c>
      <c r="G54" s="28"/>
      <c r="H54" s="6">
        <v>1.597</v>
      </c>
      <c r="I54" s="6">
        <v>1.597</v>
      </c>
      <c r="J54" t="str">
        <f>VLOOKUP(A54,[1]Sheet!$A:$I,9,0)</f>
        <v>матрица</v>
      </c>
      <c r="K54" t="s">
        <v>101</v>
      </c>
    </row>
    <row r="55" spans="1:11" ht="11.25" hidden="1" customHeight="1" x14ac:dyDescent="0.2">
      <c r="A55" s="26" t="s">
        <v>58</v>
      </c>
      <c r="B55" s="26"/>
      <c r="C55" s="26"/>
      <c r="D55" s="26"/>
      <c r="E55" s="10">
        <v>5.67</v>
      </c>
      <c r="F55" s="30">
        <v>5.67</v>
      </c>
      <c r="G55" s="30"/>
      <c r="H55" s="8"/>
      <c r="I55" s="7"/>
    </row>
    <row r="56" spans="1:11" ht="11.25" customHeight="1" x14ac:dyDescent="0.2">
      <c r="A56" s="26" t="s">
        <v>59</v>
      </c>
      <c r="B56" s="26"/>
      <c r="C56" s="26"/>
      <c r="D56" s="26"/>
      <c r="E56" s="10">
        <v>18.04</v>
      </c>
      <c r="F56" s="30">
        <v>17.63</v>
      </c>
      <c r="G56" s="30"/>
      <c r="H56" s="10">
        <v>0.41</v>
      </c>
      <c r="I56" s="10">
        <v>0.41</v>
      </c>
      <c r="J56" t="str">
        <f>VLOOKUP(A56,[1]Sheet!$A:$I,9,0)</f>
        <v>матрица</v>
      </c>
      <c r="K56" t="s">
        <v>103</v>
      </c>
    </row>
    <row r="57" spans="1:11" ht="11.25" hidden="1" customHeight="1" x14ac:dyDescent="0.2">
      <c r="A57" s="26" t="s">
        <v>60</v>
      </c>
      <c r="B57" s="26"/>
      <c r="C57" s="26"/>
      <c r="D57" s="26"/>
      <c r="E57" s="9">
        <v>39</v>
      </c>
      <c r="F57" s="28">
        <v>40.259</v>
      </c>
      <c r="G57" s="28"/>
      <c r="H57" s="6">
        <v>-1.2589999999999999</v>
      </c>
      <c r="I57" s="7"/>
    </row>
    <row r="58" spans="1:11" ht="11.25" hidden="1" customHeight="1" x14ac:dyDescent="0.2">
      <c r="A58" s="26" t="s">
        <v>61</v>
      </c>
      <c r="B58" s="26"/>
      <c r="C58" s="26"/>
      <c r="D58" s="26"/>
      <c r="E58" s="5">
        <v>2.1</v>
      </c>
      <c r="F58" s="29">
        <v>2.1</v>
      </c>
      <c r="G58" s="29"/>
      <c r="H58" s="8"/>
      <c r="I58" s="7"/>
    </row>
    <row r="59" spans="1:11" ht="11.25" hidden="1" customHeight="1" x14ac:dyDescent="0.2">
      <c r="A59" s="26" t="s">
        <v>62</v>
      </c>
      <c r="B59" s="26"/>
      <c r="C59" s="26"/>
      <c r="D59" s="26"/>
      <c r="E59" s="5">
        <v>1.5</v>
      </c>
      <c r="F59" s="28">
        <v>1.5589999999999999</v>
      </c>
      <c r="G59" s="28"/>
      <c r="H59" s="6">
        <v>-5.8999999999999997E-2</v>
      </c>
      <c r="I59" s="7"/>
    </row>
    <row r="60" spans="1:11" ht="11.25" hidden="1" customHeight="1" x14ac:dyDescent="0.2">
      <c r="A60" s="26" t="s">
        <v>63</v>
      </c>
      <c r="B60" s="26"/>
      <c r="C60" s="26"/>
      <c r="D60" s="26"/>
      <c r="E60" s="10">
        <v>20.09</v>
      </c>
      <c r="F60" s="30">
        <v>20.09</v>
      </c>
      <c r="G60" s="30"/>
      <c r="H60" s="8"/>
      <c r="I60" s="7"/>
    </row>
    <row r="61" spans="1:11" ht="11.25" customHeight="1" x14ac:dyDescent="0.2">
      <c r="A61" s="26" t="s">
        <v>64</v>
      </c>
      <c r="B61" s="26"/>
      <c r="C61" s="26"/>
      <c r="D61" s="26"/>
      <c r="E61" s="9">
        <v>48</v>
      </c>
      <c r="F61" s="28">
        <v>47.658999999999999</v>
      </c>
      <c r="G61" s="28"/>
      <c r="H61" s="6">
        <v>0.34100000000000003</v>
      </c>
      <c r="I61" s="6">
        <v>0.34100000000000003</v>
      </c>
      <c r="J61" t="str">
        <f>VLOOKUP(A61,[1]Sheet!$A:$I,9,0)</f>
        <v>матрица</v>
      </c>
      <c r="K61" t="s">
        <v>104</v>
      </c>
    </row>
    <row r="62" spans="1:11" ht="11.25" hidden="1" customHeight="1" x14ac:dyDescent="0.2">
      <c r="A62" s="26" t="s">
        <v>65</v>
      </c>
      <c r="B62" s="26"/>
      <c r="C62" s="26"/>
      <c r="D62" s="26"/>
      <c r="E62" s="5">
        <v>5.0999999999999996</v>
      </c>
      <c r="F62" s="29">
        <v>5.0999999999999996</v>
      </c>
      <c r="G62" s="29"/>
      <c r="H62" s="8"/>
      <c r="I62" s="7"/>
    </row>
    <row r="63" spans="1:11" ht="11.25" hidden="1" customHeight="1" x14ac:dyDescent="0.2">
      <c r="A63" s="26" t="s">
        <v>66</v>
      </c>
      <c r="B63" s="26"/>
      <c r="C63" s="26"/>
      <c r="D63" s="26"/>
      <c r="E63" s="10">
        <v>0.44</v>
      </c>
      <c r="F63" s="30">
        <v>0.44</v>
      </c>
      <c r="G63" s="30"/>
      <c r="H63" s="8"/>
      <c r="I63" s="7"/>
    </row>
    <row r="64" spans="1:11" ht="11.25" hidden="1" customHeight="1" x14ac:dyDescent="0.2">
      <c r="A64" s="26" t="s">
        <v>67</v>
      </c>
      <c r="B64" s="26"/>
      <c r="C64" s="26"/>
      <c r="D64" s="26"/>
      <c r="E64" s="5">
        <v>34.299999999999997</v>
      </c>
      <c r="F64" s="29">
        <v>34.299999999999997</v>
      </c>
      <c r="G64" s="29"/>
      <c r="H64" s="8"/>
      <c r="I64" s="7"/>
    </row>
    <row r="65" spans="1:11" ht="11.25" hidden="1" customHeight="1" x14ac:dyDescent="0.2">
      <c r="A65" s="26" t="s">
        <v>68</v>
      </c>
      <c r="B65" s="26"/>
      <c r="C65" s="26"/>
      <c r="D65" s="26"/>
      <c r="E65" s="5">
        <v>45.9</v>
      </c>
      <c r="F65" s="28">
        <v>45.929000000000002</v>
      </c>
      <c r="G65" s="28"/>
      <c r="H65" s="6">
        <v>-2.9000000000000001E-2</v>
      </c>
      <c r="I65" s="7"/>
    </row>
    <row r="66" spans="1:11" ht="11.25" customHeight="1" x14ac:dyDescent="0.2">
      <c r="A66" s="26" t="s">
        <v>69</v>
      </c>
      <c r="B66" s="26"/>
      <c r="C66" s="26"/>
      <c r="D66" s="26"/>
      <c r="E66" s="5">
        <v>53.2</v>
      </c>
      <c r="F66" s="28">
        <v>49.805999999999997</v>
      </c>
      <c r="G66" s="28"/>
      <c r="H66" s="6">
        <v>3.3940000000000001</v>
      </c>
      <c r="I66" s="6">
        <v>3.3940000000000001</v>
      </c>
      <c r="J66" t="str">
        <f>VLOOKUP(A66,[1]Sheet!$A:$I,9,0)</f>
        <v>матрица</v>
      </c>
      <c r="K66" t="s">
        <v>105</v>
      </c>
    </row>
    <row r="67" spans="1:11" ht="11.25" customHeight="1" x14ac:dyDescent="0.2">
      <c r="A67" s="26" t="s">
        <v>70</v>
      </c>
      <c r="B67" s="26"/>
      <c r="C67" s="26"/>
      <c r="D67" s="26"/>
      <c r="E67" s="10">
        <v>38.15</v>
      </c>
      <c r="F67" s="30">
        <v>36.049999999999997</v>
      </c>
      <c r="G67" s="30"/>
      <c r="H67" s="5">
        <v>2.1</v>
      </c>
      <c r="I67" s="5">
        <v>2.1</v>
      </c>
      <c r="J67" t="str">
        <f>VLOOKUP(A67,[1]Sheet!$A:$I,9,0)</f>
        <v>матрица</v>
      </c>
      <c r="K67" t="s">
        <v>106</v>
      </c>
    </row>
    <row r="68" spans="1:11" ht="11.25" hidden="1" customHeight="1" x14ac:dyDescent="0.2">
      <c r="A68" s="26" t="s">
        <v>71</v>
      </c>
      <c r="B68" s="26"/>
      <c r="C68" s="26"/>
      <c r="D68" s="26"/>
      <c r="E68" s="5">
        <v>10.5</v>
      </c>
      <c r="F68" s="29">
        <v>11.1</v>
      </c>
      <c r="G68" s="29"/>
      <c r="H68" s="5">
        <v>-0.6</v>
      </c>
      <c r="I68" s="7"/>
    </row>
    <row r="69" spans="1:11" ht="11.25" hidden="1" customHeight="1" x14ac:dyDescent="0.2">
      <c r="A69" s="26" t="s">
        <v>72</v>
      </c>
      <c r="B69" s="26"/>
      <c r="C69" s="26"/>
      <c r="D69" s="26"/>
      <c r="E69" s="5">
        <v>5.4</v>
      </c>
      <c r="F69" s="29">
        <v>5.4</v>
      </c>
      <c r="G69" s="29"/>
      <c r="H69" s="8"/>
      <c r="I69" s="7"/>
    </row>
    <row r="70" spans="1:11" ht="11.25" customHeight="1" x14ac:dyDescent="0.2">
      <c r="A70" s="26" t="s">
        <v>73</v>
      </c>
      <c r="B70" s="26"/>
      <c r="C70" s="26"/>
      <c r="D70" s="26"/>
      <c r="E70" s="10">
        <v>15.68</v>
      </c>
      <c r="F70" s="30">
        <v>14.56</v>
      </c>
      <c r="G70" s="30"/>
      <c r="H70" s="10">
        <v>1.1200000000000001</v>
      </c>
      <c r="I70" s="10">
        <v>1.1200000000000001</v>
      </c>
      <c r="J70" t="str">
        <f>VLOOKUP(A70,[1]Sheet!$A:$I,9,0)</f>
        <v>матрица</v>
      </c>
      <c r="K70" t="s">
        <v>102</v>
      </c>
    </row>
    <row r="71" spans="1:11" ht="11.25" customHeight="1" x14ac:dyDescent="0.2">
      <c r="A71" s="26" t="s">
        <v>74</v>
      </c>
      <c r="B71" s="26"/>
      <c r="C71" s="26"/>
      <c r="D71" s="26"/>
      <c r="E71" s="10">
        <v>19.88</v>
      </c>
      <c r="F71" s="30">
        <v>17.64</v>
      </c>
      <c r="G71" s="30"/>
      <c r="H71" s="10">
        <v>2.2400000000000002</v>
      </c>
      <c r="I71" s="10">
        <v>2.2400000000000002</v>
      </c>
      <c r="J71" t="str">
        <f>VLOOKUP(A71,[1]Sheet!$A:$I,9,0)</f>
        <v>матрица</v>
      </c>
      <c r="K71" t="s">
        <v>107</v>
      </c>
    </row>
    <row r="72" spans="1:11" ht="11.25" hidden="1" customHeight="1" x14ac:dyDescent="0.2">
      <c r="A72" s="26" t="s">
        <v>75</v>
      </c>
      <c r="B72" s="26"/>
      <c r="C72" s="26"/>
      <c r="D72" s="26"/>
      <c r="E72" s="10">
        <v>5.04</v>
      </c>
      <c r="F72" s="30">
        <v>5.04</v>
      </c>
      <c r="G72" s="30"/>
      <c r="H72" s="8"/>
      <c r="I72" s="7"/>
    </row>
    <row r="73" spans="1:11" ht="11.25" hidden="1" customHeight="1" x14ac:dyDescent="0.2">
      <c r="A73" s="26" t="s">
        <v>76</v>
      </c>
      <c r="B73" s="26"/>
      <c r="C73" s="26"/>
      <c r="D73" s="26"/>
      <c r="E73" s="5">
        <v>11.2</v>
      </c>
      <c r="F73" s="29">
        <v>11.6</v>
      </c>
      <c r="G73" s="29"/>
      <c r="H73" s="5">
        <v>-0.4</v>
      </c>
      <c r="I73" s="7"/>
    </row>
    <row r="74" spans="1:11" ht="11.25" customHeight="1" x14ac:dyDescent="0.2">
      <c r="A74" s="26" t="s">
        <v>77</v>
      </c>
      <c r="B74" s="26"/>
      <c r="C74" s="26"/>
      <c r="D74" s="26"/>
      <c r="E74" s="10">
        <v>1.32</v>
      </c>
      <c r="F74" s="30">
        <v>0.96</v>
      </c>
      <c r="G74" s="30"/>
      <c r="H74" s="10">
        <v>0.36</v>
      </c>
      <c r="I74" s="10">
        <v>0.36</v>
      </c>
      <c r="J74" t="str">
        <f>VLOOKUP(A74,[1]Sheet!$A:$I,9,0)</f>
        <v>матрица</v>
      </c>
      <c r="K74" t="s">
        <v>108</v>
      </c>
    </row>
    <row r="75" spans="1:11" ht="11.25" hidden="1" customHeight="1" x14ac:dyDescent="0.2">
      <c r="A75" s="26" t="s">
        <v>78</v>
      </c>
      <c r="B75" s="26"/>
      <c r="C75" s="26"/>
      <c r="D75" s="26"/>
      <c r="E75" s="5">
        <v>1.5</v>
      </c>
      <c r="F75" s="29">
        <v>1.5</v>
      </c>
      <c r="G75" s="29"/>
      <c r="H75" s="8"/>
      <c r="I75" s="7"/>
    </row>
    <row r="76" spans="1:11" ht="11.25" hidden="1" customHeight="1" x14ac:dyDescent="0.2">
      <c r="A76" s="26" t="s">
        <v>79</v>
      </c>
      <c r="B76" s="26"/>
      <c r="C76" s="26"/>
      <c r="D76" s="26"/>
      <c r="E76" s="5">
        <v>1.2</v>
      </c>
      <c r="F76" s="29">
        <v>1.2</v>
      </c>
      <c r="G76" s="29"/>
      <c r="H76" s="8"/>
      <c r="I76" s="7"/>
    </row>
    <row r="77" spans="1:11" ht="11.25" hidden="1" customHeight="1" x14ac:dyDescent="0.2">
      <c r="A77" s="26" t="s">
        <v>80</v>
      </c>
      <c r="B77" s="26"/>
      <c r="C77" s="26"/>
      <c r="D77" s="26"/>
      <c r="E77" s="10">
        <v>11.88</v>
      </c>
      <c r="F77" s="30">
        <v>11.88</v>
      </c>
      <c r="G77" s="30"/>
      <c r="H77" s="8"/>
      <c r="I77" s="7"/>
    </row>
    <row r="78" spans="1:11" ht="11.25" hidden="1" customHeight="1" x14ac:dyDescent="0.2">
      <c r="A78" s="26" t="s">
        <v>81</v>
      </c>
      <c r="B78" s="26"/>
      <c r="C78" s="26"/>
      <c r="D78" s="26"/>
      <c r="E78" s="5">
        <v>1.2</v>
      </c>
      <c r="F78" s="29">
        <v>1.2</v>
      </c>
      <c r="G78" s="29"/>
      <c r="H78" s="8"/>
      <c r="I78" s="7"/>
    </row>
    <row r="79" spans="1:11" ht="11.25" hidden="1" customHeight="1" x14ac:dyDescent="0.2">
      <c r="A79" s="26" t="s">
        <v>82</v>
      </c>
      <c r="B79" s="26"/>
      <c r="C79" s="26"/>
      <c r="D79" s="26"/>
      <c r="E79" s="10">
        <v>7.79</v>
      </c>
      <c r="F79" s="30">
        <v>7.79</v>
      </c>
      <c r="G79" s="30"/>
      <c r="H79" s="8"/>
      <c r="I79" s="7"/>
    </row>
    <row r="80" spans="1:11" ht="11.25" hidden="1" customHeight="1" x14ac:dyDescent="0.2">
      <c r="A80" s="26" t="s">
        <v>83</v>
      </c>
      <c r="B80" s="26"/>
      <c r="C80" s="26"/>
      <c r="D80" s="26"/>
      <c r="E80" s="10">
        <v>3.64</v>
      </c>
      <c r="F80" s="30">
        <v>3.64</v>
      </c>
      <c r="G80" s="30"/>
      <c r="H80" s="8"/>
      <c r="I80" s="7"/>
    </row>
    <row r="81" spans="1:11" ht="11.25" hidden="1" customHeight="1" x14ac:dyDescent="0.2">
      <c r="A81" s="26" t="s">
        <v>84</v>
      </c>
      <c r="B81" s="26"/>
      <c r="C81" s="26"/>
      <c r="D81" s="26"/>
      <c r="E81" s="10">
        <v>0.31</v>
      </c>
      <c r="F81" s="30">
        <v>0.31</v>
      </c>
      <c r="G81" s="30"/>
      <c r="H81" s="8"/>
      <c r="I81" s="7"/>
    </row>
    <row r="82" spans="1:11" ht="11.25" hidden="1" customHeight="1" x14ac:dyDescent="0.2">
      <c r="A82" s="26" t="s">
        <v>85</v>
      </c>
      <c r="B82" s="26"/>
      <c r="C82" s="26"/>
      <c r="D82" s="26"/>
      <c r="E82" s="5">
        <v>3.6</v>
      </c>
      <c r="F82" s="29">
        <v>3.6</v>
      </c>
      <c r="G82" s="29"/>
      <c r="H82" s="8"/>
      <c r="I82" s="7"/>
    </row>
    <row r="83" spans="1:11" ht="11.25" hidden="1" customHeight="1" x14ac:dyDescent="0.2">
      <c r="A83" s="26" t="s">
        <v>86</v>
      </c>
      <c r="B83" s="26"/>
      <c r="C83" s="26"/>
      <c r="D83" s="26"/>
      <c r="E83" s="5">
        <v>13.3</v>
      </c>
      <c r="F83" s="29">
        <v>13.3</v>
      </c>
      <c r="G83" s="29"/>
      <c r="H83" s="8"/>
      <c r="I83" s="7"/>
    </row>
    <row r="84" spans="1:11" ht="11.25" hidden="1" customHeight="1" x14ac:dyDescent="0.2">
      <c r="A84" s="26" t="s">
        <v>87</v>
      </c>
      <c r="B84" s="26"/>
      <c r="C84" s="26"/>
      <c r="D84" s="26"/>
      <c r="E84" s="9">
        <v>5</v>
      </c>
      <c r="F84" s="28">
        <v>5.1079999999999997</v>
      </c>
      <c r="G84" s="28"/>
      <c r="H84" s="6">
        <v>-0.108</v>
      </c>
      <c r="I84" s="7"/>
    </row>
    <row r="85" spans="1:11" ht="11.25" customHeight="1" x14ac:dyDescent="0.2">
      <c r="A85" s="26" t="s">
        <v>88</v>
      </c>
      <c r="B85" s="26"/>
      <c r="C85" s="26"/>
      <c r="D85" s="26"/>
      <c r="E85" s="5">
        <v>9.9</v>
      </c>
      <c r="F85" s="30">
        <v>4.29</v>
      </c>
      <c r="G85" s="30"/>
      <c r="H85" s="10">
        <v>5.61</v>
      </c>
      <c r="I85" s="10">
        <v>5.61</v>
      </c>
      <c r="J85" t="str">
        <f>VLOOKUP(A85,[1]Sheet!$A:$I,9,0)</f>
        <v>матрица</v>
      </c>
      <c r="K85" t="s">
        <v>109</v>
      </c>
    </row>
    <row r="86" spans="1:11" ht="11.25" hidden="1" customHeight="1" x14ac:dyDescent="0.2">
      <c r="A86" s="26" t="s">
        <v>89</v>
      </c>
      <c r="B86" s="26"/>
      <c r="C86" s="26"/>
      <c r="D86" s="26"/>
      <c r="E86" s="5">
        <v>3.6</v>
      </c>
      <c r="F86" s="29">
        <v>3.6</v>
      </c>
      <c r="G86" s="29"/>
      <c r="H86" s="8"/>
      <c r="I86" s="7"/>
    </row>
    <row r="87" spans="1:11" ht="11.25" customHeight="1" x14ac:dyDescent="0.2">
      <c r="A87" s="26" t="s">
        <v>90</v>
      </c>
      <c r="B87" s="26"/>
      <c r="C87" s="26"/>
      <c r="D87" s="26"/>
      <c r="E87" s="5">
        <v>5.9</v>
      </c>
      <c r="F87" s="29">
        <v>5.5</v>
      </c>
      <c r="G87" s="29"/>
      <c r="H87" s="5">
        <v>0.4</v>
      </c>
      <c r="I87" s="5">
        <v>0.4</v>
      </c>
      <c r="J87" t="str">
        <f>VLOOKUP(A87,[1]Sheet!$A:$I,9,0)</f>
        <v>матрица</v>
      </c>
      <c r="K87" t="s">
        <v>110</v>
      </c>
    </row>
    <row r="88" spans="1:11" ht="11.25" customHeight="1" x14ac:dyDescent="0.2">
      <c r="A88" s="26" t="s">
        <v>91</v>
      </c>
      <c r="B88" s="26"/>
      <c r="C88" s="26"/>
      <c r="D88" s="26"/>
      <c r="E88" s="5">
        <v>3.2</v>
      </c>
      <c r="F88" s="11"/>
      <c r="G88" s="12"/>
      <c r="H88" s="5">
        <v>3.2</v>
      </c>
      <c r="I88" s="5">
        <v>3.2</v>
      </c>
      <c r="J88" t="str">
        <f>VLOOKUP(A88,[1]Sheet!$A:$I,9,0)</f>
        <v>матрица</v>
      </c>
      <c r="K88" t="s">
        <v>111</v>
      </c>
    </row>
    <row r="89" spans="1:11" ht="12.75" customHeight="1" x14ac:dyDescent="0.2">
      <c r="A89" s="23" t="s">
        <v>6</v>
      </c>
      <c r="B89" s="23"/>
      <c r="C89" s="23"/>
      <c r="D89" s="23"/>
      <c r="E89" s="13">
        <v>976.245</v>
      </c>
      <c r="F89" s="31">
        <v>968.09799999999996</v>
      </c>
      <c r="G89" s="31"/>
      <c r="H89" s="13">
        <v>8.1470000000000002</v>
      </c>
      <c r="I89" s="14">
        <v>33.799999999999997</v>
      </c>
    </row>
  </sheetData>
  <autoFilter ref="E9:I89" xr:uid="{00000000-0009-0000-0000-000000000000}">
    <filterColumn colId="1" showButton="0"/>
    <filterColumn colId="4">
      <customFilters>
        <customFilter operator="notEqual" val=" "/>
      </customFilters>
    </filterColumn>
  </autoFilter>
  <mergeCells count="161">
    <mergeCell ref="A88:D88"/>
    <mergeCell ref="A89:D89"/>
    <mergeCell ref="F89:G89"/>
    <mergeCell ref="A85:D85"/>
    <mergeCell ref="F85:G85"/>
    <mergeCell ref="A86:D86"/>
    <mergeCell ref="F86:G86"/>
    <mergeCell ref="A87:D87"/>
    <mergeCell ref="F87:G87"/>
    <mergeCell ref="A82:D82"/>
    <mergeCell ref="F82:G82"/>
    <mergeCell ref="A83:D83"/>
    <mergeCell ref="F83:G83"/>
    <mergeCell ref="A84:D84"/>
    <mergeCell ref="F84:G84"/>
    <mergeCell ref="A79:D79"/>
    <mergeCell ref="F79:G79"/>
    <mergeCell ref="A80:D80"/>
    <mergeCell ref="F80:G80"/>
    <mergeCell ref="A81:D81"/>
    <mergeCell ref="F81:G81"/>
    <mergeCell ref="A76:D76"/>
    <mergeCell ref="F76:G76"/>
    <mergeCell ref="A77:D77"/>
    <mergeCell ref="F77:G77"/>
    <mergeCell ref="A78:D78"/>
    <mergeCell ref="F78:G78"/>
    <mergeCell ref="A73:D73"/>
    <mergeCell ref="F73:G73"/>
    <mergeCell ref="A74:D74"/>
    <mergeCell ref="F74:G74"/>
    <mergeCell ref="A75:D75"/>
    <mergeCell ref="F75:G75"/>
    <mergeCell ref="A70:D70"/>
    <mergeCell ref="F70:G70"/>
    <mergeCell ref="A71:D71"/>
    <mergeCell ref="F71:G71"/>
    <mergeCell ref="A72:D72"/>
    <mergeCell ref="F72:G72"/>
    <mergeCell ref="A67:D67"/>
    <mergeCell ref="F67:G67"/>
    <mergeCell ref="A68:D68"/>
    <mergeCell ref="F68:G68"/>
    <mergeCell ref="A69:D69"/>
    <mergeCell ref="F69:G69"/>
    <mergeCell ref="A64:D64"/>
    <mergeCell ref="F64:G64"/>
    <mergeCell ref="A65:D65"/>
    <mergeCell ref="F65:G65"/>
    <mergeCell ref="A66:D66"/>
    <mergeCell ref="F66:G66"/>
    <mergeCell ref="A61:D61"/>
    <mergeCell ref="F61:G61"/>
    <mergeCell ref="A62:D62"/>
    <mergeCell ref="F62:G62"/>
    <mergeCell ref="A63:D63"/>
    <mergeCell ref="F63:G63"/>
    <mergeCell ref="A58:D58"/>
    <mergeCell ref="F58:G58"/>
    <mergeCell ref="A59:D59"/>
    <mergeCell ref="F59:G59"/>
    <mergeCell ref="A60:D60"/>
    <mergeCell ref="F60:G60"/>
    <mergeCell ref="A55:D55"/>
    <mergeCell ref="F55:G55"/>
    <mergeCell ref="A56:D56"/>
    <mergeCell ref="F56:G56"/>
    <mergeCell ref="A57:D57"/>
    <mergeCell ref="F57:G57"/>
    <mergeCell ref="A51:D51"/>
    <mergeCell ref="F51:G51"/>
    <mergeCell ref="A52:D52"/>
    <mergeCell ref="A53:D53"/>
    <mergeCell ref="F53:G53"/>
    <mergeCell ref="A54:D54"/>
    <mergeCell ref="F54:G54"/>
    <mergeCell ref="A48:D48"/>
    <mergeCell ref="F48:G48"/>
    <mergeCell ref="A49:D49"/>
    <mergeCell ref="F49:G49"/>
    <mergeCell ref="A50:D50"/>
    <mergeCell ref="F50:G50"/>
    <mergeCell ref="A45:D45"/>
    <mergeCell ref="F45:G45"/>
    <mergeCell ref="A46:D46"/>
    <mergeCell ref="F46:G46"/>
    <mergeCell ref="A47:D47"/>
    <mergeCell ref="F47:G47"/>
    <mergeCell ref="A42:D42"/>
    <mergeCell ref="F42:G42"/>
    <mergeCell ref="A43:D43"/>
    <mergeCell ref="F43:G43"/>
    <mergeCell ref="A44:D44"/>
    <mergeCell ref="F44:G44"/>
    <mergeCell ref="A39:D39"/>
    <mergeCell ref="F39:G39"/>
    <mergeCell ref="A40:D40"/>
    <mergeCell ref="F40:G40"/>
    <mergeCell ref="A41:D41"/>
    <mergeCell ref="F41:G41"/>
    <mergeCell ref="A36:D36"/>
    <mergeCell ref="F36:G36"/>
    <mergeCell ref="A37:D37"/>
    <mergeCell ref="F37:G37"/>
    <mergeCell ref="A38:D38"/>
    <mergeCell ref="F38:G38"/>
    <mergeCell ref="A33:D33"/>
    <mergeCell ref="F33:G33"/>
    <mergeCell ref="A34:D34"/>
    <mergeCell ref="F34:G34"/>
    <mergeCell ref="A35:D35"/>
    <mergeCell ref="F35:G35"/>
    <mergeCell ref="A30:D30"/>
    <mergeCell ref="F30:G30"/>
    <mergeCell ref="A31:D31"/>
    <mergeCell ref="F31:G31"/>
    <mergeCell ref="A32:D32"/>
    <mergeCell ref="F32:G32"/>
    <mergeCell ref="A27:D27"/>
    <mergeCell ref="F27:G27"/>
    <mergeCell ref="A28:D28"/>
    <mergeCell ref="F28:G28"/>
    <mergeCell ref="A29:D29"/>
    <mergeCell ref="F29:G29"/>
    <mergeCell ref="A23:D23"/>
    <mergeCell ref="F23:G23"/>
    <mergeCell ref="A24:D24"/>
    <mergeCell ref="A25:D25"/>
    <mergeCell ref="F25:G25"/>
    <mergeCell ref="A26:D26"/>
    <mergeCell ref="F26:G26"/>
    <mergeCell ref="A21:D21"/>
    <mergeCell ref="F21:G21"/>
    <mergeCell ref="A22:D22"/>
    <mergeCell ref="F22:G22"/>
    <mergeCell ref="A17:D17"/>
    <mergeCell ref="F17:G17"/>
    <mergeCell ref="A18:D18"/>
    <mergeCell ref="F18:G18"/>
    <mergeCell ref="A19:D19"/>
    <mergeCell ref="F19:G19"/>
    <mergeCell ref="A16:D16"/>
    <mergeCell ref="F16:G16"/>
    <mergeCell ref="A11:D11"/>
    <mergeCell ref="F11:G11"/>
    <mergeCell ref="A12:D12"/>
    <mergeCell ref="F12:G12"/>
    <mergeCell ref="A13:D13"/>
    <mergeCell ref="F13:G13"/>
    <mergeCell ref="A20:D20"/>
    <mergeCell ref="F20:G20"/>
    <mergeCell ref="C3:N3"/>
    <mergeCell ref="A8:D10"/>
    <mergeCell ref="E8:I8"/>
    <mergeCell ref="F9:G9"/>
    <mergeCell ref="I9:I10"/>
    <mergeCell ref="F10:G10"/>
    <mergeCell ref="A14:D14"/>
    <mergeCell ref="F14:G14"/>
    <mergeCell ref="A15:D15"/>
    <mergeCell ref="F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Uaer4</cp:lastModifiedBy>
  <cp:revision>1</cp:revision>
  <cp:lastPrinted>2026-10-19T08:45:15Z</cp:lastPrinted>
  <dcterms:created xsi:type="dcterms:W3CDTF">2026-10-19T08:45:15Z</dcterms:created>
  <dcterms:modified xsi:type="dcterms:W3CDTF">2026-10-19T10:11:56Z</dcterms:modified>
</cp:coreProperties>
</file>