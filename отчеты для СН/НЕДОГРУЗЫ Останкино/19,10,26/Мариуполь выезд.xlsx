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Останкино\19,10,26\"/>
    </mc:Choice>
  </mc:AlternateContent>
  <xr:revisionPtr revIDLastSave="0" documentId="13_ncr:1_{34D10EBC-E379-4620-9851-D4DAFE4326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17.10" sheetId="12" r:id="rId1"/>
  </sheets>
  <externalReferences>
    <externalReference r:id="rId2"/>
  </externalReferences>
  <definedNames>
    <definedName name="_xlnm._FilterDatabase" localSheetId="0" hidden="1">'17.10'!$A$55:$J$92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7" i="12" l="1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56" i="12"/>
  <c r="J92" i="12" l="1"/>
  <c r="I51" i="12" l="1"/>
  <c r="G51" i="12"/>
  <c r="E51" i="12"/>
  <c r="C51" i="12"/>
  <c r="G44" i="12"/>
  <c r="G31" i="12"/>
  <c r="F31" i="12"/>
  <c r="L21" i="12"/>
  <c r="K21" i="12"/>
  <c r="H21" i="12"/>
  <c r="G21" i="12"/>
  <c r="J12" i="12"/>
  <c r="J11" i="12"/>
  <c r="J10" i="12"/>
  <c r="J9" i="12"/>
  <c r="J8" i="12"/>
</calcChain>
</file>

<file path=xl/sharedStrings.xml><?xml version="1.0" encoding="utf-8"?>
<sst xmlns="http://schemas.openxmlformats.org/spreadsheetml/2006/main" count="137" uniqueCount="111">
  <si>
    <t>Выезд Машин</t>
  </si>
  <si>
    <t>№ п/п</t>
  </si>
  <si>
    <t>Марка</t>
  </si>
  <si>
    <t>№ авто</t>
  </si>
  <si>
    <t>ФИО водителя</t>
  </si>
  <si>
    <t>Заполняет механник перед выездом машин</t>
  </si>
  <si>
    <t>Выехал (время)</t>
  </si>
  <si>
    <t>количество ТГ (АКБ)</t>
  </si>
  <si>
    <t>кг</t>
  </si>
  <si>
    <t>вернулся  (время)</t>
  </si>
  <si>
    <t>Не вывезено</t>
  </si>
  <si>
    <t>Исправность холодильного оборудования</t>
  </si>
  <si>
    <t>Неисправные</t>
  </si>
  <si>
    <t>сумма ремонта</t>
  </si>
  <si>
    <t>Дата поломки</t>
  </si>
  <si>
    <t>ИТОГО</t>
  </si>
  <si>
    <t>Сборка</t>
  </si>
  <si>
    <t>Заказано (день заказа)</t>
  </si>
  <si>
    <t>Собрано (факт.день сборки)</t>
  </si>
  <si>
    <t>Выехало (факт день выезда)</t>
  </si>
  <si>
    <t>Поком колбаса</t>
  </si>
  <si>
    <t>Поком заморозка</t>
  </si>
  <si>
    <t>Останкино</t>
  </si>
  <si>
    <t>Всего</t>
  </si>
  <si>
    <t>ВСЕГО МАШИН</t>
  </si>
  <si>
    <t>ИСПРАВНЫЕ АВТО</t>
  </si>
  <si>
    <t>НАЙМ АВТО</t>
  </si>
  <si>
    <t>Стоимость</t>
  </si>
  <si>
    <t>кол-во тт (АКБ)</t>
  </si>
  <si>
    <t>Вернулось (факт день выезда)</t>
  </si>
  <si>
    <t>Время на маршруте</t>
  </si>
  <si>
    <t>Вернулся  (время)</t>
  </si>
  <si>
    <t>Дефицит</t>
  </si>
  <si>
    <t>№</t>
  </si>
  <si>
    <t>Наименование позиций</t>
  </si>
  <si>
    <t>КГ</t>
  </si>
  <si>
    <t>Причина</t>
  </si>
  <si>
    <t>Ремонт одобрен +/-</t>
  </si>
  <si>
    <t>Дата окончания ремонта</t>
  </si>
  <si>
    <t>Дата постановки на ремонт</t>
  </si>
  <si>
    <t>Оплачено +/-</t>
  </si>
  <si>
    <t>Да</t>
  </si>
  <si>
    <t>Нет</t>
  </si>
  <si>
    <t>Газель</t>
  </si>
  <si>
    <t>4063 МЯСНАЯ Папа может вар п/о_Л   ОСТАНКИНО</t>
  </si>
  <si>
    <t>5931 ОХОТНИЧЬЯ Папа может с/к в/у 1/220 8шт.   ОСТАНКИНО</t>
  </si>
  <si>
    <t>6498 МОЛОЧНАЯ Папа может вар п/о  ОСТАНКИНО</t>
  </si>
  <si>
    <t>7157 СЕРВЕЛАТ ЗЕРНИСТЫЙ ПМ в/к в/у_50с  Останкино</t>
  </si>
  <si>
    <t>7166 СЕРВЕЛАТ ОХОТНИЧИЙ ПМ в/к в/у_50с  Останкино</t>
  </si>
  <si>
    <t>7603 БАЛЫКОВАЯ в/к в/у 0.33кг 8шт. ОСТАНКИНО</t>
  </si>
  <si>
    <t>6470 ВЕТЧ.МРАМОРНАЯ в/у_45с  ОСТАНКИНО</t>
  </si>
  <si>
    <t>МАРИУПОЛЬ</t>
  </si>
  <si>
    <t>Е792СР82</t>
  </si>
  <si>
    <t xml:space="preserve">Спринтер </t>
  </si>
  <si>
    <t>Дубинин Алексей</t>
  </si>
  <si>
    <t>Ковальский Дмитрий</t>
  </si>
  <si>
    <t>Е827УА82</t>
  </si>
  <si>
    <t>В952ХК82</t>
  </si>
  <si>
    <t>Махонько Игорь</t>
  </si>
  <si>
    <t>Приходько Виталий</t>
  </si>
  <si>
    <t xml:space="preserve">Е765МУ82 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</si>
  <si>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</si>
  <si>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</si>
  <si>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</si>
  <si>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5819 Сосиски Папа может 400г Мясные  ОСТАНКИНО</t>
  </si>
  <si>
    <t>6220 ГОВЯЖЬЯ папа может вар п/о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</si>
  <si>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</si>
  <si>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</si>
  <si>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</si>
  <si>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6550 МЯСНЫЕ Папа может сар б/о мгс 1*3 О 45с  Останкино</t>
  </si>
  <si>
    <t>6697 СЕРВЕЛАТ ФИНСКИЙ ПМ в/к в/у 0,35кг 8шт  ОСТАНКИНО</t>
  </si>
  <si>
    <t>6787 СЕРВЕЛАТ КРЕМЛЕВСКИЙ в/к в/у 0,33кг 8шт  Останкино</t>
  </si>
  <si>
    <t>6837 ФИЛЕЙНЫЕ Папа Может сос ц/о мгс 0,4кг  Останкино</t>
  </si>
  <si>
    <t>7066 СОЧНЫЕ ПМ сос п/о мгс 0,41кг 10шт 50с  Останкино</t>
  </si>
  <si>
    <t>7070 СОЧНЫЕ ПМ сос п/о 1,5*4_А_50с  Останкино</t>
  </si>
  <si>
    <t>7080 СЛИВОЧНЫЕ ПМ сос п/о мгс 0,41кг 10шт 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</si>
  <si>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</si>
  <si>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</si>
  <si>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</si>
  <si>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7241 САЛЯМИ Папа может п/к в/у 0,28кг ОСТАНКИНО</t>
  </si>
  <si>
    <t>7255 МЯСНЫЕ С ГОВЯД.ПМ сос п/о мгс 0.4кг 6шт.  ОСТАНКИНО</t>
  </si>
  <si>
    <t>7490 СОЧНЫЙ ГРИЛЬ сос ц/о мгс 0.41кг_Даблпак  ОСТАНКИНО</t>
  </si>
  <si>
    <t xml:space="preserve">7632 ЭКСТРА Папа может вар п/о 0.4кг 8шт_195к  ОСТАНКИНО        </t>
  </si>
  <si>
    <t>остаток - 187 кг</t>
  </si>
  <si>
    <t>остаток - 78 кг</t>
  </si>
  <si>
    <t>остаток - 73 кг</t>
  </si>
  <si>
    <t>остаток - 145 кг</t>
  </si>
  <si>
    <t>остаток - 18 кг</t>
  </si>
  <si>
    <t>завод не отгрузил 06,10,26</t>
  </si>
  <si>
    <t>остаток - 20 кг</t>
  </si>
  <si>
    <t>остаток - 497 кг</t>
  </si>
  <si>
    <t>рост продаж в 1,5 раза</t>
  </si>
  <si>
    <t>остаток - 91,2 кг</t>
  </si>
  <si>
    <t>остаток - 144 кг</t>
  </si>
  <si>
    <t>остаток - 76 кг</t>
  </si>
  <si>
    <t>остаток - 9,8 кг + рост продаж в 1,5 раза</t>
  </si>
  <si>
    <t>остаток - 142,7 кг</t>
  </si>
  <si>
    <t>остаток - 5,3 кг</t>
  </si>
  <si>
    <t>остатко - 87,6 кг</t>
  </si>
  <si>
    <t>остаток - 65 кг</t>
  </si>
  <si>
    <t>остаток - 59,9 кг</t>
  </si>
  <si>
    <t>остаток - 74,6 кг</t>
  </si>
  <si>
    <t>остаток - 19,3 кг</t>
  </si>
  <si>
    <t>остаток - 55,3 кг</t>
  </si>
  <si>
    <t>остаток - 24,1 кг</t>
  </si>
  <si>
    <t>рост продаж в 1,4 раза</t>
  </si>
  <si>
    <t>рост продаж в 1,7 раза</t>
  </si>
  <si>
    <t>остаток - 109 кг</t>
  </si>
  <si>
    <t>остаток - 16,8 кг</t>
  </si>
  <si>
    <t>рост продаж в 2 раза</t>
  </si>
  <si>
    <t>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</si>
</sst>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\ _₽"/>
    <numFmt numFmtId="166" formatCode="[$-419]d\ mmm;@"/>
  </numFmts>
  <fonts count="35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28"/>
      <color theme="2" tint="-0.89999084444715716"/>
      <name val="Calibri"/>
      <family val="2"/>
      <scheme val="minor"/>
    </font>
    <font>
      <b/>
      <sz val="26"/>
      <color theme="2" tint="-0.89999084444715716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22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20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9"/>
      <color theme="2" tint="-0.899990844447157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charset val="204"/>
      <scheme val="minor"/>
    </font>
    <font>
      <sz val="8"/>
      <color theme="2" tint="-0.89999084444715716"/>
      <name val="Arial"/>
      <family val="2"/>
    </font>
    <font>
      <b/>
      <sz val="14"/>
      <color theme="1"/>
      <name val="Calibri"/>
      <family val="2"/>
      <scheme val="minor"/>
    </font>
    <font>
      <sz val="11"/>
      <color theme="2" tint="-0.89999084444715716"/>
      <name val="Calibri (Основной текст)"/>
      <charset val="204"/>
    </font>
    <font>
      <sz val="11"/>
      <name val="Calibri"/>
      <family val="2"/>
      <scheme val="minor"/>
    </font>
    <font>
      <sz val="11"/>
      <color rgb="FF161616"/>
      <name val="Calibri"/>
      <family val="2"/>
      <scheme val="minor"/>
    </font>
    <font>
      <b/>
      <sz val="8"/>
      <color theme="2" tint="-0.89999084444715716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color theme="2" tint="-0.89999084444715716"/>
      <name val="Calibri"/>
      <family val="2"/>
      <charset val="204"/>
      <scheme val="minor"/>
    </font>
    <font>
      <sz val="11"/>
      <color theme="2" tint="-0.89989928891872917"/>
      <name val="Calibri"/>
      <family val="2"/>
      <scheme val="minor"/>
    </font>
    <font>
      <b/>
      <sz val="11"/>
      <color theme="2" tint="-0.89989928891872917"/>
      <name val="Calibri"/>
      <family val="2"/>
      <scheme val="minor"/>
    </font>
    <font>
      <sz val="11"/>
      <color theme="2" tint="-0.89989928891872917"/>
      <name val="Calibri"/>
      <family val="2"/>
      <charset val="204"/>
      <scheme val="minor"/>
    </font>
    <font>
      <b/>
      <sz val="11"/>
      <color rgb="FF161616"/>
      <name val="Calibri"/>
      <family val="2"/>
      <charset val="204"/>
      <scheme val="minor"/>
    </font>
    <font>
      <sz val="11"/>
      <color indexed="6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indexed="63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-0.249977111117893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228">
    <xf numFmtId="0" fontId="0" fillId="0" borderId="0" xfId="0"/>
    <xf numFmtId="0" fontId="9" fillId="0" borderId="0" xfId="0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wrapText="1"/>
    </xf>
    <xf numFmtId="0" fontId="18" fillId="0" borderId="0" xfId="0" applyFont="1"/>
    <xf numFmtId="165" fontId="18" fillId="0" borderId="17" xfId="0" applyNumberFormat="1" applyFont="1" applyBorder="1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19" fillId="0" borderId="0" xfId="1" applyFont="1" applyAlignment="1">
      <alignment vertical="top" wrapText="1"/>
    </xf>
    <xf numFmtId="20" fontId="15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64" fontId="19" fillId="0" borderId="0" xfId="2" applyNumberFormat="1" applyFont="1" applyAlignment="1">
      <alignment horizontal="center" vertical="top"/>
    </xf>
    <xf numFmtId="0" fontId="11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16" fillId="2" borderId="25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20" fontId="22" fillId="0" borderId="25" xfId="0" applyNumberFormat="1" applyFont="1" applyBorder="1" applyAlignment="1">
      <alignment horizontal="center" vertical="center"/>
    </xf>
    <xf numFmtId="1" fontId="25" fillId="2" borderId="25" xfId="0" applyNumberFormat="1" applyFont="1" applyFill="1" applyBorder="1" applyAlignment="1">
      <alignment horizontal="center" vertical="center"/>
    </xf>
    <xf numFmtId="20" fontId="25" fillId="0" borderId="25" xfId="0" applyNumberFormat="1" applyFont="1" applyBorder="1" applyAlignment="1">
      <alignment horizontal="center" vertical="center"/>
    </xf>
    <xf numFmtId="0" fontId="5" fillId="2" borderId="25" xfId="0" applyFont="1" applyFill="1" applyBorder="1" applyAlignment="1">
      <alignment horizontal="left" vertical="center" wrapText="1"/>
    </xf>
    <xf numFmtId="3" fontId="11" fillId="0" borderId="0" xfId="0" applyNumberFormat="1" applyFont="1" applyAlignment="1">
      <alignment horizontal="center" vertical="center"/>
    </xf>
    <xf numFmtId="3" fontId="25" fillId="2" borderId="25" xfId="1" applyNumberFormat="1" applyFont="1" applyFill="1" applyBorder="1" applyAlignment="1">
      <alignment horizontal="center" vertical="center"/>
    </xf>
    <xf numFmtId="0" fontId="27" fillId="0" borderId="0" xfId="0" applyFont="1"/>
    <xf numFmtId="0" fontId="28" fillId="0" borderId="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 wrapText="1"/>
    </xf>
    <xf numFmtId="165" fontId="18" fillId="0" borderId="17" xfId="0" applyNumberFormat="1" applyFont="1" applyBorder="1" applyAlignment="1">
      <alignment horizontal="center" vertical="center"/>
    </xf>
    <xf numFmtId="20" fontId="15" fillId="0" borderId="17" xfId="0" applyNumberFormat="1" applyFont="1" applyBorder="1" applyAlignment="1">
      <alignment horizontal="center" vertical="center"/>
    </xf>
    <xf numFmtId="20" fontId="15" fillId="0" borderId="18" xfId="0" applyNumberFormat="1" applyFont="1" applyBorder="1" applyAlignment="1">
      <alignment horizontal="center" vertical="center"/>
    </xf>
    <xf numFmtId="20" fontId="26" fillId="2" borderId="25" xfId="0" applyNumberFormat="1" applyFont="1" applyFill="1" applyBorder="1" applyAlignment="1">
      <alignment horizontal="center" vertical="center" wrapText="1"/>
    </xf>
    <xf numFmtId="20" fontId="26" fillId="2" borderId="33" xfId="0" applyNumberFormat="1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20" fontId="25" fillId="2" borderId="25" xfId="0" applyNumberFormat="1" applyFont="1" applyFill="1" applyBorder="1" applyAlignment="1">
      <alignment horizontal="center" vertical="center"/>
    </xf>
    <xf numFmtId="0" fontId="3" fillId="2" borderId="25" xfId="1" applyFont="1" applyFill="1" applyBorder="1" applyAlignment="1">
      <alignment horizontal="center" vertical="center" wrapText="1"/>
    </xf>
    <xf numFmtId="0" fontId="23" fillId="0" borderId="36" xfId="0" applyFont="1" applyBorder="1" applyAlignment="1">
      <alignment horizontal="center"/>
    </xf>
    <xf numFmtId="0" fontId="2" fillId="0" borderId="25" xfId="0" applyFont="1" applyBorder="1" applyAlignment="1">
      <alignment horizontal="left" vertical="center" wrapText="1"/>
    </xf>
    <xf numFmtId="0" fontId="2" fillId="2" borderId="25" xfId="0" applyFont="1" applyFill="1" applyBorder="1" applyAlignment="1">
      <alignment horizontal="center" vertical="center" wrapText="1"/>
    </xf>
    <xf numFmtId="166" fontId="11" fillId="0" borderId="0" xfId="0" applyNumberFormat="1" applyFont="1"/>
    <xf numFmtId="166" fontId="25" fillId="0" borderId="9" xfId="0" applyNumberFormat="1" applyFont="1" applyBorder="1" applyAlignment="1">
      <alignment horizontal="center" vertical="center"/>
    </xf>
    <xf numFmtId="0" fontId="18" fillId="0" borderId="0" xfId="0" applyFont="1" applyAlignment="1">
      <alignment horizontal="right"/>
    </xf>
    <xf numFmtId="165" fontId="18" fillId="0" borderId="0" xfId="0" applyNumberFormat="1" applyFont="1" applyAlignment="1">
      <alignment horizontal="center"/>
    </xf>
    <xf numFmtId="4" fontId="24" fillId="0" borderId="0" xfId="1" applyNumberFormat="1" applyFont="1"/>
    <xf numFmtId="49" fontId="25" fillId="0" borderId="9" xfId="0" applyNumberFormat="1" applyFont="1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0" xfId="0" applyFont="1"/>
    <xf numFmtId="0" fontId="15" fillId="3" borderId="15" xfId="0" applyFont="1" applyFill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18" fillId="0" borderId="14" xfId="0" applyFont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16" fillId="2" borderId="39" xfId="0" applyFont="1" applyFill="1" applyBorder="1" applyAlignment="1">
      <alignment horizontal="center" vertical="center"/>
    </xf>
    <xf numFmtId="0" fontId="15" fillId="3" borderId="39" xfId="0" applyFont="1" applyFill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 wrapText="1"/>
    </xf>
    <xf numFmtId="0" fontId="31" fillId="4" borderId="25" xfId="3" applyFont="1" applyFill="1" applyBorder="1" applyAlignment="1">
      <alignment horizontal="left" vertical="center"/>
    </xf>
    <xf numFmtId="0" fontId="25" fillId="2" borderId="25" xfId="1" applyFont="1" applyFill="1" applyBorder="1" applyAlignment="1">
      <alignment horizontal="center" vertical="center" wrapText="1"/>
    </xf>
    <xf numFmtId="1" fontId="26" fillId="0" borderId="39" xfId="0" applyNumberFormat="1" applyFont="1" applyBorder="1" applyAlignment="1">
      <alignment horizontal="center" vertical="center"/>
    </xf>
    <xf numFmtId="3" fontId="25" fillId="2" borderId="39" xfId="1" applyNumberFormat="1" applyFont="1" applyFill="1" applyBorder="1" applyAlignment="1">
      <alignment horizontal="center" vertical="center"/>
    </xf>
    <xf numFmtId="165" fontId="18" fillId="0" borderId="43" xfId="0" applyNumberFormat="1" applyFont="1" applyBorder="1" applyAlignment="1">
      <alignment horizontal="center"/>
    </xf>
    <xf numFmtId="20" fontId="18" fillId="0" borderId="43" xfId="0" applyNumberFormat="1" applyFont="1" applyBorder="1" applyAlignment="1">
      <alignment horizontal="center" vertical="center"/>
    </xf>
    <xf numFmtId="165" fontId="18" fillId="0" borderId="44" xfId="0" applyNumberFormat="1" applyFont="1" applyBorder="1" applyAlignment="1">
      <alignment horizontal="center"/>
    </xf>
    <xf numFmtId="0" fontId="2" fillId="2" borderId="14" xfId="0" applyFont="1" applyFill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2" fillId="2" borderId="25" xfId="1" applyFont="1" applyFill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14" fontId="18" fillId="0" borderId="25" xfId="0" applyNumberFormat="1" applyFont="1" applyBorder="1" applyAlignment="1">
      <alignment vertical="center"/>
    </xf>
    <xf numFmtId="166" fontId="33" fillId="0" borderId="25" xfId="0" applyNumberFormat="1" applyFont="1" applyBorder="1" applyAlignment="1">
      <alignment horizontal="center" vertical="center"/>
    </xf>
    <xf numFmtId="0" fontId="32" fillId="2" borderId="25" xfId="0" applyFont="1" applyFill="1" applyBorder="1" applyAlignment="1">
      <alignment horizontal="center" vertical="center" wrapText="1"/>
    </xf>
    <xf numFmtId="0" fontId="32" fillId="0" borderId="25" xfId="0" applyFont="1" applyBorder="1" applyAlignment="1">
      <alignment horizontal="center" vertical="center"/>
    </xf>
    <xf numFmtId="1" fontId="33" fillId="0" borderId="25" xfId="0" applyNumberFormat="1" applyFont="1" applyBorder="1" applyAlignment="1">
      <alignment horizontal="center" vertical="center" wrapText="1"/>
    </xf>
    <xf numFmtId="1" fontId="25" fillId="0" borderId="25" xfId="0" applyNumberFormat="1" applyFont="1" applyBorder="1" applyAlignment="1">
      <alignment horizontal="center" vertical="center" wrapText="1"/>
    </xf>
    <xf numFmtId="166" fontId="33" fillId="0" borderId="25" xfId="0" applyNumberFormat="1" applyFont="1" applyBorder="1" applyAlignment="1">
      <alignment horizontal="left" vertical="top" wrapText="1"/>
    </xf>
    <xf numFmtId="49" fontId="33" fillId="0" borderId="25" xfId="0" applyNumberFormat="1" applyFont="1" applyBorder="1" applyAlignment="1">
      <alignment horizontal="center" vertical="center"/>
    </xf>
    <xf numFmtId="1" fontId="11" fillId="0" borderId="25" xfId="0" applyNumberFormat="1" applyFont="1" applyBorder="1" applyAlignment="1">
      <alignment horizontal="center" vertical="center"/>
    </xf>
    <xf numFmtId="4" fontId="11" fillId="0" borderId="25" xfId="0" applyNumberFormat="1" applyFont="1" applyBorder="1" applyAlignment="1">
      <alignment horizontal="center" vertical="center"/>
    </xf>
    <xf numFmtId="166" fontId="25" fillId="0" borderId="25" xfId="0" applyNumberFormat="1" applyFont="1" applyBorder="1" applyAlignment="1">
      <alignment horizontal="center" vertical="center"/>
    </xf>
    <xf numFmtId="49" fontId="25" fillId="0" borderId="25" xfId="0" applyNumberFormat="1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165" fontId="18" fillId="0" borderId="50" xfId="0" applyNumberFormat="1" applyFont="1" applyBorder="1" applyAlignment="1">
      <alignment horizontal="center"/>
    </xf>
    <xf numFmtId="0" fontId="15" fillId="3" borderId="2" xfId="0" applyFont="1" applyFill="1" applyBorder="1" applyAlignment="1">
      <alignment horizontal="center" vertical="center" wrapText="1"/>
    </xf>
    <xf numFmtId="0" fontId="2" fillId="0" borderId="43" xfId="0" applyFont="1" applyBorder="1" applyAlignment="1">
      <alignment horizontal="left" vertical="center" wrapText="1"/>
    </xf>
    <xf numFmtId="0" fontId="2" fillId="0" borderId="4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6" fontId="25" fillId="0" borderId="27" xfId="0" applyNumberFormat="1" applyFont="1" applyBorder="1" applyAlignment="1">
      <alignment horizontal="center" vertical="center"/>
    </xf>
    <xf numFmtId="165" fontId="33" fillId="0" borderId="43" xfId="0" applyNumberFormat="1" applyFont="1" applyBorder="1" applyAlignment="1">
      <alignment horizontal="center" vertical="center" wrapText="1"/>
    </xf>
    <xf numFmtId="49" fontId="25" fillId="0" borderId="27" xfId="0" applyNumberFormat="1" applyFont="1" applyBorder="1" applyAlignment="1">
      <alignment horizontal="center" vertical="center"/>
    </xf>
    <xf numFmtId="0" fontId="34" fillId="4" borderId="25" xfId="3" applyFont="1" applyFill="1" applyBorder="1" applyAlignment="1">
      <alignment horizontal="left" vertical="center"/>
    </xf>
    <xf numFmtId="0" fontId="33" fillId="0" borderId="14" xfId="0" applyFont="1" applyBorder="1" applyAlignment="1">
      <alignment horizontal="center" vertical="center"/>
    </xf>
    <xf numFmtId="14" fontId="18" fillId="0" borderId="25" xfId="0" applyNumberFormat="1" applyFont="1" applyBorder="1" applyAlignment="1">
      <alignment horizontal="left"/>
    </xf>
    <xf numFmtId="0" fontId="32" fillId="2" borderId="14" xfId="0" applyFont="1" applyFill="1" applyBorder="1" applyAlignment="1">
      <alignment horizontal="left" vertical="center" wrapText="1"/>
    </xf>
    <xf numFmtId="0" fontId="28" fillId="0" borderId="57" xfId="0" applyFont="1" applyBorder="1" applyAlignment="1">
      <alignment horizontal="center" vertical="center"/>
    </xf>
    <xf numFmtId="165" fontId="28" fillId="0" borderId="58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165" fontId="29" fillId="0" borderId="25" xfId="0" applyNumberFormat="1" applyFont="1" applyBorder="1" applyAlignment="1">
      <alignment horizontal="center" vertical="center"/>
    </xf>
    <xf numFmtId="14" fontId="18" fillId="0" borderId="25" xfId="0" applyNumberFormat="1" applyFont="1" applyBorder="1" applyAlignment="1">
      <alignment horizontal="left" vertical="top" wrapText="1"/>
    </xf>
    <xf numFmtId="0" fontId="23" fillId="0" borderId="25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3" borderId="25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3" borderId="14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7" fillId="2" borderId="39" xfId="0" applyFont="1" applyFill="1" applyBorder="1" applyAlignment="1">
      <alignment horizontal="center" vertical="center" wrapText="1"/>
    </xf>
    <xf numFmtId="0" fontId="15" fillId="0" borderId="40" xfId="0" applyFont="1" applyBorder="1" applyAlignment="1">
      <alignment horizontal="right" vertical="center"/>
    </xf>
    <xf numFmtId="0" fontId="15" fillId="0" borderId="41" xfId="0" applyFont="1" applyBorder="1" applyAlignment="1">
      <alignment horizontal="right" vertical="center"/>
    </xf>
    <xf numFmtId="0" fontId="15" fillId="0" borderId="42" xfId="0" applyFont="1" applyBorder="1" applyAlignment="1">
      <alignment horizontal="right" vertical="center"/>
    </xf>
    <xf numFmtId="0" fontId="13" fillId="2" borderId="30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5" fillId="3" borderId="38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1" fontId="15" fillId="3" borderId="25" xfId="0" applyNumberFormat="1" applyFont="1" applyFill="1" applyBorder="1" applyAlignment="1">
      <alignment horizontal="center" vertical="center" wrapText="1"/>
    </xf>
    <xf numFmtId="4" fontId="15" fillId="3" borderId="25" xfId="0" applyNumberFormat="1" applyFont="1" applyFill="1" applyBorder="1" applyAlignment="1">
      <alignment horizontal="center" vertical="center" wrapText="1"/>
    </xf>
    <xf numFmtId="0" fontId="15" fillId="3" borderId="54" xfId="0" applyFont="1" applyFill="1" applyBorder="1" applyAlignment="1">
      <alignment horizontal="center" vertical="center" wrapText="1"/>
    </xf>
    <xf numFmtId="0" fontId="15" fillId="3" borderId="55" xfId="0" applyFont="1" applyFill="1" applyBorder="1" applyAlignment="1">
      <alignment horizontal="center" vertical="center" wrapText="1"/>
    </xf>
    <xf numFmtId="0" fontId="15" fillId="3" borderId="56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14" fontId="33" fillId="0" borderId="7" xfId="0" applyNumberFormat="1" applyFont="1" applyBorder="1" applyAlignment="1">
      <alignment horizontal="left" vertical="top" wrapText="1"/>
    </xf>
    <xf numFmtId="14" fontId="33" fillId="0" borderId="4" xfId="0" applyNumberFormat="1" applyFont="1" applyBorder="1" applyAlignment="1">
      <alignment horizontal="left" vertical="top" wrapText="1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3" borderId="53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1" fontId="5" fillId="2" borderId="7" xfId="0" applyNumberFormat="1" applyFont="1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vertical="center" wrapText="1"/>
    </xf>
    <xf numFmtId="1" fontId="7" fillId="0" borderId="25" xfId="0" applyNumberFormat="1" applyFont="1" applyBorder="1" applyAlignment="1">
      <alignment horizontal="center" vertical="center" wrapText="1"/>
    </xf>
    <xf numFmtId="1" fontId="7" fillId="0" borderId="35" xfId="0" applyNumberFormat="1" applyFont="1" applyBorder="1" applyAlignment="1">
      <alignment horizontal="center" vertical="center" wrapText="1"/>
    </xf>
    <xf numFmtId="14" fontId="25" fillId="0" borderId="25" xfId="0" applyNumberFormat="1" applyFont="1" applyBorder="1" applyAlignment="1">
      <alignment horizontal="center" vertical="center"/>
    </xf>
    <xf numFmtId="14" fontId="25" fillId="0" borderId="39" xfId="0" applyNumberFormat="1" applyFont="1" applyBorder="1" applyAlignment="1">
      <alignment horizontal="center" vertical="center"/>
    </xf>
    <xf numFmtId="14" fontId="25" fillId="0" borderId="7" xfId="0" applyNumberFormat="1" applyFont="1" applyBorder="1" applyAlignment="1">
      <alignment horizontal="center" vertical="center"/>
    </xf>
    <xf numFmtId="14" fontId="25" fillId="0" borderId="4" xfId="0" applyNumberFormat="1" applyFont="1" applyBorder="1" applyAlignment="1">
      <alignment horizontal="center" vertical="center"/>
    </xf>
    <xf numFmtId="14" fontId="33" fillId="0" borderId="27" xfId="0" applyNumberFormat="1" applyFont="1" applyBorder="1" applyAlignment="1">
      <alignment horizontal="center" vertical="center"/>
    </xf>
    <xf numFmtId="14" fontId="33" fillId="0" borderId="37" xfId="0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right"/>
    </xf>
    <xf numFmtId="0" fontId="18" fillId="0" borderId="48" xfId="0" applyFont="1" applyBorder="1" applyAlignment="1">
      <alignment horizontal="right"/>
    </xf>
    <xf numFmtId="0" fontId="18" fillId="0" borderId="49" xfId="0" applyFont="1" applyBorder="1" applyAlignment="1">
      <alignment horizontal="right"/>
    </xf>
    <xf numFmtId="165" fontId="18" fillId="0" borderId="51" xfId="0" applyNumberFormat="1" applyFont="1" applyBorder="1" applyAlignment="1">
      <alignment horizontal="left"/>
    </xf>
    <xf numFmtId="165" fontId="18" fillId="0" borderId="48" xfId="0" applyNumberFormat="1" applyFont="1" applyBorder="1" applyAlignment="1">
      <alignment horizontal="left"/>
    </xf>
    <xf numFmtId="165" fontId="18" fillId="0" borderId="52" xfId="0" applyNumberFormat="1" applyFont="1" applyBorder="1" applyAlignment="1">
      <alignment horizontal="left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7" fillId="0" borderId="25" xfId="0" applyFont="1" applyBorder="1" applyAlignment="1">
      <alignment horizontal="left" vertical="center"/>
    </xf>
    <xf numFmtId="3" fontId="6" fillId="0" borderId="21" xfId="0" applyNumberFormat="1" applyFont="1" applyBorder="1" applyAlignment="1">
      <alignment horizontal="center" vertical="center"/>
    </xf>
    <xf numFmtId="3" fontId="6" fillId="0" borderId="22" xfId="0" applyNumberFormat="1" applyFont="1" applyBorder="1" applyAlignment="1">
      <alignment horizontal="center" vertical="center"/>
    </xf>
    <xf numFmtId="3" fontId="6" fillId="2" borderId="21" xfId="0" applyNumberFormat="1" applyFont="1" applyFill="1" applyBorder="1" applyAlignment="1">
      <alignment horizontal="center" vertical="center"/>
    </xf>
    <xf numFmtId="3" fontId="6" fillId="2" borderId="22" xfId="0" applyNumberFormat="1" applyFont="1" applyFill="1" applyBorder="1" applyAlignment="1">
      <alignment horizontal="center" vertical="center"/>
    </xf>
    <xf numFmtId="3" fontId="6" fillId="2" borderId="23" xfId="0" applyNumberFormat="1" applyFont="1" applyFill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0" fillId="2" borderId="8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" fontId="0" fillId="2" borderId="35" xfId="0" applyNumberFormat="1" applyFill="1" applyBorder="1" applyAlignment="1">
      <alignment horizontal="center" vertical="center"/>
    </xf>
    <xf numFmtId="1" fontId="4" fillId="2" borderId="27" xfId="0" applyNumberFormat="1" applyFont="1" applyFill="1" applyBorder="1" applyAlignment="1">
      <alignment horizontal="center" vertical="center"/>
    </xf>
    <xf numFmtId="1" fontId="5" fillId="2" borderId="24" xfId="0" applyNumberFormat="1" applyFont="1" applyFill="1" applyBorder="1" applyAlignment="1">
      <alignment horizontal="center" vertical="center"/>
    </xf>
    <xf numFmtId="1" fontId="0" fillId="2" borderId="27" xfId="0" applyNumberFormat="1" applyFill="1" applyBorder="1" applyAlignment="1">
      <alignment horizontal="center" vertical="center"/>
    </xf>
    <xf numFmtId="1" fontId="0" fillId="2" borderId="24" xfId="0" applyNumberFormat="1" applyFill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2" borderId="2" xfId="0" applyFont="1" applyFill="1" applyBorder="1" applyAlignment="1">
      <alignment horizontal="left" vertical="center" wrapText="1"/>
    </xf>
    <xf numFmtId="0" fontId="16" fillId="2" borderId="25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 wrapText="1"/>
    </xf>
    <xf numFmtId="0" fontId="15" fillId="3" borderId="25" xfId="0" applyFont="1" applyFill="1" applyBorder="1" applyAlignment="1">
      <alignment horizontal="left" vertical="center" wrapText="1"/>
    </xf>
    <xf numFmtId="3" fontId="25" fillId="2" borderId="25" xfId="1" applyNumberFormat="1" applyFont="1" applyFill="1" applyBorder="1" applyAlignment="1">
      <alignment horizontal="left" vertical="center"/>
    </xf>
    <xf numFmtId="0" fontId="26" fillId="0" borderId="25" xfId="0" applyFont="1" applyBorder="1" applyAlignment="1">
      <alignment horizontal="left" vertical="center"/>
    </xf>
    <xf numFmtId="165" fontId="18" fillId="0" borderId="43" xfId="0" applyNumberFormat="1" applyFont="1" applyBorder="1" applyAlignment="1">
      <alignment horizontal="left"/>
    </xf>
    <xf numFmtId="0" fontId="15" fillId="0" borderId="0" xfId="0" applyFont="1" applyAlignment="1">
      <alignment horizontal="left" vertical="center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3" fillId="2" borderId="31" xfId="0" applyFont="1" applyFill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/>
    </xf>
    <xf numFmtId="0" fontId="15" fillId="3" borderId="54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2" fontId="25" fillId="0" borderId="9" xfId="0" applyNumberFormat="1" applyFont="1" applyBorder="1" applyAlignment="1">
      <alignment horizontal="left" vertical="center"/>
    </xf>
    <xf numFmtId="2" fontId="25" fillId="0" borderId="25" xfId="0" applyNumberFormat="1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49" fontId="25" fillId="0" borderId="25" xfId="0" applyNumberFormat="1" applyFont="1" applyBorder="1" applyAlignment="1">
      <alignment horizontal="left" vertical="center"/>
    </xf>
    <xf numFmtId="49" fontId="25" fillId="0" borderId="9" xfId="0" applyNumberFormat="1" applyFont="1" applyBorder="1" applyAlignment="1">
      <alignment horizontal="left" vertical="center"/>
    </xf>
    <xf numFmtId="49" fontId="25" fillId="0" borderId="27" xfId="0" applyNumberFormat="1" applyFont="1" applyBorder="1" applyAlignment="1">
      <alignment horizontal="left" vertical="center"/>
    </xf>
    <xf numFmtId="0" fontId="18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5" fillId="5" borderId="0" xfId="0" applyFont="1" applyFill="1" applyAlignment="1">
      <alignment horizontal="left" vertical="center"/>
    </xf>
  </cellXfs>
  <cellStyles count="4">
    <cellStyle name="Обычный" xfId="0" builtinId="0"/>
    <cellStyle name="Обычный 2" xfId="3" xr:uid="{00000000-0005-0000-0000-000001000000}"/>
    <cellStyle name="Обычный_список 2024г (3)" xfId="1" xr:uid="{00000000-0005-0000-0000-000002000000}"/>
    <cellStyle name="Обычный_список 2024г (3)_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4;&#1089;&#1090;&#1072;&#1085;&#1082;&#1080;&#1085;&#1086;/&#1092;&#1080;&#1083;&#1080;&#1072;&#1083;&#1099;%20&#1053;&#1042;/10,26/12,10,26%20&#1054;&#1089;&#1090;&#1072;&#1085;&#1082;&#1080;&#1085;&#1086;%20&#1050;&#1048;%20&#1080;%20&#1047;&#1055;&#1060;/&#1076;&#1074;%2012,10,26%20&#1084;&#1088;&#1088;&#1089;&#1095;%20&#1086;&#1089;&#1090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5363.6630000000005</v>
          </cell>
          <cell r="F5">
            <v>13014.439999999999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D6">
            <v>48.381999999999998</v>
          </cell>
          <cell r="E6">
            <v>2.7120000000000002</v>
          </cell>
          <cell r="F6">
            <v>42.399000000000001</v>
          </cell>
          <cell r="G6">
            <v>1</v>
          </cell>
          <cell r="H6">
            <v>120</v>
          </cell>
          <cell r="I6" t="str">
            <v>матрица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150</v>
          </cell>
          <cell r="D7">
            <v>371</v>
          </cell>
          <cell r="E7">
            <v>124</v>
          </cell>
          <cell r="F7">
            <v>321</v>
          </cell>
          <cell r="G7">
            <v>0.4</v>
          </cell>
          <cell r="H7">
            <v>60</v>
          </cell>
          <cell r="I7" t="str">
            <v>матрица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0.46500000000000002</v>
          </cell>
          <cell r="D8">
            <v>69.254999999999995</v>
          </cell>
          <cell r="E8">
            <v>5.5350000000000001</v>
          </cell>
          <cell r="F8">
            <v>60.338999999999999</v>
          </cell>
          <cell r="G8">
            <v>1</v>
          </cell>
          <cell r="H8">
            <v>120</v>
          </cell>
          <cell r="I8" t="str">
            <v>матрица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193</v>
          </cell>
          <cell r="D9">
            <v>121</v>
          </cell>
          <cell r="E9">
            <v>82</v>
          </cell>
          <cell r="F9">
            <v>120</v>
          </cell>
          <cell r="G9">
            <v>0.25</v>
          </cell>
          <cell r="H9">
            <v>120</v>
          </cell>
          <cell r="I9" t="str">
            <v>матрица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14.673</v>
          </cell>
          <cell r="D10">
            <v>438.279</v>
          </cell>
          <cell r="E10">
            <v>116.47499999999999</v>
          </cell>
          <cell r="F10">
            <v>280.33999999999997</v>
          </cell>
          <cell r="G10">
            <v>1</v>
          </cell>
          <cell r="H10">
            <v>60</v>
          </cell>
          <cell r="I10" t="str">
            <v>матрица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-7.7229999999999999</v>
          </cell>
          <cell r="D11">
            <v>117.88200000000001</v>
          </cell>
          <cell r="E11">
            <v>3.5590000000000002</v>
          </cell>
          <cell r="F11">
            <v>105.58199999999999</v>
          </cell>
          <cell r="G11">
            <v>1</v>
          </cell>
          <cell r="H11">
            <v>120</v>
          </cell>
          <cell r="I11" t="str">
            <v>матрица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D12">
            <v>140.209</v>
          </cell>
          <cell r="E12">
            <v>33.674999999999997</v>
          </cell>
          <cell r="F12">
            <v>68.69</v>
          </cell>
          <cell r="G12">
            <v>1</v>
          </cell>
          <cell r="H12">
            <v>60</v>
          </cell>
          <cell r="I12" t="str">
            <v>матрица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109.282</v>
          </cell>
          <cell r="D13">
            <v>306.173</v>
          </cell>
          <cell r="E13">
            <v>167.17</v>
          </cell>
          <cell r="F13">
            <v>198.613</v>
          </cell>
          <cell r="G13">
            <v>1</v>
          </cell>
          <cell r="H13">
            <v>60</v>
          </cell>
          <cell r="I13" t="str">
            <v>матрица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34</v>
          </cell>
          <cell r="D14">
            <v>252</v>
          </cell>
          <cell r="E14">
            <v>79</v>
          </cell>
          <cell r="F14">
            <v>197</v>
          </cell>
          <cell r="G14">
            <v>0.25</v>
          </cell>
          <cell r="H14">
            <v>120</v>
          </cell>
          <cell r="I14" t="str">
            <v>матрица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6.0000000000000001E-3</v>
          </cell>
          <cell r="D15">
            <v>127.51</v>
          </cell>
          <cell r="F15">
            <v>115.30800000000001</v>
          </cell>
          <cell r="G15">
            <v>1</v>
          </cell>
          <cell r="H15">
            <v>60</v>
          </cell>
          <cell r="I15" t="str">
            <v>матрица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214</v>
          </cell>
          <cell r="D16">
            <v>244</v>
          </cell>
          <cell r="E16">
            <v>90</v>
          </cell>
          <cell r="F16">
            <v>262</v>
          </cell>
          <cell r="G16">
            <v>0.25</v>
          </cell>
          <cell r="H16">
            <v>120</v>
          </cell>
          <cell r="I16" t="str">
            <v>матрица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69</v>
          </cell>
          <cell r="D17">
            <v>135</v>
          </cell>
          <cell r="E17">
            <v>30</v>
          </cell>
          <cell r="F17">
            <v>102</v>
          </cell>
          <cell r="G17">
            <v>0.4</v>
          </cell>
          <cell r="H17">
            <v>60</v>
          </cell>
          <cell r="I17" t="str">
            <v>матрица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82.585999999999999</v>
          </cell>
          <cell r="D18">
            <v>336.286</v>
          </cell>
          <cell r="E18">
            <v>92.26</v>
          </cell>
          <cell r="F18">
            <v>234.55799999999999</v>
          </cell>
          <cell r="G18">
            <v>1</v>
          </cell>
          <cell r="H18">
            <v>45</v>
          </cell>
          <cell r="I18" t="str">
            <v>матрица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-2E-3</v>
          </cell>
          <cell r="D19">
            <v>10.005000000000001</v>
          </cell>
          <cell r="E19">
            <v>4.9889999999999999</v>
          </cell>
          <cell r="F19">
            <v>0.50600000000000001</v>
          </cell>
          <cell r="G19">
            <v>1</v>
          </cell>
          <cell r="H19">
            <v>120</v>
          </cell>
          <cell r="I19" t="str">
            <v>ротация на код 7700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D20">
            <v>774</v>
          </cell>
          <cell r="E20">
            <v>145</v>
          </cell>
          <cell r="F20">
            <v>440</v>
          </cell>
          <cell r="G20">
            <v>0.4</v>
          </cell>
          <cell r="H20">
            <v>45</v>
          </cell>
          <cell r="I20" t="str">
            <v>матрица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19.974</v>
          </cell>
          <cell r="D21">
            <v>170.09800000000001</v>
          </cell>
          <cell r="E21">
            <v>80.265000000000001</v>
          </cell>
          <cell r="F21">
            <v>78.75</v>
          </cell>
          <cell r="G21">
            <v>1</v>
          </cell>
          <cell r="H21">
            <v>60</v>
          </cell>
          <cell r="I21" t="str">
            <v>матрица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-45</v>
          </cell>
          <cell r="D22">
            <v>46</v>
          </cell>
          <cell r="E22">
            <v>1</v>
          </cell>
          <cell r="G22">
            <v>0.22</v>
          </cell>
          <cell r="H22">
            <v>120</v>
          </cell>
          <cell r="I22" t="str">
            <v>матрица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D23">
            <v>45.764000000000003</v>
          </cell>
          <cell r="E23">
            <v>3.8319999999999999</v>
          </cell>
          <cell r="F23">
            <v>40.814</v>
          </cell>
          <cell r="G23">
            <v>1</v>
          </cell>
          <cell r="H23">
            <v>40</v>
          </cell>
          <cell r="I23" t="str">
            <v>матрица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23.251999999999999</v>
          </cell>
          <cell r="D24">
            <v>111.77500000000001</v>
          </cell>
          <cell r="E24">
            <v>38.911999999999999</v>
          </cell>
          <cell r="F24">
            <v>57.005000000000003</v>
          </cell>
          <cell r="G24">
            <v>1</v>
          </cell>
          <cell r="H24">
            <v>60</v>
          </cell>
          <cell r="I24" t="str">
            <v>матрица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-1</v>
          </cell>
          <cell r="D25">
            <v>306</v>
          </cell>
          <cell r="E25">
            <v>151</v>
          </cell>
          <cell r="F25">
            <v>133</v>
          </cell>
          <cell r="G25">
            <v>0.09</v>
          </cell>
          <cell r="H25">
            <v>60</v>
          </cell>
          <cell r="I25" t="str">
            <v>матрица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D26">
            <v>211</v>
          </cell>
          <cell r="E26">
            <v>36</v>
          </cell>
          <cell r="F26">
            <v>163</v>
          </cell>
          <cell r="G26">
            <v>0.09</v>
          </cell>
          <cell r="H26">
            <v>45</v>
          </cell>
          <cell r="I26" t="str">
            <v>матрица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D27">
            <v>83</v>
          </cell>
          <cell r="E27">
            <v>3</v>
          </cell>
          <cell r="F27">
            <v>77</v>
          </cell>
          <cell r="G27">
            <v>0.15</v>
          </cell>
          <cell r="H27">
            <v>45</v>
          </cell>
          <cell r="I27" t="str">
            <v>матрица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44.213999999999999</v>
          </cell>
          <cell r="D28">
            <v>869.92700000000002</v>
          </cell>
          <cell r="E28">
            <v>27.088999999999999</v>
          </cell>
          <cell r="F28">
            <v>526.13099999999997</v>
          </cell>
          <cell r="G28">
            <v>1</v>
          </cell>
          <cell r="H28">
            <v>45</v>
          </cell>
          <cell r="I28" t="str">
            <v>матрица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34</v>
          </cell>
          <cell r="D29">
            <v>75</v>
          </cell>
          <cell r="E29">
            <v>46</v>
          </cell>
          <cell r="F29">
            <v>43</v>
          </cell>
          <cell r="G29">
            <v>0.4</v>
          </cell>
          <cell r="H29">
            <v>60</v>
          </cell>
          <cell r="I29" t="str">
            <v>матрица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94.977000000000004</v>
          </cell>
          <cell r="D30">
            <v>528.02300000000002</v>
          </cell>
          <cell r="E30">
            <v>184</v>
          </cell>
          <cell r="F30">
            <v>404</v>
          </cell>
          <cell r="G30">
            <v>0.4</v>
          </cell>
          <cell r="H30">
            <v>60</v>
          </cell>
          <cell r="I30" t="str">
            <v>матрица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-23.027000000000001</v>
          </cell>
          <cell r="D31">
            <v>584.02700000000004</v>
          </cell>
          <cell r="E31">
            <v>161</v>
          </cell>
          <cell r="F31">
            <v>394</v>
          </cell>
          <cell r="G31">
            <v>0.4</v>
          </cell>
          <cell r="H31">
            <v>60</v>
          </cell>
          <cell r="I31" t="str">
            <v>матрица</v>
          </cell>
        </row>
        <row r="32">
          <cell r="A32" t="str">
            <v>6470 ВЕТЧ.МРАМОРНАЯ в/у_45с  ОСТАНКИНО</v>
          </cell>
          <cell r="B32" t="str">
            <v>кг</v>
          </cell>
          <cell r="C32">
            <v>-14.827999999999999</v>
          </cell>
          <cell r="D32">
            <v>14.827999999999999</v>
          </cell>
          <cell r="G32">
            <v>0</v>
          </cell>
          <cell r="H32">
            <v>45</v>
          </cell>
          <cell r="I32" t="str">
            <v>не в матрице</v>
          </cell>
        </row>
        <row r="33">
          <cell r="A33" t="str">
            <v>6475 Сосиски Папа может 400г С сыром  ОСТАНКИНО</v>
          </cell>
          <cell r="B33" t="str">
            <v>шт</v>
          </cell>
          <cell r="C33">
            <v>-24</v>
          </cell>
          <cell r="D33">
            <v>24</v>
          </cell>
          <cell r="G33">
            <v>0</v>
          </cell>
          <cell r="I33" t="str">
            <v>не в матрице</v>
          </cell>
        </row>
        <row r="34">
          <cell r="A34" t="str">
            <v>6495 ВЕТЧ.МРАМОРНАЯ в/у срез 0,3кг 6шт_45с  Останкино</v>
          </cell>
          <cell r="B34" t="str">
            <v>шт</v>
          </cell>
          <cell r="C34">
            <v>10</v>
          </cell>
          <cell r="D34">
            <v>6</v>
          </cell>
          <cell r="E34">
            <v>16</v>
          </cell>
          <cell r="F34">
            <v>-1</v>
          </cell>
          <cell r="G34">
            <v>0</v>
          </cell>
          <cell r="H34">
            <v>45</v>
          </cell>
          <cell r="I34" t="str">
            <v>вывод</v>
          </cell>
        </row>
        <row r="35">
          <cell r="A35" t="str">
            <v>6498 МОЛОЧНАЯ Папа может вар п/о  ОСТАНКИНО</v>
          </cell>
          <cell r="B35" t="str">
            <v>кг</v>
          </cell>
          <cell r="C35">
            <v>253.51300000000001</v>
          </cell>
          <cell r="D35">
            <v>29.22</v>
          </cell>
          <cell r="E35">
            <v>49.314</v>
          </cell>
          <cell r="F35">
            <v>167.917</v>
          </cell>
          <cell r="G35">
            <v>1</v>
          </cell>
          <cell r="H35">
            <v>60</v>
          </cell>
          <cell r="I35" t="str">
            <v>матрица</v>
          </cell>
        </row>
        <row r="36">
          <cell r="A36" t="str">
            <v>6527 ШПИКАЧКИ СОЧНЫЕ ПМ сар б/о мгс 1*3 45с ОСТАНКИНО</v>
          </cell>
          <cell r="B36" t="str">
            <v>кг</v>
          </cell>
          <cell r="C36">
            <v>17.922999999999998</v>
          </cell>
          <cell r="D36">
            <v>65.171000000000006</v>
          </cell>
          <cell r="E36">
            <v>4.2240000000000002</v>
          </cell>
          <cell r="F36">
            <v>64.105000000000004</v>
          </cell>
          <cell r="G36">
            <v>1</v>
          </cell>
          <cell r="H36">
            <v>45</v>
          </cell>
          <cell r="I36" t="str">
            <v>матрица</v>
          </cell>
        </row>
        <row r="37">
          <cell r="A37" t="str">
            <v>6550 МЯСНЫЕ Папа может сар б/о мгс 1*3 О 45с  Останкино</v>
          </cell>
          <cell r="B37" t="str">
            <v>кг</v>
          </cell>
          <cell r="C37">
            <v>1.0049999999999999</v>
          </cell>
          <cell r="D37">
            <v>120.158</v>
          </cell>
          <cell r="E37">
            <v>1.026</v>
          </cell>
          <cell r="F37">
            <v>111.748</v>
          </cell>
          <cell r="G37">
            <v>1</v>
          </cell>
          <cell r="H37">
            <v>45</v>
          </cell>
          <cell r="I37" t="str">
            <v>матрица</v>
          </cell>
        </row>
        <row r="38">
          <cell r="A38" t="str">
            <v>6608 С ГОВЯДИНОЙ ОРИГИН. сар б/о мгс 1*3_45с  ОСТАНКИНО</v>
          </cell>
          <cell r="B38" t="str">
            <v>кг</v>
          </cell>
          <cell r="C38">
            <v>5.5E-2</v>
          </cell>
          <cell r="D38">
            <v>75.531999999999996</v>
          </cell>
          <cell r="E38">
            <v>5.351</v>
          </cell>
          <cell r="F38">
            <v>65.971000000000004</v>
          </cell>
          <cell r="G38">
            <v>1</v>
          </cell>
          <cell r="H38">
            <v>45</v>
          </cell>
          <cell r="I38" t="str">
            <v>матрица</v>
          </cell>
        </row>
        <row r="39">
          <cell r="A39" t="str">
            <v>6616 МОЛОЧНЫЕ КЛАССИЧЕСКИЕ сос п/о в/у 0,3 кг  Останкино</v>
          </cell>
          <cell r="B39" t="str">
            <v>шт</v>
          </cell>
          <cell r="C39">
            <v>40</v>
          </cell>
          <cell r="D39">
            <v>292</v>
          </cell>
          <cell r="E39">
            <v>133</v>
          </cell>
          <cell r="F39">
            <v>148</v>
          </cell>
          <cell r="G39">
            <v>0.3</v>
          </cell>
          <cell r="H39">
            <v>45</v>
          </cell>
          <cell r="I39" t="str">
            <v>матрица</v>
          </cell>
        </row>
        <row r="40">
          <cell r="A40" t="str">
            <v>6620 РЕБРЫШКИ к/в в/у_30с  Останкино</v>
          </cell>
          <cell r="B40" t="str">
            <v>кг</v>
          </cell>
          <cell r="D40">
            <v>108.703</v>
          </cell>
          <cell r="E40">
            <v>4.46</v>
          </cell>
          <cell r="F40">
            <v>63.287999999999997</v>
          </cell>
          <cell r="G40">
            <v>1</v>
          </cell>
          <cell r="I40" t="str">
            <v>матрица</v>
          </cell>
        </row>
        <row r="41">
          <cell r="A41" t="str">
            <v>6661 СОЧНЫЙ ГРИЛЬ ПМ сос п/о мгс 1,5*4_Маяк Останкино</v>
          </cell>
          <cell r="B41" t="str">
            <v>кг</v>
          </cell>
          <cell r="C41">
            <v>-12.545</v>
          </cell>
          <cell r="D41">
            <v>357.87200000000001</v>
          </cell>
          <cell r="E41">
            <v>3.0529999999999999</v>
          </cell>
          <cell r="F41">
            <v>224.85300000000001</v>
          </cell>
          <cell r="G41">
            <v>1</v>
          </cell>
          <cell r="H41">
            <v>45</v>
          </cell>
          <cell r="I41" t="str">
            <v>матрица</v>
          </cell>
        </row>
        <row r="42">
          <cell r="A42" t="str">
            <v>6697 СЕРВЕЛАТ ФИНСКИЙ ПМ в/к в/у 0,35кг 8шт  ОСТАНКИНО</v>
          </cell>
          <cell r="B42" t="str">
            <v>шт</v>
          </cell>
          <cell r="C42">
            <v>26</v>
          </cell>
          <cell r="D42">
            <v>683</v>
          </cell>
          <cell r="E42">
            <v>281</v>
          </cell>
          <cell r="F42">
            <v>378</v>
          </cell>
          <cell r="G42">
            <v>0.35</v>
          </cell>
          <cell r="H42">
            <v>45</v>
          </cell>
          <cell r="I42" t="str">
            <v>матрица</v>
          </cell>
        </row>
        <row r="43">
          <cell r="A43" t="str">
            <v>6713 СОЧНЫЙ ГРИЛЬ ПМ сос п/о мгс 0,41кг 8 шт.  ОСТАНКИНО</v>
          </cell>
          <cell r="B43" t="str">
            <v>шт</v>
          </cell>
          <cell r="D43">
            <v>65</v>
          </cell>
          <cell r="E43">
            <v>47</v>
          </cell>
          <cell r="F43">
            <v>-1</v>
          </cell>
          <cell r="G43">
            <v>0</v>
          </cell>
          <cell r="H43">
            <v>45</v>
          </cell>
          <cell r="I43" t="str">
            <v>вывод</v>
          </cell>
        </row>
        <row r="44">
          <cell r="A44" t="str">
            <v>6724 МОЛОЧНЫЕ ПМ сос п/о мгс 0,41кг 10шт  Останкино</v>
          </cell>
          <cell r="B44" t="str">
            <v>шт</v>
          </cell>
          <cell r="C44">
            <v>-23</v>
          </cell>
          <cell r="D44">
            <v>388</v>
          </cell>
          <cell r="E44">
            <v>92</v>
          </cell>
          <cell r="F44">
            <v>225</v>
          </cell>
          <cell r="G44">
            <v>0.41</v>
          </cell>
          <cell r="H44">
            <v>45</v>
          </cell>
          <cell r="I44" t="str">
            <v>матрица</v>
          </cell>
        </row>
        <row r="45">
          <cell r="A45" t="str">
            <v>6765 РУБЛЕНЫЕ сос ц/о мгс 0,36кг 6шт  Останкино</v>
          </cell>
          <cell r="B45" t="str">
            <v>шт</v>
          </cell>
          <cell r="D45">
            <v>42</v>
          </cell>
          <cell r="E45">
            <v>27</v>
          </cell>
          <cell r="F45">
            <v>12</v>
          </cell>
          <cell r="G45">
            <v>0.36</v>
          </cell>
          <cell r="H45">
            <v>45</v>
          </cell>
          <cell r="I45" t="str">
            <v>матрица</v>
          </cell>
        </row>
        <row r="46">
          <cell r="A46" t="str">
            <v>6787 СЕРВЕЛАТ КРЕМЛЕВСКИЙ в/к в/у 0,33кг 8шт  Останкино</v>
          </cell>
          <cell r="B46" t="str">
            <v>шт</v>
          </cell>
          <cell r="C46">
            <v>1</v>
          </cell>
          <cell r="D46">
            <v>82</v>
          </cell>
          <cell r="E46">
            <v>24</v>
          </cell>
          <cell r="F46">
            <v>54</v>
          </cell>
          <cell r="G46">
            <v>0.33</v>
          </cell>
          <cell r="H46">
            <v>45</v>
          </cell>
          <cell r="I46" t="str">
            <v>матрица</v>
          </cell>
        </row>
        <row r="47">
          <cell r="A47" t="str">
            <v>6797 С ИНДЕЙКОЙ Папа может вар п/о 0,4кг 8шт. ОСТАНКИНО</v>
          </cell>
          <cell r="B47" t="str">
            <v>шт</v>
          </cell>
          <cell r="C47">
            <v>62</v>
          </cell>
          <cell r="D47">
            <v>72</v>
          </cell>
          <cell r="E47">
            <v>42</v>
          </cell>
          <cell r="F47">
            <v>69</v>
          </cell>
          <cell r="G47">
            <v>0.4</v>
          </cell>
          <cell r="H47">
            <v>60</v>
          </cell>
          <cell r="I47" t="str">
            <v>матрица</v>
          </cell>
        </row>
        <row r="48">
          <cell r="A48" t="str">
            <v>6807 СЕРВЕЛАТ ЕВРОПЕЙСКИЙ в/к в/у 0,33кг 8шт  Останкино</v>
          </cell>
          <cell r="B48" t="str">
            <v>шт</v>
          </cell>
          <cell r="D48">
            <v>16</v>
          </cell>
          <cell r="F48">
            <v>16</v>
          </cell>
          <cell r="G48">
            <v>0.33</v>
          </cell>
          <cell r="H48">
            <v>45</v>
          </cell>
          <cell r="I48" t="str">
            <v>матрица</v>
          </cell>
        </row>
        <row r="49">
          <cell r="A49" t="str">
            <v>6829  МОЛОЧНЫЕ КЛАССИЧЕСКИЕ сос п/о мгс 2*4 С  Останккино</v>
          </cell>
          <cell r="B49" t="str">
            <v>кг</v>
          </cell>
          <cell r="C49">
            <v>40.866999999999997</v>
          </cell>
          <cell r="D49">
            <v>8.0779999999999994</v>
          </cell>
          <cell r="E49">
            <v>46.884999999999998</v>
          </cell>
          <cell r="G49">
            <v>1</v>
          </cell>
          <cell r="H49">
            <v>45</v>
          </cell>
          <cell r="I49" t="str">
            <v>матрица</v>
          </cell>
        </row>
        <row r="50">
          <cell r="A50" t="str">
            <v>6837 ФИЛЕЙНЫЕ Папа Может сос ц/о мгс 0,4кг  Останкино</v>
          </cell>
          <cell r="B50" t="str">
            <v>шт</v>
          </cell>
          <cell r="C50">
            <v>-12</v>
          </cell>
          <cell r="D50">
            <v>285</v>
          </cell>
          <cell r="E50">
            <v>24</v>
          </cell>
          <cell r="F50">
            <v>246</v>
          </cell>
          <cell r="G50">
            <v>0.4</v>
          </cell>
          <cell r="H50">
            <v>45</v>
          </cell>
          <cell r="I50" t="str">
            <v>матрица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C51">
            <v>-6.11</v>
          </cell>
          <cell r="D51">
            <v>66.314999999999998</v>
          </cell>
          <cell r="E51">
            <v>9.0749999999999993</v>
          </cell>
          <cell r="F51">
            <v>43.634999999999998</v>
          </cell>
          <cell r="G51">
            <v>1</v>
          </cell>
          <cell r="H51">
            <v>60</v>
          </cell>
          <cell r="I51" t="str">
            <v>матрица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D52">
            <v>116.97799999999999</v>
          </cell>
          <cell r="E52">
            <v>1.194</v>
          </cell>
          <cell r="F52">
            <v>113.592</v>
          </cell>
          <cell r="G52">
            <v>1</v>
          </cell>
          <cell r="H52">
            <v>45</v>
          </cell>
          <cell r="I52" t="str">
            <v>матрица</v>
          </cell>
        </row>
        <row r="53">
          <cell r="A53" t="str">
            <v>6937 САЛЯМИ Папа может с/к в/у 1/250 8шт  Останкино</v>
          </cell>
          <cell r="B53" t="str">
            <v>шт</v>
          </cell>
          <cell r="C53">
            <v>120</v>
          </cell>
          <cell r="F53">
            <v>111</v>
          </cell>
          <cell r="G53">
            <v>0</v>
          </cell>
          <cell r="I53" t="str">
            <v>не в матрице</v>
          </cell>
        </row>
        <row r="54">
          <cell r="A54" t="str">
            <v>6967 БУРГУНДИЯ Папа может с/к в/у 1/250 8шт  Останкино</v>
          </cell>
          <cell r="B54" t="str">
            <v>шт</v>
          </cell>
          <cell r="C54">
            <v>22</v>
          </cell>
          <cell r="D54">
            <v>248</v>
          </cell>
          <cell r="E54">
            <v>32</v>
          </cell>
          <cell r="F54">
            <v>173</v>
          </cell>
          <cell r="G54">
            <v>0.25</v>
          </cell>
          <cell r="H54">
            <v>120</v>
          </cell>
          <cell r="I54" t="str">
            <v>матрица</v>
          </cell>
        </row>
        <row r="55">
          <cell r="A55" t="str">
            <v>7001 КЛАССИЧЕСКИЕ Папа может сар б/о мгс 1*3  Останкино</v>
          </cell>
          <cell r="B55" t="str">
            <v>кг</v>
          </cell>
          <cell r="C55">
            <v>5.194</v>
          </cell>
          <cell r="D55">
            <v>44.823</v>
          </cell>
          <cell r="E55">
            <v>1.048</v>
          </cell>
          <cell r="F55">
            <v>44.823</v>
          </cell>
          <cell r="G55">
            <v>1</v>
          </cell>
          <cell r="H55">
            <v>45</v>
          </cell>
          <cell r="I55" t="str">
            <v>матрица</v>
          </cell>
        </row>
        <row r="56">
          <cell r="A56" t="str">
            <v>7040 С ИНДЕЙКОЙ ПМ сос ц/о в/у 1/270 8шт.  ОСТАНКИНО</v>
          </cell>
          <cell r="B56" t="str">
            <v>шт</v>
          </cell>
          <cell r="D56">
            <v>96</v>
          </cell>
          <cell r="F56">
            <v>96</v>
          </cell>
          <cell r="G56">
            <v>0.27</v>
          </cell>
          <cell r="I56" t="str">
            <v>матрица</v>
          </cell>
        </row>
        <row r="57">
          <cell r="A57" t="str">
            <v>7059 ШПИКАЧКИ СОЧНЫЕ С БЕК. п/о мгс 0,3кг 60с ОСТАНКИНО</v>
          </cell>
          <cell r="B57" t="str">
            <v>шт</v>
          </cell>
          <cell r="C57">
            <v>57</v>
          </cell>
          <cell r="D57">
            <v>93</v>
          </cell>
          <cell r="E57">
            <v>34</v>
          </cell>
          <cell r="F57">
            <v>74</v>
          </cell>
          <cell r="G57">
            <v>0.3</v>
          </cell>
          <cell r="H57">
            <v>60</v>
          </cell>
          <cell r="I57" t="str">
            <v>матрица</v>
          </cell>
        </row>
        <row r="58">
          <cell r="A58" t="str">
            <v>7066 СОЧНЫЕ ПМ сос п/о мгс 0,41кг 10шт 50с  Останкино</v>
          </cell>
          <cell r="B58" t="str">
            <v>шт</v>
          </cell>
          <cell r="C58">
            <v>-140</v>
          </cell>
          <cell r="D58">
            <v>1084</v>
          </cell>
          <cell r="E58">
            <v>4</v>
          </cell>
          <cell r="F58">
            <v>907</v>
          </cell>
          <cell r="G58">
            <v>0.41</v>
          </cell>
          <cell r="H58">
            <v>50</v>
          </cell>
          <cell r="I58" t="str">
            <v>матрица</v>
          </cell>
        </row>
        <row r="59">
          <cell r="A59" t="str">
            <v>7070 СОЧНЫЕ ПМ сос п/о 1,5*4_А_50с  Останкино</v>
          </cell>
          <cell r="B59" t="str">
            <v>кг</v>
          </cell>
          <cell r="C59">
            <v>93.260999999999996</v>
          </cell>
          <cell r="D59">
            <v>56.091000000000001</v>
          </cell>
          <cell r="E59">
            <v>46.290999999999997</v>
          </cell>
          <cell r="F59">
            <v>95.992999999999995</v>
          </cell>
          <cell r="G59">
            <v>1</v>
          </cell>
          <cell r="H59">
            <v>50</v>
          </cell>
          <cell r="I59" t="str">
            <v>матрица</v>
          </cell>
        </row>
        <row r="60">
          <cell r="A60" t="str">
            <v>7073 МОЛОЧ.ПРЕМИУМ ПМ сос п/о в/у 1/350_50с  Останкино</v>
          </cell>
          <cell r="B60" t="str">
            <v>шт</v>
          </cell>
          <cell r="C60">
            <v>-2</v>
          </cell>
          <cell r="D60">
            <v>251</v>
          </cell>
          <cell r="E60">
            <v>135</v>
          </cell>
          <cell r="F60">
            <v>71</v>
          </cell>
          <cell r="G60">
            <v>0.35</v>
          </cell>
          <cell r="H60">
            <v>50</v>
          </cell>
          <cell r="I60" t="str">
            <v>матрица</v>
          </cell>
        </row>
        <row r="61">
          <cell r="A61" t="str">
            <v>7075 МОЛОЧ.ПРЕМИУМ ПМ сос п/о мгс 1,5*4_О_50с  Останкино</v>
          </cell>
          <cell r="B61" t="str">
            <v>кг</v>
          </cell>
          <cell r="D61">
            <v>6.2690000000000001</v>
          </cell>
          <cell r="F61">
            <v>6.2690000000000001</v>
          </cell>
          <cell r="G61">
            <v>1</v>
          </cell>
          <cell r="H61">
            <v>50</v>
          </cell>
          <cell r="I61" t="str">
            <v>матрица</v>
          </cell>
        </row>
        <row r="62">
          <cell r="A62" t="str">
            <v>7080 СЛИВОЧНЫЕ ПМ сос п/о мгс 0,41кг 10шт 50с  Останкино</v>
          </cell>
          <cell r="B62" t="str">
            <v>шт</v>
          </cell>
          <cell r="C62">
            <v>194</v>
          </cell>
          <cell r="D62">
            <v>556</v>
          </cell>
          <cell r="E62">
            <v>250</v>
          </cell>
          <cell r="F62">
            <v>402</v>
          </cell>
          <cell r="G62">
            <v>0.41</v>
          </cell>
          <cell r="H62">
            <v>50</v>
          </cell>
          <cell r="I62" t="str">
            <v>матрица</v>
          </cell>
        </row>
        <row r="63">
          <cell r="A63" t="str">
            <v>7083 СЛИВОЧНЫЕ ПМ сос п/о мгс 1.5*4_А_50с  ОСТАНКИНО</v>
          </cell>
          <cell r="B63" t="str">
            <v>кг</v>
          </cell>
          <cell r="C63">
            <v>4.7210000000000001</v>
          </cell>
          <cell r="D63">
            <v>9.3279999999999994</v>
          </cell>
          <cell r="E63">
            <v>7.8150000000000004</v>
          </cell>
          <cell r="F63">
            <v>1.542</v>
          </cell>
          <cell r="G63">
            <v>1</v>
          </cell>
          <cell r="H63">
            <v>50</v>
          </cell>
          <cell r="I63" t="str">
            <v>матрица</v>
          </cell>
        </row>
        <row r="64">
          <cell r="A64" t="str">
            <v>7090 СВИНИНА ПО-ДОМ.к/в мл/к в/у 0,3кг_50с  Останкино</v>
          </cell>
          <cell r="B64" t="str">
            <v>шт</v>
          </cell>
          <cell r="C64">
            <v>-22</v>
          </cell>
          <cell r="D64">
            <v>367</v>
          </cell>
          <cell r="E64">
            <v>60</v>
          </cell>
          <cell r="F64">
            <v>271</v>
          </cell>
          <cell r="G64">
            <v>0.3</v>
          </cell>
          <cell r="H64">
            <v>50</v>
          </cell>
          <cell r="I64" t="str">
            <v>матрица</v>
          </cell>
        </row>
        <row r="65">
          <cell r="A65" t="str">
            <v>7103 БЕКОН Останкино с/к с/н в/у 1/180_50с  Останкино</v>
          </cell>
          <cell r="B65" t="str">
            <v>шт</v>
          </cell>
          <cell r="C65">
            <v>16</v>
          </cell>
          <cell r="D65">
            <v>149</v>
          </cell>
          <cell r="E65">
            <v>63</v>
          </cell>
          <cell r="F65">
            <v>94</v>
          </cell>
          <cell r="G65">
            <v>0.18</v>
          </cell>
          <cell r="H65">
            <v>50</v>
          </cell>
          <cell r="I65" t="str">
            <v>матрица</v>
          </cell>
        </row>
        <row r="66">
          <cell r="A66" t="str">
            <v>7143 БРАУНШВЕЙГСКАЯ ГОСТ с/к в/у 1/220 8шт.  ОСТАНКИНО</v>
          </cell>
          <cell r="B66" t="str">
            <v>шт</v>
          </cell>
          <cell r="D66">
            <v>8</v>
          </cell>
          <cell r="F66">
            <v>8</v>
          </cell>
          <cell r="G66">
            <v>0.22</v>
          </cell>
          <cell r="H66">
            <v>120</v>
          </cell>
          <cell r="I66" t="str">
            <v>матрица</v>
          </cell>
        </row>
        <row r="67">
          <cell r="A67" t="str">
            <v>7149 БАЛЫКОВАЯ Коровино п/к в/у 0,84кг_50с  Останкино</v>
          </cell>
          <cell r="B67" t="str">
            <v>кг</v>
          </cell>
          <cell r="G67">
            <v>0</v>
          </cell>
          <cell r="I67" t="str">
            <v>матрица</v>
          </cell>
        </row>
        <row r="68">
          <cell r="A68" t="str">
            <v>7154 СЕРВЕЛАТ ЗЕРНИСТЫЙ ПМ в/к в/у 0,35кг_50с  Останкино</v>
          </cell>
          <cell r="B68" t="str">
            <v>шт</v>
          </cell>
          <cell r="C68">
            <v>68</v>
          </cell>
          <cell r="D68">
            <v>618</v>
          </cell>
          <cell r="E68">
            <v>97</v>
          </cell>
          <cell r="F68">
            <v>531</v>
          </cell>
          <cell r="G68">
            <v>0.35</v>
          </cell>
          <cell r="H68">
            <v>50</v>
          </cell>
          <cell r="I68" t="str">
            <v>матрица</v>
          </cell>
        </row>
        <row r="69">
          <cell r="A69" t="str">
            <v>7156 СЕРВЕЛАТ КОПЧ.НА БУКЕ в/к в/у 0.35кг_50с  ОСТАНКИНО</v>
          </cell>
          <cell r="B69" t="str">
            <v>шт</v>
          </cell>
          <cell r="G69">
            <v>0</v>
          </cell>
          <cell r="I69" t="str">
            <v>матрица</v>
          </cell>
        </row>
        <row r="70">
          <cell r="A70" t="str">
            <v>7157 СЕРВЕЛАТ ЗЕРНИСТЫЙ ПМ в/к в/у_50с  Останкино</v>
          </cell>
          <cell r="B70" t="str">
            <v>кг</v>
          </cell>
          <cell r="C70">
            <v>3.8849999999999998</v>
          </cell>
          <cell r="D70">
            <v>48.911000000000001</v>
          </cell>
          <cell r="E70">
            <v>8.7680000000000007</v>
          </cell>
          <cell r="F70">
            <v>41.304000000000002</v>
          </cell>
          <cell r="G70">
            <v>1</v>
          </cell>
          <cell r="H70">
            <v>50</v>
          </cell>
          <cell r="I70" t="str">
            <v>матрица</v>
          </cell>
        </row>
        <row r="71">
          <cell r="A71" t="str">
            <v>7166 СЕРВЕЛАТ ОХОТНИЧИЙ ПМ в/к в/у_50с  Останкино</v>
          </cell>
          <cell r="B71" t="str">
            <v>кг</v>
          </cell>
          <cell r="C71">
            <v>-14.238</v>
          </cell>
          <cell r="D71">
            <v>288.32499999999999</v>
          </cell>
          <cell r="E71">
            <v>81.603999999999999</v>
          </cell>
          <cell r="F71">
            <v>147.852</v>
          </cell>
          <cell r="G71">
            <v>1</v>
          </cell>
          <cell r="H71">
            <v>50</v>
          </cell>
          <cell r="I71" t="str">
            <v>матрица</v>
          </cell>
        </row>
        <row r="72">
          <cell r="A72" t="str">
            <v>7169 СЕРВЕЛАТ ОХОТНИЧИЙ ПМ в/к в/у 0,35кг_50с  Останкино</v>
          </cell>
          <cell r="B72" t="str">
            <v>шт</v>
          </cell>
          <cell r="C72">
            <v>-63</v>
          </cell>
          <cell r="D72">
            <v>632</v>
          </cell>
          <cell r="E72">
            <v>65</v>
          </cell>
          <cell r="F72">
            <v>443</v>
          </cell>
          <cell r="G72">
            <v>0.35</v>
          </cell>
          <cell r="H72">
            <v>50</v>
          </cell>
          <cell r="I72" t="str">
            <v>матрица</v>
          </cell>
        </row>
        <row r="73">
          <cell r="A73" t="str">
            <v>7187 ГРУДИНКА ПРЕМИУМ к/в мл/к в/у 0,3кг_50с  Останкино</v>
          </cell>
          <cell r="B73" t="str">
            <v>шт</v>
          </cell>
          <cell r="C73">
            <v>29</v>
          </cell>
          <cell r="D73">
            <v>114</v>
          </cell>
          <cell r="E73">
            <v>98</v>
          </cell>
          <cell r="F73">
            <v>27</v>
          </cell>
          <cell r="G73">
            <v>0.3</v>
          </cell>
          <cell r="H73">
            <v>50</v>
          </cell>
          <cell r="I73" t="str">
            <v>матрица</v>
          </cell>
        </row>
        <row r="74">
          <cell r="A74" t="str">
            <v>7231 КЛАССИЧЕСКАЯ ПМ вар п/о 0,3кг 8 шт_209к  Останкино</v>
          </cell>
          <cell r="B74" t="str">
            <v>шт</v>
          </cell>
          <cell r="C74">
            <v>12</v>
          </cell>
          <cell r="D74">
            <v>161</v>
          </cell>
          <cell r="E74">
            <v>5</v>
          </cell>
          <cell r="F74">
            <v>88</v>
          </cell>
          <cell r="G74">
            <v>0.3</v>
          </cell>
          <cell r="H74">
            <v>60</v>
          </cell>
          <cell r="I74" t="str">
            <v>матрица</v>
          </cell>
        </row>
        <row r="75">
          <cell r="A75" t="str">
            <v>7232 БОЯNСКАЯ ПМ п/к в/у 0,28кг 8шт_209к  Останкино</v>
          </cell>
          <cell r="B75" t="str">
            <v>шт</v>
          </cell>
          <cell r="C75">
            <v>123</v>
          </cell>
          <cell r="D75">
            <v>183</v>
          </cell>
          <cell r="E75">
            <v>156</v>
          </cell>
          <cell r="F75">
            <v>134</v>
          </cell>
          <cell r="G75">
            <v>0.28000000000000003</v>
          </cell>
          <cell r="H75">
            <v>50</v>
          </cell>
          <cell r="I75" t="str">
            <v>матрица</v>
          </cell>
        </row>
        <row r="76">
          <cell r="A76" t="str">
            <v>7236 СЕРВЕЛАТ КАРЕЛЬСКИЙ в/к в/у 0,28кг_209к  Останкино</v>
          </cell>
          <cell r="B76" t="str">
            <v>шт</v>
          </cell>
          <cell r="C76">
            <v>-61</v>
          </cell>
          <cell r="D76">
            <v>689</v>
          </cell>
          <cell r="E76">
            <v>145</v>
          </cell>
          <cell r="F76">
            <v>416</v>
          </cell>
          <cell r="G76">
            <v>0.28000000000000003</v>
          </cell>
          <cell r="H76">
            <v>45</v>
          </cell>
          <cell r="I76" t="str">
            <v>матрица</v>
          </cell>
        </row>
        <row r="77">
          <cell r="A77" t="str">
            <v>7241 САЛЯМИ Папа может п/к в/у 0,28кг ОСТАНКИНО</v>
          </cell>
          <cell r="B77" t="str">
            <v>шт</v>
          </cell>
          <cell r="C77">
            <v>70</v>
          </cell>
          <cell r="D77">
            <v>180</v>
          </cell>
          <cell r="E77">
            <v>157</v>
          </cell>
          <cell r="F77">
            <v>16</v>
          </cell>
          <cell r="G77">
            <v>0.28000000000000003</v>
          </cell>
          <cell r="H77">
            <v>45</v>
          </cell>
          <cell r="I77" t="str">
            <v>матрица</v>
          </cell>
        </row>
        <row r="78">
          <cell r="A78" t="str">
            <v>7255 МЯСНЫЕ С ГОВЯД.ПМ сос п/о мгс 0.4кг 6шт.  ОСТАНКИНО</v>
          </cell>
          <cell r="B78" t="str">
            <v>шт</v>
          </cell>
          <cell r="C78">
            <v>293</v>
          </cell>
          <cell r="D78">
            <v>125</v>
          </cell>
          <cell r="E78">
            <v>244</v>
          </cell>
          <cell r="F78">
            <v>110</v>
          </cell>
          <cell r="G78">
            <v>0.4</v>
          </cell>
          <cell r="H78">
            <v>50</v>
          </cell>
          <cell r="I78" t="str">
            <v>матрица</v>
          </cell>
        </row>
        <row r="79">
          <cell r="A79" t="str">
            <v>7299 НАБОР ДЛЯ ПИЦЦЫ Папа Может с/к в/у  ОСТАНКИНО</v>
          </cell>
          <cell r="B79" t="str">
            <v>кг</v>
          </cell>
          <cell r="D79">
            <v>99.072999999999993</v>
          </cell>
          <cell r="F79">
            <v>98.707999999999998</v>
          </cell>
          <cell r="G79">
            <v>1</v>
          </cell>
          <cell r="H79">
            <v>30</v>
          </cell>
          <cell r="I79" t="str">
            <v>матрица</v>
          </cell>
        </row>
        <row r="80">
          <cell r="A80" t="str">
            <v>7332 БОЯРСКАЯ ПМ п/к в/у 0,28кг ОСТАНКИНО</v>
          </cell>
          <cell r="B80" t="str">
            <v>шт</v>
          </cell>
          <cell r="D80">
            <v>2</v>
          </cell>
          <cell r="E80">
            <v>2</v>
          </cell>
          <cell r="G80">
            <v>0</v>
          </cell>
          <cell r="I80" t="str">
            <v>не в матрице</v>
          </cell>
        </row>
        <row r="81">
          <cell r="A81" t="str">
            <v>7344 КОНСЕРВЫ МЯС.ГОВЯДИНА ТУШ. В/С 338г_ЧЗ  ОСТАНКИНО</v>
          </cell>
          <cell r="B81" t="str">
            <v>шт</v>
          </cell>
          <cell r="D81">
            <v>242</v>
          </cell>
          <cell r="E81">
            <v>31</v>
          </cell>
          <cell r="F81">
            <v>206</v>
          </cell>
          <cell r="G81">
            <v>0.33800000000000002</v>
          </cell>
          <cell r="H81" t="str">
            <v>3 года</v>
          </cell>
          <cell r="I81" t="str">
            <v>матрица</v>
          </cell>
        </row>
        <row r="82">
          <cell r="A82" t="str">
            <v>7345 КОНСЕРВЫ МЯС.СВИНИНА ТУШ. В/С 325г_ЧЗ  ОСТАНКИНО</v>
          </cell>
          <cell r="B82" t="str">
            <v>шт</v>
          </cell>
          <cell r="D82">
            <v>224</v>
          </cell>
          <cell r="E82">
            <v>43</v>
          </cell>
          <cell r="F82">
            <v>166</v>
          </cell>
          <cell r="G82">
            <v>0.32500000000000001</v>
          </cell>
          <cell r="H82" t="str">
            <v>3 года</v>
          </cell>
          <cell r="I82" t="str">
            <v>матрица</v>
          </cell>
        </row>
        <row r="83">
          <cell r="A83" t="str">
            <v>7382  САЛЯМИ МЕЛКОЗЕРНЕНАЯ с/к в/у1/120 8шт.  ОСТАНКИНО</v>
          </cell>
          <cell r="B83" t="str">
            <v>шт</v>
          </cell>
          <cell r="C83">
            <v>173</v>
          </cell>
          <cell r="D83">
            <v>233</v>
          </cell>
          <cell r="E83">
            <v>112</v>
          </cell>
          <cell r="F83">
            <v>153</v>
          </cell>
          <cell r="G83">
            <v>0.12</v>
          </cell>
          <cell r="H83">
            <v>60</v>
          </cell>
          <cell r="I83" t="str">
            <v>матрица</v>
          </cell>
        </row>
        <row r="84">
          <cell r="A84" t="str">
            <v>7386 БАРСЕЛОНА ПМ с/к в/у 1/150  ОСТАНКИНО</v>
          </cell>
          <cell r="B84" t="str">
            <v>шт</v>
          </cell>
          <cell r="D84">
            <v>99</v>
          </cell>
          <cell r="F84">
            <v>96</v>
          </cell>
          <cell r="G84">
            <v>0.15</v>
          </cell>
          <cell r="H84">
            <v>90</v>
          </cell>
          <cell r="I84" t="str">
            <v>матрица</v>
          </cell>
        </row>
        <row r="85">
          <cell r="A85" t="str">
            <v>7456 САЛЯМИ ФИНСКАЯ Папа может с/к в/у 1/150  ОСТАНКИНО</v>
          </cell>
          <cell r="B85" t="str">
            <v>шт</v>
          </cell>
          <cell r="D85">
            <v>162</v>
          </cell>
          <cell r="E85">
            <v>56</v>
          </cell>
          <cell r="F85">
            <v>90</v>
          </cell>
          <cell r="G85">
            <v>0.15</v>
          </cell>
          <cell r="H85">
            <v>90</v>
          </cell>
          <cell r="I85" t="str">
            <v>матрица</v>
          </cell>
        </row>
        <row r="86">
          <cell r="A86" t="str">
            <v>7461 ДЛЯ ДЕТЕЙ Папа Может сос п/о мгс 0,33кг ОСТАНКИНО</v>
          </cell>
          <cell r="B86" t="str">
            <v>шт</v>
          </cell>
          <cell r="C86">
            <v>53</v>
          </cell>
          <cell r="D86">
            <v>76</v>
          </cell>
          <cell r="E86">
            <v>33</v>
          </cell>
          <cell r="F86">
            <v>35</v>
          </cell>
          <cell r="G86">
            <v>0.33</v>
          </cell>
          <cell r="H86">
            <v>30</v>
          </cell>
          <cell r="I86" t="str">
            <v>матрица</v>
          </cell>
        </row>
        <row r="87">
          <cell r="A87" t="str">
            <v>7485 РИЕТ МЯСНОЙ С ГРИБАМИ ПМ п/о 1/150  ОСТАНКИНО</v>
          </cell>
          <cell r="B87" t="str">
            <v>шт</v>
          </cell>
          <cell r="D87">
            <v>150</v>
          </cell>
          <cell r="F87">
            <v>144</v>
          </cell>
          <cell r="G87">
            <v>0.15</v>
          </cell>
          <cell r="H87">
            <v>60</v>
          </cell>
          <cell r="I87" t="str">
            <v>матрица</v>
          </cell>
        </row>
        <row r="88">
          <cell r="A88" t="str">
            <v>7490 СОЧНЫЙ ГРИЛЬ сос ц/о мгс 0.41кг_Даблпак  ОСТАНКИНО</v>
          </cell>
          <cell r="B88" t="str">
            <v>шт</v>
          </cell>
          <cell r="D88">
            <v>344</v>
          </cell>
          <cell r="E88">
            <v>47</v>
          </cell>
          <cell r="F88">
            <v>343</v>
          </cell>
          <cell r="G88">
            <v>0.41</v>
          </cell>
          <cell r="H88">
            <v>45</v>
          </cell>
          <cell r="I88" t="str">
            <v>матрица</v>
          </cell>
        </row>
        <row r="89">
          <cell r="A89" t="str">
            <v>7513 ВОСКРЕСЕНСКАЯ ВЯЛЕНАЯ в/к в/у срез 1/260  ОСТАНКИНО</v>
          </cell>
          <cell r="B89" t="str">
            <v>шт</v>
          </cell>
          <cell r="D89">
            <v>125</v>
          </cell>
          <cell r="E89">
            <v>93</v>
          </cell>
          <cell r="F89">
            <v>2</v>
          </cell>
          <cell r="G89">
            <v>0.26</v>
          </cell>
          <cell r="H89">
            <v>45</v>
          </cell>
          <cell r="I89" t="str">
            <v>матрица</v>
          </cell>
        </row>
        <row r="90">
          <cell r="A90" t="str">
            <v>7514 ЛЮБИТЕЛЬСКАЯ ОСТАНКИНСКАЯ вар п/о в/у  ОСТАНКИНО</v>
          </cell>
          <cell r="B90" t="str">
            <v>кг</v>
          </cell>
          <cell r="D90">
            <v>115.056</v>
          </cell>
          <cell r="E90">
            <v>44.652999999999999</v>
          </cell>
          <cell r="F90">
            <v>45.488</v>
          </cell>
          <cell r="G90">
            <v>1</v>
          </cell>
          <cell r="H90">
            <v>30</v>
          </cell>
          <cell r="I90" t="str">
            <v>матрица</v>
          </cell>
        </row>
        <row r="91">
          <cell r="A91" t="str">
            <v>7516 НОВОМОСКОВСКАЯ в/к в/у срез 0.31кг  ОСТАНКИНО</v>
          </cell>
          <cell r="B91" t="str">
            <v>шт</v>
          </cell>
          <cell r="D91">
            <v>328</v>
          </cell>
          <cell r="E91">
            <v>75</v>
          </cell>
          <cell r="F91">
            <v>220</v>
          </cell>
          <cell r="G91">
            <v>0.31</v>
          </cell>
          <cell r="H91">
            <v>45</v>
          </cell>
          <cell r="I91" t="str">
            <v>матрица</v>
          </cell>
        </row>
        <row r="92">
          <cell r="A92" t="str">
            <v>7518 ТЕЛЯЧЬЯ ГОСТ Останкино вар п/о в/у  ОСТАНКИНО</v>
          </cell>
          <cell r="B92" t="str">
            <v>кг</v>
          </cell>
          <cell r="D92">
            <v>59.511000000000003</v>
          </cell>
          <cell r="E92">
            <v>11.641999999999999</v>
          </cell>
          <cell r="F92">
            <v>41.203000000000003</v>
          </cell>
          <cell r="G92">
            <v>1</v>
          </cell>
          <cell r="H92">
            <v>30</v>
          </cell>
          <cell r="I92" t="str">
            <v>матрица</v>
          </cell>
        </row>
        <row r="93">
          <cell r="A93" t="str">
            <v>7523 ГОВЯЖЬЯ Папа Может вар п/о 0,4кг 6шт. ОСТАНКИНО</v>
          </cell>
          <cell r="B93" t="str">
            <v>шт</v>
          </cell>
          <cell r="C93">
            <v>-22</v>
          </cell>
          <cell r="D93">
            <v>274</v>
          </cell>
          <cell r="E93">
            <v>109</v>
          </cell>
          <cell r="F93">
            <v>126</v>
          </cell>
          <cell r="G93">
            <v>0.4</v>
          </cell>
          <cell r="H93">
            <v>60</v>
          </cell>
          <cell r="I93" t="str">
            <v>матрица</v>
          </cell>
        </row>
        <row r="94">
          <cell r="A94" t="str">
            <v>7539 ДОКТОРСКАЯ ГОСТ вар п/о 0,35кг ОСТАНКИНО</v>
          </cell>
          <cell r="B94" t="str">
            <v>шт</v>
          </cell>
          <cell r="C94">
            <v>-5</v>
          </cell>
          <cell r="D94">
            <v>75</v>
          </cell>
          <cell r="E94">
            <v>5</v>
          </cell>
          <cell r="F94">
            <v>60</v>
          </cell>
          <cell r="G94">
            <v>0.35</v>
          </cell>
          <cell r="H94">
            <v>60</v>
          </cell>
          <cell r="I94" t="str">
            <v>матрица</v>
          </cell>
        </row>
        <row r="95">
          <cell r="A95" t="str">
            <v>7562 КРАКОВСКАЯ ГОСТ Останкино п/к н/о мгс  ОСТАНКИНО</v>
          </cell>
          <cell r="B95" t="str">
            <v>кг</v>
          </cell>
          <cell r="C95">
            <v>29.402999999999999</v>
          </cell>
          <cell r="D95">
            <v>100.006</v>
          </cell>
          <cell r="E95">
            <v>14.787000000000001</v>
          </cell>
          <cell r="F95">
            <v>90.774000000000001</v>
          </cell>
          <cell r="G95">
            <v>1</v>
          </cell>
          <cell r="H95">
            <v>45</v>
          </cell>
          <cell r="I95" t="str">
            <v>матрица</v>
          </cell>
        </row>
        <row r="96">
          <cell r="A96" t="str">
            <v>7564 Балыковая в/к в/у Останкино Вес  ОСТАНКИНО</v>
          </cell>
          <cell r="B96" t="str">
            <v>кг</v>
          </cell>
          <cell r="D96">
            <v>30.34</v>
          </cell>
          <cell r="F96">
            <v>30.34</v>
          </cell>
          <cell r="G96">
            <v>1</v>
          </cell>
          <cell r="H96">
            <v>45</v>
          </cell>
          <cell r="I96" t="str">
            <v>матрица</v>
          </cell>
        </row>
        <row r="97">
          <cell r="A97" t="str">
            <v>7603 БАЛЫКОВАЯ в/к в/у 0.33кг 8шт. ОСТАНКИНО</v>
          </cell>
          <cell r="B97" t="str">
            <v>шт</v>
          </cell>
          <cell r="D97">
            <v>205</v>
          </cell>
          <cell r="E97">
            <v>77</v>
          </cell>
          <cell r="F97">
            <v>121</v>
          </cell>
          <cell r="G97">
            <v>0.33</v>
          </cell>
          <cell r="H97">
            <v>45</v>
          </cell>
          <cell r="I97" t="str">
            <v>матрица</v>
          </cell>
        </row>
        <row r="98">
          <cell r="A98" t="str">
            <v>7613 АРОМАТНАЯ с/к с/н в/у 1/100 10шт_Л10  ОСТАНКИНО</v>
          </cell>
          <cell r="B98" t="str">
            <v>шт</v>
          </cell>
          <cell r="C98">
            <v>-2</v>
          </cell>
          <cell r="D98">
            <v>188</v>
          </cell>
          <cell r="E98">
            <v>122</v>
          </cell>
          <cell r="F98">
            <v>33</v>
          </cell>
          <cell r="G98">
            <v>0.1</v>
          </cell>
          <cell r="H98">
            <v>60</v>
          </cell>
          <cell r="I98" t="str">
            <v>матрица</v>
          </cell>
        </row>
        <row r="99">
          <cell r="A99" t="str">
            <v>7616 ЭКСТРА Папа может с/к с/н в/у 1/100_  ОСТАНКИНО</v>
          </cell>
          <cell r="B99" t="str">
            <v>шт</v>
          </cell>
          <cell r="C99">
            <v>-1</v>
          </cell>
          <cell r="D99">
            <v>134</v>
          </cell>
          <cell r="E99">
            <v>124</v>
          </cell>
          <cell r="G99">
            <v>0.1</v>
          </cell>
          <cell r="H99">
            <v>60</v>
          </cell>
          <cell r="I99" t="str">
            <v>матрица</v>
          </cell>
        </row>
        <row r="100">
          <cell r="A100" t="str">
            <v>7632 ЭКСТРА Папа может вар п/о 0.4кг 8шт_195к  ОСТАНКИНО</v>
          </cell>
          <cell r="B100" t="str">
            <v>шт</v>
          </cell>
          <cell r="C100">
            <v>36</v>
          </cell>
          <cell r="D100">
            <v>96</v>
          </cell>
          <cell r="E100">
            <v>97</v>
          </cell>
          <cell r="G100">
            <v>0.4</v>
          </cell>
          <cell r="H100">
            <v>60</v>
          </cell>
          <cell r="I100" t="str">
            <v>матрица</v>
          </cell>
        </row>
        <row r="101">
          <cell r="A101" t="str">
            <v>7647 ХОЧУ ВЕТЧ.ИЗ СВ.ОТРУБА с/н мгс 1/100_Л11  ОСТАНКИНО</v>
          </cell>
          <cell r="B101" t="str">
            <v>шт</v>
          </cell>
          <cell r="C101">
            <v>46</v>
          </cell>
          <cell r="G101">
            <v>0.1</v>
          </cell>
          <cell r="I101" t="str">
            <v>ротация на код 7730</v>
          </cell>
        </row>
        <row r="102">
          <cell r="A102" t="str">
            <v>7651 ХОЧУ ВЕТЧ.МРАМОР. ПМ с/н мгс 1/100_Л11  ОСТАНКИНО</v>
          </cell>
          <cell r="B102" t="str">
            <v>шт</v>
          </cell>
          <cell r="C102">
            <v>46</v>
          </cell>
          <cell r="D102">
            <v>3</v>
          </cell>
          <cell r="G102">
            <v>0.1</v>
          </cell>
          <cell r="I102" t="str">
            <v>ротация на код 7731</v>
          </cell>
        </row>
        <row r="103">
          <cell r="A103" t="str">
            <v>7710 КРАКОВСКАЯ ГОСТ п/к н/о мгс 0.3кг  ОСТАНКИНО</v>
          </cell>
          <cell r="B103" t="str">
            <v>шт</v>
          </cell>
          <cell r="C103">
            <v>-1</v>
          </cell>
          <cell r="D103">
            <v>182</v>
          </cell>
          <cell r="E103">
            <v>41</v>
          </cell>
          <cell r="F103">
            <v>108</v>
          </cell>
          <cell r="G103">
            <v>0.3</v>
          </cell>
          <cell r="H103">
            <v>45</v>
          </cell>
          <cell r="I103" t="str">
            <v>матрица</v>
          </cell>
        </row>
        <row r="104">
          <cell r="A104" t="str">
            <v>7725 ВЕТ.МРАМОРНАЯ в/у срез 0.3кг 6шт_62  ОСТАНКИНО</v>
          </cell>
          <cell r="B104" t="str">
            <v>шт</v>
          </cell>
          <cell r="D104">
            <v>30</v>
          </cell>
          <cell r="E104">
            <v>16</v>
          </cell>
          <cell r="F104">
            <v>29</v>
          </cell>
          <cell r="G104">
            <v>0.3</v>
          </cell>
          <cell r="H104">
            <v>62</v>
          </cell>
          <cell r="I104" t="str">
            <v>матрица</v>
          </cell>
        </row>
        <row r="105">
          <cell r="A105" t="str">
            <v>7754 ДОМАШНИЙ РЕЦЕПТ Коровино вар п/о_332к</v>
          </cell>
          <cell r="B105" t="str">
            <v>кг</v>
          </cell>
          <cell r="G105">
            <v>0</v>
          </cell>
          <cell r="H105">
            <v>60</v>
          </cell>
          <cell r="I105" t="str">
            <v>матрица</v>
          </cell>
        </row>
        <row r="106">
          <cell r="A106" t="str">
            <v>8014 ДОКТОРСКАЯ ПРЕМИУМ вар п/о(п)    ОСТАНКИНО</v>
          </cell>
          <cell r="B106" t="str">
            <v>кг</v>
          </cell>
          <cell r="G106">
            <v>0</v>
          </cell>
          <cell r="I106" t="str">
            <v>матрица</v>
          </cell>
        </row>
        <row r="107">
          <cell r="A107" t="str">
            <v>7512 ЧАЙНАЯ Останкино вар н/о мгс 1*3</v>
          </cell>
          <cell r="B107" t="str">
            <v>кг</v>
          </cell>
          <cell r="G107">
            <v>0</v>
          </cell>
          <cell r="I107" t="str">
            <v>РАЗОВО</v>
          </cell>
        </row>
        <row r="108">
          <cell r="A108" t="str">
            <v>6764 СЛИВОЧНЫЕ сос ц/о мгс 1*4</v>
          </cell>
          <cell r="B108" t="str">
            <v>кг</v>
          </cell>
          <cell r="G108">
            <v>0</v>
          </cell>
          <cell r="I108" t="str">
            <v>РАЗОВО</v>
          </cell>
        </row>
        <row r="109">
          <cell r="A109" t="str">
            <v>7224 МЯСНЫЕ ПРЕМИУМ пельм кор.0.4кг зам. (7224)</v>
          </cell>
          <cell r="B109" t="str">
            <v>шт</v>
          </cell>
          <cell r="G109">
            <v>0</v>
          </cell>
          <cell r="I109" t="str">
            <v>РАЗОВО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FF00"/>
    <pageSetUpPr fitToPage="1"/>
  </sheetPr>
  <dimension ref="A1:N92"/>
  <sheetViews>
    <sheetView tabSelected="1" topLeftCell="A49" zoomScale="85" zoomScaleNormal="85" workbookViewId="0">
      <pane xSplit="3" topLeftCell="D1" activePane="topRight" state="frozen"/>
      <selection pane="topRight" activeCell="L96" sqref="L96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9" width="10.7109375" style="5" customWidth="1"/>
    <col min="10" max="10" width="12.28515625" style="4" customWidth="1"/>
    <col min="11" max="11" width="15.5703125" style="211" customWidth="1"/>
    <col min="12" max="12" width="37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116" t="s">
        <v>51</v>
      </c>
      <c r="B1" s="116"/>
      <c r="C1" s="116"/>
      <c r="D1" s="1"/>
      <c r="E1" s="116" t="s">
        <v>24</v>
      </c>
      <c r="F1" s="116"/>
      <c r="G1" s="116"/>
      <c r="H1" s="116"/>
      <c r="I1" s="110"/>
      <c r="J1" s="117">
        <v>4</v>
      </c>
      <c r="K1" s="201"/>
    </row>
    <row r="2" spans="1:12" ht="28.5">
      <c r="A2" s="118">
        <v>46312</v>
      </c>
      <c r="B2" s="119"/>
      <c r="C2" s="119"/>
      <c r="D2" s="3"/>
      <c r="E2" s="3"/>
      <c r="F2" s="120"/>
      <c r="G2" s="120"/>
      <c r="H2" s="120"/>
      <c r="I2" s="111"/>
      <c r="J2" s="120"/>
      <c r="K2" s="202"/>
    </row>
    <row r="3" spans="1:12" ht="27" thickBot="1">
      <c r="A3" s="130" t="s">
        <v>0</v>
      </c>
      <c r="B3" s="130"/>
      <c r="C3" s="130"/>
      <c r="D3" s="130"/>
      <c r="E3" s="130"/>
      <c r="F3" s="130"/>
      <c r="G3" s="130"/>
      <c r="H3" s="130"/>
      <c r="I3" s="130"/>
      <c r="J3" s="130"/>
      <c r="K3" s="203"/>
    </row>
    <row r="4" spans="1:12" ht="18" customHeight="1">
      <c r="A4" s="131" t="s">
        <v>25</v>
      </c>
      <c r="B4" s="132"/>
      <c r="C4" s="132"/>
      <c r="D4" s="132"/>
      <c r="E4" s="132"/>
      <c r="F4" s="132"/>
      <c r="G4" s="132"/>
      <c r="H4" s="132"/>
      <c r="I4" s="132"/>
      <c r="J4" s="132"/>
      <c r="K4" s="204"/>
      <c r="L4" s="133"/>
    </row>
    <row r="5" spans="1:12" s="8" customFormat="1" ht="18" customHeight="1">
      <c r="A5" s="58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205">
        <v>10</v>
      </c>
      <c r="L5" s="59">
        <v>11</v>
      </c>
    </row>
    <row r="6" spans="1:12" ht="82.9" customHeight="1">
      <c r="A6" s="134" t="s">
        <v>1</v>
      </c>
      <c r="B6" s="135" t="s">
        <v>2</v>
      </c>
      <c r="C6" s="135" t="s">
        <v>3</v>
      </c>
      <c r="D6" s="135" t="s">
        <v>4</v>
      </c>
      <c r="E6" s="112" t="s">
        <v>5</v>
      </c>
      <c r="F6" s="135" t="s">
        <v>6</v>
      </c>
      <c r="G6" s="136" t="s">
        <v>7</v>
      </c>
      <c r="H6" s="137" t="s">
        <v>8</v>
      </c>
      <c r="I6" s="135" t="s">
        <v>9</v>
      </c>
      <c r="J6" s="121" t="s">
        <v>30</v>
      </c>
      <c r="K6" s="206" t="s">
        <v>10</v>
      </c>
      <c r="L6" s="123"/>
    </row>
    <row r="7" spans="1:12" s="8" customFormat="1" ht="63.6" customHeight="1">
      <c r="A7" s="134"/>
      <c r="B7" s="135"/>
      <c r="C7" s="135"/>
      <c r="D7" s="135"/>
      <c r="E7" s="112" t="s">
        <v>11</v>
      </c>
      <c r="F7" s="135"/>
      <c r="G7" s="136"/>
      <c r="H7" s="137"/>
      <c r="I7" s="135"/>
      <c r="J7" s="122"/>
      <c r="K7" s="207" t="s">
        <v>7</v>
      </c>
      <c r="L7" s="60" t="s">
        <v>8</v>
      </c>
    </row>
    <row r="8" spans="1:12" s="8" customFormat="1">
      <c r="A8" s="73">
        <v>1</v>
      </c>
      <c r="B8" s="74" t="s">
        <v>53</v>
      </c>
      <c r="C8" s="74" t="s">
        <v>52</v>
      </c>
      <c r="D8" s="100" t="s">
        <v>54</v>
      </c>
      <c r="E8" s="55" t="s">
        <v>41</v>
      </c>
      <c r="F8" s="38">
        <v>0.35416666666666669</v>
      </c>
      <c r="G8" s="22">
        <v>29</v>
      </c>
      <c r="H8" s="26">
        <v>395.53399999999999</v>
      </c>
      <c r="I8" s="23">
        <v>0.66666666666666663</v>
      </c>
      <c r="J8" s="21">
        <f>I8-F8</f>
        <v>0.31249999999999994</v>
      </c>
      <c r="K8" s="208"/>
      <c r="L8" s="66"/>
    </row>
    <row r="9" spans="1:12">
      <c r="A9" s="73">
        <v>2</v>
      </c>
      <c r="B9" s="74" t="s">
        <v>53</v>
      </c>
      <c r="C9" s="74" t="s">
        <v>56</v>
      </c>
      <c r="D9" s="100" t="s">
        <v>55</v>
      </c>
      <c r="E9" s="75" t="s">
        <v>42</v>
      </c>
      <c r="F9" s="38">
        <v>0.35416666666666669</v>
      </c>
      <c r="G9" s="22">
        <v>29</v>
      </c>
      <c r="H9" s="26">
        <v>799.51800000000003</v>
      </c>
      <c r="I9" s="23">
        <v>0.79166666666666663</v>
      </c>
      <c r="J9" s="21">
        <f t="shared" ref="J9:J12" si="0">I9-F9</f>
        <v>0.43749999999999994</v>
      </c>
      <c r="K9" s="208"/>
      <c r="L9" s="66"/>
    </row>
    <row r="10" spans="1:12">
      <c r="A10" s="20">
        <v>3</v>
      </c>
      <c r="B10" s="74" t="s">
        <v>53</v>
      </c>
      <c r="C10" s="54" t="s">
        <v>57</v>
      </c>
      <c r="D10" s="100" t="s">
        <v>58</v>
      </c>
      <c r="E10" s="76" t="s">
        <v>41</v>
      </c>
      <c r="F10" s="38">
        <v>0.375</v>
      </c>
      <c r="G10" s="22">
        <v>27</v>
      </c>
      <c r="H10" s="26">
        <v>450.22899999999998</v>
      </c>
      <c r="I10" s="23">
        <v>0.5</v>
      </c>
      <c r="J10" s="21">
        <f t="shared" si="0"/>
        <v>0.125</v>
      </c>
      <c r="K10" s="208"/>
      <c r="L10" s="66"/>
    </row>
    <row r="11" spans="1:12">
      <c r="A11" s="73">
        <v>4</v>
      </c>
      <c r="B11" s="55" t="s">
        <v>43</v>
      </c>
      <c r="C11" s="54" t="s">
        <v>60</v>
      </c>
      <c r="D11" s="100" t="s">
        <v>59</v>
      </c>
      <c r="E11" s="55" t="s">
        <v>42</v>
      </c>
      <c r="F11" s="38">
        <v>0.35069444444444442</v>
      </c>
      <c r="G11" s="22">
        <v>24</v>
      </c>
      <c r="H11" s="26">
        <v>596.54</v>
      </c>
      <c r="I11" s="23">
        <v>0.67291666666666661</v>
      </c>
      <c r="J11" s="21">
        <f t="shared" si="0"/>
        <v>0.32222222222222219</v>
      </c>
      <c r="K11" s="208"/>
      <c r="L11" s="66"/>
    </row>
    <row r="12" spans="1:12">
      <c r="A12" s="61">
        <v>5</v>
      </c>
      <c r="B12" s="81"/>
      <c r="C12" s="74"/>
      <c r="D12" s="103"/>
      <c r="E12" s="75" t="s">
        <v>42</v>
      </c>
      <c r="F12" s="23"/>
      <c r="G12" s="22"/>
      <c r="H12" s="26"/>
      <c r="I12" s="23"/>
      <c r="J12" s="21">
        <f t="shared" si="0"/>
        <v>0</v>
      </c>
      <c r="K12" s="208"/>
      <c r="L12" s="66"/>
    </row>
    <row r="13" spans="1:12">
      <c r="A13" s="61">
        <v>6</v>
      </c>
      <c r="B13" s="54"/>
      <c r="C13" s="74"/>
      <c r="D13" s="115"/>
      <c r="E13" s="76" t="s">
        <v>41</v>
      </c>
      <c r="F13" s="23"/>
      <c r="G13" s="22"/>
      <c r="H13" s="26"/>
      <c r="I13" s="23"/>
      <c r="J13" s="21"/>
      <c r="K13" s="208"/>
      <c r="L13" s="66"/>
    </row>
    <row r="14" spans="1:12">
      <c r="A14" s="61">
        <v>7</v>
      </c>
      <c r="B14" s="62"/>
      <c r="C14" s="63"/>
      <c r="D14" s="64"/>
      <c r="E14" s="65"/>
      <c r="F14" s="23"/>
      <c r="G14" s="22"/>
      <c r="H14" s="26"/>
      <c r="I14" s="23"/>
      <c r="J14" s="21"/>
      <c r="K14" s="208"/>
      <c r="L14" s="66"/>
    </row>
    <row r="15" spans="1:12">
      <c r="A15" s="61">
        <v>8</v>
      </c>
      <c r="B15" s="62"/>
      <c r="C15" s="63"/>
      <c r="D15" s="64"/>
      <c r="E15" s="65"/>
      <c r="F15" s="23"/>
      <c r="G15" s="22"/>
      <c r="H15" s="26"/>
      <c r="I15" s="23"/>
      <c r="J15" s="21"/>
      <c r="K15" s="208"/>
      <c r="L15" s="66"/>
    </row>
    <row r="16" spans="1:12">
      <c r="A16" s="61">
        <v>9</v>
      </c>
      <c r="B16" s="62"/>
      <c r="C16" s="63"/>
      <c r="D16" s="64"/>
      <c r="E16" s="65"/>
      <c r="F16" s="23"/>
      <c r="G16" s="22"/>
      <c r="H16" s="26"/>
      <c r="I16" s="23"/>
      <c r="J16" s="21"/>
      <c r="K16" s="208"/>
      <c r="L16" s="66"/>
    </row>
    <row r="17" spans="1:14">
      <c r="A17" s="61">
        <v>10</v>
      </c>
      <c r="B17" s="62"/>
      <c r="C17" s="63"/>
      <c r="D17" s="64"/>
      <c r="E17" s="65"/>
      <c r="F17" s="23"/>
      <c r="G17" s="22"/>
      <c r="H17" s="26"/>
      <c r="I17" s="23"/>
      <c r="J17" s="21"/>
      <c r="K17" s="208"/>
      <c r="L17" s="66"/>
    </row>
    <row r="18" spans="1:14">
      <c r="A18" s="61">
        <v>11</v>
      </c>
      <c r="B18" s="62"/>
      <c r="C18" s="63"/>
      <c r="D18" s="64"/>
      <c r="E18" s="65"/>
      <c r="F18" s="23"/>
      <c r="G18" s="22"/>
      <c r="H18" s="26"/>
      <c r="I18" s="23"/>
      <c r="J18" s="21"/>
      <c r="K18" s="208"/>
      <c r="L18" s="66"/>
    </row>
    <row r="19" spans="1:14">
      <c r="A19" s="61">
        <v>12</v>
      </c>
      <c r="B19" s="62"/>
      <c r="C19" s="63"/>
      <c r="D19" s="64"/>
      <c r="E19" s="65"/>
      <c r="F19" s="23"/>
      <c r="G19" s="22"/>
      <c r="H19" s="26"/>
      <c r="I19" s="23"/>
      <c r="J19" s="21"/>
      <c r="K19" s="209"/>
      <c r="L19" s="66"/>
    </row>
    <row r="20" spans="1:14">
      <c r="A20" s="61">
        <v>13</v>
      </c>
      <c r="B20" s="62"/>
      <c r="C20" s="63"/>
      <c r="D20" s="64"/>
      <c r="E20" s="65"/>
      <c r="F20" s="23"/>
      <c r="G20" s="22"/>
      <c r="H20" s="26"/>
      <c r="I20" s="23"/>
      <c r="J20" s="21"/>
      <c r="K20" s="209"/>
      <c r="L20" s="67"/>
    </row>
    <row r="21" spans="1:14" ht="15.75" thickBot="1">
      <c r="A21" s="124" t="s">
        <v>15</v>
      </c>
      <c r="B21" s="125"/>
      <c r="C21" s="125"/>
      <c r="D21" s="125"/>
      <c r="E21" s="125"/>
      <c r="F21" s="126"/>
      <c r="G21" s="68">
        <f>SUM(G8:G20)</f>
        <v>109</v>
      </c>
      <c r="H21" s="68">
        <f>SUM(H8:H20)</f>
        <v>2241.8209999999999</v>
      </c>
      <c r="I21" s="69"/>
      <c r="J21" s="69"/>
      <c r="K21" s="210">
        <f>SUM(K8:K20)</f>
        <v>0</v>
      </c>
      <c r="L21" s="70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3"/>
    </row>
    <row r="24" spans="1:14" ht="18.75">
      <c r="A24" s="127" t="s">
        <v>26</v>
      </c>
      <c r="B24" s="128"/>
      <c r="C24" s="128"/>
      <c r="D24" s="128"/>
      <c r="E24" s="128"/>
      <c r="F24" s="128"/>
      <c r="G24" s="128"/>
      <c r="H24" s="128"/>
      <c r="I24" s="129"/>
      <c r="J24" s="8"/>
      <c r="K24" s="212"/>
      <c r="L24" s="8"/>
      <c r="N24" s="43"/>
    </row>
    <row r="25" spans="1:14">
      <c r="A25" s="29">
        <v>1</v>
      </c>
      <c r="B25" s="72">
        <v>2</v>
      </c>
      <c r="C25" s="72">
        <v>3</v>
      </c>
      <c r="D25" s="72">
        <v>4</v>
      </c>
      <c r="E25" s="72">
        <v>5</v>
      </c>
      <c r="F25" s="72">
        <v>6</v>
      </c>
      <c r="G25" s="72">
        <v>7</v>
      </c>
      <c r="H25" s="72">
        <v>8</v>
      </c>
      <c r="I25" s="30">
        <v>9</v>
      </c>
      <c r="J25" s="8"/>
      <c r="K25" s="212"/>
      <c r="N25" s="43"/>
    </row>
    <row r="26" spans="1:14" ht="30">
      <c r="A26" s="53" t="s">
        <v>1</v>
      </c>
      <c r="B26" s="112" t="s">
        <v>2</v>
      </c>
      <c r="C26" s="112" t="s">
        <v>3</v>
      </c>
      <c r="D26" s="112" t="s">
        <v>27</v>
      </c>
      <c r="E26" s="112" t="s">
        <v>6</v>
      </c>
      <c r="F26" s="112" t="s">
        <v>28</v>
      </c>
      <c r="G26" s="112" t="s">
        <v>8</v>
      </c>
      <c r="H26" s="112" t="s">
        <v>31</v>
      </c>
      <c r="I26" s="31" t="s">
        <v>30</v>
      </c>
      <c r="J26" s="8"/>
      <c r="K26" s="212"/>
      <c r="L26" s="8"/>
      <c r="N26" s="43"/>
    </row>
    <row r="27" spans="1:14">
      <c r="A27" s="56">
        <v>14</v>
      </c>
      <c r="B27" s="55"/>
      <c r="C27" s="54"/>
      <c r="D27" s="39"/>
      <c r="E27" s="38"/>
      <c r="F27" s="22"/>
      <c r="G27" s="26"/>
      <c r="H27" s="35"/>
      <c r="I27" s="36"/>
      <c r="J27" s="8"/>
      <c r="K27" s="212"/>
      <c r="L27" s="8"/>
    </row>
    <row r="28" spans="1:14">
      <c r="A28" s="54">
        <v>15</v>
      </c>
      <c r="B28" s="55"/>
      <c r="C28" s="54"/>
      <c r="D28" s="39"/>
      <c r="E28" s="38"/>
      <c r="F28" s="22"/>
      <c r="G28" s="26"/>
      <c r="H28" s="35"/>
      <c r="I28" s="36"/>
      <c r="J28" s="8"/>
      <c r="K28" s="212"/>
      <c r="L28" s="8"/>
    </row>
    <row r="29" spans="1:14">
      <c r="A29" s="54">
        <v>16</v>
      </c>
      <c r="B29" s="54"/>
      <c r="C29" s="54"/>
      <c r="D29" s="39"/>
      <c r="E29" s="38"/>
      <c r="F29" s="22"/>
      <c r="G29" s="26"/>
      <c r="H29" s="35"/>
      <c r="I29" s="36"/>
      <c r="J29" s="8"/>
      <c r="K29" s="212"/>
      <c r="L29" s="8"/>
    </row>
    <row r="30" spans="1:14">
      <c r="A30" s="57"/>
      <c r="B30" s="57"/>
      <c r="C30" s="57"/>
      <c r="D30" s="39"/>
      <c r="E30" s="38"/>
      <c r="F30" s="22"/>
      <c r="G30" s="26"/>
      <c r="H30" s="35"/>
      <c r="I30" s="36"/>
      <c r="J30" s="8"/>
      <c r="K30" s="212"/>
      <c r="L30" s="8"/>
    </row>
    <row r="31" spans="1:14" ht="15.75" thickBot="1">
      <c r="A31" s="124" t="s">
        <v>15</v>
      </c>
      <c r="B31" s="125"/>
      <c r="C31" s="126"/>
      <c r="D31" s="10"/>
      <c r="E31" s="32"/>
      <c r="F31" s="32">
        <f>SUM(F30:F30)</f>
        <v>0</v>
      </c>
      <c r="G31" s="32">
        <f>SUM(G30:G30)</f>
        <v>0</v>
      </c>
      <c r="H31" s="33"/>
      <c r="I31" s="34"/>
      <c r="J31" s="2"/>
      <c r="K31" s="213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127" t="s">
        <v>12</v>
      </c>
      <c r="B33" s="128"/>
      <c r="C33" s="128"/>
      <c r="D33" s="128"/>
      <c r="E33" s="128"/>
      <c r="F33" s="128"/>
      <c r="G33" s="128"/>
      <c r="H33" s="128"/>
      <c r="I33" s="128"/>
      <c r="J33" s="128"/>
      <c r="K33" s="214"/>
      <c r="L33" s="129"/>
    </row>
    <row r="34" spans="1:13" ht="15.75" thickBot="1">
      <c r="A34" s="90">
        <v>1</v>
      </c>
      <c r="B34" s="91">
        <v>2</v>
      </c>
      <c r="C34" s="91">
        <v>3</v>
      </c>
      <c r="D34" s="91">
        <v>4</v>
      </c>
      <c r="E34" s="91">
        <v>5</v>
      </c>
      <c r="F34" s="91">
        <v>6</v>
      </c>
      <c r="G34" s="91">
        <v>7</v>
      </c>
      <c r="H34" s="91">
        <v>8</v>
      </c>
      <c r="I34" s="91">
        <v>9</v>
      </c>
      <c r="J34" s="91">
        <v>10</v>
      </c>
      <c r="K34" s="215">
        <v>11</v>
      </c>
      <c r="L34" s="151">
        <v>12</v>
      </c>
      <c r="M34" s="152"/>
    </row>
    <row r="35" spans="1:13" ht="75">
      <c r="A35" s="153" t="s">
        <v>1</v>
      </c>
      <c r="B35" s="138" t="s">
        <v>2</v>
      </c>
      <c r="C35" s="138" t="s">
        <v>3</v>
      </c>
      <c r="D35" s="138" t="s">
        <v>4</v>
      </c>
      <c r="E35" s="93" t="s">
        <v>5</v>
      </c>
      <c r="F35" s="138" t="s">
        <v>14</v>
      </c>
      <c r="G35" s="138" t="s">
        <v>13</v>
      </c>
      <c r="H35" s="138" t="s">
        <v>37</v>
      </c>
      <c r="I35" s="138" t="s">
        <v>39</v>
      </c>
      <c r="J35" s="138" t="s">
        <v>38</v>
      </c>
      <c r="K35" s="216" t="s">
        <v>40</v>
      </c>
      <c r="L35" s="139" t="s">
        <v>36</v>
      </c>
      <c r="M35" s="140"/>
    </row>
    <row r="36" spans="1:13" ht="75">
      <c r="A36" s="154"/>
      <c r="B36" s="122"/>
      <c r="C36" s="122"/>
      <c r="D36" s="122"/>
      <c r="E36" s="113" t="s">
        <v>11</v>
      </c>
      <c r="F36" s="122"/>
      <c r="G36" s="122"/>
      <c r="H36" s="122"/>
      <c r="I36" s="122"/>
      <c r="J36" s="122"/>
      <c r="K36" s="217"/>
      <c r="L36" s="141"/>
      <c r="M36" s="142"/>
    </row>
    <row r="37" spans="1:13" s="27" customFormat="1" ht="46.5" customHeight="1">
      <c r="A37" s="40">
        <v>17</v>
      </c>
      <c r="B37" s="55"/>
      <c r="C37" s="54"/>
      <c r="D37" s="101"/>
      <c r="E37" s="55"/>
      <c r="F37" s="102"/>
      <c r="G37" s="82"/>
      <c r="H37" s="77"/>
      <c r="I37" s="78"/>
      <c r="J37" s="108"/>
      <c r="K37" s="218"/>
      <c r="L37" s="143"/>
      <c r="M37" s="144"/>
    </row>
    <row r="38" spans="1:13" s="52" customFormat="1">
      <c r="A38" s="40">
        <v>18</v>
      </c>
      <c r="B38" s="74"/>
      <c r="C38" s="74"/>
      <c r="D38" s="74"/>
      <c r="E38" s="80"/>
      <c r="F38" s="84"/>
      <c r="G38" s="82"/>
      <c r="H38" s="85"/>
      <c r="I38" s="79"/>
      <c r="J38" s="79"/>
      <c r="K38" s="219"/>
      <c r="L38" s="145"/>
      <c r="M38" s="146"/>
    </row>
    <row r="39" spans="1:13" ht="16.5" customHeight="1">
      <c r="A39" s="109">
        <v>19</v>
      </c>
      <c r="B39" s="17"/>
      <c r="C39" s="17"/>
      <c r="D39" s="17"/>
      <c r="E39" s="17"/>
      <c r="F39" s="86"/>
      <c r="G39" s="87"/>
      <c r="H39" s="17"/>
      <c r="I39" s="17"/>
      <c r="J39" s="72"/>
      <c r="K39" s="220"/>
      <c r="L39" s="147"/>
      <c r="M39" s="148"/>
    </row>
    <row r="40" spans="1:13">
      <c r="A40" s="40">
        <v>20</v>
      </c>
      <c r="B40" s="17"/>
      <c r="C40" s="17"/>
      <c r="D40" s="17"/>
      <c r="E40" s="17"/>
      <c r="F40" s="86"/>
      <c r="G40" s="87"/>
      <c r="H40" s="17"/>
      <c r="I40" s="17"/>
      <c r="J40" s="72"/>
      <c r="K40" s="220"/>
      <c r="L40" s="149"/>
      <c r="M40" s="150"/>
    </row>
    <row r="41" spans="1:13">
      <c r="A41" s="40">
        <v>21</v>
      </c>
      <c r="B41" s="41"/>
      <c r="C41" s="42"/>
      <c r="D41" s="42"/>
      <c r="E41" s="77"/>
      <c r="F41" s="88"/>
      <c r="G41" s="83"/>
      <c r="H41" s="89"/>
      <c r="I41" s="88"/>
      <c r="J41" s="88"/>
      <c r="K41" s="221"/>
      <c r="L41" s="163"/>
      <c r="M41" s="164"/>
    </row>
    <row r="42" spans="1:13">
      <c r="A42" s="40">
        <v>22</v>
      </c>
      <c r="B42" s="41"/>
      <c r="C42" s="42"/>
      <c r="D42" s="71"/>
      <c r="E42" s="37"/>
      <c r="F42" s="44"/>
      <c r="G42" s="83"/>
      <c r="H42" s="48"/>
      <c r="I42" s="44"/>
      <c r="J42" s="44"/>
      <c r="K42" s="222"/>
      <c r="L42" s="165"/>
      <c r="M42" s="166"/>
    </row>
    <row r="43" spans="1:13" ht="15.75" thickBot="1">
      <c r="A43" s="40">
        <v>23</v>
      </c>
      <c r="B43" s="94"/>
      <c r="C43" s="95"/>
      <c r="D43" s="95"/>
      <c r="E43" s="96"/>
      <c r="F43" s="97"/>
      <c r="G43" s="98"/>
      <c r="H43" s="99"/>
      <c r="I43" s="97"/>
      <c r="J43" s="97"/>
      <c r="K43" s="223"/>
      <c r="L43" s="167"/>
      <c r="M43" s="168"/>
    </row>
    <row r="44" spans="1:13" ht="15.75" thickBot="1">
      <c r="A44" s="169" t="s">
        <v>15</v>
      </c>
      <c r="B44" s="170"/>
      <c r="C44" s="170"/>
      <c r="D44" s="170"/>
      <c r="E44" s="171"/>
      <c r="F44" s="92"/>
      <c r="G44" s="172">
        <f>SUM(G37:G43)</f>
        <v>0</v>
      </c>
      <c r="H44" s="173"/>
      <c r="I44" s="173"/>
      <c r="J44" s="173"/>
      <c r="K44" s="173"/>
      <c r="L44" s="174"/>
    </row>
    <row r="45" spans="1:13" ht="15.75" thickBot="1">
      <c r="A45" s="45"/>
      <c r="B45" s="45"/>
      <c r="C45" s="45"/>
      <c r="D45" s="45"/>
      <c r="E45" s="46"/>
      <c r="F45" s="46"/>
      <c r="G45" s="47"/>
      <c r="H45" s="47"/>
      <c r="J45" s="9"/>
      <c r="K45" s="224"/>
    </row>
    <row r="46" spans="1:13" ht="18.75">
      <c r="A46" s="175" t="s">
        <v>16</v>
      </c>
      <c r="B46" s="176"/>
      <c r="C46" s="176"/>
      <c r="D46" s="176"/>
      <c r="E46" s="176"/>
      <c r="F46" s="176"/>
      <c r="G46" s="176"/>
      <c r="H46" s="176"/>
      <c r="I46" s="176"/>
      <c r="J46" s="177"/>
      <c r="K46" s="213"/>
    </row>
    <row r="47" spans="1:13" ht="30">
      <c r="A47" s="49"/>
      <c r="B47" s="18"/>
      <c r="C47" s="114"/>
      <c r="D47" s="114" t="s">
        <v>17</v>
      </c>
      <c r="E47" s="155" t="s">
        <v>18</v>
      </c>
      <c r="F47" s="155"/>
      <c r="G47" s="155" t="s">
        <v>19</v>
      </c>
      <c r="H47" s="155"/>
      <c r="I47" s="155" t="s">
        <v>29</v>
      </c>
      <c r="J47" s="156"/>
      <c r="K47" s="213"/>
    </row>
    <row r="48" spans="1:13">
      <c r="A48" s="49"/>
      <c r="B48" s="24" t="s">
        <v>20</v>
      </c>
      <c r="C48" s="157">
        <v>1313</v>
      </c>
      <c r="D48" s="158"/>
      <c r="E48" s="159">
        <v>1324</v>
      </c>
      <c r="F48" s="160"/>
      <c r="G48" s="159">
        <v>1324</v>
      </c>
      <c r="H48" s="160"/>
      <c r="I48" s="161">
        <v>99</v>
      </c>
      <c r="J48" s="162"/>
      <c r="K48" s="213"/>
    </row>
    <row r="49" spans="1:14">
      <c r="A49" s="50"/>
      <c r="B49" s="24" t="s">
        <v>21</v>
      </c>
      <c r="C49" s="157">
        <v>807</v>
      </c>
      <c r="D49" s="158"/>
      <c r="E49" s="190">
        <v>806</v>
      </c>
      <c r="F49" s="191"/>
      <c r="G49" s="190">
        <v>806</v>
      </c>
      <c r="H49" s="191"/>
      <c r="I49" s="192">
        <v>67</v>
      </c>
      <c r="J49" s="193"/>
      <c r="K49" s="213"/>
    </row>
    <row r="50" spans="1:14" ht="15.75" thickBot="1">
      <c r="A50" s="50"/>
      <c r="B50" s="24" t="s">
        <v>22</v>
      </c>
      <c r="C50" s="194">
        <v>958</v>
      </c>
      <c r="D50" s="195"/>
      <c r="E50" s="196">
        <v>587</v>
      </c>
      <c r="F50" s="197"/>
      <c r="G50" s="196">
        <v>587</v>
      </c>
      <c r="H50" s="197"/>
      <c r="I50" s="192">
        <v>255</v>
      </c>
      <c r="J50" s="193"/>
      <c r="K50" s="213"/>
    </row>
    <row r="51" spans="1:14" ht="15.75" thickBot="1">
      <c r="A51" s="11"/>
      <c r="B51" s="12" t="s">
        <v>23</v>
      </c>
      <c r="C51" s="179">
        <f>SUM(C48:D50)</f>
        <v>3078</v>
      </c>
      <c r="D51" s="180"/>
      <c r="E51" s="181">
        <f>SUM(E48:E50)</f>
        <v>2717</v>
      </c>
      <c r="F51" s="182"/>
      <c r="G51" s="181">
        <f>G48+G49+G50</f>
        <v>2717</v>
      </c>
      <c r="H51" s="182"/>
      <c r="I51" s="181">
        <f>SUM(I48:I50)</f>
        <v>421</v>
      </c>
      <c r="J51" s="183"/>
      <c r="K51" s="213"/>
    </row>
    <row r="53" spans="1:14" ht="15.75" thickBot="1">
      <c r="E53" s="25"/>
    </row>
    <row r="54" spans="1:14" ht="19.5" thickBot="1">
      <c r="A54" s="184" t="s">
        <v>32</v>
      </c>
      <c r="B54" s="185"/>
      <c r="C54" s="185"/>
      <c r="D54" s="185"/>
      <c r="E54" s="185"/>
      <c r="F54" s="185"/>
      <c r="G54" s="185"/>
      <c r="H54" s="185"/>
      <c r="I54" s="185"/>
      <c r="J54" s="186"/>
      <c r="K54" s="225"/>
      <c r="L54" s="27"/>
    </row>
    <row r="55" spans="1:14">
      <c r="A55" s="28" t="s">
        <v>33</v>
      </c>
      <c r="B55" s="187" t="s">
        <v>34</v>
      </c>
      <c r="C55" s="188"/>
      <c r="D55" s="188"/>
      <c r="E55" s="188"/>
      <c r="F55" s="188"/>
      <c r="G55" s="188"/>
      <c r="H55" s="188"/>
      <c r="I55" s="189"/>
      <c r="J55" s="51" t="s">
        <v>35</v>
      </c>
      <c r="K55" s="226"/>
      <c r="L55" s="52"/>
    </row>
    <row r="56" spans="1:14" s="4" customFormat="1">
      <c r="A56" s="106">
        <v>1</v>
      </c>
      <c r="B56" s="178" t="s">
        <v>44</v>
      </c>
      <c r="C56" s="178"/>
      <c r="D56" s="178"/>
      <c r="E56" s="178"/>
      <c r="F56" s="178"/>
      <c r="G56" s="178"/>
      <c r="H56" s="178"/>
      <c r="I56" s="178"/>
      <c r="J56" s="107">
        <v>7</v>
      </c>
      <c r="K56" s="211" t="str">
        <f>VLOOKUP(B56,[1]Sheet!$A:$I,9,0)</f>
        <v>матрица</v>
      </c>
      <c r="L56" s="2" t="s">
        <v>83</v>
      </c>
      <c r="M56" s="2"/>
      <c r="N56" s="2"/>
    </row>
    <row r="57" spans="1:14" s="4" customFormat="1">
      <c r="A57" s="106">
        <v>2</v>
      </c>
      <c r="B57" s="178" t="s">
        <v>44</v>
      </c>
      <c r="C57" s="178"/>
      <c r="D57" s="178"/>
      <c r="E57" s="178"/>
      <c r="F57" s="178"/>
      <c r="G57" s="178"/>
      <c r="H57" s="178"/>
      <c r="I57" s="178"/>
      <c r="J57" s="107">
        <v>6</v>
      </c>
      <c r="K57" s="211" t="str">
        <f>VLOOKUP(B57,[1]Sheet!$A:$I,9,0)</f>
        <v>матрица</v>
      </c>
      <c r="L57" s="2" t="s">
        <v>83</v>
      </c>
      <c r="M57" s="2"/>
      <c r="N57" s="2"/>
    </row>
    <row r="58" spans="1:14" s="4" customFormat="1">
      <c r="A58" s="106">
        <v>3</v>
      </c>
      <c r="B58" s="178" t="s">
        <v>61</v>
      </c>
      <c r="C58" s="178"/>
      <c r="D58" s="178"/>
      <c r="E58" s="178"/>
      <c r="F58" s="178"/>
      <c r="G58" s="178"/>
      <c r="H58" s="178"/>
      <c r="I58" s="178"/>
      <c r="J58" s="107">
        <v>12</v>
      </c>
      <c r="K58" s="211" t="str">
        <f>VLOOKUP(B58,[1]Sheet!$A:$I,9,0)</f>
        <v>матрица</v>
      </c>
      <c r="L58" s="2" t="s">
        <v>84</v>
      </c>
      <c r="M58" s="2"/>
      <c r="N58" s="2"/>
    </row>
    <row r="59" spans="1:14" s="4" customFormat="1">
      <c r="A59" s="106">
        <v>4</v>
      </c>
      <c r="B59" s="178" t="s">
        <v>62</v>
      </c>
      <c r="C59" s="178"/>
      <c r="D59" s="178"/>
      <c r="E59" s="178"/>
      <c r="F59" s="178"/>
      <c r="G59" s="178"/>
      <c r="H59" s="178"/>
      <c r="I59" s="178"/>
      <c r="J59" s="107">
        <v>15</v>
      </c>
      <c r="K59" s="211" t="str">
        <f>VLOOKUP(B59,[1]Sheet!$A:$I,9,0)</f>
        <v>матрица</v>
      </c>
      <c r="L59" s="2" t="s">
        <v>85</v>
      </c>
      <c r="M59" s="2"/>
      <c r="N59" s="2"/>
    </row>
    <row r="60" spans="1:14" s="4" customFormat="1">
      <c r="A60" s="106">
        <v>5</v>
      </c>
      <c r="B60" s="178" t="s">
        <v>63</v>
      </c>
      <c r="C60" s="178"/>
      <c r="D60" s="178"/>
      <c r="E60" s="178"/>
      <c r="F60" s="178"/>
      <c r="G60" s="178"/>
      <c r="H60" s="178"/>
      <c r="I60" s="178"/>
      <c r="J60" s="107">
        <v>15</v>
      </c>
      <c r="K60" s="211" t="str">
        <f>VLOOKUP(B60,[1]Sheet!$A:$I,9,0)</f>
        <v>матрица</v>
      </c>
      <c r="L60" s="2" t="s">
        <v>86</v>
      </c>
      <c r="M60" s="2"/>
      <c r="N60" s="2"/>
    </row>
    <row r="61" spans="1:14" s="4" customFormat="1">
      <c r="A61" s="106">
        <v>6</v>
      </c>
      <c r="B61" s="178" t="s">
        <v>64</v>
      </c>
      <c r="C61" s="178"/>
      <c r="D61" s="178"/>
      <c r="E61" s="178"/>
      <c r="F61" s="178"/>
      <c r="G61" s="178"/>
      <c r="H61" s="178"/>
      <c r="I61" s="178"/>
      <c r="J61" s="107">
        <v>5</v>
      </c>
      <c r="K61" s="211" t="str">
        <f>VLOOKUP(B61,[1]Sheet!$A:$I,9,0)</f>
        <v>матрица</v>
      </c>
      <c r="L61" s="2" t="s">
        <v>87</v>
      </c>
      <c r="M61" s="2"/>
      <c r="N61" s="2"/>
    </row>
    <row r="62" spans="1:14" s="4" customFormat="1">
      <c r="A62" s="106">
        <v>7</v>
      </c>
      <c r="B62" s="178" t="s">
        <v>45</v>
      </c>
      <c r="C62" s="178"/>
      <c r="D62" s="178"/>
      <c r="E62" s="178"/>
      <c r="F62" s="178"/>
      <c r="G62" s="178"/>
      <c r="H62" s="178"/>
      <c r="I62" s="178"/>
      <c r="J62" s="107">
        <v>7</v>
      </c>
      <c r="K62" s="211" t="str">
        <f>VLOOKUP(B62,[1]Sheet!$A:$I,9,0)</f>
        <v>матрица</v>
      </c>
      <c r="L62" s="2" t="s">
        <v>88</v>
      </c>
      <c r="M62" s="2"/>
      <c r="N62" s="2"/>
    </row>
    <row r="63" spans="1:14" s="4" customFormat="1">
      <c r="A63" s="106">
        <v>8</v>
      </c>
      <c r="B63" s="178" t="s">
        <v>65</v>
      </c>
      <c r="C63" s="178"/>
      <c r="D63" s="178"/>
      <c r="E63" s="178"/>
      <c r="F63" s="178"/>
      <c r="G63" s="178"/>
      <c r="H63" s="178"/>
      <c r="I63" s="178"/>
      <c r="J63" s="107">
        <v>10</v>
      </c>
      <c r="K63" s="211" t="str">
        <f>VLOOKUP(B63,[1]Sheet!$A:$I,9,0)</f>
        <v>матрица</v>
      </c>
      <c r="L63" s="2" t="s">
        <v>89</v>
      </c>
      <c r="M63" s="2"/>
      <c r="N63" s="2"/>
    </row>
    <row r="64" spans="1:14" s="4" customFormat="1">
      <c r="A64" s="106">
        <v>9</v>
      </c>
      <c r="B64" s="178" t="s">
        <v>66</v>
      </c>
      <c r="C64" s="178"/>
      <c r="D64" s="178"/>
      <c r="E64" s="178"/>
      <c r="F64" s="178"/>
      <c r="G64" s="178"/>
      <c r="H64" s="178"/>
      <c r="I64" s="178"/>
      <c r="J64" s="107">
        <v>16</v>
      </c>
      <c r="K64" s="211" t="str">
        <f>VLOOKUP(B64,[1]Sheet!$A:$I,9,0)</f>
        <v>матрица</v>
      </c>
      <c r="L64" s="2" t="s">
        <v>90</v>
      </c>
      <c r="M64" s="2"/>
      <c r="N64" s="2"/>
    </row>
    <row r="65" spans="1:14" s="4" customFormat="1">
      <c r="A65" s="106">
        <v>10</v>
      </c>
      <c r="B65" s="178" t="s">
        <v>67</v>
      </c>
      <c r="C65" s="178"/>
      <c r="D65" s="178"/>
      <c r="E65" s="178"/>
      <c r="F65" s="178"/>
      <c r="G65" s="178"/>
      <c r="H65" s="178"/>
      <c r="I65" s="178"/>
      <c r="J65" s="107">
        <v>7</v>
      </c>
      <c r="K65" s="211" t="str">
        <f>VLOOKUP(B65,[1]Sheet!$A:$I,9,0)</f>
        <v>матрица</v>
      </c>
      <c r="L65" s="2" t="s">
        <v>91</v>
      </c>
      <c r="M65" s="2"/>
      <c r="N65" s="2"/>
    </row>
    <row r="66" spans="1:14" s="4" customFormat="1">
      <c r="A66" s="106">
        <v>11</v>
      </c>
      <c r="B66" s="178" t="s">
        <v>68</v>
      </c>
      <c r="C66" s="178"/>
      <c r="D66" s="178"/>
      <c r="E66" s="178"/>
      <c r="F66" s="178"/>
      <c r="G66" s="178"/>
      <c r="H66" s="178"/>
      <c r="I66" s="178"/>
      <c r="J66" s="107">
        <v>10</v>
      </c>
      <c r="K66" s="211" t="str">
        <f>VLOOKUP(B66,[1]Sheet!$A:$I,9,0)</f>
        <v>матрица</v>
      </c>
      <c r="L66" s="2" t="s">
        <v>92</v>
      </c>
      <c r="M66" s="2"/>
      <c r="N66" s="2"/>
    </row>
    <row r="67" spans="1:14" s="4" customFormat="1">
      <c r="A67" s="106">
        <v>12</v>
      </c>
      <c r="B67" s="178" t="s">
        <v>50</v>
      </c>
      <c r="C67" s="178"/>
      <c r="D67" s="178"/>
      <c r="E67" s="178"/>
      <c r="F67" s="178"/>
      <c r="G67" s="178"/>
      <c r="H67" s="178"/>
      <c r="I67" s="178"/>
      <c r="J67" s="107">
        <v>20</v>
      </c>
      <c r="K67" s="227" t="str">
        <f>VLOOKUP(B67,[1]Sheet!$A:$I,9,0)</f>
        <v>не в матрице</v>
      </c>
      <c r="L67" s="2"/>
      <c r="M67" s="2"/>
      <c r="N67" s="2"/>
    </row>
    <row r="68" spans="1:14" s="4" customFormat="1">
      <c r="A68" s="106">
        <v>13</v>
      </c>
      <c r="B68" s="178" t="s">
        <v>46</v>
      </c>
      <c r="C68" s="178"/>
      <c r="D68" s="178"/>
      <c r="E68" s="178"/>
      <c r="F68" s="178"/>
      <c r="G68" s="178"/>
      <c r="H68" s="178"/>
      <c r="I68" s="178"/>
      <c r="J68" s="107">
        <v>20</v>
      </c>
      <c r="K68" s="211" t="str">
        <f>VLOOKUP(B68,[1]Sheet!$A:$I,9,0)</f>
        <v>матрица</v>
      </c>
      <c r="L68" s="2" t="s">
        <v>93</v>
      </c>
      <c r="M68" s="2"/>
      <c r="N68" s="2"/>
    </row>
    <row r="69" spans="1:14" s="4" customFormat="1">
      <c r="A69" s="106">
        <v>14</v>
      </c>
      <c r="B69" s="178" t="s">
        <v>69</v>
      </c>
      <c r="C69" s="178"/>
      <c r="D69" s="178"/>
      <c r="E69" s="178"/>
      <c r="F69" s="178"/>
      <c r="G69" s="178"/>
      <c r="H69" s="178"/>
      <c r="I69" s="178"/>
      <c r="J69" s="107">
        <v>7</v>
      </c>
      <c r="K69" s="211" t="str">
        <f>VLOOKUP(B69,[1]Sheet!$A:$I,9,0)</f>
        <v>матрица</v>
      </c>
      <c r="L69" s="2" t="s">
        <v>94</v>
      </c>
      <c r="M69" s="2"/>
      <c r="N69" s="2"/>
    </row>
    <row r="70" spans="1:14" s="4" customFormat="1">
      <c r="A70" s="106">
        <v>15</v>
      </c>
      <c r="B70" s="178" t="s">
        <v>70</v>
      </c>
      <c r="C70" s="178"/>
      <c r="D70" s="178"/>
      <c r="E70" s="178"/>
      <c r="F70" s="178"/>
      <c r="G70" s="178"/>
      <c r="H70" s="178"/>
      <c r="I70" s="178"/>
      <c r="J70" s="107">
        <v>35</v>
      </c>
      <c r="K70" s="211" t="str">
        <f>VLOOKUP(B70,[1]Sheet!$A:$I,9,0)</f>
        <v>матрица</v>
      </c>
      <c r="L70" s="2" t="s">
        <v>95</v>
      </c>
      <c r="M70" s="2"/>
      <c r="N70" s="2"/>
    </row>
    <row r="71" spans="1:14" s="4" customFormat="1">
      <c r="A71" s="106">
        <v>16</v>
      </c>
      <c r="B71" s="178" t="s">
        <v>71</v>
      </c>
      <c r="C71" s="178"/>
      <c r="D71" s="178"/>
      <c r="E71" s="178"/>
      <c r="F71" s="178"/>
      <c r="G71" s="178"/>
      <c r="H71" s="178"/>
      <c r="I71" s="178"/>
      <c r="J71" s="107">
        <v>7</v>
      </c>
      <c r="K71" s="211" t="str">
        <f>VLOOKUP(B71,[1]Sheet!$A:$I,9,0)</f>
        <v>матрица</v>
      </c>
      <c r="L71" s="2" t="s">
        <v>97</v>
      </c>
      <c r="M71" s="2"/>
      <c r="N71" s="2"/>
    </row>
    <row r="72" spans="1:14" s="4" customFormat="1">
      <c r="A72" s="106">
        <v>17</v>
      </c>
      <c r="B72" s="178" t="s">
        <v>72</v>
      </c>
      <c r="C72" s="178"/>
      <c r="D72" s="178"/>
      <c r="E72" s="178"/>
      <c r="F72" s="178"/>
      <c r="G72" s="178"/>
      <c r="H72" s="178"/>
      <c r="I72" s="178"/>
      <c r="J72" s="107">
        <v>7</v>
      </c>
      <c r="K72" s="211" t="str">
        <f>VLOOKUP(B72,[1]Sheet!$A:$I,9,0)</f>
        <v>матрица</v>
      </c>
      <c r="L72" s="2" t="s">
        <v>98</v>
      </c>
      <c r="M72" s="2"/>
      <c r="N72" s="2"/>
    </row>
    <row r="73" spans="1:14" s="4" customFormat="1">
      <c r="A73" s="106">
        <v>18</v>
      </c>
      <c r="B73" s="178" t="s">
        <v>73</v>
      </c>
      <c r="C73" s="178"/>
      <c r="D73" s="178"/>
      <c r="E73" s="178"/>
      <c r="F73" s="178"/>
      <c r="G73" s="178"/>
      <c r="H73" s="178"/>
      <c r="I73" s="178"/>
      <c r="J73" s="107">
        <v>40</v>
      </c>
      <c r="K73" s="211" t="str">
        <f>VLOOKUP(B73,[1]Sheet!$A:$I,9,0)</f>
        <v>матрица</v>
      </c>
      <c r="L73" s="2" t="s">
        <v>96</v>
      </c>
      <c r="M73" s="2"/>
      <c r="N73" s="2"/>
    </row>
    <row r="74" spans="1:14" s="4" customFormat="1">
      <c r="A74" s="106">
        <v>19</v>
      </c>
      <c r="B74" s="178" t="s">
        <v>74</v>
      </c>
      <c r="C74" s="178"/>
      <c r="D74" s="178"/>
      <c r="E74" s="178"/>
      <c r="F74" s="178"/>
      <c r="G74" s="178"/>
      <c r="H74" s="178"/>
      <c r="I74" s="178"/>
      <c r="J74" s="107">
        <v>6</v>
      </c>
      <c r="K74" s="211" t="str">
        <f>VLOOKUP(B74,[1]Sheet!$A:$I,9,0)</f>
        <v>матрица</v>
      </c>
      <c r="L74" s="2" t="s">
        <v>99</v>
      </c>
      <c r="M74" s="2"/>
      <c r="N74" s="2"/>
    </row>
    <row r="75" spans="1:14" s="4" customFormat="1">
      <c r="A75" s="106">
        <v>20</v>
      </c>
      <c r="B75" s="178" t="s">
        <v>75</v>
      </c>
      <c r="C75" s="178"/>
      <c r="D75" s="178"/>
      <c r="E75" s="178"/>
      <c r="F75" s="178"/>
      <c r="G75" s="178"/>
      <c r="H75" s="178"/>
      <c r="I75" s="178"/>
      <c r="J75" s="107">
        <v>20</v>
      </c>
      <c r="K75" s="211" t="str">
        <f>VLOOKUP(B75,[1]Sheet!$A:$I,9,0)</f>
        <v>матрица</v>
      </c>
      <c r="L75" s="2" t="s">
        <v>101</v>
      </c>
      <c r="M75" s="2"/>
      <c r="N75" s="2"/>
    </row>
    <row r="76" spans="1:14" s="4" customFormat="1">
      <c r="A76" s="106">
        <v>21</v>
      </c>
      <c r="B76" s="178" t="s">
        <v>76</v>
      </c>
      <c r="C76" s="178"/>
      <c r="D76" s="178"/>
      <c r="E76" s="178"/>
      <c r="F76" s="178"/>
      <c r="G76" s="178"/>
      <c r="H76" s="178"/>
      <c r="I76" s="178"/>
      <c r="J76" s="107">
        <v>25</v>
      </c>
      <c r="K76" s="211" t="str">
        <f>VLOOKUP(B76,[1]Sheet!$A:$I,9,0)</f>
        <v>матрица</v>
      </c>
      <c r="L76" s="2" t="s">
        <v>100</v>
      </c>
      <c r="M76" s="2"/>
      <c r="N76" s="2"/>
    </row>
    <row r="77" spans="1:14" s="4" customFormat="1">
      <c r="A77" s="106">
        <v>22</v>
      </c>
      <c r="B77" s="178" t="s">
        <v>47</v>
      </c>
      <c r="C77" s="178"/>
      <c r="D77" s="178"/>
      <c r="E77" s="178"/>
      <c r="F77" s="178"/>
      <c r="G77" s="178"/>
      <c r="H77" s="178"/>
      <c r="I77" s="178"/>
      <c r="J77" s="107">
        <v>12</v>
      </c>
      <c r="K77" s="211" t="str">
        <f>VLOOKUP(B77,[1]Sheet!$A:$I,9,0)</f>
        <v>матрица</v>
      </c>
      <c r="L77" s="2" t="s">
        <v>102</v>
      </c>
      <c r="M77" s="2"/>
      <c r="N77" s="2"/>
    </row>
    <row r="78" spans="1:14" s="4" customFormat="1">
      <c r="A78" s="106">
        <v>23</v>
      </c>
      <c r="B78" s="178" t="s">
        <v>48</v>
      </c>
      <c r="C78" s="178"/>
      <c r="D78" s="178"/>
      <c r="E78" s="178"/>
      <c r="F78" s="178"/>
      <c r="G78" s="178"/>
      <c r="H78" s="178"/>
      <c r="I78" s="178"/>
      <c r="J78" s="107">
        <v>12</v>
      </c>
      <c r="K78" s="211" t="str">
        <f>VLOOKUP(B78,[1]Sheet!$A:$I,9,0)</f>
        <v>матрица</v>
      </c>
      <c r="L78" s="2" t="s">
        <v>103</v>
      </c>
      <c r="M78" s="2"/>
      <c r="N78" s="2"/>
    </row>
    <row r="79" spans="1:14" s="4" customFormat="1">
      <c r="A79" s="106">
        <v>24</v>
      </c>
      <c r="B79" s="178" t="s">
        <v>77</v>
      </c>
      <c r="C79" s="178"/>
      <c r="D79" s="178"/>
      <c r="E79" s="178"/>
      <c r="F79" s="178"/>
      <c r="G79" s="178"/>
      <c r="H79" s="178"/>
      <c r="I79" s="178"/>
      <c r="J79" s="107">
        <v>25</v>
      </c>
      <c r="K79" s="211" t="str">
        <f>VLOOKUP(B79,[1]Sheet!$A:$I,9,0)</f>
        <v>матрица</v>
      </c>
      <c r="L79" s="2" t="s">
        <v>104</v>
      </c>
      <c r="M79" s="2"/>
      <c r="N79" s="2"/>
    </row>
    <row r="80" spans="1:14" s="4" customFormat="1">
      <c r="A80" s="106">
        <v>25</v>
      </c>
      <c r="B80" s="178" t="s">
        <v>78</v>
      </c>
      <c r="C80" s="178"/>
      <c r="D80" s="178"/>
      <c r="E80" s="178"/>
      <c r="F80" s="178"/>
      <c r="G80" s="178"/>
      <c r="H80" s="178"/>
      <c r="I80" s="178"/>
      <c r="J80" s="107">
        <v>10</v>
      </c>
      <c r="K80" s="211" t="str">
        <f>VLOOKUP(B80,[1]Sheet!$A:$I,9,0)</f>
        <v>матрица</v>
      </c>
      <c r="L80" s="2" t="s">
        <v>105</v>
      </c>
      <c r="M80" s="2"/>
      <c r="N80" s="2"/>
    </row>
    <row r="81" spans="1:14" s="4" customFormat="1">
      <c r="A81" s="106">
        <v>26</v>
      </c>
      <c r="B81" s="178" t="s">
        <v>79</v>
      </c>
      <c r="C81" s="178"/>
      <c r="D81" s="178"/>
      <c r="E81" s="178"/>
      <c r="F81" s="178"/>
      <c r="G81" s="178"/>
      <c r="H81" s="178"/>
      <c r="I81" s="178"/>
      <c r="J81" s="107">
        <v>20</v>
      </c>
      <c r="K81" s="211" t="str">
        <f>VLOOKUP(B81,[1]Sheet!$A:$I,9,0)</f>
        <v>матрица</v>
      </c>
      <c r="L81" s="2" t="s">
        <v>106</v>
      </c>
      <c r="M81" s="2"/>
      <c r="N81" s="2"/>
    </row>
    <row r="82" spans="1:14" s="4" customFormat="1">
      <c r="A82" s="106">
        <v>27</v>
      </c>
      <c r="B82" s="178" t="s">
        <v>80</v>
      </c>
      <c r="C82" s="178"/>
      <c r="D82" s="178"/>
      <c r="E82" s="178"/>
      <c r="F82" s="178"/>
      <c r="G82" s="178"/>
      <c r="H82" s="178"/>
      <c r="I82" s="178"/>
      <c r="J82" s="107">
        <v>30</v>
      </c>
      <c r="K82" s="211" t="str">
        <f>VLOOKUP(B82,[1]Sheet!$A:$I,9,0)</f>
        <v>матрица</v>
      </c>
      <c r="L82" s="2" t="s">
        <v>106</v>
      </c>
      <c r="M82" s="2"/>
      <c r="N82" s="2"/>
    </row>
    <row r="83" spans="1:14" s="4" customFormat="1">
      <c r="A83" s="106">
        <v>28</v>
      </c>
      <c r="B83" s="178" t="s">
        <v>81</v>
      </c>
      <c r="C83" s="178"/>
      <c r="D83" s="178"/>
      <c r="E83" s="178"/>
      <c r="F83" s="178"/>
      <c r="G83" s="178"/>
      <c r="H83" s="178"/>
      <c r="I83" s="178"/>
      <c r="J83" s="107">
        <v>20</v>
      </c>
      <c r="K83" s="211" t="str">
        <f>VLOOKUP(B83,[1]Sheet!$A:$I,9,0)</f>
        <v>матрица</v>
      </c>
      <c r="L83" s="2" t="s">
        <v>107</v>
      </c>
      <c r="M83" s="2"/>
      <c r="N83" s="2"/>
    </row>
    <row r="84" spans="1:14" s="4" customFormat="1">
      <c r="A84" s="106">
        <v>29</v>
      </c>
      <c r="B84" s="178" t="s">
        <v>49</v>
      </c>
      <c r="C84" s="178"/>
      <c r="D84" s="178"/>
      <c r="E84" s="178"/>
      <c r="F84" s="178"/>
      <c r="G84" s="178"/>
      <c r="H84" s="178"/>
      <c r="I84" s="178"/>
      <c r="J84" s="107">
        <v>8</v>
      </c>
      <c r="K84" s="211" t="str">
        <f>VLOOKUP(B84,[1]Sheet!$A:$I,9,0)</f>
        <v>матрица</v>
      </c>
      <c r="L84" s="2" t="s">
        <v>108</v>
      </c>
      <c r="M84" s="2"/>
      <c r="N84" s="2"/>
    </row>
    <row r="85" spans="1:14" s="4" customFormat="1">
      <c r="A85" s="106">
        <v>30</v>
      </c>
      <c r="B85" s="178" t="s">
        <v>82</v>
      </c>
      <c r="C85" s="178"/>
      <c r="D85" s="178"/>
      <c r="E85" s="178"/>
      <c r="F85" s="178"/>
      <c r="G85" s="178"/>
      <c r="H85" s="178"/>
      <c r="I85" s="178"/>
      <c r="J85" s="107">
        <v>50</v>
      </c>
      <c r="K85" s="211" t="s">
        <v>110</v>
      </c>
      <c r="L85" s="2" t="s">
        <v>109</v>
      </c>
      <c r="M85" s="2"/>
      <c r="N85" s="2"/>
    </row>
    <row r="86" spans="1:14" s="4" customFormat="1" hidden="1">
      <c r="A86" s="106">
        <v>31</v>
      </c>
      <c r="B86" s="178"/>
      <c r="C86" s="178"/>
      <c r="D86" s="178"/>
      <c r="E86" s="178"/>
      <c r="F86" s="178"/>
      <c r="G86" s="178"/>
      <c r="H86" s="178"/>
      <c r="I86" s="178"/>
      <c r="J86" s="107"/>
      <c r="L86" s="2"/>
      <c r="M86" s="2"/>
      <c r="N86" s="2"/>
    </row>
    <row r="87" spans="1:14" s="4" customFormat="1" hidden="1">
      <c r="A87" s="106">
        <v>32</v>
      </c>
      <c r="B87" s="178"/>
      <c r="C87" s="178"/>
      <c r="D87" s="178"/>
      <c r="E87" s="178"/>
      <c r="F87" s="178"/>
      <c r="G87" s="178"/>
      <c r="H87" s="178"/>
      <c r="I87" s="178"/>
      <c r="J87" s="107"/>
      <c r="L87" s="2"/>
      <c r="M87" s="2"/>
      <c r="N87" s="2"/>
    </row>
    <row r="88" spans="1:14" s="4" customFormat="1" hidden="1">
      <c r="A88" s="106">
        <v>33</v>
      </c>
      <c r="B88" s="178"/>
      <c r="C88" s="178"/>
      <c r="D88" s="178"/>
      <c r="E88" s="178"/>
      <c r="F88" s="178"/>
      <c r="G88" s="178"/>
      <c r="H88" s="178"/>
      <c r="I88" s="178"/>
      <c r="J88" s="107"/>
      <c r="L88" s="2"/>
      <c r="M88" s="2"/>
      <c r="N88" s="2"/>
    </row>
    <row r="89" spans="1:14" s="4" customFormat="1" hidden="1">
      <c r="A89" s="106">
        <v>34</v>
      </c>
      <c r="B89" s="178"/>
      <c r="C89" s="178"/>
      <c r="D89" s="178"/>
      <c r="E89" s="178"/>
      <c r="F89" s="178"/>
      <c r="G89" s="178"/>
      <c r="H89" s="178"/>
      <c r="I89" s="178"/>
      <c r="J89" s="107"/>
      <c r="L89" s="2"/>
      <c r="M89" s="2"/>
      <c r="N89" s="2"/>
    </row>
    <row r="90" spans="1:14" s="4" customFormat="1" hidden="1">
      <c r="A90" s="106">
        <v>35</v>
      </c>
      <c r="B90" s="178"/>
      <c r="C90" s="178"/>
      <c r="D90" s="178"/>
      <c r="E90" s="178"/>
      <c r="F90" s="178"/>
      <c r="G90" s="178"/>
      <c r="H90" s="178"/>
      <c r="I90" s="178"/>
      <c r="J90" s="107"/>
      <c r="L90" s="2"/>
      <c r="M90" s="2"/>
      <c r="N90" s="2"/>
    </row>
    <row r="91" spans="1:14" s="4" customFormat="1" hidden="1">
      <c r="A91" s="106">
        <v>36</v>
      </c>
      <c r="B91" s="178"/>
      <c r="C91" s="178"/>
      <c r="D91" s="178"/>
      <c r="E91" s="178"/>
      <c r="F91" s="178"/>
      <c r="G91" s="178"/>
      <c r="H91" s="178"/>
      <c r="I91" s="178"/>
      <c r="J91" s="107"/>
      <c r="L91" s="2"/>
      <c r="M91" s="2"/>
      <c r="N91" s="2"/>
    </row>
    <row r="92" spans="1:14" s="4" customFormat="1" ht="15.75" hidden="1" thickBot="1">
      <c r="A92" s="104"/>
      <c r="B92" s="198" t="s">
        <v>15</v>
      </c>
      <c r="C92" s="199"/>
      <c r="D92" s="199"/>
      <c r="E92" s="199"/>
      <c r="F92" s="199"/>
      <c r="G92" s="199"/>
      <c r="H92" s="199"/>
      <c r="I92" s="200"/>
      <c r="J92" s="105">
        <f>SUM(J56:J91)</f>
        <v>484</v>
      </c>
      <c r="L92" s="2"/>
      <c r="M92" s="2"/>
      <c r="N92" s="2"/>
    </row>
  </sheetData>
  <autoFilter ref="A55:J92" xr:uid="{AA953733-A240-4290-B96B-A32708374C3F}">
    <filterColumn colId="1" showButton="0">
      <filters>
        <filter val="4063 МЯСНАЯ Папа может вар п/о_Л   ОСТАНКИНО"/>
        <filter val="4813 ФИЛЕЙНАЯ Папа может вар п/о_Л   ОСТАНКИНО"/>
        <filter val="5452 ВЕТЧ.МЯСНАЯ Папа может п/о    ОСТАНКИНО"/>
        <filter val="5544 Сервелат Финский в/к в/у_45с НОВАЯ ОСТАНКИНО"/>
        <filter val="5819 Сосиски Папа может 400г Мясные  ОСТАНКИНО"/>
        <filter val="5931 ОХОТНИЧЬЯ Папа может с/к в/у 1/220 8шт.   ОСТАНКИНО"/>
        <filter val="6220 ГОВЯЖЬЯ папа может вар п/о  Останкино"/>
        <filter val="6303 Мясные Папа может сос п/о мгс 1,5*3  Останкино"/>
        <filter val="6325 ДОКТОРСКАЯ ПРЕМИУМ вар п/о 0.4кг 8шт.  ОСТАНКИНО"/>
        <filter val="6333 МЯСНАЯ Папа может вар п/о 0.4кг 8шт.  ОСТАНКИНО"/>
        <filter val="6470 ВЕТЧ.МРАМОРНАЯ в/у_45с  ОСТАНКИНО"/>
        <filter val="6498 МОЛОЧНАЯ Папа может вар п/о  ОСТАНКИНО"/>
        <filter val="6550 МЯСНЫЕ Папа может сар б/о мгс 1*3 О 45с  Останкино"/>
        <filter val="6697 СЕРВЕЛАТ ФИНСКИЙ ПМ в/к в/у 0,35кг 8шт  ОСТАНКИНО"/>
        <filter val="6787 СЕРВЕЛАТ КРЕМЛЕВСКИЙ в/к в/у 0,33кг 8шт  Останкино"/>
        <filter val="6837 ФИЛЕЙНЫЕ Папа Может сос ц/о мгс 0,4кг  Останкино"/>
        <filter val="7066 СОЧНЫЕ ПМ сос п/о мгс 0,41кг 10шт 50с  Останкино"/>
        <filter val="7070 СОЧНЫЕ ПМ сос п/о 1,5*4_А_50с  Останкино"/>
        <filter val="7080 СЛИВОЧНЫЕ ПМ сос п/о мгс 0,41кг 10шт 50с  Останкино"/>
        <filter val="7154 СЕРВЕЛАТ ЗЕРНИСТЫЙ ПМ в/к в/у 0,35кг_50с  Останкино"/>
        <filter val="7157 СЕРВЕЛАТ ЗЕРНИСТЫЙ ПМ в/к в/у_50с  Останкино"/>
        <filter val="7166 СЕРВЕЛАТ ОХОТНИЧИЙ ПМ в/к в/у_50с  Останкино"/>
        <filter val="7169 СЕРВЕЛАТ ОХОТНИЧИЙ ПМ в/к в/у 0,35кг_50с  Останкино"/>
        <filter val="7187 ГРУДИНКА ПРЕМИУМ к/в мл/к в/у 0,3кг_50с  Останкино"/>
        <filter val="7241 САЛЯМИ Папа может п/к в/у 0,28кг ОСТАНКИНО"/>
        <filter val="7255 МЯСНЫЕ С ГОВЯД.ПМ сос п/о мгс 0.4кг 6шт.  ОСТАНКИНО"/>
        <filter val="7490 СОЧНЫЙ ГРИЛЬ сос ц/о мгс 0.41кг_Даблпак  ОСТАНКИНО"/>
        <filter val="7603 БАЛЫКОВАЯ в/к в/у 0.33кг 8шт. ОСТАНКИНО"/>
        <filter val="7632 ЭКСТРА Папа может вар п/о 0.4кг 8шт_195к  ОСТАНКИНО"/>
      </filters>
    </filterColumn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mergeCells count="102">
    <mergeCell ref="B84:I84"/>
    <mergeCell ref="B85:I85"/>
    <mergeCell ref="B86:I86"/>
    <mergeCell ref="B87:I87"/>
    <mergeCell ref="B88:I88"/>
    <mergeCell ref="B89:I89"/>
    <mergeCell ref="B78:I78"/>
    <mergeCell ref="B79:I79"/>
    <mergeCell ref="B80:I80"/>
    <mergeCell ref="B81:I81"/>
    <mergeCell ref="B82:I82"/>
    <mergeCell ref="B83:I83"/>
    <mergeCell ref="B57:I57"/>
    <mergeCell ref="B58:I58"/>
    <mergeCell ref="B59:I59"/>
    <mergeCell ref="B60:I60"/>
    <mergeCell ref="B61:I61"/>
    <mergeCell ref="B92:I92"/>
    <mergeCell ref="B62:I62"/>
    <mergeCell ref="B63:I63"/>
    <mergeCell ref="B64:I64"/>
    <mergeCell ref="B65:I65"/>
    <mergeCell ref="B72:I72"/>
    <mergeCell ref="B73:I73"/>
    <mergeCell ref="B74:I74"/>
    <mergeCell ref="B75:I75"/>
    <mergeCell ref="B76:I76"/>
    <mergeCell ref="B77:I77"/>
    <mergeCell ref="B66:I66"/>
    <mergeCell ref="B67:I67"/>
    <mergeCell ref="B68:I68"/>
    <mergeCell ref="B69:I69"/>
    <mergeCell ref="B70:I70"/>
    <mergeCell ref="B71:I71"/>
    <mergeCell ref="B90:I90"/>
    <mergeCell ref="B91:I91"/>
    <mergeCell ref="B56:I56"/>
    <mergeCell ref="C51:D51"/>
    <mergeCell ref="E51:F51"/>
    <mergeCell ref="G51:H51"/>
    <mergeCell ref="I51:J51"/>
    <mergeCell ref="A54:J54"/>
    <mergeCell ref="B55:I55"/>
    <mergeCell ref="C49:D49"/>
    <mergeCell ref="E49:F49"/>
    <mergeCell ref="G49:H49"/>
    <mergeCell ref="I49:J49"/>
    <mergeCell ref="C50:D50"/>
    <mergeCell ref="E50:F50"/>
    <mergeCell ref="G50:H50"/>
    <mergeCell ref="I50:J50"/>
    <mergeCell ref="E47:F47"/>
    <mergeCell ref="G47:H47"/>
    <mergeCell ref="I47:J47"/>
    <mergeCell ref="C48:D48"/>
    <mergeCell ref="E48:F48"/>
    <mergeCell ref="G48:H48"/>
    <mergeCell ref="I48:J48"/>
    <mergeCell ref="L41:M41"/>
    <mergeCell ref="L42:M42"/>
    <mergeCell ref="L43:M43"/>
    <mergeCell ref="A44:E44"/>
    <mergeCell ref="G44:L44"/>
    <mergeCell ref="A46:J46"/>
    <mergeCell ref="K35:K36"/>
    <mergeCell ref="L35:M36"/>
    <mergeCell ref="L37:M37"/>
    <mergeCell ref="L38:M38"/>
    <mergeCell ref="L39:M39"/>
    <mergeCell ref="L40:M40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A24:I24"/>
    <mergeCell ref="A31:C31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A1:C1"/>
    <mergeCell ref="E1:H1"/>
    <mergeCell ref="J1:K1"/>
    <mergeCell ref="A2:C2"/>
    <mergeCell ref="F2:H2"/>
    <mergeCell ref="J2:K2"/>
    <mergeCell ref="J6:J7"/>
    <mergeCell ref="K6:L6"/>
    <mergeCell ref="A21:F21"/>
  </mergeCells>
  <pageMargins left="0" right="0" top="0.59055118110236204" bottom="0" header="0" footer="0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17.10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DirKCK</dc:creator>
  <cp:lastModifiedBy>Uaer4</cp:lastModifiedBy>
  <cp:lastPrinted>2026-09-21T08:49:36Z</cp:lastPrinted>
  <dcterms:created xsi:type="dcterms:W3CDTF">2015-06-05T18:19:00Z</dcterms:created>
  <dcterms:modified xsi:type="dcterms:W3CDTF">2026-10-19T09:36:53Z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8A425840EC104B7E8198849E84926F67_12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