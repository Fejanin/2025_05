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19,10,26\"/>
    </mc:Choice>
  </mc:AlternateContent>
  <xr:revisionPtr revIDLastSave="0" documentId="13_ncr:1_{FFACCB61-223A-47CA-B414-28291E8F806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C10" i="1"/>
  <c r="C4" i="1"/>
  <c r="B13" i="1" l="1"/>
</calcChain>
</file>

<file path=xl/sharedStrings.xml><?xml version="1.0" encoding="utf-8"?>
<sst xmlns="http://schemas.openxmlformats.org/spreadsheetml/2006/main" count="22" uniqueCount="15">
  <si>
    <t>5931 ОХОТНИЧЬЯ Папа может с/к в/у 1/220 8шт.   ОСТАНКИНО</t>
  </si>
  <si>
    <t>6475 Сосиски Папа может 400г С сыром  ОСТАНКИНО</t>
  </si>
  <si>
    <t>6602 БАВАРСКИЕ ПМ сос ц/о мгс 0,35кг 8шт  Останкино</t>
  </si>
  <si>
    <t>7132 ВЕНСКАЯ САЛЯМИ п/к в/у 0.840кг  ОСТАНКИНО</t>
  </si>
  <si>
    <t>7299 НАБОР ДЛЯ ПИЦЦЫ Папа Может с/к в/у  ОСТАНКИНО</t>
  </si>
  <si>
    <t>7276 СЛИВОЧНЫЕ ПМ сос п/о мгс 0,3кг 7шт  Останкино</t>
  </si>
  <si>
    <t>7710 КРАКОВСКАЯ ГОСТ п/к н/о мгс 0.3кг  ОСТАНКИНО</t>
  </si>
  <si>
    <t>7489 СЫРРРВЕЛАТ Папа Может в/к в/у 0,28кг 8шт. ОСТАНКИНО</t>
  </si>
  <si>
    <t>7713 СЕРВЕЛАТ КЛАССИЧЕСКИЙ СН в/к в/у 0.28кг  ОСТАНКИНО</t>
  </si>
  <si>
    <t>не в матрице</t>
  </si>
  <si>
    <t>заказывались разово под оптового клиента</t>
  </si>
  <si>
    <t>05,10,26 - завод не отгрузил</t>
  </si>
  <si>
    <t>Наименование позиций</t>
  </si>
  <si>
    <t>КГ</t>
  </si>
  <si>
    <t>Дефицит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</si>
</sst>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2" tint="-0.8998992889187291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1" xfId="1" applyNumberFormat="1" applyFont="1" applyBorder="1" applyAlignment="1">
      <alignment vertical="top" wrapText="1"/>
    </xf>
    <xf numFmtId="0" fontId="0" fillId="0" borderId="1" xfId="0" applyBorder="1"/>
    <xf numFmtId="0" fontId="0" fillId="2" borderId="0" xfId="0" applyFill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_Лист1" xfId="1" xr:uid="{22FB22A4-3ED6-4ABE-90B9-24DDCEDB5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10,26/12,10,26%20&#1054;&#1089;&#1090;&#1072;&#1085;&#1082;&#1080;&#1085;&#1086;%20&#1050;&#1048;%20&#1080;%20&#1047;&#1055;&#1060;/&#1076;&#1074;%2012,10,26%20&#1083;&#107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12994.617000000002</v>
          </cell>
          <cell r="F5">
            <v>31506.39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79.498999999999995</v>
          </cell>
          <cell r="D6">
            <v>100.724</v>
          </cell>
          <cell r="E6">
            <v>4.3499999999999996</v>
          </cell>
          <cell r="F6">
            <v>175.315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160</v>
          </cell>
          <cell r="D7">
            <v>224</v>
          </cell>
          <cell r="E7">
            <v>165</v>
          </cell>
          <cell r="F7">
            <v>199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87.477999999999994</v>
          </cell>
          <cell r="D8">
            <v>48.731000000000002</v>
          </cell>
          <cell r="E8">
            <v>39.713999999999999</v>
          </cell>
          <cell r="F8">
            <v>95.989000000000004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309</v>
          </cell>
          <cell r="D9">
            <v>296</v>
          </cell>
          <cell r="E9">
            <v>38</v>
          </cell>
          <cell r="F9">
            <v>553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1405.7570000000001</v>
          </cell>
          <cell r="D10">
            <v>1.34</v>
          </cell>
          <cell r="E10">
            <v>649.68399999999997</v>
          </cell>
          <cell r="F10">
            <v>725.61300000000006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70.891000000000005</v>
          </cell>
          <cell r="D11">
            <v>28.116</v>
          </cell>
          <cell r="E11">
            <v>37.200000000000003</v>
          </cell>
          <cell r="F11">
            <v>59.305999999999997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567.28899999999999</v>
          </cell>
          <cell r="D12">
            <v>97.403000000000006</v>
          </cell>
          <cell r="E12">
            <v>217.083</v>
          </cell>
          <cell r="F12">
            <v>431.83800000000002</v>
          </cell>
          <cell r="G12">
            <v>1</v>
          </cell>
          <cell r="H12">
            <v>60</v>
          </cell>
          <cell r="I12" t="str">
            <v>ВНИМАНИЕ / 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789.28700000000003</v>
          </cell>
          <cell r="D13">
            <v>51.420999999999999</v>
          </cell>
          <cell r="E13">
            <v>209.84299999999999</v>
          </cell>
          <cell r="F13">
            <v>591.39700000000005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374</v>
          </cell>
          <cell r="D14">
            <v>144</v>
          </cell>
          <cell r="E14">
            <v>79</v>
          </cell>
          <cell r="F14">
            <v>427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220.43299999999999</v>
          </cell>
          <cell r="D15">
            <v>58.722000000000001</v>
          </cell>
          <cell r="E15">
            <v>75.382999999999996</v>
          </cell>
          <cell r="F15">
            <v>183.45599999999999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569</v>
          </cell>
          <cell r="D16">
            <v>178</v>
          </cell>
          <cell r="E16">
            <v>196</v>
          </cell>
          <cell r="F16">
            <v>532</v>
          </cell>
          <cell r="G16">
            <v>0.25</v>
          </cell>
          <cell r="H16">
            <v>120</v>
          </cell>
          <cell r="I16" t="str">
            <v>ВНИМАНИЕ / 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216</v>
          </cell>
          <cell r="E17">
            <v>48</v>
          </cell>
          <cell r="F17">
            <v>149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830.37300000000005</v>
          </cell>
          <cell r="D18">
            <v>103.193</v>
          </cell>
          <cell r="E18">
            <v>204.52600000000001</v>
          </cell>
          <cell r="F18">
            <v>713.11900000000003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83.066000000000003</v>
          </cell>
          <cell r="E19">
            <v>6.085</v>
          </cell>
          <cell r="F19">
            <v>75.966999999999999</v>
          </cell>
          <cell r="G19">
            <v>1</v>
          </cell>
          <cell r="H19">
            <v>120</v>
          </cell>
          <cell r="I19" t="str">
            <v>ротация на код 7700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143</v>
          </cell>
          <cell r="D20">
            <v>50</v>
          </cell>
          <cell r="E20">
            <v>25</v>
          </cell>
          <cell r="F20">
            <v>140</v>
          </cell>
          <cell r="G20">
            <v>0.4</v>
          </cell>
          <cell r="H20">
            <v>45</v>
          </cell>
          <cell r="I20" t="str">
            <v>матрица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1008.779</v>
          </cell>
          <cell r="D21">
            <v>151.48500000000001</v>
          </cell>
          <cell r="E21">
            <v>259.21899999999999</v>
          </cell>
          <cell r="F21">
            <v>876.63099999999997</v>
          </cell>
          <cell r="G21">
            <v>1</v>
          </cell>
          <cell r="H21">
            <v>60</v>
          </cell>
          <cell r="I21" t="str">
            <v>матрица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32</v>
          </cell>
          <cell r="E22">
            <v>33</v>
          </cell>
          <cell r="F22">
            <v>-1</v>
          </cell>
          <cell r="G22">
            <v>0.22</v>
          </cell>
          <cell r="H22">
            <v>120</v>
          </cell>
          <cell r="I22" t="str">
            <v>матрица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80.489999999999995</v>
          </cell>
          <cell r="D23">
            <v>21.116</v>
          </cell>
          <cell r="E23">
            <v>38.326000000000001</v>
          </cell>
          <cell r="F23">
            <v>54.826999999999998</v>
          </cell>
          <cell r="G23">
            <v>1</v>
          </cell>
          <cell r="H23">
            <v>40</v>
          </cell>
          <cell r="I23" t="str">
            <v>матрица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344.49400000000003</v>
          </cell>
          <cell r="D24">
            <v>152.81200000000001</v>
          </cell>
          <cell r="E24">
            <v>106.679</v>
          </cell>
          <cell r="F24">
            <v>374.31099999999998</v>
          </cell>
          <cell r="G24">
            <v>1</v>
          </cell>
          <cell r="H24">
            <v>60</v>
          </cell>
          <cell r="I24" t="str">
            <v>матрица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507</v>
          </cell>
          <cell r="D25">
            <v>250</v>
          </cell>
          <cell r="E25">
            <v>274</v>
          </cell>
          <cell r="F25">
            <v>463</v>
          </cell>
          <cell r="G25">
            <v>0.09</v>
          </cell>
          <cell r="H25">
            <v>60</v>
          </cell>
          <cell r="I25" t="str">
            <v>матрица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247</v>
          </cell>
          <cell r="D26">
            <v>200</v>
          </cell>
          <cell r="E26">
            <v>151</v>
          </cell>
          <cell r="F26">
            <v>281</v>
          </cell>
          <cell r="G26">
            <v>0.09</v>
          </cell>
          <cell r="H26">
            <v>45</v>
          </cell>
          <cell r="I26" t="str">
            <v>ВНИМАНИЕ / матрица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311</v>
          </cell>
          <cell r="D27">
            <v>296</v>
          </cell>
          <cell r="E27">
            <v>116</v>
          </cell>
          <cell r="F27">
            <v>450</v>
          </cell>
          <cell r="G27">
            <v>0.15</v>
          </cell>
          <cell r="H27">
            <v>45</v>
          </cell>
          <cell r="I27" t="str">
            <v>матрица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641.976</v>
          </cell>
          <cell r="D28">
            <v>303.98899999999998</v>
          </cell>
          <cell r="E28">
            <v>243.69</v>
          </cell>
          <cell r="F28">
            <v>673.03899999999999</v>
          </cell>
          <cell r="G28">
            <v>1</v>
          </cell>
          <cell r="H28">
            <v>45</v>
          </cell>
          <cell r="I28" t="str">
            <v>матрица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112</v>
          </cell>
          <cell r="D29">
            <v>298</v>
          </cell>
          <cell r="E29">
            <v>253</v>
          </cell>
          <cell r="F29">
            <v>135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927</v>
          </cell>
          <cell r="D30">
            <v>202</v>
          </cell>
          <cell r="E30">
            <v>313</v>
          </cell>
          <cell r="F30">
            <v>785</v>
          </cell>
          <cell r="G30">
            <v>0.4</v>
          </cell>
          <cell r="H30">
            <v>60</v>
          </cell>
          <cell r="I30" t="str">
            <v>ВНИМАНИЕ / матрица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681</v>
          </cell>
          <cell r="D31">
            <v>144</v>
          </cell>
          <cell r="E31">
            <v>257</v>
          </cell>
          <cell r="F31">
            <v>551</v>
          </cell>
          <cell r="G31">
            <v>0.4</v>
          </cell>
          <cell r="H31">
            <v>60</v>
          </cell>
          <cell r="I31" t="str">
            <v>ВНИМАНИЕ / матрица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63</v>
          </cell>
          <cell r="D32">
            <v>6</v>
          </cell>
          <cell r="E32">
            <v>135</v>
          </cell>
          <cell r="F32">
            <v>-99</v>
          </cell>
          <cell r="G32">
            <v>0</v>
          </cell>
          <cell r="H32">
            <v>45</v>
          </cell>
          <cell r="I32" t="str">
            <v>вывод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253.05500000000001</v>
          </cell>
          <cell r="D33">
            <v>150.87299999999999</v>
          </cell>
          <cell r="E33">
            <v>121.542</v>
          </cell>
          <cell r="F33">
            <v>268.96600000000001</v>
          </cell>
          <cell r="G33">
            <v>1</v>
          </cell>
          <cell r="H33">
            <v>60</v>
          </cell>
          <cell r="I33" t="str">
            <v>матрица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261.14800000000002</v>
          </cell>
          <cell r="D34">
            <v>156.499</v>
          </cell>
          <cell r="E34">
            <v>39.859000000000002</v>
          </cell>
          <cell r="F34">
            <v>364.77300000000002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284.25200000000001</v>
          </cell>
          <cell r="D35">
            <v>158.255</v>
          </cell>
          <cell r="E35">
            <v>62.164000000000001</v>
          </cell>
          <cell r="F35">
            <v>371.733</v>
          </cell>
          <cell r="G35">
            <v>1</v>
          </cell>
          <cell r="H35">
            <v>45</v>
          </cell>
          <cell r="I35" t="str">
            <v>матрица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248</v>
          </cell>
          <cell r="E36">
            <v>117</v>
          </cell>
          <cell r="F36">
            <v>126</v>
          </cell>
          <cell r="G36">
            <v>0</v>
          </cell>
          <cell r="I36" t="str">
            <v>РАЗОВО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300.988</v>
          </cell>
          <cell r="D37">
            <v>103.78100000000001</v>
          </cell>
          <cell r="E37">
            <v>91.858000000000004</v>
          </cell>
          <cell r="F37">
            <v>293.64100000000002</v>
          </cell>
          <cell r="G37">
            <v>1</v>
          </cell>
          <cell r="H37">
            <v>45</v>
          </cell>
          <cell r="I37" t="str">
            <v>матрица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566</v>
          </cell>
          <cell r="D38">
            <v>204</v>
          </cell>
          <cell r="E38">
            <v>200</v>
          </cell>
          <cell r="F38">
            <v>515</v>
          </cell>
          <cell r="G38">
            <v>0.3</v>
          </cell>
          <cell r="H38">
            <v>45</v>
          </cell>
          <cell r="I38" t="str">
            <v>матрица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324.78399999999999</v>
          </cell>
          <cell r="D39">
            <v>218.376</v>
          </cell>
          <cell r="E39">
            <v>162.84200000000001</v>
          </cell>
          <cell r="F39">
            <v>358.286</v>
          </cell>
          <cell r="G39">
            <v>1</v>
          </cell>
          <cell r="H39">
            <v>30</v>
          </cell>
          <cell r="I39" t="str">
            <v>матрица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759.71699999999998</v>
          </cell>
          <cell r="D40">
            <v>153.31899999999999</v>
          </cell>
          <cell r="E40">
            <v>199.29</v>
          </cell>
          <cell r="F40">
            <v>694.75300000000004</v>
          </cell>
          <cell r="G40">
            <v>1</v>
          </cell>
          <cell r="H40">
            <v>45</v>
          </cell>
          <cell r="I40" t="str">
            <v>матрица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849</v>
          </cell>
          <cell r="D41">
            <v>297</v>
          </cell>
          <cell r="E41">
            <v>304</v>
          </cell>
          <cell r="F41">
            <v>763</v>
          </cell>
          <cell r="G41">
            <v>0.35</v>
          </cell>
          <cell r="H41">
            <v>45</v>
          </cell>
          <cell r="I41" t="str">
            <v>матрица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290</v>
          </cell>
          <cell r="D42">
            <v>376</v>
          </cell>
          <cell r="E42">
            <v>164</v>
          </cell>
          <cell r="F42">
            <v>407</v>
          </cell>
          <cell r="G42">
            <v>0.41</v>
          </cell>
          <cell r="H42">
            <v>45</v>
          </cell>
          <cell r="I42" t="str">
            <v>ротация на код 7490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347</v>
          </cell>
          <cell r="D43">
            <v>101</v>
          </cell>
          <cell r="E43">
            <v>124</v>
          </cell>
          <cell r="F43">
            <v>299</v>
          </cell>
          <cell r="G43">
            <v>0.41</v>
          </cell>
          <cell r="H43">
            <v>45</v>
          </cell>
          <cell r="I43" t="str">
            <v>матрица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142</v>
          </cell>
          <cell r="D44">
            <v>318</v>
          </cell>
          <cell r="E44">
            <v>218</v>
          </cell>
          <cell r="F44">
            <v>227</v>
          </cell>
          <cell r="G44">
            <v>0.36</v>
          </cell>
          <cell r="H44">
            <v>45</v>
          </cell>
          <cell r="I44" t="str">
            <v>матрица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80</v>
          </cell>
          <cell r="D45">
            <v>65</v>
          </cell>
          <cell r="E45">
            <v>36</v>
          </cell>
          <cell r="F45">
            <v>99</v>
          </cell>
          <cell r="G45">
            <v>0.33</v>
          </cell>
          <cell r="H45">
            <v>45</v>
          </cell>
          <cell r="I45" t="str">
            <v>матрица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138</v>
          </cell>
          <cell r="D46">
            <v>40</v>
          </cell>
          <cell r="E46">
            <v>27</v>
          </cell>
          <cell r="F46">
            <v>140</v>
          </cell>
          <cell r="G46">
            <v>0.4</v>
          </cell>
          <cell r="H46">
            <v>60</v>
          </cell>
          <cell r="I46" t="str">
            <v>матрица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49</v>
          </cell>
          <cell r="D47">
            <v>59</v>
          </cell>
          <cell r="E47">
            <v>37</v>
          </cell>
          <cell r="F47">
            <v>64</v>
          </cell>
          <cell r="G47">
            <v>0.33</v>
          </cell>
          <cell r="H47">
            <v>45</v>
          </cell>
          <cell r="I47" t="str">
            <v>матрица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664.94899999999996</v>
          </cell>
          <cell r="D48">
            <v>199.06</v>
          </cell>
          <cell r="E48">
            <v>211.44900000000001</v>
          </cell>
          <cell r="F48">
            <v>607.14800000000002</v>
          </cell>
          <cell r="G48">
            <v>1</v>
          </cell>
          <cell r="H48">
            <v>45</v>
          </cell>
          <cell r="I48" t="str">
            <v>матрица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117</v>
          </cell>
          <cell r="D49">
            <v>30</v>
          </cell>
          <cell r="E49">
            <v>18</v>
          </cell>
          <cell r="F49">
            <v>97</v>
          </cell>
          <cell r="G49">
            <v>0.4</v>
          </cell>
          <cell r="H49">
            <v>45</v>
          </cell>
          <cell r="I49" t="str">
            <v>матрица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43.198</v>
          </cell>
          <cell r="D50">
            <v>27.69</v>
          </cell>
          <cell r="E50">
            <v>15.750999999999999</v>
          </cell>
          <cell r="F50">
            <v>55.137</v>
          </cell>
          <cell r="G50">
            <v>1</v>
          </cell>
          <cell r="H50">
            <v>60</v>
          </cell>
          <cell r="I50" t="str">
            <v>ротация на код 7754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43.776000000000003</v>
          </cell>
          <cell r="D51">
            <v>31.541</v>
          </cell>
          <cell r="E51">
            <v>19.585000000000001</v>
          </cell>
          <cell r="F51">
            <v>52.718000000000004</v>
          </cell>
          <cell r="G51">
            <v>1</v>
          </cell>
          <cell r="H51">
            <v>60</v>
          </cell>
          <cell r="I51" t="str">
            <v>матрица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148.49700000000001</v>
          </cell>
          <cell r="E52">
            <v>1.1579999999999999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29</v>
          </cell>
          <cell r="D53">
            <v>80</v>
          </cell>
          <cell r="E53">
            <v>27</v>
          </cell>
          <cell r="F53">
            <v>79</v>
          </cell>
          <cell r="G53">
            <v>0.25</v>
          </cell>
          <cell r="H53">
            <v>120</v>
          </cell>
          <cell r="I53" t="str">
            <v>матрица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274.55099999999999</v>
          </cell>
          <cell r="D54">
            <v>103.93</v>
          </cell>
          <cell r="E54">
            <v>19.582000000000001</v>
          </cell>
          <cell r="F54">
            <v>348.24200000000002</v>
          </cell>
          <cell r="G54">
            <v>1</v>
          </cell>
          <cell r="H54">
            <v>45</v>
          </cell>
          <cell r="I54" t="str">
            <v>матрица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81</v>
          </cell>
          <cell r="D55">
            <v>80</v>
          </cell>
          <cell r="E55">
            <v>30</v>
          </cell>
          <cell r="F55">
            <v>121</v>
          </cell>
          <cell r="G55">
            <v>0.27</v>
          </cell>
          <cell r="H55">
            <v>45</v>
          </cell>
          <cell r="I55" t="str">
            <v>матрица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467</v>
          </cell>
          <cell r="D56">
            <v>144</v>
          </cell>
          <cell r="E56">
            <v>169</v>
          </cell>
          <cell r="F56">
            <v>441</v>
          </cell>
          <cell r="G56">
            <v>0.3</v>
          </cell>
          <cell r="H56">
            <v>60</v>
          </cell>
          <cell r="I56" t="str">
            <v>матрица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1036</v>
          </cell>
          <cell r="D57">
            <v>803</v>
          </cell>
          <cell r="E57">
            <v>639</v>
          </cell>
          <cell r="F57">
            <v>1088</v>
          </cell>
          <cell r="G57">
            <v>0.41</v>
          </cell>
          <cell r="H57">
            <v>50</v>
          </cell>
          <cell r="I57" t="str">
            <v>ВНИМАНИЕ / матрица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1187.865</v>
          </cell>
          <cell r="D58">
            <v>411.49200000000002</v>
          </cell>
          <cell r="E58">
            <v>438.08699999999999</v>
          </cell>
          <cell r="F58">
            <v>1143.7570000000001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300</v>
          </cell>
          <cell r="D59">
            <v>49</v>
          </cell>
          <cell r="E59">
            <v>35</v>
          </cell>
          <cell r="F59">
            <v>313</v>
          </cell>
          <cell r="G59">
            <v>0.35</v>
          </cell>
          <cell r="H59">
            <v>50</v>
          </cell>
          <cell r="I59" t="str">
            <v>матрица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349.14299999999997</v>
          </cell>
          <cell r="D60">
            <v>49.545000000000002</v>
          </cell>
          <cell r="E60">
            <v>63.640999999999998</v>
          </cell>
          <cell r="F60">
            <v>331.93799999999999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917</v>
          </cell>
          <cell r="D61">
            <v>302</v>
          </cell>
          <cell r="E61">
            <v>369</v>
          </cell>
          <cell r="F61">
            <v>806</v>
          </cell>
          <cell r="G61">
            <v>0.41</v>
          </cell>
          <cell r="H61">
            <v>50</v>
          </cell>
          <cell r="I61" t="str">
            <v>ВНИМАНИЕ / матрица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341.20699999999999</v>
          </cell>
          <cell r="D62">
            <v>257.48099999999999</v>
          </cell>
          <cell r="E62">
            <v>134.88300000000001</v>
          </cell>
          <cell r="F62">
            <v>455.50200000000001</v>
          </cell>
          <cell r="G62">
            <v>1</v>
          </cell>
          <cell r="H62">
            <v>50</v>
          </cell>
          <cell r="I62" t="str">
            <v>матрица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161</v>
          </cell>
          <cell r="D63">
            <v>96</v>
          </cell>
          <cell r="E63">
            <v>108</v>
          </cell>
          <cell r="F63">
            <v>144</v>
          </cell>
          <cell r="G63">
            <v>0.3</v>
          </cell>
          <cell r="H63">
            <v>50</v>
          </cell>
          <cell r="I63" t="str">
            <v>матрица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723</v>
          </cell>
          <cell r="D64">
            <v>305</v>
          </cell>
          <cell r="E64">
            <v>269</v>
          </cell>
          <cell r="F64">
            <v>704</v>
          </cell>
          <cell r="G64">
            <v>0.18</v>
          </cell>
          <cell r="H64">
            <v>50</v>
          </cell>
          <cell r="I64" t="str">
            <v>матрица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D65">
            <v>48</v>
          </cell>
          <cell r="E65">
            <v>21</v>
          </cell>
          <cell r="F65">
            <v>26</v>
          </cell>
          <cell r="G65">
            <v>0.22</v>
          </cell>
          <cell r="H65">
            <v>120</v>
          </cell>
          <cell r="I65" t="str">
            <v>матрица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138</v>
          </cell>
          <cell r="D66">
            <v>198</v>
          </cell>
          <cell r="E66">
            <v>105</v>
          </cell>
          <cell r="F66">
            <v>218</v>
          </cell>
          <cell r="G66">
            <v>0.84</v>
          </cell>
          <cell r="H66">
            <v>50</v>
          </cell>
          <cell r="I66" t="str">
            <v>матрица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882</v>
          </cell>
          <cell r="D67">
            <v>2</v>
          </cell>
          <cell r="E67">
            <v>336</v>
          </cell>
          <cell r="F67">
            <v>499</v>
          </cell>
          <cell r="G67">
            <v>0.35</v>
          </cell>
          <cell r="H67">
            <v>50</v>
          </cell>
          <cell r="I67" t="str">
            <v>матрица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C68">
            <v>518</v>
          </cell>
          <cell r="D68">
            <v>496</v>
          </cell>
          <cell r="E68">
            <v>257</v>
          </cell>
          <cell r="F68">
            <v>721</v>
          </cell>
          <cell r="G68">
            <v>0.35</v>
          </cell>
          <cell r="H68">
            <v>50</v>
          </cell>
          <cell r="I68" t="str">
            <v>матрица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615.21100000000001</v>
          </cell>
          <cell r="D69">
            <v>276.39</v>
          </cell>
          <cell r="E69">
            <v>169.298</v>
          </cell>
          <cell r="F69">
            <v>705.94299999999998</v>
          </cell>
          <cell r="G69">
            <v>1</v>
          </cell>
          <cell r="H69">
            <v>50</v>
          </cell>
          <cell r="I69" t="str">
            <v>матрица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598.90499999999997</v>
          </cell>
          <cell r="D70">
            <v>194.21100000000001</v>
          </cell>
          <cell r="E70">
            <v>180.02699999999999</v>
          </cell>
          <cell r="F70">
            <v>599.822</v>
          </cell>
          <cell r="G70">
            <v>1</v>
          </cell>
          <cell r="H70">
            <v>50</v>
          </cell>
          <cell r="I70" t="str">
            <v>матрица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852</v>
          </cell>
          <cell r="D71">
            <v>149</v>
          </cell>
          <cell r="E71">
            <v>196</v>
          </cell>
          <cell r="F71">
            <v>742</v>
          </cell>
          <cell r="G71">
            <v>0.35</v>
          </cell>
          <cell r="H71">
            <v>50</v>
          </cell>
          <cell r="I71" t="str">
            <v>матрица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52</v>
          </cell>
          <cell r="D72">
            <v>168</v>
          </cell>
          <cell r="E72">
            <v>55</v>
          </cell>
          <cell r="F72">
            <v>150</v>
          </cell>
          <cell r="G72">
            <v>0.3</v>
          </cell>
          <cell r="H72">
            <v>50</v>
          </cell>
          <cell r="I72" t="str">
            <v>матрица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278</v>
          </cell>
          <cell r="D73">
            <v>146</v>
          </cell>
          <cell r="E73">
            <v>80</v>
          </cell>
          <cell r="F73">
            <v>322</v>
          </cell>
          <cell r="G73">
            <v>0.3</v>
          </cell>
          <cell r="H73">
            <v>60</v>
          </cell>
          <cell r="I73" t="str">
            <v>матрица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220</v>
          </cell>
          <cell r="D74">
            <v>296</v>
          </cell>
          <cell r="E74">
            <v>136</v>
          </cell>
          <cell r="F74">
            <v>346</v>
          </cell>
          <cell r="G74">
            <v>0.28000000000000003</v>
          </cell>
          <cell r="H74">
            <v>50</v>
          </cell>
          <cell r="I74" t="str">
            <v>матрица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328</v>
          </cell>
          <cell r="D75">
            <v>312</v>
          </cell>
          <cell r="E75">
            <v>142</v>
          </cell>
          <cell r="F75">
            <v>434</v>
          </cell>
          <cell r="G75">
            <v>0.28000000000000003</v>
          </cell>
          <cell r="H75">
            <v>45</v>
          </cell>
          <cell r="I75" t="str">
            <v>матрица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935</v>
          </cell>
          <cell r="D76">
            <v>405</v>
          </cell>
          <cell r="E76">
            <v>448</v>
          </cell>
          <cell r="F76">
            <v>804</v>
          </cell>
          <cell r="G76">
            <v>0.28000000000000003</v>
          </cell>
          <cell r="H76">
            <v>45</v>
          </cell>
          <cell r="I76" t="str">
            <v>матрица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501</v>
          </cell>
          <cell r="D77">
            <v>120</v>
          </cell>
          <cell r="E77">
            <v>114</v>
          </cell>
          <cell r="F77">
            <v>461</v>
          </cell>
          <cell r="G77">
            <v>0.4</v>
          </cell>
          <cell r="H77">
            <v>50</v>
          </cell>
          <cell r="I77" t="str">
            <v>матрица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C78">
            <v>336.31200000000001</v>
          </cell>
          <cell r="D78">
            <v>1.2430000000000001</v>
          </cell>
          <cell r="E78">
            <v>307.84300000000002</v>
          </cell>
          <cell r="F78">
            <v>8.44</v>
          </cell>
          <cell r="G78">
            <v>1</v>
          </cell>
          <cell r="H78">
            <v>30</v>
          </cell>
          <cell r="I78" t="str">
            <v>матрица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35</v>
          </cell>
          <cell r="D79">
            <v>12</v>
          </cell>
          <cell r="F79">
            <v>43</v>
          </cell>
          <cell r="G79">
            <v>0.33800000000000002</v>
          </cell>
          <cell r="H79" t="str">
            <v>3 года</v>
          </cell>
          <cell r="I79" t="str">
            <v>матрица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72</v>
          </cell>
          <cell r="D80">
            <v>18</v>
          </cell>
          <cell r="F80">
            <v>89</v>
          </cell>
          <cell r="G80">
            <v>0.32500000000000001</v>
          </cell>
          <cell r="H80" t="str">
            <v>3 года</v>
          </cell>
          <cell r="I80" t="str">
            <v>матрица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591</v>
          </cell>
          <cell r="D81">
            <v>248</v>
          </cell>
          <cell r="E81">
            <v>121</v>
          </cell>
          <cell r="F81">
            <v>691</v>
          </cell>
          <cell r="G81">
            <v>0.12</v>
          </cell>
          <cell r="H81">
            <v>60</v>
          </cell>
          <cell r="I81" t="str">
            <v>матрица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254</v>
          </cell>
          <cell r="D82">
            <v>18</v>
          </cell>
          <cell r="E82">
            <v>79</v>
          </cell>
          <cell r="F82">
            <v>168</v>
          </cell>
          <cell r="G82">
            <v>0.15</v>
          </cell>
          <cell r="H82">
            <v>90</v>
          </cell>
          <cell r="I82" t="str">
            <v>матрица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175</v>
          </cell>
          <cell r="D83">
            <v>24</v>
          </cell>
          <cell r="E83">
            <v>66</v>
          </cell>
          <cell r="F83">
            <v>113</v>
          </cell>
          <cell r="G83">
            <v>0.15</v>
          </cell>
          <cell r="H83">
            <v>90</v>
          </cell>
          <cell r="I83" t="str">
            <v>матрица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136</v>
          </cell>
          <cell r="D84">
            <v>90</v>
          </cell>
          <cell r="E84">
            <v>63</v>
          </cell>
          <cell r="F84">
            <v>134</v>
          </cell>
          <cell r="G84">
            <v>0.33</v>
          </cell>
          <cell r="H84">
            <v>30</v>
          </cell>
          <cell r="I84" t="str">
            <v>матрица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408</v>
          </cell>
          <cell r="D85">
            <v>320</v>
          </cell>
          <cell r="E85">
            <v>300</v>
          </cell>
          <cell r="F85">
            <v>383</v>
          </cell>
          <cell r="G85">
            <v>0.15</v>
          </cell>
          <cell r="H85">
            <v>60</v>
          </cell>
          <cell r="I85" t="str">
            <v>матрица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G86">
            <v>0</v>
          </cell>
          <cell r="H86">
            <v>45</v>
          </cell>
          <cell r="I86" t="str">
            <v>матрица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G87">
            <v>0</v>
          </cell>
          <cell r="H87">
            <v>30</v>
          </cell>
          <cell r="I87" t="str">
            <v>матрица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G88">
            <v>0</v>
          </cell>
          <cell r="H88">
            <v>45</v>
          </cell>
          <cell r="I88" t="str">
            <v>матрица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G89">
            <v>0</v>
          </cell>
          <cell r="H89">
            <v>30</v>
          </cell>
          <cell r="I89" t="str">
            <v>матрица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C90">
            <v>215</v>
          </cell>
          <cell r="D90">
            <v>96</v>
          </cell>
          <cell r="E90">
            <v>115</v>
          </cell>
          <cell r="F90">
            <v>190</v>
          </cell>
          <cell r="G90">
            <v>0.4</v>
          </cell>
          <cell r="H90">
            <v>60</v>
          </cell>
          <cell r="I90" t="str">
            <v>матрица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G91">
            <v>0</v>
          </cell>
          <cell r="H91">
            <v>60</v>
          </cell>
          <cell r="I91" t="str">
            <v>матрица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G92">
            <v>0</v>
          </cell>
          <cell r="H92">
            <v>45</v>
          </cell>
          <cell r="I92" t="str">
            <v>матрица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G93">
            <v>0</v>
          </cell>
          <cell r="I93" t="str">
            <v>матрица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221</v>
          </cell>
          <cell r="D94">
            <v>144</v>
          </cell>
          <cell r="E94">
            <v>56</v>
          </cell>
          <cell r="F94">
            <v>303</v>
          </cell>
          <cell r="G94">
            <v>0.33</v>
          </cell>
          <cell r="H94">
            <v>45</v>
          </cell>
          <cell r="I94" t="str">
            <v>матрица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785</v>
          </cell>
          <cell r="D95">
            <v>150</v>
          </cell>
          <cell r="E95">
            <v>248</v>
          </cell>
          <cell r="F95">
            <v>616</v>
          </cell>
          <cell r="G95">
            <v>0.1</v>
          </cell>
          <cell r="H95">
            <v>60</v>
          </cell>
          <cell r="I95" t="str">
            <v>матрица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C96">
            <v>633</v>
          </cell>
          <cell r="D96">
            <v>150</v>
          </cell>
          <cell r="E96">
            <v>364</v>
          </cell>
          <cell r="F96">
            <v>393</v>
          </cell>
          <cell r="G96">
            <v>0.1</v>
          </cell>
          <cell r="H96">
            <v>60</v>
          </cell>
          <cell r="I96" t="str">
            <v>матрица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328</v>
          </cell>
          <cell r="D97">
            <v>200</v>
          </cell>
          <cell r="E97">
            <v>172</v>
          </cell>
          <cell r="F97">
            <v>347</v>
          </cell>
          <cell r="G97">
            <v>0.4</v>
          </cell>
          <cell r="H97">
            <v>60</v>
          </cell>
          <cell r="I97" t="str">
            <v>матрица</v>
          </cell>
        </row>
        <row r="98">
          <cell r="A98" t="str">
            <v>7651 ХОЧУ ВЕТЧ.МРАМОР. ПМ с/н мгс 1/100_Л11  ОСТАНКИНО</v>
          </cell>
          <cell r="B98" t="str">
            <v>шт</v>
          </cell>
          <cell r="D98">
            <v>176</v>
          </cell>
          <cell r="E98">
            <v>23</v>
          </cell>
          <cell r="F98">
            <v>146</v>
          </cell>
          <cell r="G98">
            <v>0.1</v>
          </cell>
          <cell r="I98" t="str">
            <v>ротация на код 7731</v>
          </cell>
        </row>
        <row r="99">
          <cell r="A99" t="str">
            <v>7710 КРАКОВСКАЯ ГОСТ п/к н/о мгс 0.3кг  ОСТАНКИНО</v>
          </cell>
          <cell r="B99" t="str">
            <v>шт</v>
          </cell>
          <cell r="G99">
            <v>0.3</v>
          </cell>
          <cell r="H99">
            <v>45</v>
          </cell>
          <cell r="I99" t="str">
            <v>матрица</v>
          </cell>
        </row>
        <row r="100">
          <cell r="A100" t="str">
            <v>7725 ВЕТ.МРАМОРНАЯ в/у срез 0.3кг 6шт_62  ОСТАНКИНО</v>
          </cell>
          <cell r="B100" t="str">
            <v>шт</v>
          </cell>
          <cell r="D100">
            <v>396</v>
          </cell>
          <cell r="E100">
            <v>155</v>
          </cell>
          <cell r="F100">
            <v>249</v>
          </cell>
          <cell r="G100">
            <v>0.3</v>
          </cell>
          <cell r="H100">
            <v>62</v>
          </cell>
          <cell r="I100" t="str">
            <v>матрица</v>
          </cell>
        </row>
        <row r="101">
          <cell r="A101" t="str">
            <v>7730 ХОЧУ ВЕТЧ.ИЗ СВ.ОТРУБА мгс 1/100_45с_Л11  ОСТАНКИНО</v>
          </cell>
          <cell r="B101" t="str">
            <v>шт</v>
          </cell>
          <cell r="D101">
            <v>176</v>
          </cell>
          <cell r="F101">
            <v>166</v>
          </cell>
          <cell r="G101">
            <v>0.1</v>
          </cell>
          <cell r="H101">
            <v>45</v>
          </cell>
          <cell r="I101" t="str">
            <v>матрица</v>
          </cell>
        </row>
        <row r="102">
          <cell r="A102" t="str">
            <v>8014 ДОКТОРСКАЯ ПРЕМИУМ вар п/о(п)    ОСТАНКИНО</v>
          </cell>
          <cell r="B102" t="str">
            <v>кг</v>
          </cell>
          <cell r="C102">
            <v>75.046000000000006</v>
          </cell>
          <cell r="D102">
            <v>48.756</v>
          </cell>
          <cell r="E102">
            <v>37.975999999999999</v>
          </cell>
          <cell r="F102">
            <v>62.783000000000001</v>
          </cell>
          <cell r="G102">
            <v>1</v>
          </cell>
          <cell r="H102">
            <v>60</v>
          </cell>
          <cell r="I102" t="str">
            <v>матрица</v>
          </cell>
        </row>
        <row r="103">
          <cell r="A103" t="str">
            <v>7399 САЛЯМИ ZHAZIRA ASLAM в/к в/у 0.82кг</v>
          </cell>
          <cell r="B103" t="str">
            <v>шт</v>
          </cell>
          <cell r="G103">
            <v>0.82</v>
          </cell>
          <cell r="H103">
            <v>45</v>
          </cell>
          <cell r="I103" t="str">
            <v>РАЗОВО / АСЛАМ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"/>
  <sheetViews>
    <sheetView tabSelected="1" workbookViewId="0">
      <selection activeCell="H20" sqref="H20"/>
    </sheetView>
  </sheetViews>
  <sheetFormatPr defaultRowHeight="15" x14ac:dyDescent="0.25"/>
  <cols>
    <col min="1" max="1" width="59.140625" customWidth="1"/>
    <col min="3" max="3" width="15" customWidth="1"/>
    <col min="4" max="4" width="41.85546875" customWidth="1"/>
  </cols>
  <sheetData>
    <row r="2" spans="1:4" x14ac:dyDescent="0.25">
      <c r="A2" s="5" t="s">
        <v>14</v>
      </c>
      <c r="B2" s="5"/>
    </row>
    <row r="3" spans="1:4" x14ac:dyDescent="0.25">
      <c r="A3" s="4" t="s">
        <v>12</v>
      </c>
      <c r="B3" s="5" t="s">
        <v>13</v>
      </c>
    </row>
    <row r="4" spans="1:4" ht="26.45" customHeight="1" x14ac:dyDescent="0.25">
      <c r="A4" s="1" t="s">
        <v>0</v>
      </c>
      <c r="B4" s="2">
        <v>30</v>
      </c>
      <c r="C4" t="str">
        <f>VLOOKUP(A4,[1]Sheet!$A:$I,9,0)</f>
        <v>матрица</v>
      </c>
      <c r="D4" t="s">
        <v>11</v>
      </c>
    </row>
    <row r="5" spans="1:4" x14ac:dyDescent="0.25">
      <c r="A5" s="1" t="s">
        <v>1</v>
      </c>
      <c r="B5" s="2">
        <v>3</v>
      </c>
      <c r="C5" s="3" t="s">
        <v>9</v>
      </c>
    </row>
    <row r="6" spans="1:4" x14ac:dyDescent="0.25">
      <c r="A6" s="1" t="s">
        <v>2</v>
      </c>
      <c r="B6" s="2">
        <v>42</v>
      </c>
      <c r="C6" s="3" t="s">
        <v>9</v>
      </c>
      <c r="D6" t="s">
        <v>10</v>
      </c>
    </row>
    <row r="7" spans="1:4" x14ac:dyDescent="0.25">
      <c r="A7" s="1" t="s">
        <v>3</v>
      </c>
      <c r="B7" s="2">
        <v>3</v>
      </c>
      <c r="C7" s="3" t="s">
        <v>9</v>
      </c>
    </row>
    <row r="8" spans="1:4" x14ac:dyDescent="0.25">
      <c r="A8" s="1" t="s">
        <v>4</v>
      </c>
      <c r="B8" s="2">
        <v>57</v>
      </c>
      <c r="C8" t="str">
        <f>VLOOKUP(A8,[1]Sheet!$A:$I,9,0)</f>
        <v>матрица</v>
      </c>
      <c r="D8" t="s">
        <v>11</v>
      </c>
    </row>
    <row r="9" spans="1:4" x14ac:dyDescent="0.25">
      <c r="A9" s="1" t="s">
        <v>5</v>
      </c>
      <c r="B9" s="2">
        <v>4</v>
      </c>
      <c r="C9" s="3" t="s">
        <v>9</v>
      </c>
    </row>
    <row r="10" spans="1:4" x14ac:dyDescent="0.25">
      <c r="A10" s="1" t="s">
        <v>6</v>
      </c>
      <c r="B10" s="2">
        <v>12</v>
      </c>
      <c r="C10" t="str">
        <f>VLOOKUP(A10,[1]Sheet!$A:$I,9,0)</f>
        <v>матрица</v>
      </c>
      <c r="D10" t="s">
        <v>11</v>
      </c>
    </row>
    <row r="11" spans="1:4" x14ac:dyDescent="0.25">
      <c r="A11" s="1" t="s">
        <v>7</v>
      </c>
      <c r="B11" s="2">
        <v>2</v>
      </c>
      <c r="C11" s="3" t="s">
        <v>9</v>
      </c>
    </row>
    <row r="12" spans="1:4" x14ac:dyDescent="0.25">
      <c r="A12" s="1" t="s">
        <v>8</v>
      </c>
      <c r="B12" s="2">
        <v>2</v>
      </c>
      <c r="C12" s="3" t="s">
        <v>9</v>
      </c>
    </row>
    <row r="13" spans="1:4" x14ac:dyDescent="0.25">
      <c r="A13" s="2"/>
      <c r="B13" s="2">
        <f>SUM(B4:B12)</f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 Олег Яковлевич</dc:creator>
  <cp:lastModifiedBy>Uaer4</cp:lastModifiedBy>
  <dcterms:created xsi:type="dcterms:W3CDTF">2015-06-05T18:19:34Z</dcterms:created>
  <dcterms:modified xsi:type="dcterms:W3CDTF">2026-10-19T10:10:54Z</dcterms:modified>
</cp:coreProperties>
</file>