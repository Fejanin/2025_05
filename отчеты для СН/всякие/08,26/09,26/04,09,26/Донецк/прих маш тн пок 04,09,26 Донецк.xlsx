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8,26\09,26\04,09,26\Донецк\"/>
    </mc:Choice>
  </mc:AlternateContent>
  <xr:revisionPtr revIDLastSave="0" documentId="13_ncr:1_{6EC08D0C-8880-4BDF-B033-BC4BC0819E46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КИ" sheetId="5" r:id="rId1"/>
    <sheet name="ЗПФ" sheetId="6" r:id="rId2"/>
  </sheets>
  <calcPr calcId="191029" refMode="R1C1"/>
</workbook>
</file>

<file path=xl/calcChain.xml><?xml version="1.0" encoding="utf-8"?>
<calcChain xmlns="http://schemas.openxmlformats.org/spreadsheetml/2006/main">
  <c r="E6" i="5" l="1"/>
  <c r="C5" i="5" l="1"/>
  <c r="C6" i="5"/>
  <c r="C7" i="5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4" i="5"/>
  <c r="H3" i="6" l="1"/>
  <c r="C5" i="6"/>
  <c r="C6" i="6"/>
  <c r="C7" i="6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4" i="6"/>
  <c r="F34" i="6"/>
  <c r="E34" i="6"/>
  <c r="F34" i="5" l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E34" i="5" l="1"/>
  <c r="G3" i="5" l="1"/>
  <c r="D4" i="5" s="1"/>
  <c r="G4" i="5" s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  <c r="D22" i="6" s="1"/>
  <c r="G22" i="6" s="1"/>
  <c r="D23" i="6" s="1"/>
  <c r="G23" i="6" s="1"/>
  <c r="D24" i="6" s="1"/>
  <c r="G24" i="6" s="1"/>
  <c r="D25" i="6" s="1"/>
  <c r="G25" i="6" s="1"/>
  <c r="D26" i="6" s="1"/>
  <c r="G26" i="6" s="1"/>
  <c r="D27" i="6" s="1"/>
  <c r="G27" i="6" s="1"/>
  <c r="D28" i="6" s="1"/>
  <c r="G28" i="6" s="1"/>
  <c r="D29" i="6" s="1"/>
  <c r="G29" i="6" s="1"/>
  <c r="D30" i="6" s="1"/>
  <c r="G30" i="6" s="1"/>
  <c r="D31" i="6" s="1"/>
  <c r="G31" i="6" s="1"/>
  <c r="D32" i="6" s="1"/>
  <c r="G32" i="6" s="1"/>
  <c r="D33" i="6" s="1"/>
  <c r="G33" i="6" s="1"/>
</calcChain>
</file>

<file path=xl/sharedStrings.xml><?xml version="1.0" encoding="utf-8"?>
<sst xmlns="http://schemas.openxmlformats.org/spreadsheetml/2006/main" count="81" uniqueCount="19">
  <si>
    <t>пн</t>
  </si>
  <si>
    <t>вт</t>
  </si>
  <si>
    <t>ср</t>
  </si>
  <si>
    <t>чт</t>
  </si>
  <si>
    <t>пт</t>
  </si>
  <si>
    <t>сб</t>
  </si>
  <si>
    <t>вс</t>
  </si>
  <si>
    <t>поком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</si>
  <si>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</si>
  <si>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</si>
  <si>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</si>
  <si>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</si>
  <si>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</si>
  <si>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</si>
  <si>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</si>
  <si>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</si>
  <si>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поком, ЗПФ</t>
  </si>
  <si>
    <t>3дн</t>
  </si>
  <si>
    <t>2дн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</si>
</sst>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165" fontId="2" fillId="2" borderId="1" xfId="0" applyNumberFormat="1" applyFont="1" applyFill="1" applyBorder="1" applyAlignment="1">
      <alignment horizontal="center"/>
    </xf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4"/>
  <sheetViews>
    <sheetView zoomScale="85" zoomScaleNormal="85" workbookViewId="0">
      <selection activeCell="U31" sqref="U31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11" ht="18" x14ac:dyDescent="0.25">
      <c r="A1" s="12" t="s">
        <v>7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/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55.4</v>
      </c>
      <c r="E3" s="4"/>
      <c r="F3" s="4">
        <v>9</v>
      </c>
      <c r="G3" s="4">
        <f t="shared" ref="G3:G33" si="0">D3+E3-F3</f>
        <v>46.4</v>
      </c>
      <c r="H3" s="4">
        <v>20</v>
      </c>
      <c r="I3" s="4"/>
      <c r="K3" t="s">
        <v>18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1">G3</f>
        <v>46.4</v>
      </c>
      <c r="E4" s="4"/>
      <c r="F4" s="4"/>
      <c r="G4" s="4">
        <f t="shared" si="0"/>
        <v>46.4</v>
      </c>
      <c r="H4" s="4">
        <f>H3</f>
        <v>20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2">C4+1</f>
        <v>46271</v>
      </c>
      <c r="D5" s="3">
        <f t="shared" si="1"/>
        <v>46.4</v>
      </c>
      <c r="E5" s="4"/>
      <c r="F5" s="4"/>
      <c r="G5" s="4">
        <f t="shared" si="0"/>
        <v>46.4</v>
      </c>
      <c r="H5" s="4">
        <f t="shared" ref="H5:H33" si="3">H4</f>
        <v>20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2"/>
        <v>46272</v>
      </c>
      <c r="D6" s="3">
        <f t="shared" si="1"/>
        <v>46.4</v>
      </c>
      <c r="E6" s="11">
        <f>9.5+12.5</f>
        <v>22</v>
      </c>
      <c r="F6" s="4">
        <v>9</v>
      </c>
      <c r="G6" s="4">
        <f t="shared" si="0"/>
        <v>59.400000000000006</v>
      </c>
      <c r="H6" s="4">
        <f t="shared" si="3"/>
        <v>20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2"/>
        <v>46273</v>
      </c>
      <c r="D7" s="3">
        <f t="shared" si="1"/>
        <v>59.400000000000006</v>
      </c>
      <c r="E7" s="4"/>
      <c r="F7" s="4">
        <v>9</v>
      </c>
      <c r="G7" s="4">
        <f t="shared" si="0"/>
        <v>50.400000000000006</v>
      </c>
      <c r="H7" s="4">
        <f t="shared" si="3"/>
        <v>20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2"/>
        <v>46274</v>
      </c>
      <c r="D8" s="3">
        <f t="shared" si="1"/>
        <v>50.400000000000006</v>
      </c>
      <c r="E8" s="11">
        <v>16.7</v>
      </c>
      <c r="F8" s="4">
        <v>9</v>
      </c>
      <c r="G8" s="4">
        <f t="shared" si="0"/>
        <v>58.100000000000009</v>
      </c>
      <c r="H8" s="4">
        <f t="shared" si="3"/>
        <v>20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2"/>
        <v>46275</v>
      </c>
      <c r="D9" s="3">
        <f t="shared" si="1"/>
        <v>58.100000000000009</v>
      </c>
      <c r="E9" s="4"/>
      <c r="F9" s="4">
        <v>9</v>
      </c>
      <c r="G9" s="4">
        <f t="shared" si="0"/>
        <v>49.100000000000009</v>
      </c>
      <c r="H9" s="4">
        <f t="shared" si="3"/>
        <v>20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2"/>
        <v>46276</v>
      </c>
      <c r="D10" s="3">
        <f t="shared" si="1"/>
        <v>49.100000000000009</v>
      </c>
      <c r="E10" s="11">
        <v>17.2</v>
      </c>
      <c r="F10" s="4">
        <v>9</v>
      </c>
      <c r="G10" s="4">
        <f t="shared" si="0"/>
        <v>57.300000000000011</v>
      </c>
      <c r="H10" s="4">
        <f t="shared" si="3"/>
        <v>20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2"/>
        <v>46277</v>
      </c>
      <c r="D11" s="3">
        <f t="shared" si="1"/>
        <v>57.300000000000011</v>
      </c>
      <c r="E11" s="4"/>
      <c r="F11" s="4"/>
      <c r="G11" s="4">
        <f t="shared" si="0"/>
        <v>57.300000000000011</v>
      </c>
      <c r="H11" s="4">
        <f t="shared" si="3"/>
        <v>20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2"/>
        <v>46278</v>
      </c>
      <c r="D12" s="3">
        <f t="shared" si="1"/>
        <v>57.300000000000011</v>
      </c>
      <c r="E12" s="4"/>
      <c r="F12" s="4"/>
      <c r="G12" s="4">
        <f t="shared" si="0"/>
        <v>57.300000000000011</v>
      </c>
      <c r="H12" s="4">
        <f t="shared" si="3"/>
        <v>20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2"/>
        <v>46279</v>
      </c>
      <c r="D13" s="3">
        <f t="shared" si="1"/>
        <v>57.300000000000011</v>
      </c>
      <c r="E13" s="4"/>
      <c r="F13" s="4">
        <v>9</v>
      </c>
      <c r="G13" s="4">
        <f t="shared" si="0"/>
        <v>48.300000000000011</v>
      </c>
      <c r="H13" s="4">
        <f t="shared" si="3"/>
        <v>20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2"/>
        <v>46280</v>
      </c>
      <c r="D14" s="3">
        <f t="shared" si="1"/>
        <v>48.300000000000011</v>
      </c>
      <c r="E14" s="4"/>
      <c r="F14" s="4">
        <v>9</v>
      </c>
      <c r="G14" s="4">
        <f t="shared" si="0"/>
        <v>39.300000000000011</v>
      </c>
      <c r="H14" s="4">
        <f t="shared" si="3"/>
        <v>20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2"/>
        <v>46281</v>
      </c>
      <c r="D15" s="3">
        <f t="shared" si="1"/>
        <v>39.300000000000011</v>
      </c>
      <c r="E15" s="4"/>
      <c r="F15" s="4">
        <v>9</v>
      </c>
      <c r="G15" s="4">
        <f t="shared" si="0"/>
        <v>30.300000000000011</v>
      </c>
      <c r="H15" s="4">
        <f t="shared" si="3"/>
        <v>20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2"/>
        <v>46282</v>
      </c>
      <c r="D16" s="3">
        <f t="shared" si="1"/>
        <v>30.300000000000011</v>
      </c>
      <c r="E16" s="4"/>
      <c r="F16" s="4">
        <v>9</v>
      </c>
      <c r="G16" s="4">
        <f t="shared" si="0"/>
        <v>21.300000000000011</v>
      </c>
      <c r="H16" s="4">
        <f t="shared" si="3"/>
        <v>20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2"/>
        <v>46283</v>
      </c>
      <c r="D17" s="3">
        <f t="shared" si="1"/>
        <v>21.300000000000011</v>
      </c>
      <c r="E17" s="4">
        <v>17.5</v>
      </c>
      <c r="F17" s="4">
        <v>9</v>
      </c>
      <c r="G17" s="4">
        <f t="shared" si="0"/>
        <v>29.800000000000011</v>
      </c>
      <c r="H17" s="4">
        <f t="shared" si="3"/>
        <v>20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2"/>
        <v>46284</v>
      </c>
      <c r="D18" s="3">
        <f t="shared" si="1"/>
        <v>29.800000000000011</v>
      </c>
      <c r="E18" s="4"/>
      <c r="F18" s="4"/>
      <c r="G18" s="4">
        <f t="shared" si="0"/>
        <v>29.800000000000011</v>
      </c>
      <c r="H18" s="4">
        <f t="shared" si="3"/>
        <v>20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2"/>
        <v>46285</v>
      </c>
      <c r="D19" s="3">
        <f t="shared" si="1"/>
        <v>29.800000000000011</v>
      </c>
      <c r="E19" s="4"/>
      <c r="F19" s="4"/>
      <c r="G19" s="4">
        <f t="shared" si="0"/>
        <v>29.800000000000011</v>
      </c>
      <c r="H19" s="4">
        <f t="shared" si="3"/>
        <v>20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2"/>
        <v>46286</v>
      </c>
      <c r="D20" s="3">
        <f t="shared" si="1"/>
        <v>29.800000000000011</v>
      </c>
      <c r="E20" s="4"/>
      <c r="F20" s="4">
        <v>9</v>
      </c>
      <c r="G20" s="4">
        <f t="shared" si="0"/>
        <v>20.800000000000011</v>
      </c>
      <c r="H20" s="4">
        <f t="shared" si="3"/>
        <v>20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2"/>
        <v>46287</v>
      </c>
      <c r="D21" s="3">
        <f t="shared" si="1"/>
        <v>20.800000000000011</v>
      </c>
      <c r="E21" s="4">
        <v>17.5</v>
      </c>
      <c r="F21" s="4">
        <v>9</v>
      </c>
      <c r="G21" s="4">
        <f t="shared" si="0"/>
        <v>29.300000000000011</v>
      </c>
      <c r="H21" s="4">
        <f t="shared" si="3"/>
        <v>20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2"/>
        <v>46288</v>
      </c>
      <c r="D22" s="3">
        <f t="shared" si="1"/>
        <v>29.300000000000011</v>
      </c>
      <c r="E22" s="4"/>
      <c r="F22" s="4">
        <v>9</v>
      </c>
      <c r="G22" s="4">
        <f t="shared" si="0"/>
        <v>20.300000000000011</v>
      </c>
      <c r="H22" s="4">
        <f t="shared" si="3"/>
        <v>20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2"/>
        <v>46289</v>
      </c>
      <c r="D23" s="3">
        <f t="shared" si="1"/>
        <v>20.300000000000011</v>
      </c>
      <c r="E23" s="4">
        <v>17.5</v>
      </c>
      <c r="F23" s="4">
        <v>9</v>
      </c>
      <c r="G23" s="4">
        <f t="shared" si="0"/>
        <v>28.800000000000011</v>
      </c>
      <c r="H23" s="4">
        <f t="shared" si="3"/>
        <v>20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2"/>
        <v>46290</v>
      </c>
      <c r="D24" s="3">
        <f t="shared" si="1"/>
        <v>28.800000000000011</v>
      </c>
      <c r="E24" s="4">
        <v>9.5</v>
      </c>
      <c r="F24" s="4">
        <v>9</v>
      </c>
      <c r="G24" s="4">
        <f t="shared" si="0"/>
        <v>29.300000000000011</v>
      </c>
      <c r="H24" s="4">
        <f t="shared" si="3"/>
        <v>20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2"/>
        <v>46291</v>
      </c>
      <c r="D25" s="3">
        <f t="shared" si="1"/>
        <v>29.300000000000011</v>
      </c>
      <c r="E25" s="4"/>
      <c r="F25" s="4"/>
      <c r="G25" s="4">
        <f t="shared" si="0"/>
        <v>29.300000000000011</v>
      </c>
      <c r="H25" s="4">
        <f t="shared" si="3"/>
        <v>20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2"/>
        <v>46292</v>
      </c>
      <c r="D26" s="3">
        <f t="shared" si="1"/>
        <v>29.300000000000011</v>
      </c>
      <c r="E26" s="4"/>
      <c r="F26" s="4"/>
      <c r="G26" s="4">
        <f t="shared" si="0"/>
        <v>29.300000000000011</v>
      </c>
      <c r="H26" s="4">
        <f t="shared" si="3"/>
        <v>20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2"/>
        <v>46293</v>
      </c>
      <c r="D27" s="3">
        <f t="shared" si="1"/>
        <v>29.300000000000011</v>
      </c>
      <c r="E27" s="4"/>
      <c r="F27" s="4">
        <v>9</v>
      </c>
      <c r="G27" s="4">
        <f t="shared" si="0"/>
        <v>20.300000000000011</v>
      </c>
      <c r="H27" s="4">
        <f t="shared" si="3"/>
        <v>20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2"/>
        <v>46294</v>
      </c>
      <c r="D28" s="3">
        <f t="shared" si="1"/>
        <v>20.300000000000011</v>
      </c>
      <c r="E28" s="4">
        <v>17.5</v>
      </c>
      <c r="F28" s="4">
        <v>9</v>
      </c>
      <c r="G28" s="4">
        <f t="shared" si="0"/>
        <v>28.800000000000011</v>
      </c>
      <c r="H28" s="4">
        <f t="shared" si="3"/>
        <v>20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2"/>
        <v>46295</v>
      </c>
      <c r="D29" s="3">
        <f t="shared" si="1"/>
        <v>28.800000000000011</v>
      </c>
      <c r="E29" s="4"/>
      <c r="F29" s="4">
        <v>9</v>
      </c>
      <c r="G29" s="4">
        <f t="shared" si="0"/>
        <v>19.800000000000011</v>
      </c>
      <c r="H29" s="4">
        <f t="shared" si="3"/>
        <v>20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2"/>
        <v>46296</v>
      </c>
      <c r="D30" s="3">
        <f t="shared" si="1"/>
        <v>19.800000000000011</v>
      </c>
      <c r="E30" s="4">
        <v>17.5</v>
      </c>
      <c r="F30" s="4">
        <v>9</v>
      </c>
      <c r="G30" s="4">
        <f t="shared" si="0"/>
        <v>28.300000000000011</v>
      </c>
      <c r="H30" s="4">
        <f t="shared" si="3"/>
        <v>20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2"/>
        <v>46297</v>
      </c>
      <c r="D31" s="3">
        <f t="shared" si="1"/>
        <v>28.300000000000011</v>
      </c>
      <c r="E31" s="4">
        <v>10</v>
      </c>
      <c r="F31" s="4">
        <v>9</v>
      </c>
      <c r="G31" s="4">
        <f t="shared" si="0"/>
        <v>29.300000000000011</v>
      </c>
      <c r="H31" s="4">
        <f t="shared" si="3"/>
        <v>20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2"/>
        <v>46298</v>
      </c>
      <c r="D32" s="3">
        <f t="shared" si="1"/>
        <v>29.300000000000011</v>
      </c>
      <c r="E32" s="4"/>
      <c r="F32" s="4"/>
      <c r="G32" s="4">
        <f t="shared" si="0"/>
        <v>29.300000000000011</v>
      </c>
      <c r="H32" s="4">
        <f t="shared" si="3"/>
        <v>20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2"/>
        <v>46299</v>
      </c>
      <c r="D33" s="3">
        <f t="shared" si="1"/>
        <v>29.300000000000011</v>
      </c>
      <c r="E33" s="4"/>
      <c r="F33" s="4"/>
      <c r="G33" s="4">
        <f t="shared" si="0"/>
        <v>29.300000000000011</v>
      </c>
      <c r="H33" s="4">
        <f t="shared" si="3"/>
        <v>20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162.9</v>
      </c>
      <c r="F34" s="4">
        <f>SUM(F3:F33)</f>
        <v>189</v>
      </c>
      <c r="G34" s="4"/>
      <c r="H34" s="4"/>
      <c r="I34" s="4"/>
    </row>
  </sheetData>
  <mergeCells count="1">
    <mergeCell ref="A1:G1"/>
  </mergeCells>
  <phoneticPr fontId="3" type="noConversion"/>
  <pageMargins left="0" right="0" top="0" bottom="0" header="0" footer="0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tabSelected="1" zoomScale="85" zoomScaleNormal="85" workbookViewId="0">
      <selection activeCell="M26" sqref="M26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11" ht="18" x14ac:dyDescent="0.25">
      <c r="A1" s="12" t="s">
        <v>16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 t="s">
        <v>15</v>
      </c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8.6</v>
      </c>
      <c r="E3" s="4"/>
      <c r="F3" s="4">
        <v>2.6</v>
      </c>
      <c r="G3" s="4">
        <f t="shared" ref="G3:G33" si="0">D3+E3-F3</f>
        <v>6</v>
      </c>
      <c r="H3" s="4">
        <f>2.6*3</f>
        <v>7.8000000000000007</v>
      </c>
      <c r="I3" s="4"/>
      <c r="K3" t="s">
        <v>17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1">G3</f>
        <v>6</v>
      </c>
      <c r="E4" s="4"/>
      <c r="F4" s="4"/>
      <c r="G4" s="4">
        <f t="shared" si="0"/>
        <v>6</v>
      </c>
      <c r="H4" s="4">
        <f>H3</f>
        <v>7.8000000000000007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2">C4+1</f>
        <v>46271</v>
      </c>
      <c r="D5" s="3">
        <f t="shared" si="1"/>
        <v>6</v>
      </c>
      <c r="E5" s="4"/>
      <c r="F5" s="4"/>
      <c r="G5" s="4">
        <f t="shared" si="0"/>
        <v>6</v>
      </c>
      <c r="H5" s="4">
        <f t="shared" ref="H5:H33" si="3">H4</f>
        <v>7.8000000000000007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2"/>
        <v>46272</v>
      </c>
      <c r="D6" s="3">
        <f t="shared" si="1"/>
        <v>6</v>
      </c>
      <c r="E6" s="11">
        <v>16.600000000000001</v>
      </c>
      <c r="F6" s="4">
        <v>2.6</v>
      </c>
      <c r="G6" s="4">
        <f t="shared" si="0"/>
        <v>20</v>
      </c>
      <c r="H6" s="4">
        <f t="shared" si="3"/>
        <v>7.8000000000000007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2"/>
        <v>46273</v>
      </c>
      <c r="D7" s="3">
        <f t="shared" si="1"/>
        <v>20</v>
      </c>
      <c r="E7" s="4"/>
      <c r="F7" s="4">
        <v>2.6</v>
      </c>
      <c r="G7" s="4">
        <f t="shared" si="0"/>
        <v>17.399999999999999</v>
      </c>
      <c r="H7" s="4">
        <f t="shared" si="3"/>
        <v>7.8000000000000007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2"/>
        <v>46274</v>
      </c>
      <c r="D8" s="3">
        <f t="shared" si="1"/>
        <v>17.399999999999999</v>
      </c>
      <c r="E8" s="4"/>
      <c r="F8" s="4">
        <v>2.6</v>
      </c>
      <c r="G8" s="4">
        <f t="shared" si="0"/>
        <v>14.799999999999999</v>
      </c>
      <c r="H8" s="4">
        <f t="shared" si="3"/>
        <v>7.8000000000000007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2"/>
        <v>46275</v>
      </c>
      <c r="D9" s="3">
        <f t="shared" si="1"/>
        <v>14.799999999999999</v>
      </c>
      <c r="E9" s="4"/>
      <c r="F9" s="4">
        <v>2.6</v>
      </c>
      <c r="G9" s="4">
        <f t="shared" si="0"/>
        <v>12.2</v>
      </c>
      <c r="H9" s="4">
        <f t="shared" si="3"/>
        <v>7.8000000000000007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2"/>
        <v>46276</v>
      </c>
      <c r="D10" s="3">
        <f t="shared" si="1"/>
        <v>12.2</v>
      </c>
      <c r="E10" s="11">
        <v>12.1</v>
      </c>
      <c r="F10" s="4">
        <v>2.6</v>
      </c>
      <c r="G10" s="4">
        <f t="shared" si="0"/>
        <v>21.699999999999996</v>
      </c>
      <c r="H10" s="4">
        <f t="shared" si="3"/>
        <v>7.8000000000000007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2"/>
        <v>46277</v>
      </c>
      <c r="D11" s="3">
        <f t="shared" si="1"/>
        <v>21.699999999999996</v>
      </c>
      <c r="E11" s="4"/>
      <c r="F11" s="4"/>
      <c r="G11" s="4">
        <f t="shared" si="0"/>
        <v>21.699999999999996</v>
      </c>
      <c r="H11" s="4">
        <f t="shared" si="3"/>
        <v>7.8000000000000007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2"/>
        <v>46278</v>
      </c>
      <c r="D12" s="3">
        <f t="shared" si="1"/>
        <v>21.699999999999996</v>
      </c>
      <c r="E12" s="4"/>
      <c r="F12" s="4"/>
      <c r="G12" s="4">
        <f t="shared" si="0"/>
        <v>21.699999999999996</v>
      </c>
      <c r="H12" s="4">
        <f t="shared" si="3"/>
        <v>7.8000000000000007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2"/>
        <v>46279</v>
      </c>
      <c r="D13" s="3">
        <f t="shared" si="1"/>
        <v>21.699999999999996</v>
      </c>
      <c r="E13" s="4"/>
      <c r="F13" s="4">
        <v>2.6</v>
      </c>
      <c r="G13" s="4">
        <f t="shared" si="0"/>
        <v>19.099999999999994</v>
      </c>
      <c r="H13" s="4">
        <f t="shared" si="3"/>
        <v>7.8000000000000007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2"/>
        <v>46280</v>
      </c>
      <c r="D14" s="3">
        <f t="shared" si="1"/>
        <v>19.099999999999994</v>
      </c>
      <c r="E14" s="4"/>
      <c r="F14" s="4">
        <v>2.6</v>
      </c>
      <c r="G14" s="4">
        <f t="shared" si="0"/>
        <v>16.499999999999993</v>
      </c>
      <c r="H14" s="4">
        <f t="shared" si="3"/>
        <v>7.8000000000000007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2"/>
        <v>46281</v>
      </c>
      <c r="D15" s="3">
        <f t="shared" si="1"/>
        <v>16.499999999999993</v>
      </c>
      <c r="E15" s="4"/>
      <c r="F15" s="4">
        <v>2.6</v>
      </c>
      <c r="G15" s="4">
        <f t="shared" si="0"/>
        <v>13.899999999999993</v>
      </c>
      <c r="H15" s="4">
        <f t="shared" si="3"/>
        <v>7.8000000000000007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2"/>
        <v>46282</v>
      </c>
      <c r="D16" s="3">
        <f t="shared" si="1"/>
        <v>13.899999999999993</v>
      </c>
      <c r="E16" s="4"/>
      <c r="F16" s="4">
        <v>2.6</v>
      </c>
      <c r="G16" s="4">
        <f t="shared" si="0"/>
        <v>11.299999999999994</v>
      </c>
      <c r="H16" s="4">
        <f t="shared" si="3"/>
        <v>7.8000000000000007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2"/>
        <v>46283</v>
      </c>
      <c r="D17" s="3">
        <f t="shared" si="1"/>
        <v>11.299999999999994</v>
      </c>
      <c r="E17" s="4">
        <v>11.7</v>
      </c>
      <c r="F17" s="4">
        <v>2.6</v>
      </c>
      <c r="G17" s="4">
        <f t="shared" si="0"/>
        <v>20.399999999999991</v>
      </c>
      <c r="H17" s="4">
        <f t="shared" si="3"/>
        <v>7.8000000000000007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2"/>
        <v>46284</v>
      </c>
      <c r="D18" s="3">
        <f t="shared" si="1"/>
        <v>20.399999999999991</v>
      </c>
      <c r="E18" s="4"/>
      <c r="F18" s="4"/>
      <c r="G18" s="4">
        <f t="shared" si="0"/>
        <v>20.399999999999991</v>
      </c>
      <c r="H18" s="4">
        <f t="shared" si="3"/>
        <v>7.8000000000000007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2"/>
        <v>46285</v>
      </c>
      <c r="D19" s="3">
        <f t="shared" si="1"/>
        <v>20.399999999999991</v>
      </c>
      <c r="E19" s="4"/>
      <c r="F19" s="4"/>
      <c r="G19" s="4">
        <f t="shared" si="0"/>
        <v>20.399999999999991</v>
      </c>
      <c r="H19" s="4">
        <f t="shared" si="3"/>
        <v>7.8000000000000007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2"/>
        <v>46286</v>
      </c>
      <c r="D20" s="3">
        <f t="shared" si="1"/>
        <v>20.399999999999991</v>
      </c>
      <c r="E20" s="4"/>
      <c r="F20" s="4">
        <v>2.6</v>
      </c>
      <c r="G20" s="4">
        <f t="shared" si="0"/>
        <v>17.79999999999999</v>
      </c>
      <c r="H20" s="4">
        <f t="shared" si="3"/>
        <v>7.8000000000000007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2"/>
        <v>46287</v>
      </c>
      <c r="D21" s="3">
        <f t="shared" si="1"/>
        <v>17.79999999999999</v>
      </c>
      <c r="E21" s="4"/>
      <c r="F21" s="4">
        <v>2.6</v>
      </c>
      <c r="G21" s="4">
        <f t="shared" si="0"/>
        <v>15.19999999999999</v>
      </c>
      <c r="H21" s="4">
        <f t="shared" si="3"/>
        <v>7.8000000000000007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2"/>
        <v>46288</v>
      </c>
      <c r="D22" s="3">
        <f t="shared" si="1"/>
        <v>15.19999999999999</v>
      </c>
      <c r="E22" s="4"/>
      <c r="F22" s="4">
        <v>2.6</v>
      </c>
      <c r="G22" s="4">
        <f t="shared" si="0"/>
        <v>12.599999999999991</v>
      </c>
      <c r="H22" s="4">
        <f t="shared" si="3"/>
        <v>7.8000000000000007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2"/>
        <v>46289</v>
      </c>
      <c r="D23" s="3">
        <f t="shared" si="1"/>
        <v>12.599999999999991</v>
      </c>
      <c r="E23" s="4"/>
      <c r="F23" s="4">
        <v>2.6</v>
      </c>
      <c r="G23" s="4">
        <f t="shared" si="0"/>
        <v>9.9999999999999911</v>
      </c>
      <c r="H23" s="4">
        <f t="shared" si="3"/>
        <v>7.8000000000000007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2"/>
        <v>46290</v>
      </c>
      <c r="D24" s="3">
        <f t="shared" si="1"/>
        <v>9.9999999999999911</v>
      </c>
      <c r="E24" s="4">
        <v>12</v>
      </c>
      <c r="F24" s="4">
        <v>2.6</v>
      </c>
      <c r="G24" s="4">
        <f t="shared" si="0"/>
        <v>19.399999999999991</v>
      </c>
      <c r="H24" s="4">
        <f t="shared" si="3"/>
        <v>7.8000000000000007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2"/>
        <v>46291</v>
      </c>
      <c r="D25" s="3">
        <f t="shared" si="1"/>
        <v>19.399999999999991</v>
      </c>
      <c r="E25" s="4"/>
      <c r="F25" s="4"/>
      <c r="G25" s="4">
        <f t="shared" si="0"/>
        <v>19.399999999999991</v>
      </c>
      <c r="H25" s="4">
        <f t="shared" si="3"/>
        <v>7.8000000000000007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2"/>
        <v>46292</v>
      </c>
      <c r="D26" s="3">
        <f t="shared" si="1"/>
        <v>19.399999999999991</v>
      </c>
      <c r="E26" s="4"/>
      <c r="F26" s="4"/>
      <c r="G26" s="4">
        <f t="shared" si="0"/>
        <v>19.399999999999991</v>
      </c>
      <c r="H26" s="4">
        <f t="shared" si="3"/>
        <v>7.8000000000000007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2"/>
        <v>46293</v>
      </c>
      <c r="D27" s="3">
        <f t="shared" si="1"/>
        <v>19.399999999999991</v>
      </c>
      <c r="E27" s="4"/>
      <c r="F27" s="4">
        <v>2.6</v>
      </c>
      <c r="G27" s="4">
        <f t="shared" si="0"/>
        <v>16.79999999999999</v>
      </c>
      <c r="H27" s="4">
        <f t="shared" si="3"/>
        <v>7.8000000000000007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2"/>
        <v>46294</v>
      </c>
      <c r="D28" s="3">
        <f t="shared" si="1"/>
        <v>16.79999999999999</v>
      </c>
      <c r="E28" s="4"/>
      <c r="F28" s="4">
        <v>2.6</v>
      </c>
      <c r="G28" s="4">
        <f t="shared" si="0"/>
        <v>14.19999999999999</v>
      </c>
      <c r="H28" s="4">
        <f t="shared" si="3"/>
        <v>7.8000000000000007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2"/>
        <v>46295</v>
      </c>
      <c r="D29" s="3">
        <f t="shared" si="1"/>
        <v>14.19999999999999</v>
      </c>
      <c r="E29" s="4"/>
      <c r="F29" s="4">
        <v>2.6</v>
      </c>
      <c r="G29" s="4">
        <f t="shared" si="0"/>
        <v>11.599999999999991</v>
      </c>
      <c r="H29" s="4">
        <f t="shared" si="3"/>
        <v>7.8000000000000007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2"/>
        <v>46296</v>
      </c>
      <c r="D30" s="3">
        <f t="shared" si="1"/>
        <v>11.599999999999991</v>
      </c>
      <c r="E30" s="4"/>
      <c r="F30" s="4">
        <v>2.6</v>
      </c>
      <c r="G30" s="4">
        <f t="shared" si="0"/>
        <v>8.9999999999999911</v>
      </c>
      <c r="H30" s="4">
        <f t="shared" si="3"/>
        <v>7.8000000000000007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2"/>
        <v>46297</v>
      </c>
      <c r="D31" s="3">
        <f t="shared" si="1"/>
        <v>8.9999999999999911</v>
      </c>
      <c r="E31" s="4">
        <v>12</v>
      </c>
      <c r="F31" s="4">
        <v>2.6</v>
      </c>
      <c r="G31" s="4">
        <f t="shared" si="0"/>
        <v>18.399999999999991</v>
      </c>
      <c r="H31" s="4">
        <f t="shared" si="3"/>
        <v>7.8000000000000007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2"/>
        <v>46298</v>
      </c>
      <c r="D32" s="3">
        <f t="shared" si="1"/>
        <v>18.399999999999991</v>
      </c>
      <c r="E32" s="4"/>
      <c r="F32" s="4"/>
      <c r="G32" s="4">
        <f t="shared" si="0"/>
        <v>18.399999999999991</v>
      </c>
      <c r="H32" s="4">
        <f t="shared" si="3"/>
        <v>7.8000000000000007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2"/>
        <v>46299</v>
      </c>
      <c r="D33" s="3">
        <f t="shared" si="1"/>
        <v>18.399999999999991</v>
      </c>
      <c r="E33" s="4"/>
      <c r="F33" s="4"/>
      <c r="G33" s="4">
        <f t="shared" si="0"/>
        <v>18.399999999999991</v>
      </c>
      <c r="H33" s="4">
        <f t="shared" si="3"/>
        <v>7.8000000000000007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64.400000000000006</v>
      </c>
      <c r="F34" s="4">
        <f>SUM(F3:F33)</f>
        <v>54.600000000000016</v>
      </c>
      <c r="G34" s="4"/>
      <c r="H34" s="4"/>
      <c r="I34" s="4"/>
    </row>
  </sheetData>
  <mergeCells count="1">
    <mergeCell ref="A1:G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2026-03-02T07:40:46Z</cp:lastPrinted>
  <dcterms:created xsi:type="dcterms:W3CDTF">2019-09-02T07:33:27Z</dcterms:created>
  <dcterms:modified xsi:type="dcterms:W3CDTF">2026-09-05T09:52:59Z</dcterms:modified>
</cp:coreProperties>
</file>