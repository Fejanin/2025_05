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1F52D1E-E667-47CF-9188-D64A697D70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TDSheet!$E$9:$I$96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9" i="1" l="1"/>
  <c r="K93" i="1"/>
  <c r="K91" i="1"/>
  <c r="K90" i="1"/>
  <c r="K86" i="1"/>
  <c r="K84" i="1"/>
  <c r="K82" i="1"/>
  <c r="K79" i="1"/>
  <c r="K77" i="1"/>
  <c r="K76" i="1"/>
  <c r="K75" i="1"/>
  <c r="K74" i="1"/>
  <c r="K59" i="1"/>
  <c r="K48" i="1"/>
  <c r="K42" i="1"/>
  <c r="K35" i="1"/>
  <c r="K34" i="1"/>
  <c r="K27" i="1"/>
  <c r="K26" i="1"/>
  <c r="K21" i="1"/>
  <c r="K14" i="1"/>
  <c r="K11" i="1"/>
  <c r="J93" i="1"/>
  <c r="J91" i="1"/>
  <c r="J90" i="1"/>
  <c r="J88" i="1"/>
  <c r="J86" i="1"/>
  <c r="J84" i="1"/>
  <c r="J82" i="1"/>
  <c r="J79" i="1"/>
  <c r="J77" i="1"/>
  <c r="J76" i="1"/>
  <c r="J75" i="1"/>
  <c r="J74" i="1"/>
  <c r="J73" i="1"/>
  <c r="J65" i="1"/>
  <c r="J59" i="1"/>
  <c r="J54" i="1"/>
  <c r="J48" i="1"/>
  <c r="J45" i="1"/>
  <c r="J42" i="1"/>
  <c r="J35" i="1"/>
  <c r="J34" i="1"/>
  <c r="J31" i="1"/>
  <c r="J27" i="1"/>
  <c r="J26" i="1"/>
  <c r="J25" i="1"/>
  <c r="J24" i="1"/>
  <c r="J21" i="1"/>
  <c r="J14" i="1"/>
  <c r="J11" i="1"/>
</calcChain>
</file>

<file path=xl/sharedStrings.xml><?xml version="1.0" encoding="utf-8"?>
<sst xmlns="http://schemas.openxmlformats.org/spreadsheetml/2006/main" count="119" uniqueCount="114">
  <si>
    <t>Параметры:</t>
  </si>
  <si>
    <t>Период отчета: 21.10.2026 - 21.10.2026</t>
  </si>
  <si>
    <t>Отбор:</t>
  </si>
  <si>
    <t>Партнер Не в группе из списка "18 (4) ИП Арефьев( Филиал...; 1463 (45) МР ИП Ставриенк...; Физическое лицо Поляков В...; ИП Поляков опт  Мелитопол...; Физическое лицо Патяка О...." И
Документ.Склад.Подразделение В группе из списка "Основное подразделение Ме..." И
Документ.Склад Равно "АСП1 Мелитополь Останкино"</t>
  </si>
  <si>
    <t>в Разрезе складов</t>
  </si>
  <si>
    <t>Номенклатура</t>
  </si>
  <si>
    <t>Итого</t>
  </si>
  <si>
    <t>по заказам</t>
  </si>
  <si>
    <t>реализация</t>
  </si>
  <si>
    <t>отклонения</t>
  </si>
  <si>
    <t>Недогруз вес</t>
  </si>
  <si>
    <t>Заказано вес</t>
  </si>
  <si>
    <t>Отгружено вес</t>
  </si>
  <si>
    <t>Отклонения вес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</si>
  <si>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</si>
  <si>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</si>
  <si>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</si>
  <si>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</si>
  <si>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</si>
  <si>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</si>
  <si>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</si>
  <si>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</si>
  <si>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</si>
  <si>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</si>
  <si>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</si>
  <si>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</si>
  <si>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</si>
  <si>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</si>
  <si>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</si>
  <si>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</si>
  <si>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</si>
  <si>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</si>
  <si>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</si>
  <si>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</si>
  <si>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</si>
  <si>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</si>
  <si>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</si>
  <si>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</si>
  <si>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</si>
  <si>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</si>
  <si>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</si>
  <si>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</si>
  <si>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</si>
  <si>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</si>
  <si>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</si>
  <si>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</si>
  <si>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</si>
  <si>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</si>
  <si>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</si>
  <si>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</si>
  <si>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</si>
  <si>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</si>
  <si>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</si>
  <si>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</si>
  <si>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</si>
  <si>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</si>
  <si>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</si>
  <si>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</si>
  <si>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</si>
  <si>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</si>
  <si>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</si>
  <si>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</si>
  <si>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</si>
  <si>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</si>
  <si>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</si>
  <si>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</si>
  <si>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</si>
  <si>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</si>
  <si>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</si>
  <si>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</si>
  <si>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</si>
  <si>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</si>
  <si>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</si>
  <si>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</si>
  <si>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</si>
  <si>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</si>
  <si>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</si>
  <si>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</si>
  <si>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</si>
  <si>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</si>
  <si>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</si>
  <si>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</si>
  <si>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</si>
  <si>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</si>
  <si>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</si>
  <si>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</si>
  <si>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</si>
  <si>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</si>
  <si>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</si>
  <si>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</si>
  <si>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</si>
  <si>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</si>
  <si>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</si>
  <si>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</si>
  <si>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</si>
  <si>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</si>
  <si>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</si>
  <si>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7730 ХОЧУ ВЕТЧ.ИЗ СВ.ОТРУБА мгс 1/100_45с_Л11  ОСТАНКИНО</t>
  </si>
  <si>
    <t>7731 ХОЧУ ВЕТЧ. МРАМОР. с/н мгс 1/100_45с_Л11  ОСТАНКИНО</t>
  </si>
  <si>
    <t>не в матрице</t>
  </si>
  <si>
    <t>ОСТАТОК</t>
  </si>
  <si>
    <t>21,10,26</t>
  </si>
  <si>
    <t>190шт в уценке (06,10,26)</t>
  </si>
  <si>
    <t>50шт в уценке (06,10,26)</t>
  </si>
  <si>
    <t>рост продаж в 1,5 раза</t>
  </si>
  <si>
    <t>257шт в уценке (06,10,26)</t>
  </si>
  <si>
    <t>новый товар выехал с завода 19,10</t>
  </si>
  <si>
    <t>рост продаж в 1,2 раза</t>
  </si>
  <si>
    <t>рост продаж в 2,8 раза</t>
  </si>
  <si>
    <t>рост продаж в 1,6 раза</t>
  </si>
  <si>
    <t>новинка (ввел завод по ротации)</t>
  </si>
  <si>
    <t>67кг в уценке (06,10,26)</t>
  </si>
  <si>
    <t>с 02,09,26 заказываем / поставлен вопрос ТК о необходимости вывести из заказов для Мелитополя, в связи с низкими продажами</t>
  </si>
  <si>
    <t>рост продаж в 1,9 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</si>
</sst>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8"/>
      <name val="Arial"/>
      <family val="2"/>
    </font>
    <font>
      <sz val="10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1" fillId="2" borderId="7" xfId="0" applyNumberFormat="1" applyFont="1" applyFill="1" applyBorder="1" applyAlignment="1">
      <alignment vertical="top"/>
    </xf>
    <xf numFmtId="0" fontId="1" fillId="2" borderId="7" xfId="0" applyNumberFormat="1" applyFont="1" applyFill="1" applyBorder="1" applyAlignment="1">
      <alignment vertical="top" wrapText="1"/>
    </xf>
    <xf numFmtId="164" fontId="0" fillId="0" borderId="7" xfId="0" applyNumberFormat="1" applyFont="1" applyBorder="1" applyAlignment="1">
      <alignment horizontal="right" vertical="top"/>
    </xf>
    <xf numFmtId="165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vertical="top"/>
    </xf>
    <xf numFmtId="2" fontId="0" fillId="0" borderId="7" xfId="0" applyNumberFormat="1" applyFont="1" applyBorder="1" applyAlignment="1">
      <alignment horizontal="right" vertical="top"/>
    </xf>
    <xf numFmtId="1" fontId="0" fillId="0" borderId="7" xfId="0" applyNumberFormat="1" applyFont="1" applyBorder="1" applyAlignment="1">
      <alignment horizontal="right" vertical="top"/>
    </xf>
    <xf numFmtId="0" fontId="0" fillId="0" borderId="9" xfId="0" applyNumberFormat="1" applyFont="1" applyBorder="1" applyAlignment="1">
      <alignment horizontal="right" vertical="top"/>
    </xf>
    <xf numFmtId="0" fontId="0" fillId="0" borderId="10" xfId="0" applyNumberFormat="1" applyFont="1" applyBorder="1" applyAlignment="1">
      <alignment horizontal="right" vertical="top"/>
    </xf>
    <xf numFmtId="4" fontId="1" fillId="2" borderId="7" xfId="0" applyNumberFormat="1" applyFont="1" applyFill="1" applyBorder="1" applyAlignment="1">
      <alignment horizontal="right" vertical="top"/>
    </xf>
    <xf numFmtId="165" fontId="1" fillId="2" borderId="7" xfId="0" applyNumberFormat="1" applyFont="1" applyFill="1" applyBorder="1" applyAlignment="1">
      <alignment horizontal="right" vertical="top"/>
    </xf>
    <xf numFmtId="0" fontId="1" fillId="2" borderId="7" xfId="0" applyNumberFormat="1" applyFont="1" applyFill="1" applyBorder="1" applyAlignment="1">
      <alignment vertical="top"/>
    </xf>
    <xf numFmtId="165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vertical="top" wrapText="1"/>
    </xf>
    <xf numFmtId="164" fontId="0" fillId="0" borderId="7" xfId="0" applyNumberFormat="1" applyFont="1" applyBorder="1" applyAlignment="1">
      <alignment horizontal="right" vertical="top"/>
    </xf>
    <xf numFmtId="0" fontId="1" fillId="2" borderId="7" xfId="0" applyNumberFormat="1" applyFont="1" applyFill="1" applyBorder="1" applyAlignment="1">
      <alignment vertical="top"/>
    </xf>
    <xf numFmtId="165" fontId="1" fillId="2" borderId="7" xfId="0" applyNumberFormat="1" applyFont="1" applyFill="1" applyBorder="1" applyAlignment="1">
      <alignment horizontal="right" vertical="top"/>
    </xf>
    <xf numFmtId="2" fontId="0" fillId="0" borderId="7" xfId="0" applyNumberFormat="1" applyFont="1" applyBorder="1" applyAlignment="1">
      <alignment horizontal="right" vertical="top"/>
    </xf>
    <xf numFmtId="1" fontId="0" fillId="0" borderId="7" xfId="0" applyNumberFormat="1" applyFont="1" applyBorder="1" applyAlignment="1">
      <alignment horizontal="right" vertical="top"/>
    </xf>
    <xf numFmtId="165" fontId="0" fillId="0" borderId="7" xfId="0" applyNumberFormat="1" applyFont="1" applyBorder="1" applyAlignment="1">
      <alignment horizontal="right" vertical="top"/>
    </xf>
    <xf numFmtId="0" fontId="1" fillId="0" borderId="0" xfId="0" applyNumberFormat="1" applyFont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1" fillId="2" borderId="0" xfId="0" applyNumberFormat="1" applyFont="1" applyFill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165" fontId="0" fillId="3" borderId="7" xfId="0" applyNumberFormat="1" applyFont="1" applyFill="1" applyBorder="1" applyAlignment="1">
      <alignment horizontal="right" vertical="top"/>
    </xf>
    <xf numFmtId="0" fontId="0" fillId="0" borderId="0" xfId="0" applyAlignment="1">
      <alignment horizontal="left"/>
    </xf>
    <xf numFmtId="165" fontId="0" fillId="0" borderId="7" xfId="0" applyNumberFormat="1" applyFont="1" applyBorder="1" applyAlignment="1">
      <alignment horizontal="left" vertical="top"/>
    </xf>
    <xf numFmtId="165" fontId="0" fillId="0" borderId="7" xfId="0" applyNumberFormat="1" applyFont="1" applyBorder="1" applyAlignment="1">
      <alignment horizontal="left" vertical="center"/>
    </xf>
    <xf numFmtId="165" fontId="0" fillId="0" borderId="7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76;&#1074;%2019,10,26%20&#1084;&#1083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6;&#1089;&#1090;%20&#1052;&#1077;&#1083;&#1080;&#1090;&#1086;&#1087;&#1086;&#1083;&#1100;%20&#1086;&#1089;&#1090;%20&#1050;&#1048;%2019,10,26-21,10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7849.1280000000015</v>
          </cell>
          <cell r="F5">
            <v>7631.8460000000005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152.185</v>
          </cell>
          <cell r="D6">
            <v>0.55000000000000004</v>
          </cell>
          <cell r="E6">
            <v>15.704000000000001</v>
          </cell>
          <cell r="F6">
            <v>135.40600000000001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203</v>
          </cell>
          <cell r="D7">
            <v>55</v>
          </cell>
          <cell r="E7">
            <v>146</v>
          </cell>
          <cell r="F7">
            <v>87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107.126</v>
          </cell>
          <cell r="D8">
            <v>2.492</v>
          </cell>
          <cell r="E8">
            <v>36.588000000000001</v>
          </cell>
          <cell r="F8">
            <v>65.078000000000003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277</v>
          </cell>
          <cell r="D9">
            <v>6</v>
          </cell>
          <cell r="E9">
            <v>178</v>
          </cell>
          <cell r="F9">
            <v>58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345.03100000000001</v>
          </cell>
          <cell r="D10">
            <v>2.7170000000000001</v>
          </cell>
          <cell r="E10">
            <v>149.797</v>
          </cell>
          <cell r="F10">
            <v>189.20400000000001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35.991999999999997</v>
          </cell>
          <cell r="D11">
            <v>33.100999999999999</v>
          </cell>
          <cell r="E11">
            <v>34.494999999999997</v>
          </cell>
          <cell r="F11">
            <v>29.533000000000001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75.817999999999998</v>
          </cell>
          <cell r="D12">
            <v>20.091000000000001</v>
          </cell>
          <cell r="E12">
            <v>24.184999999999999</v>
          </cell>
          <cell r="F12">
            <v>69.025000000000006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268.61799999999999</v>
          </cell>
          <cell r="D13">
            <v>55.707999999999998</v>
          </cell>
          <cell r="E13">
            <v>120.77500000000001</v>
          </cell>
          <cell r="F13">
            <v>191.95500000000001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234</v>
          </cell>
          <cell r="D14">
            <v>74</v>
          </cell>
          <cell r="E14">
            <v>111</v>
          </cell>
          <cell r="F14">
            <v>142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37.338000000000001</v>
          </cell>
          <cell r="D15">
            <v>10.8</v>
          </cell>
          <cell r="E15">
            <v>27.445</v>
          </cell>
          <cell r="F15">
            <v>17.928999999999998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164</v>
          </cell>
          <cell r="D16">
            <v>54</v>
          </cell>
          <cell r="E16">
            <v>180</v>
          </cell>
          <cell r="F16">
            <v>13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</v>
          </cell>
          <cell r="D17">
            <v>280</v>
          </cell>
          <cell r="E17">
            <v>20</v>
          </cell>
          <cell r="F17">
            <v>231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445.33699999999999</v>
          </cell>
          <cell r="D18">
            <v>146.93199999999999</v>
          </cell>
          <cell r="E18">
            <v>264.82799999999997</v>
          </cell>
          <cell r="F18">
            <v>276.55200000000002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0.51200000000000001</v>
          </cell>
          <cell r="E19">
            <v>-0.51100000000000001</v>
          </cell>
          <cell r="F19">
            <v>0.51200000000000001</v>
          </cell>
          <cell r="G19">
            <v>0</v>
          </cell>
          <cell r="H19">
            <v>120</v>
          </cell>
          <cell r="I19" t="str">
            <v>вывод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16</v>
          </cell>
          <cell r="E20">
            <v>4</v>
          </cell>
          <cell r="G20">
            <v>0.4</v>
          </cell>
          <cell r="H20">
            <v>45</v>
          </cell>
          <cell r="I20" t="str">
            <v>матрица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125.44499999999999</v>
          </cell>
          <cell r="D21">
            <v>80.284999999999997</v>
          </cell>
          <cell r="E21">
            <v>101.545</v>
          </cell>
          <cell r="F21">
            <v>98.171999999999997</v>
          </cell>
          <cell r="G21">
            <v>1</v>
          </cell>
          <cell r="H21">
            <v>60</v>
          </cell>
          <cell r="I21" t="str">
            <v>матрица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20</v>
          </cell>
          <cell r="D22">
            <v>49</v>
          </cell>
          <cell r="E22">
            <v>31</v>
          </cell>
          <cell r="F22">
            <v>9</v>
          </cell>
          <cell r="G22">
            <v>0.22</v>
          </cell>
          <cell r="H22">
            <v>120</v>
          </cell>
          <cell r="I22" t="str">
            <v>матрица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33.423999999999999</v>
          </cell>
          <cell r="E23">
            <v>18.585999999999999</v>
          </cell>
          <cell r="F23">
            <v>13.102</v>
          </cell>
          <cell r="G23">
            <v>1</v>
          </cell>
          <cell r="H23">
            <v>40</v>
          </cell>
          <cell r="I23" t="str">
            <v>матрица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-4.9000000000000002E-2</v>
          </cell>
          <cell r="D24">
            <v>110.1</v>
          </cell>
          <cell r="E24">
            <v>9.5440000000000005</v>
          </cell>
          <cell r="F24">
            <v>96.41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22</v>
          </cell>
          <cell r="D25">
            <v>103</v>
          </cell>
          <cell r="E25">
            <v>41</v>
          </cell>
          <cell r="F25">
            <v>75</v>
          </cell>
          <cell r="G25">
            <v>0.09</v>
          </cell>
          <cell r="H25">
            <v>60</v>
          </cell>
          <cell r="I25" t="str">
            <v>матрица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43</v>
          </cell>
          <cell r="D26">
            <v>25</v>
          </cell>
          <cell r="E26">
            <v>29</v>
          </cell>
          <cell r="F26">
            <v>14</v>
          </cell>
          <cell r="G26">
            <v>0.09</v>
          </cell>
          <cell r="H26">
            <v>45</v>
          </cell>
          <cell r="I26" t="str">
            <v>матрица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114</v>
          </cell>
          <cell r="D27">
            <v>7</v>
          </cell>
          <cell r="E27">
            <v>117</v>
          </cell>
          <cell r="F27">
            <v>-3</v>
          </cell>
          <cell r="G27">
            <v>0.15</v>
          </cell>
          <cell r="H27">
            <v>45</v>
          </cell>
          <cell r="I27" t="str">
            <v>матрица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453.88499999999999</v>
          </cell>
          <cell r="D28">
            <v>89.004999999999995</v>
          </cell>
          <cell r="E28">
            <v>327.37200000000001</v>
          </cell>
          <cell r="F28">
            <v>186.39599999999999</v>
          </cell>
          <cell r="G28">
            <v>1</v>
          </cell>
          <cell r="H28">
            <v>45</v>
          </cell>
          <cell r="I28" t="str">
            <v>матрица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37</v>
          </cell>
          <cell r="D29">
            <v>101</v>
          </cell>
          <cell r="E29">
            <v>22</v>
          </cell>
          <cell r="F29">
            <v>107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263</v>
          </cell>
          <cell r="D30">
            <v>7</v>
          </cell>
          <cell r="E30">
            <v>160</v>
          </cell>
          <cell r="F30">
            <v>100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127</v>
          </cell>
          <cell r="D31">
            <v>47</v>
          </cell>
          <cell r="E31">
            <v>119</v>
          </cell>
          <cell r="F31">
            <v>28</v>
          </cell>
          <cell r="G31">
            <v>0.4</v>
          </cell>
          <cell r="H31">
            <v>60</v>
          </cell>
          <cell r="I31" t="str">
            <v>матрица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33</v>
          </cell>
          <cell r="D32">
            <v>2</v>
          </cell>
          <cell r="E32">
            <v>15</v>
          </cell>
          <cell r="F32">
            <v>11</v>
          </cell>
          <cell r="G32">
            <v>0.3</v>
          </cell>
          <cell r="H32">
            <v>45</v>
          </cell>
          <cell r="I32" t="str">
            <v>ротация на код 7725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208.23599999999999</v>
          </cell>
          <cell r="D33">
            <v>1.0069999999999999</v>
          </cell>
          <cell r="E33">
            <v>55.325000000000003</v>
          </cell>
          <cell r="F33">
            <v>145.923</v>
          </cell>
          <cell r="G33">
            <v>1</v>
          </cell>
          <cell r="H33">
            <v>60</v>
          </cell>
          <cell r="I33" t="str">
            <v>матрица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219.05099999999999</v>
          </cell>
          <cell r="D34">
            <v>9.3339999999999996</v>
          </cell>
          <cell r="E34">
            <v>49.728000000000002</v>
          </cell>
          <cell r="F34">
            <v>161.07900000000001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56.606999999999999</v>
          </cell>
          <cell r="D35">
            <v>33.418999999999997</v>
          </cell>
          <cell r="E35">
            <v>30.984999999999999</v>
          </cell>
          <cell r="F35">
            <v>36.378999999999998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83.679000000000002</v>
          </cell>
          <cell r="D36">
            <v>117.346</v>
          </cell>
          <cell r="E36">
            <v>70.393000000000001</v>
          </cell>
          <cell r="F36">
            <v>105.42100000000001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186</v>
          </cell>
          <cell r="D37">
            <v>8</v>
          </cell>
          <cell r="E37">
            <v>157</v>
          </cell>
          <cell r="F37">
            <v>12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1.1419999999999999</v>
          </cell>
          <cell r="F38">
            <v>-1.8580000000000001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107.245</v>
          </cell>
          <cell r="D39">
            <v>9.3510000000000009</v>
          </cell>
          <cell r="E39">
            <v>44.262</v>
          </cell>
          <cell r="F39">
            <v>58.887999999999998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198</v>
          </cell>
          <cell r="D40">
            <v>507</v>
          </cell>
          <cell r="E40">
            <v>340</v>
          </cell>
          <cell r="F40">
            <v>264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5</v>
          </cell>
          <cell r="D41">
            <v>28</v>
          </cell>
          <cell r="E41">
            <v>-4</v>
          </cell>
          <cell r="G41">
            <v>0</v>
          </cell>
          <cell r="H41">
            <v>45</v>
          </cell>
          <cell r="I41" t="str">
            <v>вывод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168</v>
          </cell>
          <cell r="D42">
            <v>61</v>
          </cell>
          <cell r="E42">
            <v>79</v>
          </cell>
          <cell r="F42">
            <v>122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6764 СЛИИВОЧНЫЕ сос ц/о мгс 1*4  Останкино</v>
          </cell>
          <cell r="B43" t="str">
            <v>кг</v>
          </cell>
          <cell r="D43">
            <v>50.069000000000003</v>
          </cell>
          <cell r="E43">
            <v>1.0349999999999999</v>
          </cell>
          <cell r="F43">
            <v>49.033999999999999</v>
          </cell>
          <cell r="G43">
            <v>0</v>
          </cell>
          <cell r="I43" t="str">
            <v>РАЗОВО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87</v>
          </cell>
          <cell r="D44">
            <v>39</v>
          </cell>
          <cell r="E44">
            <v>105</v>
          </cell>
          <cell r="F44">
            <v>3</v>
          </cell>
          <cell r="G44">
            <v>0.36</v>
          </cell>
          <cell r="H44">
            <v>45</v>
          </cell>
          <cell r="I44" t="str">
            <v>матрица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82</v>
          </cell>
          <cell r="D45">
            <v>6</v>
          </cell>
          <cell r="E45">
            <v>35</v>
          </cell>
          <cell r="F45">
            <v>44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91</v>
          </cell>
          <cell r="D46">
            <v>10</v>
          </cell>
          <cell r="E46">
            <v>33</v>
          </cell>
          <cell r="F46">
            <v>61</v>
          </cell>
          <cell r="G46">
            <v>0.4</v>
          </cell>
          <cell r="H46">
            <v>60</v>
          </cell>
          <cell r="I46" t="str">
            <v>матрица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14</v>
          </cell>
          <cell r="D47">
            <v>68</v>
          </cell>
          <cell r="E47">
            <v>24</v>
          </cell>
          <cell r="F47">
            <v>30</v>
          </cell>
          <cell r="G47">
            <v>0.33</v>
          </cell>
          <cell r="H47">
            <v>45</v>
          </cell>
          <cell r="I47" t="str">
            <v>матрица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219.322</v>
          </cell>
          <cell r="D48">
            <v>352.63</v>
          </cell>
          <cell r="E48">
            <v>286.05399999999997</v>
          </cell>
          <cell r="F48">
            <v>230.49199999999999</v>
          </cell>
          <cell r="G48">
            <v>1</v>
          </cell>
          <cell r="H48">
            <v>45</v>
          </cell>
          <cell r="I48" t="str">
            <v>матрица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73</v>
          </cell>
          <cell r="D49">
            <v>3</v>
          </cell>
          <cell r="E49">
            <v>12</v>
          </cell>
          <cell r="F49">
            <v>57</v>
          </cell>
          <cell r="G49">
            <v>0.4</v>
          </cell>
          <cell r="H49">
            <v>45</v>
          </cell>
          <cell r="I49" t="str">
            <v>матрица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5.83</v>
          </cell>
          <cell r="F50">
            <v>5.83</v>
          </cell>
          <cell r="G50">
            <v>0</v>
          </cell>
          <cell r="H50">
            <v>60</v>
          </cell>
          <cell r="I50" t="str">
            <v>вывод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19.556999999999999</v>
          </cell>
          <cell r="D51">
            <v>150.136</v>
          </cell>
          <cell r="E51">
            <v>54.088000000000001</v>
          </cell>
          <cell r="F51">
            <v>115.605</v>
          </cell>
          <cell r="G51">
            <v>1</v>
          </cell>
          <cell r="H51">
            <v>60</v>
          </cell>
          <cell r="I51" t="str">
            <v>матрица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1.204</v>
          </cell>
          <cell r="F52">
            <v>-1.796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78</v>
          </cell>
          <cell r="E53">
            <v>40</v>
          </cell>
          <cell r="F53">
            <v>30</v>
          </cell>
          <cell r="G53">
            <v>0.25</v>
          </cell>
          <cell r="H53">
            <v>120</v>
          </cell>
          <cell r="I53" t="str">
            <v>матрица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38.707999999999998</v>
          </cell>
          <cell r="D54">
            <v>49.557000000000002</v>
          </cell>
          <cell r="E54">
            <v>22.486000000000001</v>
          </cell>
          <cell r="F54">
            <v>51.323999999999998</v>
          </cell>
          <cell r="G54">
            <v>1</v>
          </cell>
          <cell r="H54">
            <v>45</v>
          </cell>
          <cell r="I54" t="str">
            <v>матрица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122</v>
          </cell>
          <cell r="D55">
            <v>96</v>
          </cell>
          <cell r="E55">
            <v>76</v>
          </cell>
          <cell r="F55">
            <v>120</v>
          </cell>
          <cell r="G55">
            <v>0.27</v>
          </cell>
          <cell r="I55" t="str">
            <v>матрица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83</v>
          </cell>
          <cell r="E56">
            <v>20</v>
          </cell>
          <cell r="F56">
            <v>39</v>
          </cell>
          <cell r="G56">
            <v>0.3</v>
          </cell>
          <cell r="H56">
            <v>60</v>
          </cell>
          <cell r="I56" t="str">
            <v>матрица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273</v>
          </cell>
          <cell r="D57">
            <v>32</v>
          </cell>
          <cell r="E57">
            <v>213</v>
          </cell>
          <cell r="F57">
            <v>62</v>
          </cell>
          <cell r="G57">
            <v>0.41</v>
          </cell>
          <cell r="H57">
            <v>50</v>
          </cell>
          <cell r="I57" t="str">
            <v>матрица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228.77</v>
          </cell>
          <cell r="D58">
            <v>38.851999999999997</v>
          </cell>
          <cell r="E58">
            <v>92.882000000000005</v>
          </cell>
          <cell r="F58">
            <v>139.12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119</v>
          </cell>
          <cell r="D59">
            <v>3</v>
          </cell>
          <cell r="E59">
            <v>19</v>
          </cell>
          <cell r="F59">
            <v>60</v>
          </cell>
          <cell r="G59">
            <v>0.35</v>
          </cell>
          <cell r="H59">
            <v>50</v>
          </cell>
          <cell r="I59" t="str">
            <v>матрица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78.296000000000006</v>
          </cell>
          <cell r="D60">
            <v>20.286000000000001</v>
          </cell>
          <cell r="E60">
            <v>41.54</v>
          </cell>
          <cell r="F60">
            <v>46.277000000000001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382</v>
          </cell>
          <cell r="D61">
            <v>29</v>
          </cell>
          <cell r="E61">
            <v>157</v>
          </cell>
          <cell r="F61">
            <v>176</v>
          </cell>
          <cell r="G61">
            <v>0.41</v>
          </cell>
          <cell r="H61">
            <v>50</v>
          </cell>
          <cell r="I61" t="str">
            <v>матрица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256.67399999999998</v>
          </cell>
          <cell r="D62">
            <v>3.0870000000000002</v>
          </cell>
          <cell r="E62">
            <v>123.116</v>
          </cell>
          <cell r="F62">
            <v>122.77500000000001</v>
          </cell>
          <cell r="G62">
            <v>1</v>
          </cell>
          <cell r="H62">
            <v>50</v>
          </cell>
          <cell r="I62" t="str">
            <v>матрица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51</v>
          </cell>
          <cell r="D63">
            <v>137</v>
          </cell>
          <cell r="E63">
            <v>62</v>
          </cell>
          <cell r="F63">
            <v>101</v>
          </cell>
          <cell r="G63">
            <v>0.3</v>
          </cell>
          <cell r="H63">
            <v>50</v>
          </cell>
          <cell r="I63" t="str">
            <v>матрица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E64">
            <v>-1</v>
          </cell>
          <cell r="G64">
            <v>0.18</v>
          </cell>
          <cell r="H64">
            <v>50</v>
          </cell>
          <cell r="I64" t="str">
            <v>матрица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46</v>
          </cell>
          <cell r="D65">
            <v>3</v>
          </cell>
          <cell r="E65">
            <v>23</v>
          </cell>
          <cell r="F65">
            <v>22</v>
          </cell>
          <cell r="G65">
            <v>0.22</v>
          </cell>
          <cell r="H65">
            <v>120</v>
          </cell>
          <cell r="I65" t="str">
            <v>матрица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77</v>
          </cell>
          <cell r="E66">
            <v>24</v>
          </cell>
          <cell r="F66">
            <v>50</v>
          </cell>
          <cell r="G66">
            <v>0.84</v>
          </cell>
          <cell r="H66">
            <v>50</v>
          </cell>
          <cell r="I66" t="str">
            <v>матрица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423</v>
          </cell>
          <cell r="D67">
            <v>320</v>
          </cell>
          <cell r="E67">
            <v>425</v>
          </cell>
          <cell r="F67">
            <v>216</v>
          </cell>
          <cell r="G67">
            <v>0.35</v>
          </cell>
          <cell r="H67">
            <v>50</v>
          </cell>
          <cell r="I67" t="str">
            <v>матрица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G68">
            <v>0</v>
          </cell>
          <cell r="I68" t="str">
            <v>матрица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93.037999999999997</v>
          </cell>
          <cell r="D69">
            <v>330.28500000000003</v>
          </cell>
          <cell r="E69">
            <v>151.77000000000001</v>
          </cell>
          <cell r="F69">
            <v>238.226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108.45699999999999</v>
          </cell>
          <cell r="D70">
            <v>385.89499999999998</v>
          </cell>
          <cell r="E70">
            <v>181.078</v>
          </cell>
          <cell r="F70">
            <v>287.49900000000002</v>
          </cell>
          <cell r="G70">
            <v>1</v>
          </cell>
          <cell r="H70">
            <v>50</v>
          </cell>
          <cell r="I70" t="str">
            <v>матрица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550</v>
          </cell>
          <cell r="D71">
            <v>165</v>
          </cell>
          <cell r="E71">
            <v>437</v>
          </cell>
          <cell r="F71">
            <v>179</v>
          </cell>
          <cell r="G71">
            <v>0.35</v>
          </cell>
          <cell r="H71">
            <v>50</v>
          </cell>
          <cell r="I71" t="str">
            <v>матрица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135</v>
          </cell>
          <cell r="D72">
            <v>39</v>
          </cell>
          <cell r="E72">
            <v>97</v>
          </cell>
          <cell r="F72">
            <v>59</v>
          </cell>
          <cell r="G72">
            <v>0.3</v>
          </cell>
          <cell r="H72">
            <v>50</v>
          </cell>
          <cell r="I72" t="str">
            <v>матрица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68</v>
          </cell>
          <cell r="D73">
            <v>18</v>
          </cell>
          <cell r="E73">
            <v>55</v>
          </cell>
          <cell r="G73">
            <v>0.3</v>
          </cell>
          <cell r="H73">
            <v>60</v>
          </cell>
          <cell r="I73" t="str">
            <v>матрица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172</v>
          </cell>
          <cell r="D74">
            <v>136</v>
          </cell>
          <cell r="E74">
            <v>227</v>
          </cell>
          <cell r="F74">
            <v>9</v>
          </cell>
          <cell r="G74">
            <v>0.28000000000000003</v>
          </cell>
          <cell r="H74">
            <v>50</v>
          </cell>
          <cell r="I74" t="str">
            <v>матрица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263</v>
          </cell>
          <cell r="D75">
            <v>122</v>
          </cell>
          <cell r="E75">
            <v>285</v>
          </cell>
          <cell r="F75">
            <v>44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223</v>
          </cell>
          <cell r="D76">
            <v>12</v>
          </cell>
          <cell r="E76">
            <v>183</v>
          </cell>
          <cell r="F76">
            <v>17</v>
          </cell>
          <cell r="G76">
            <v>0.28000000000000003</v>
          </cell>
          <cell r="H76">
            <v>45</v>
          </cell>
          <cell r="I76" t="str">
            <v>матрица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220</v>
          </cell>
          <cell r="D77">
            <v>18</v>
          </cell>
          <cell r="E77">
            <v>187</v>
          </cell>
          <cell r="F77">
            <v>9</v>
          </cell>
          <cell r="G77">
            <v>0.4</v>
          </cell>
          <cell r="H77">
            <v>50</v>
          </cell>
          <cell r="I77" t="str">
            <v>матрица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67.721999999999994</v>
          </cell>
          <cell r="D78">
            <v>30.466999999999999</v>
          </cell>
          <cell r="F78">
            <v>98.188999999999993</v>
          </cell>
          <cell r="G78">
            <v>1</v>
          </cell>
          <cell r="H78">
            <v>30</v>
          </cell>
          <cell r="I78" t="str">
            <v>матрица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178</v>
          </cell>
          <cell r="E79">
            <v>22</v>
          </cell>
          <cell r="F79">
            <v>155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146</v>
          </cell>
          <cell r="E80">
            <v>20</v>
          </cell>
          <cell r="F80">
            <v>125</v>
          </cell>
          <cell r="G80">
            <v>0.32500000000000001</v>
          </cell>
          <cell r="H80" t="str">
            <v>3 года</v>
          </cell>
          <cell r="I80" t="str">
            <v>матрица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218</v>
          </cell>
          <cell r="D81">
            <v>5</v>
          </cell>
          <cell r="E81">
            <v>231</v>
          </cell>
          <cell r="F81">
            <v>-16</v>
          </cell>
          <cell r="G81">
            <v>0.12</v>
          </cell>
          <cell r="H81">
            <v>60</v>
          </cell>
          <cell r="I81" t="str">
            <v>матрица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317</v>
          </cell>
          <cell r="D82">
            <v>5</v>
          </cell>
          <cell r="E82">
            <v>57</v>
          </cell>
          <cell r="F82">
            <v>254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316</v>
          </cell>
          <cell r="D83">
            <v>6</v>
          </cell>
          <cell r="E83">
            <v>49</v>
          </cell>
          <cell r="F83">
            <v>266</v>
          </cell>
          <cell r="G83">
            <v>0.15</v>
          </cell>
          <cell r="H83">
            <v>90</v>
          </cell>
          <cell r="I83" t="str">
            <v>матрица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61</v>
          </cell>
          <cell r="D84">
            <v>42</v>
          </cell>
          <cell r="E84">
            <v>91</v>
          </cell>
          <cell r="F84">
            <v>5</v>
          </cell>
          <cell r="G84">
            <v>0.33</v>
          </cell>
          <cell r="H84">
            <v>30</v>
          </cell>
          <cell r="I84" t="str">
            <v>матрица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299</v>
          </cell>
          <cell r="D85">
            <v>9</v>
          </cell>
          <cell r="E85">
            <v>47</v>
          </cell>
          <cell r="F85">
            <v>231</v>
          </cell>
          <cell r="G85">
            <v>0.15</v>
          </cell>
          <cell r="H85">
            <v>60</v>
          </cell>
          <cell r="I85" t="str">
            <v>матрица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39</v>
          </cell>
          <cell r="D86">
            <v>56</v>
          </cell>
          <cell r="E86">
            <v>37</v>
          </cell>
          <cell r="F86">
            <v>7</v>
          </cell>
          <cell r="G86">
            <v>0.41</v>
          </cell>
          <cell r="H86">
            <v>45</v>
          </cell>
          <cell r="I86" t="str">
            <v>матрица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55.279000000000003</v>
          </cell>
          <cell r="F87">
            <v>55.279000000000003</v>
          </cell>
          <cell r="G87">
            <v>0</v>
          </cell>
          <cell r="I87" t="str">
            <v>РАЗОВО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C88">
            <v>271</v>
          </cell>
          <cell r="D88">
            <v>5</v>
          </cell>
          <cell r="E88">
            <v>48</v>
          </cell>
          <cell r="F88">
            <v>216</v>
          </cell>
          <cell r="G88">
            <v>0.26</v>
          </cell>
          <cell r="H88">
            <v>45</v>
          </cell>
          <cell r="I88" t="str">
            <v>матрица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141.803</v>
          </cell>
          <cell r="E89">
            <v>9.9879999999999995</v>
          </cell>
          <cell r="F89">
            <v>15.282</v>
          </cell>
          <cell r="G89">
            <v>1</v>
          </cell>
          <cell r="H89">
            <v>30</v>
          </cell>
          <cell r="I89" t="str">
            <v>матрица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115</v>
          </cell>
          <cell r="D90">
            <v>7</v>
          </cell>
          <cell r="E90">
            <v>16</v>
          </cell>
          <cell r="F90">
            <v>99</v>
          </cell>
          <cell r="G90">
            <v>0.31</v>
          </cell>
          <cell r="H90">
            <v>45</v>
          </cell>
          <cell r="I90" t="str">
            <v>матрица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64.299000000000007</v>
          </cell>
          <cell r="D91">
            <v>2.72</v>
          </cell>
          <cell r="E91">
            <v>4.3630000000000004</v>
          </cell>
          <cell r="F91">
            <v>30.666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</v>
          </cell>
          <cell r="D92">
            <v>72</v>
          </cell>
          <cell r="E92">
            <v>13</v>
          </cell>
          <cell r="F92">
            <v>41</v>
          </cell>
          <cell r="G92">
            <v>0.4</v>
          </cell>
          <cell r="H92">
            <v>60</v>
          </cell>
          <cell r="I92" t="str">
            <v>матрица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25</v>
          </cell>
          <cell r="D93">
            <v>72</v>
          </cell>
          <cell r="E93">
            <v>51</v>
          </cell>
          <cell r="F93">
            <v>21</v>
          </cell>
          <cell r="G93">
            <v>0.35</v>
          </cell>
          <cell r="H93">
            <v>60</v>
          </cell>
          <cell r="I93" t="str">
            <v>матрица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G94">
            <v>1</v>
          </cell>
          <cell r="H94">
            <v>45</v>
          </cell>
          <cell r="I94" t="str">
            <v>матрица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10.227</v>
          </cell>
          <cell r="D95">
            <v>15.128</v>
          </cell>
          <cell r="E95">
            <v>10.193</v>
          </cell>
          <cell r="F95">
            <v>10.054</v>
          </cell>
          <cell r="G95">
            <v>1</v>
          </cell>
          <cell r="I95" t="str">
            <v>матрица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21</v>
          </cell>
          <cell r="D96">
            <v>36</v>
          </cell>
          <cell r="E96">
            <v>22</v>
          </cell>
          <cell r="F96">
            <v>3</v>
          </cell>
          <cell r="G96">
            <v>0.33</v>
          </cell>
          <cell r="H96">
            <v>45</v>
          </cell>
          <cell r="I96" t="str">
            <v>матрица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270</v>
          </cell>
          <cell r="E97">
            <v>192</v>
          </cell>
          <cell r="F97">
            <v>38</v>
          </cell>
          <cell r="G97">
            <v>0.1</v>
          </cell>
          <cell r="H97">
            <v>60</v>
          </cell>
          <cell r="I97" t="str">
            <v>матрица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27</v>
          </cell>
          <cell r="D98">
            <v>120</v>
          </cell>
          <cell r="E98">
            <v>83</v>
          </cell>
          <cell r="F98">
            <v>35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</v>
          </cell>
          <cell r="E99">
            <v>1</v>
          </cell>
          <cell r="G99">
            <v>0.4</v>
          </cell>
          <cell r="H99">
            <v>60</v>
          </cell>
          <cell r="I99" t="str">
            <v>матрица</v>
          </cell>
        </row>
        <row r="100">
          <cell r="A100" t="str">
            <v>7651 ХОЧУ ВЕТЧ.МРАМОР. ПМ с/н мгс 1/100_Л11  ОСТАНКИНО</v>
          </cell>
          <cell r="B100" t="str">
            <v>шт</v>
          </cell>
          <cell r="C100">
            <v>5</v>
          </cell>
          <cell r="E100">
            <v>5</v>
          </cell>
          <cell r="G100">
            <v>0</v>
          </cell>
          <cell r="I100" t="str">
            <v>вывод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17.613</v>
          </cell>
          <cell r="E101">
            <v>-0.51100000000000001</v>
          </cell>
          <cell r="F101">
            <v>18.125</v>
          </cell>
          <cell r="G101">
            <v>1</v>
          </cell>
          <cell r="H101">
            <v>120</v>
          </cell>
          <cell r="I101" t="str">
            <v>матрица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85</v>
          </cell>
          <cell r="D102">
            <v>6</v>
          </cell>
          <cell r="E102">
            <v>4</v>
          </cell>
          <cell r="F102">
            <v>-7</v>
          </cell>
          <cell r="G102">
            <v>0.3</v>
          </cell>
          <cell r="H102">
            <v>45</v>
          </cell>
          <cell r="I102" t="str">
            <v>матрица</v>
          </cell>
        </row>
        <row r="103">
          <cell r="A103" t="str">
            <v>7730 ХОЧУ ВЕТЧ.ИЗ СВ.ОТРУБА мгс 1/100_45с_Л11  ОСТАНКИНО</v>
          </cell>
          <cell r="B103" t="str">
            <v>шт</v>
          </cell>
          <cell r="C103">
            <v>46</v>
          </cell>
          <cell r="E103">
            <v>9</v>
          </cell>
          <cell r="F103">
            <v>35</v>
          </cell>
          <cell r="G103">
            <v>0.1</v>
          </cell>
          <cell r="H103">
            <v>45</v>
          </cell>
          <cell r="I103" t="str">
            <v>матрица</v>
          </cell>
        </row>
        <row r="104">
          <cell r="A104" t="str">
            <v>7731 ХОЧУ ВЕТЧ. МРАМОР. с/н мгс 1/100_45с_Л11  ОСТАНКИНО</v>
          </cell>
          <cell r="B104" t="str">
            <v>шт</v>
          </cell>
          <cell r="C104">
            <v>46</v>
          </cell>
          <cell r="D104">
            <v>2</v>
          </cell>
          <cell r="E104">
            <v>9</v>
          </cell>
          <cell r="F104">
            <v>40</v>
          </cell>
          <cell r="G104">
            <v>0.1</v>
          </cell>
          <cell r="H104">
            <v>45</v>
          </cell>
          <cell r="I104" t="str">
            <v>матрица</v>
          </cell>
        </row>
        <row r="105">
          <cell r="A105" t="str">
            <v>7754 ДОМАШНИЙ РЕЦЕПТ Коровино вар п/о_332к  ОСТАНКИНО</v>
          </cell>
          <cell r="B105" t="str">
            <v>кг</v>
          </cell>
          <cell r="D105">
            <v>3.9289999999999998</v>
          </cell>
          <cell r="F105">
            <v>9.7590000000000003</v>
          </cell>
          <cell r="G105">
            <v>1</v>
          </cell>
          <cell r="H105">
            <v>60</v>
          </cell>
          <cell r="I105" t="str">
            <v>матрица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</row>
        <row r="107">
          <cell r="A107" t="str">
            <v>БОНУС_6087 СОЧНЫЕ ПМ сос п/о мгс 0,41кг 10шт.  ОСТАНКИНО</v>
          </cell>
          <cell r="B107" t="str">
            <v>шт</v>
          </cell>
          <cell r="C107">
            <v>29</v>
          </cell>
          <cell r="F107">
            <v>29</v>
          </cell>
          <cell r="G107">
            <v>0</v>
          </cell>
          <cell r="I107" t="str">
            <v>бонус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19.10.2026 - 21.10.2026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</row>
        <row r="8">
          <cell r="A8" t="str">
            <v>Номенклатура</v>
          </cell>
          <cell r="D8" t="str">
            <v>Ед. изм.</v>
          </cell>
          <cell r="F8" t="str">
            <v>Количество</v>
          </cell>
          <cell r="K8" t="str">
            <v>ВЕС</v>
          </cell>
        </row>
        <row r="9"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 вес</v>
          </cell>
          <cell r="L9" t="str">
            <v>Приход вес</v>
          </cell>
          <cell r="M9" t="str">
            <v>Расход вес</v>
          </cell>
          <cell r="N9" t="str">
            <v>Конечный остаток вес</v>
          </cell>
        </row>
        <row r="10">
          <cell r="A10" t="str">
            <v>0614 ПРАЗДНИЧНАЯ с/к в/с дек.спец.мгс  Останкино</v>
          </cell>
          <cell r="D10" t="str">
            <v>кг</v>
          </cell>
          <cell r="F10">
            <v>136.48099999999999</v>
          </cell>
          <cell r="I10">
            <v>6.5110000000000001</v>
          </cell>
          <cell r="J10">
            <v>129.97</v>
          </cell>
          <cell r="K10">
            <v>136.48099999999999</v>
          </cell>
          <cell r="M10">
            <v>6.5110000000000001</v>
          </cell>
          <cell r="N10">
            <v>129.97</v>
          </cell>
        </row>
        <row r="11">
          <cell r="A11" t="str">
            <v>3215 ВЕТЧ.МЯСНАЯ Папа может п/о 0.4кг 8шт.    ОСТАНКИНО</v>
          </cell>
          <cell r="D11" t="str">
            <v>шт</v>
          </cell>
          <cell r="F11">
            <v>105</v>
          </cell>
          <cell r="H11">
            <v>24</v>
          </cell>
          <cell r="I11">
            <v>50</v>
          </cell>
          <cell r="J11">
            <v>79</v>
          </cell>
          <cell r="K11">
            <v>42</v>
          </cell>
          <cell r="L11">
            <v>9.6</v>
          </cell>
          <cell r="M11">
            <v>20</v>
          </cell>
          <cell r="N11">
            <v>31.6</v>
          </cell>
        </row>
        <row r="12">
          <cell r="A12" t="str">
            <v>3287 САЛЯМИ ИТАЛЬЯНСКАЯ с/к в/у ОСТАНКИНО</v>
          </cell>
          <cell r="D12" t="str">
            <v>кг</v>
          </cell>
          <cell r="F12">
            <v>68.534000000000006</v>
          </cell>
          <cell r="H12">
            <v>8.032</v>
          </cell>
          <cell r="I12">
            <v>12.013</v>
          </cell>
          <cell r="J12">
            <v>64.552999999999997</v>
          </cell>
          <cell r="K12">
            <v>68.534000000000006</v>
          </cell>
          <cell r="L12">
            <v>8.032</v>
          </cell>
          <cell r="M12">
            <v>12.013</v>
          </cell>
          <cell r="N12">
            <v>64.552999999999997</v>
          </cell>
        </row>
        <row r="13">
          <cell r="A13" t="str">
            <v>3986 Ароматная с/к в/у 1/250 ОСТАНКИНО</v>
          </cell>
          <cell r="D13" t="str">
            <v>шт</v>
          </cell>
          <cell r="F13">
            <v>101</v>
          </cell>
          <cell r="H13">
            <v>120</v>
          </cell>
          <cell r="I13">
            <v>60</v>
          </cell>
          <cell r="J13">
            <v>161</v>
          </cell>
          <cell r="K13">
            <v>25.25</v>
          </cell>
          <cell r="L13">
            <v>30</v>
          </cell>
          <cell r="M13">
            <v>15</v>
          </cell>
          <cell r="N13">
            <v>40.25</v>
          </cell>
        </row>
        <row r="14">
          <cell r="A14" t="str">
            <v>4063 МЯСНАЯ Папа может вар п/о_Л   ОСТАНКИНО</v>
          </cell>
          <cell r="D14" t="str">
            <v>кг</v>
          </cell>
          <cell r="F14">
            <v>195.94800000000001</v>
          </cell>
          <cell r="H14">
            <v>227.922</v>
          </cell>
          <cell r="I14">
            <v>59.463999999999999</v>
          </cell>
          <cell r="J14">
            <v>364.40600000000001</v>
          </cell>
          <cell r="K14">
            <v>195.94800000000001</v>
          </cell>
          <cell r="L14">
            <v>227.922</v>
          </cell>
          <cell r="M14">
            <v>59.463999999999999</v>
          </cell>
          <cell r="N14">
            <v>364.40600000000001</v>
          </cell>
        </row>
        <row r="15">
          <cell r="A15" t="str">
            <v>4117 ЭКСТРА Папа может с/к в/у_Л   ОСТАНКИНО</v>
          </cell>
          <cell r="D15" t="str">
            <v>кг</v>
          </cell>
          <cell r="F15">
            <v>32.542999999999999</v>
          </cell>
          <cell r="I15">
            <v>10.54</v>
          </cell>
          <cell r="J15">
            <v>22.003</v>
          </cell>
          <cell r="K15">
            <v>32.542999999999999</v>
          </cell>
          <cell r="M15">
            <v>10.54</v>
          </cell>
          <cell r="N15">
            <v>22.003</v>
          </cell>
        </row>
        <row r="16">
          <cell r="A16" t="str">
            <v>4574 Мясная со шпиком Папа может вар п/о ОСТАНКИНО</v>
          </cell>
          <cell r="D16" t="str">
            <v>кг</v>
          </cell>
          <cell r="F16">
            <v>73.072000000000003</v>
          </cell>
          <cell r="I16">
            <v>6.7460000000000004</v>
          </cell>
          <cell r="J16">
            <v>66.325999999999993</v>
          </cell>
          <cell r="K16">
            <v>73.072000000000003</v>
          </cell>
          <cell r="M16">
            <v>6.7460000000000004</v>
          </cell>
          <cell r="N16">
            <v>66.325999999999993</v>
          </cell>
        </row>
        <row r="17">
          <cell r="A17" t="str">
            <v>4813 ФИЛЕЙНАЯ Папа может вар п/о_Л   ОСТАНКИНО</v>
          </cell>
          <cell r="D17" t="str">
            <v>кг</v>
          </cell>
          <cell r="F17">
            <v>197.428</v>
          </cell>
          <cell r="H17">
            <v>226.619</v>
          </cell>
          <cell r="I17">
            <v>23.143999999999998</v>
          </cell>
          <cell r="J17">
            <v>400.90300000000002</v>
          </cell>
          <cell r="K17">
            <v>197.428</v>
          </cell>
          <cell r="L17">
            <v>226.619</v>
          </cell>
          <cell r="M17">
            <v>23.143999999999998</v>
          </cell>
          <cell r="N17">
            <v>400.90300000000002</v>
          </cell>
        </row>
        <row r="18">
          <cell r="A18" t="str">
            <v>4993 САЛЯМИ ИТАЛЬЯНСКАЯ с/к в/у 1/250*8_120c ОСТАНКИНО</v>
          </cell>
          <cell r="D18" t="str">
            <v>шт</v>
          </cell>
          <cell r="F18">
            <v>189</v>
          </cell>
          <cell r="H18">
            <v>226</v>
          </cell>
          <cell r="I18">
            <v>66</v>
          </cell>
          <cell r="J18">
            <v>349</v>
          </cell>
          <cell r="K18">
            <v>47.25</v>
          </cell>
          <cell r="L18">
            <v>56.5</v>
          </cell>
          <cell r="M18">
            <v>16.5</v>
          </cell>
          <cell r="N18">
            <v>87.25</v>
          </cell>
        </row>
        <row r="19">
          <cell r="A19" t="str">
            <v>5452 ВЕТЧ.МЯСНАЯ Папа может п/о    ОСТАНКИНО</v>
          </cell>
          <cell r="D19" t="str">
            <v>кг</v>
          </cell>
          <cell r="F19">
            <v>17.928999999999998</v>
          </cell>
          <cell r="H19">
            <v>28.4</v>
          </cell>
          <cell r="I19">
            <v>4.0110000000000001</v>
          </cell>
          <cell r="J19">
            <v>42.317999999999998</v>
          </cell>
          <cell r="K19">
            <v>17.928999999999998</v>
          </cell>
          <cell r="L19">
            <v>28.4</v>
          </cell>
          <cell r="M19">
            <v>4.0110000000000001</v>
          </cell>
          <cell r="N19">
            <v>42.317999999999998</v>
          </cell>
        </row>
        <row r="20">
          <cell r="A20" t="str">
            <v>5483 ЭКСТРА Папа может с/к в/у 1/250 8шт.   ОСТАНКИНО</v>
          </cell>
          <cell r="D20" t="str">
            <v>шт</v>
          </cell>
          <cell r="F20">
            <v>32</v>
          </cell>
          <cell r="H20">
            <v>144</v>
          </cell>
          <cell r="I20">
            <v>23</v>
          </cell>
          <cell r="J20">
            <v>153</v>
          </cell>
          <cell r="K20">
            <v>8</v>
          </cell>
          <cell r="L20">
            <v>36</v>
          </cell>
          <cell r="M20">
            <v>5.75</v>
          </cell>
          <cell r="N20">
            <v>38.25</v>
          </cell>
        </row>
        <row r="21">
          <cell r="A21" t="str">
            <v>5495 ВЕТЧ.С ИНДЕЙКОЙ Папа может п/о 400*6  Останкино</v>
          </cell>
          <cell r="D21" t="str">
            <v>шт</v>
          </cell>
          <cell r="F21">
            <v>262</v>
          </cell>
          <cell r="I21">
            <v>32</v>
          </cell>
          <cell r="J21">
            <v>230</v>
          </cell>
          <cell r="K21">
            <v>104.8</v>
          </cell>
          <cell r="M21">
            <v>12.8</v>
          </cell>
          <cell r="N21">
            <v>92</v>
          </cell>
        </row>
        <row r="22">
          <cell r="A22" t="str">
            <v>5544 Сервелат Финский в/к в/у_45с НОВАЯ ОСТАНКИНО</v>
          </cell>
          <cell r="D22" t="str">
            <v>кг</v>
          </cell>
          <cell r="F22">
            <v>306.52</v>
          </cell>
          <cell r="H22">
            <v>468.95499999999998</v>
          </cell>
          <cell r="I22">
            <v>85.084999999999994</v>
          </cell>
          <cell r="J22">
            <v>690.39</v>
          </cell>
          <cell r="K22">
            <v>306.52</v>
          </cell>
          <cell r="L22">
            <v>468.95499999999998</v>
          </cell>
          <cell r="M22">
            <v>85.084999999999994</v>
          </cell>
          <cell r="N22">
            <v>690.39</v>
          </cell>
        </row>
        <row r="23">
          <cell r="A23" t="str">
            <v>5679 САЛЯМИ ИТАЛЬЯНСКАЯ с/к в/у 1/150_60с ОСТАНКИНО</v>
          </cell>
          <cell r="D23" t="str">
            <v>шт</v>
          </cell>
          <cell r="H23">
            <v>104</v>
          </cell>
          <cell r="J23">
            <v>104</v>
          </cell>
          <cell r="L23">
            <v>15.6</v>
          </cell>
          <cell r="N23">
            <v>15.6</v>
          </cell>
        </row>
        <row r="24">
          <cell r="A24" t="str">
            <v>5708 ПОСОЛЬСКАЯ Папа может с/к в/у ОСТАНКИНО</v>
          </cell>
          <cell r="D24" t="str">
            <v>кг</v>
          </cell>
          <cell r="F24">
            <v>0.51200000000000001</v>
          </cell>
          <cell r="J24">
            <v>0.51200000000000001</v>
          </cell>
          <cell r="K24">
            <v>0.51200000000000001</v>
          </cell>
          <cell r="N24">
            <v>0.51200000000000001</v>
          </cell>
        </row>
        <row r="25">
          <cell r="A25" t="str">
            <v>5819 Сосиски Папа может 400г Мясные  ОСТАНКИНО</v>
          </cell>
          <cell r="D25" t="str">
            <v>шт</v>
          </cell>
          <cell r="F25">
            <v>12</v>
          </cell>
          <cell r="I25">
            <v>12</v>
          </cell>
          <cell r="K25">
            <v>4.8</v>
          </cell>
          <cell r="M25">
            <v>4.8</v>
          </cell>
        </row>
        <row r="26">
          <cell r="A26" t="str">
            <v>5851 ЭКСТРА Папа может вар п/о   ОСТАНКИНО</v>
          </cell>
          <cell r="D26" t="str">
            <v>кг</v>
          </cell>
          <cell r="F26">
            <v>102.193</v>
          </cell>
          <cell r="H26">
            <v>225.36500000000001</v>
          </cell>
          <cell r="I26">
            <v>12.039</v>
          </cell>
          <cell r="J26">
            <v>315.51900000000001</v>
          </cell>
          <cell r="K26">
            <v>102.193</v>
          </cell>
          <cell r="L26">
            <v>225.36500000000001</v>
          </cell>
          <cell r="M26">
            <v>12.039</v>
          </cell>
          <cell r="N26">
            <v>315.51900000000001</v>
          </cell>
        </row>
        <row r="27">
          <cell r="A27" t="str">
            <v>5931 ОХОТНИЧЬЯ Папа может с/к в/у 1/220 8шт.   ОСТАНКИНО</v>
          </cell>
          <cell r="D27" t="str">
            <v>шт</v>
          </cell>
          <cell r="F27">
            <v>38</v>
          </cell>
          <cell r="H27">
            <v>200</v>
          </cell>
          <cell r="I27">
            <v>32</v>
          </cell>
          <cell r="J27">
            <v>206</v>
          </cell>
          <cell r="K27">
            <v>8.36</v>
          </cell>
          <cell r="L27">
            <v>44</v>
          </cell>
          <cell r="M27">
            <v>7.04</v>
          </cell>
          <cell r="N27">
            <v>45.32</v>
          </cell>
        </row>
        <row r="28">
          <cell r="A28" t="str">
            <v>6008 САЛО СОЛЕНОЕ С ЧЕРНЫМ ПЕРЦЕМ мл/к в/у ОСТАНКИНО</v>
          </cell>
          <cell r="D28" t="str">
            <v>кг</v>
          </cell>
          <cell r="F28">
            <v>14.837999999999999</v>
          </cell>
          <cell r="I28">
            <v>1.736</v>
          </cell>
          <cell r="J28">
            <v>13.102</v>
          </cell>
          <cell r="K28">
            <v>14.837999999999999</v>
          </cell>
          <cell r="M28">
            <v>1.736</v>
          </cell>
          <cell r="N28">
            <v>13.102</v>
          </cell>
        </row>
        <row r="29">
          <cell r="A29" t="str">
            <v>6220 ГОВЯЖЬЯ папа может вар п/о  Останкино</v>
          </cell>
          <cell r="D29" t="str">
            <v>кг</v>
          </cell>
          <cell r="F29">
            <v>100.50700000000001</v>
          </cell>
          <cell r="I29">
            <v>14.959</v>
          </cell>
          <cell r="J29">
            <v>85.548000000000002</v>
          </cell>
          <cell r="K29">
            <v>100.50700000000001</v>
          </cell>
          <cell r="M29">
            <v>14.959</v>
          </cell>
          <cell r="N29">
            <v>85.548000000000002</v>
          </cell>
        </row>
        <row r="30">
          <cell r="A30" t="str">
            <v>6221 НЕОПОЛИТАНСКИЙ ДУЭТ с/к с/н мгс 1/90  Останкино</v>
          </cell>
          <cell r="D30" t="str">
            <v>шт</v>
          </cell>
          <cell r="F30">
            <v>81</v>
          </cell>
          <cell r="I30">
            <v>8</v>
          </cell>
          <cell r="J30">
            <v>73</v>
          </cell>
          <cell r="K30">
            <v>7.29</v>
          </cell>
          <cell r="M30">
            <v>0.72</v>
          </cell>
          <cell r="N30">
            <v>6.57</v>
          </cell>
        </row>
        <row r="31">
          <cell r="A31" t="str">
            <v>6228 МЯСНОЕ АССОРТИ к/з с/н мгс 1/90 10шт  Останкино</v>
          </cell>
          <cell r="D31" t="str">
            <v>шт</v>
          </cell>
          <cell r="F31">
            <v>34</v>
          </cell>
          <cell r="I31">
            <v>21</v>
          </cell>
          <cell r="J31">
            <v>13</v>
          </cell>
          <cell r="K31">
            <v>3.06</v>
          </cell>
          <cell r="M31">
            <v>1.89</v>
          </cell>
          <cell r="N31">
            <v>1.17</v>
          </cell>
        </row>
        <row r="32">
          <cell r="A32" t="str">
            <v>6254 ФИЛЕЙНЫЕ Папа может сос ц/о мгс 1.5*2  ОСТАНКИНО</v>
          </cell>
          <cell r="D32" t="str">
            <v>кг</v>
          </cell>
          <cell r="H32">
            <v>49.94</v>
          </cell>
          <cell r="J32">
            <v>49.94</v>
          </cell>
          <cell r="L32">
            <v>49.94</v>
          </cell>
          <cell r="N32">
            <v>49.94</v>
          </cell>
        </row>
        <row r="33">
          <cell r="A33" t="str">
            <v>6279 КОРЕЙКА ПО-ОСТ.к/в в/с с/н в/у 1/150_45с  Останкино</v>
          </cell>
          <cell r="D33" t="str">
            <v>шт</v>
          </cell>
          <cell r="F33">
            <v>-3</v>
          </cell>
          <cell r="J33">
            <v>-3</v>
          </cell>
          <cell r="K33">
            <v>-0.45</v>
          </cell>
          <cell r="N33">
            <v>-0.45</v>
          </cell>
        </row>
        <row r="34">
          <cell r="A34" t="str">
            <v>6303 Мясные Папа может сос п/о мгс 1,5*3  Останкино</v>
          </cell>
          <cell r="D34" t="str">
            <v>кг</v>
          </cell>
          <cell r="F34">
            <v>207.732</v>
          </cell>
          <cell r="H34">
            <v>583.125</v>
          </cell>
          <cell r="I34">
            <v>203.42400000000001</v>
          </cell>
          <cell r="J34">
            <v>587.43299999999999</v>
          </cell>
          <cell r="K34">
            <v>207.732</v>
          </cell>
          <cell r="L34">
            <v>583.125</v>
          </cell>
          <cell r="M34">
            <v>203.42400000000001</v>
          </cell>
          <cell r="N34">
            <v>587.43299999999999</v>
          </cell>
        </row>
        <row r="35">
          <cell r="A35" t="str">
            <v>6325 ДОКТОРСКАЯ ПРЕМИУМ вар п/о 0.4кг 8шт.  ОСТАНКИНО</v>
          </cell>
          <cell r="D35" t="str">
            <v>шт</v>
          </cell>
          <cell r="F35">
            <v>111</v>
          </cell>
          <cell r="I35">
            <v>10</v>
          </cell>
          <cell r="J35">
            <v>101</v>
          </cell>
          <cell r="K35">
            <v>44.4</v>
          </cell>
          <cell r="M35">
            <v>4</v>
          </cell>
          <cell r="N35">
            <v>40.4</v>
          </cell>
        </row>
        <row r="36">
          <cell r="A36" t="str">
            <v>6333 МЯСНАЯ Папа может вар п/о 0.4кг 8шт.  ОСТАНКИНО</v>
          </cell>
          <cell r="D36" t="str">
            <v>шт</v>
          </cell>
          <cell r="F36">
            <v>103</v>
          </cell>
          <cell r="H36">
            <v>136</v>
          </cell>
          <cell r="I36">
            <v>102</v>
          </cell>
          <cell r="J36">
            <v>137</v>
          </cell>
          <cell r="K36">
            <v>41.2</v>
          </cell>
          <cell r="L36">
            <v>54.4</v>
          </cell>
          <cell r="M36">
            <v>40.799999999999997</v>
          </cell>
          <cell r="N36">
            <v>54.8</v>
          </cell>
        </row>
        <row r="37">
          <cell r="A37" t="str">
            <v>6392 ФИЛЕЙНАЯ Папа может вар п/о 0,4кг  ОСТАНКИНО</v>
          </cell>
          <cell r="D37" t="str">
            <v>шт</v>
          </cell>
          <cell r="F37">
            <v>48</v>
          </cell>
          <cell r="H37">
            <v>160</v>
          </cell>
          <cell r="I37">
            <v>47</v>
          </cell>
          <cell r="J37">
            <v>161</v>
          </cell>
          <cell r="K37">
            <v>19.2</v>
          </cell>
          <cell r="L37">
            <v>64</v>
          </cell>
          <cell r="M37">
            <v>18.8</v>
          </cell>
          <cell r="N37">
            <v>64.400000000000006</v>
          </cell>
        </row>
        <row r="38">
          <cell r="A38" t="str">
            <v>6495 ВЕТЧ.МРАМОРНАЯ в/у срез 0,3кг 6шт_45с  Останкино</v>
          </cell>
          <cell r="D38" t="str">
            <v>шт</v>
          </cell>
          <cell r="F38">
            <v>17</v>
          </cell>
          <cell r="I38">
            <v>12</v>
          </cell>
          <cell r="J38">
            <v>5</v>
          </cell>
          <cell r="K38">
            <v>5.0999999999999996</v>
          </cell>
          <cell r="M38">
            <v>3.6</v>
          </cell>
          <cell r="N38">
            <v>1.5</v>
          </cell>
        </row>
        <row r="39">
          <cell r="A39" t="str">
            <v>6498 МОЛОЧНАЯ Папа может вар п/о  ОСТАНКИНО</v>
          </cell>
          <cell r="D39" t="str">
            <v>кг</v>
          </cell>
          <cell r="F39">
            <v>153.91499999999999</v>
          </cell>
          <cell r="H39">
            <v>142.40700000000001</v>
          </cell>
          <cell r="I39">
            <v>13.007</v>
          </cell>
          <cell r="J39">
            <v>283.315</v>
          </cell>
          <cell r="K39">
            <v>153.91499999999999</v>
          </cell>
          <cell r="L39">
            <v>142.40700000000001</v>
          </cell>
          <cell r="M39">
            <v>13.007</v>
          </cell>
          <cell r="N39">
            <v>283.315</v>
          </cell>
        </row>
        <row r="40">
          <cell r="A40" t="str">
            <v>6527 ШПИКАЧКИ СОЧНЫЕ ПМ сар б/о мгс 1*3 45с ОСТАНКИНО</v>
          </cell>
          <cell r="D40" t="str">
            <v>кг</v>
          </cell>
          <cell r="F40">
            <v>167.32900000000001</v>
          </cell>
          <cell r="H40">
            <v>50.384</v>
          </cell>
          <cell r="I40">
            <v>14.561999999999999</v>
          </cell>
          <cell r="J40">
            <v>203.15100000000001</v>
          </cell>
          <cell r="K40">
            <v>167.32900000000001</v>
          </cell>
          <cell r="L40">
            <v>50.384</v>
          </cell>
          <cell r="M40">
            <v>14.561999999999999</v>
          </cell>
          <cell r="N40">
            <v>203.15100000000001</v>
          </cell>
        </row>
        <row r="41">
          <cell r="A41" t="str">
            <v>6550 МЯСНЫЕ Папа может сар б/о мгс 1*3 О 45с  Останкино</v>
          </cell>
          <cell r="D41" t="str">
            <v>кг</v>
          </cell>
          <cell r="F41">
            <v>53.28</v>
          </cell>
          <cell r="H41">
            <v>257.74900000000002</v>
          </cell>
          <cell r="I41">
            <v>23.228999999999999</v>
          </cell>
          <cell r="J41">
            <v>287.8</v>
          </cell>
          <cell r="K41">
            <v>53.28</v>
          </cell>
          <cell r="L41">
            <v>257.74900000000002</v>
          </cell>
          <cell r="M41">
            <v>23.228999999999999</v>
          </cell>
          <cell r="N41">
            <v>287.8</v>
          </cell>
        </row>
        <row r="42">
          <cell r="A42" t="str">
            <v>6608 С ГОВЯДИНОЙ ОРИГИН. сар б/о мгс 1*3_45с  ОСТАНКИНО</v>
          </cell>
          <cell r="D42" t="str">
            <v>кг</v>
          </cell>
          <cell r="F42">
            <v>117.992</v>
          </cell>
          <cell r="H42">
            <v>133.64400000000001</v>
          </cell>
          <cell r="I42">
            <v>35.372</v>
          </cell>
          <cell r="J42">
            <v>216.26400000000001</v>
          </cell>
          <cell r="K42">
            <v>117.992</v>
          </cell>
          <cell r="L42">
            <v>133.64400000000001</v>
          </cell>
          <cell r="M42">
            <v>35.372</v>
          </cell>
          <cell r="N42">
            <v>216.26400000000001</v>
          </cell>
        </row>
        <row r="43">
          <cell r="A43" t="str">
            <v>6616 МОЛОЧНЫЕ КЛАССИЧЕСКИЕ сос п/о в/у 0,3 кг  Останкино</v>
          </cell>
          <cell r="D43" t="str">
            <v>шт</v>
          </cell>
          <cell r="F43">
            <v>27</v>
          </cell>
          <cell r="I43">
            <v>15</v>
          </cell>
          <cell r="J43">
            <v>12</v>
          </cell>
          <cell r="K43">
            <v>8.1</v>
          </cell>
          <cell r="M43">
            <v>4.5</v>
          </cell>
          <cell r="N43">
            <v>3.6</v>
          </cell>
        </row>
        <row r="44">
          <cell r="A44" t="str">
            <v>6620 РЕБРЫШКИ к/в в/у_30с  Останкино</v>
          </cell>
          <cell r="D44" t="str">
            <v>кг</v>
          </cell>
          <cell r="F44">
            <v>1.1419999999999999</v>
          </cell>
          <cell r="I44">
            <v>3</v>
          </cell>
          <cell r="J44">
            <v>-1.8580000000000001</v>
          </cell>
          <cell r="K44">
            <v>1.1419999999999999</v>
          </cell>
          <cell r="M44">
            <v>3</v>
          </cell>
          <cell r="N44">
            <v>-1.8580000000000001</v>
          </cell>
        </row>
        <row r="45">
          <cell r="A45" t="str">
            <v>6661 СОЧНЫЙ ГРИЛЬ ПМ сос п/о мгс 1,5*4_Маяк Останкино</v>
          </cell>
          <cell r="D45" t="str">
            <v>кг</v>
          </cell>
          <cell r="F45">
            <v>66.709000000000003</v>
          </cell>
          <cell r="I45">
            <v>39.042000000000002</v>
          </cell>
          <cell r="J45">
            <v>27.667000000000002</v>
          </cell>
          <cell r="K45">
            <v>66.709000000000003</v>
          </cell>
          <cell r="M45">
            <v>39.042000000000002</v>
          </cell>
          <cell r="N45">
            <v>27.667000000000002</v>
          </cell>
        </row>
        <row r="46">
          <cell r="A46" t="str">
            <v>6697 СЕРВЕЛАТ ФИНСКИЙ ПМ в/к в/у 0,35кг 8шт  ОСТАНКИНО</v>
          </cell>
          <cell r="D46" t="str">
            <v>шт</v>
          </cell>
          <cell r="F46">
            <v>355</v>
          </cell>
          <cell r="I46">
            <v>234</v>
          </cell>
          <cell r="J46">
            <v>121</v>
          </cell>
          <cell r="K46">
            <v>124.25</v>
          </cell>
          <cell r="M46">
            <v>81.900000000000006</v>
          </cell>
          <cell r="N46">
            <v>42.35</v>
          </cell>
        </row>
        <row r="47">
          <cell r="A47" t="str">
            <v>6724 МОЛОЧНЫЕ ПМ сос п/о мгс 0,41кг 10шт  Останкино</v>
          </cell>
          <cell r="D47" t="str">
            <v>шт</v>
          </cell>
          <cell r="F47">
            <v>126</v>
          </cell>
          <cell r="H47">
            <v>250</v>
          </cell>
          <cell r="I47">
            <v>35</v>
          </cell>
          <cell r="J47">
            <v>341</v>
          </cell>
          <cell r="K47">
            <v>51.66</v>
          </cell>
          <cell r="L47">
            <v>102.5</v>
          </cell>
          <cell r="M47">
            <v>14.35</v>
          </cell>
          <cell r="N47">
            <v>139.81</v>
          </cell>
        </row>
        <row r="48">
          <cell r="A48" t="str">
            <v>6764 СЛИИВОЧНЫЕ сос ц/о мгс 1*4  Останкино</v>
          </cell>
          <cell r="D48" t="str">
            <v>кг</v>
          </cell>
          <cell r="F48">
            <v>49.033999999999999</v>
          </cell>
          <cell r="I48">
            <v>2.0840000000000001</v>
          </cell>
          <cell r="J48">
            <v>46.95</v>
          </cell>
          <cell r="K48">
            <v>49.033999999999999</v>
          </cell>
          <cell r="M48">
            <v>2.0840000000000001</v>
          </cell>
          <cell r="N48">
            <v>46.95</v>
          </cell>
        </row>
        <row r="49">
          <cell r="A49" t="str">
            <v>6765 РУБЛЕНЫЕ сос ц/о мгс 0,36кг 6шт  Останкино</v>
          </cell>
          <cell r="D49" t="str">
            <v>шт</v>
          </cell>
          <cell r="F49">
            <v>15</v>
          </cell>
          <cell r="I49">
            <v>12</v>
          </cell>
          <cell r="J49">
            <v>3</v>
          </cell>
          <cell r="K49">
            <v>5.4</v>
          </cell>
          <cell r="M49">
            <v>4.32</v>
          </cell>
          <cell r="N49">
            <v>1.08</v>
          </cell>
        </row>
        <row r="50">
          <cell r="A50" t="str">
            <v>6767 РУБЛЕНЫЕ сос ц/о мгс 1*4  Останкино</v>
          </cell>
          <cell r="D50" t="str">
            <v>кг</v>
          </cell>
          <cell r="H50">
            <v>81.831000000000003</v>
          </cell>
          <cell r="J50">
            <v>81.831000000000003</v>
          </cell>
          <cell r="L50">
            <v>81.831000000000003</v>
          </cell>
          <cell r="N50">
            <v>81.831000000000003</v>
          </cell>
        </row>
        <row r="51">
          <cell r="A51" t="str">
            <v>6787 СЕРВЕЛАТ КРЕМЛЕВСКИЙ в/к в/у 0,33кг 8шт  Останкино</v>
          </cell>
          <cell r="D51" t="str">
            <v>шт</v>
          </cell>
          <cell r="F51">
            <v>49</v>
          </cell>
          <cell r="I51">
            <v>9</v>
          </cell>
          <cell r="J51">
            <v>40</v>
          </cell>
          <cell r="K51">
            <v>16.170000000000002</v>
          </cell>
          <cell r="M51">
            <v>2.97</v>
          </cell>
          <cell r="N51">
            <v>13.2</v>
          </cell>
        </row>
        <row r="52">
          <cell r="A52" t="str">
            <v>6797 С ИНДЕЙКОЙ Папа может вар п/о 0,4кг 8шт. ОСТАНКИНО</v>
          </cell>
          <cell r="D52" t="str">
            <v>шт</v>
          </cell>
          <cell r="F52">
            <v>66</v>
          </cell>
          <cell r="I52">
            <v>14</v>
          </cell>
          <cell r="J52">
            <v>52</v>
          </cell>
          <cell r="K52">
            <v>26.4</v>
          </cell>
          <cell r="M52">
            <v>5.6</v>
          </cell>
          <cell r="N52">
            <v>20.8</v>
          </cell>
        </row>
        <row r="53">
          <cell r="A53" t="str">
            <v>6807 СЕРВЕЛАТ ЕВРОПЕЙСКИЙ в/к в/у 0,33кг 8шт  Останкино</v>
          </cell>
          <cell r="D53" t="str">
            <v>шт</v>
          </cell>
          <cell r="F53">
            <v>52</v>
          </cell>
          <cell r="I53">
            <v>25</v>
          </cell>
          <cell r="J53">
            <v>27</v>
          </cell>
          <cell r="K53">
            <v>17.16</v>
          </cell>
          <cell r="M53">
            <v>8.25</v>
          </cell>
          <cell r="N53">
            <v>8.91</v>
          </cell>
        </row>
        <row r="54">
          <cell r="A54" t="str">
            <v>6829  МОЛОЧНЫЕ КЛАССИЧЕСКИЕ сос п/о мгс 2*4 С  Останккино</v>
          </cell>
          <cell r="D54" t="str">
            <v>кг</v>
          </cell>
          <cell r="F54">
            <v>271.36200000000002</v>
          </cell>
          <cell r="H54">
            <v>1103.432</v>
          </cell>
          <cell r="I54">
            <v>143.04599999999999</v>
          </cell>
          <cell r="J54">
            <v>1231.748</v>
          </cell>
          <cell r="K54">
            <v>271.36200000000002</v>
          </cell>
          <cell r="L54">
            <v>1103.432</v>
          </cell>
          <cell r="M54">
            <v>143.04599999999999</v>
          </cell>
          <cell r="N54">
            <v>1231.748</v>
          </cell>
        </row>
        <row r="55">
          <cell r="A55" t="str">
            <v>6837 ФИЛЕЙНЫЕ Папа Может сос ц/о мгс 0,4кг  Останкино</v>
          </cell>
          <cell r="D55" t="str">
            <v>шт</v>
          </cell>
          <cell r="F55">
            <v>57</v>
          </cell>
          <cell r="H55">
            <v>150</v>
          </cell>
          <cell r="I55">
            <v>2</v>
          </cell>
          <cell r="J55">
            <v>205</v>
          </cell>
          <cell r="K55">
            <v>22.8</v>
          </cell>
          <cell r="L55">
            <v>60</v>
          </cell>
          <cell r="M55">
            <v>0.8</v>
          </cell>
          <cell r="N55">
            <v>82</v>
          </cell>
        </row>
        <row r="56">
          <cell r="A56" t="str">
            <v>6861 ДОМАШНИЙ РЕЦЕПТ Коровино вар п/о  Останкино</v>
          </cell>
          <cell r="D56" t="str">
            <v>кг</v>
          </cell>
          <cell r="F56">
            <v>5.83</v>
          </cell>
          <cell r="I56">
            <v>1.919</v>
          </cell>
          <cell r="J56">
            <v>3.911</v>
          </cell>
          <cell r="K56">
            <v>5.83</v>
          </cell>
          <cell r="M56">
            <v>1.919</v>
          </cell>
          <cell r="N56">
            <v>3.911</v>
          </cell>
        </row>
        <row r="57">
          <cell r="A57" t="str">
            <v>6866 ВЕТЧ.НЕЖНАЯ Коровино п/о_Маяк  Останкино</v>
          </cell>
          <cell r="D57" t="str">
            <v>кг</v>
          </cell>
          <cell r="F57">
            <v>115.605</v>
          </cell>
          <cell r="H57">
            <v>35.979999999999997</v>
          </cell>
          <cell r="I57">
            <v>6.0270000000000001</v>
          </cell>
          <cell r="J57">
            <v>145.55799999999999</v>
          </cell>
          <cell r="K57">
            <v>115.605</v>
          </cell>
          <cell r="L57">
            <v>35.979999999999997</v>
          </cell>
          <cell r="M57">
            <v>6.0270000000000001</v>
          </cell>
          <cell r="N57">
            <v>145.55799999999999</v>
          </cell>
        </row>
        <row r="58">
          <cell r="A58" t="str">
            <v>6929 КАРБОНАД ДОМАШНИЙ ПМ к/в кр/к в/у  ОСТАНКИНО</v>
          </cell>
          <cell r="D58" t="str">
            <v>кг</v>
          </cell>
          <cell r="F58">
            <v>1.204</v>
          </cell>
          <cell r="I58">
            <v>3</v>
          </cell>
          <cell r="J58">
            <v>-1.796</v>
          </cell>
          <cell r="K58">
            <v>1.204</v>
          </cell>
          <cell r="M58">
            <v>3</v>
          </cell>
          <cell r="N58">
            <v>-1.796</v>
          </cell>
        </row>
        <row r="59">
          <cell r="A59" t="str">
            <v>6967 БУРГУНДИЯ Папа может с/к в/у 1/250 8шт  Останкино</v>
          </cell>
          <cell r="D59" t="str">
            <v>шт</v>
          </cell>
          <cell r="F59">
            <v>39</v>
          </cell>
          <cell r="H59">
            <v>120</v>
          </cell>
          <cell r="I59">
            <v>12</v>
          </cell>
          <cell r="J59">
            <v>147</v>
          </cell>
          <cell r="K59">
            <v>9.75</v>
          </cell>
          <cell r="L59">
            <v>30</v>
          </cell>
          <cell r="M59">
            <v>3</v>
          </cell>
          <cell r="N59">
            <v>36.75</v>
          </cell>
        </row>
        <row r="60">
          <cell r="A60" t="str">
            <v>7001 КЛАССИЧЕСКИЕ Папа может сар б/о мгс 1*3  Останкино</v>
          </cell>
          <cell r="D60" t="str">
            <v>кг</v>
          </cell>
          <cell r="F60">
            <v>56.597999999999999</v>
          </cell>
          <cell r="I60">
            <v>11.579000000000001</v>
          </cell>
          <cell r="J60">
            <v>45.018999999999998</v>
          </cell>
          <cell r="K60">
            <v>56.597999999999999</v>
          </cell>
          <cell r="M60">
            <v>11.579000000000001</v>
          </cell>
          <cell r="N60">
            <v>45.018999999999998</v>
          </cell>
        </row>
        <row r="61">
          <cell r="A61" t="str">
            <v>7040 С ИНДЕЙКОЙ ПМ сос ц/о в/у 1/270 8шт.  ОСТАНКИНО</v>
          </cell>
          <cell r="D61" t="str">
            <v>шт</v>
          </cell>
          <cell r="F61">
            <v>133</v>
          </cell>
          <cell r="I61">
            <v>15</v>
          </cell>
          <cell r="J61">
            <v>118</v>
          </cell>
          <cell r="K61">
            <v>35.909999999999997</v>
          </cell>
          <cell r="M61">
            <v>4.05</v>
          </cell>
          <cell r="N61">
            <v>31.86</v>
          </cell>
        </row>
        <row r="62">
          <cell r="A62" t="str">
            <v>7059 ШПИКАЧКИ СОЧНЫЕ С БЕК. п/о мгс 0,3кг 60с ОСТАНКИНО</v>
          </cell>
          <cell r="D62" t="str">
            <v>шт</v>
          </cell>
          <cell r="F62">
            <v>63</v>
          </cell>
          <cell r="I62">
            <v>24</v>
          </cell>
          <cell r="J62">
            <v>39</v>
          </cell>
          <cell r="K62">
            <v>18.899999999999999</v>
          </cell>
          <cell r="M62">
            <v>7.2</v>
          </cell>
          <cell r="N62">
            <v>11.7</v>
          </cell>
        </row>
        <row r="63">
          <cell r="A63" t="str">
            <v>7066 СОЧНЫЕ ПМ сос п/о мгс 0,41кг 10шт 50с  Останкино</v>
          </cell>
          <cell r="D63" t="str">
            <v>шт</v>
          </cell>
          <cell r="F63">
            <v>62</v>
          </cell>
          <cell r="H63">
            <v>201</v>
          </cell>
          <cell r="I63">
            <v>41</v>
          </cell>
          <cell r="J63">
            <v>222</v>
          </cell>
          <cell r="K63">
            <v>25.42</v>
          </cell>
          <cell r="L63">
            <v>82.41</v>
          </cell>
          <cell r="M63">
            <v>16.809999999999999</v>
          </cell>
          <cell r="N63">
            <v>91.02</v>
          </cell>
        </row>
        <row r="64">
          <cell r="A64" t="str">
            <v>7070 СОЧНЫЕ ПМ сос п/о 1,5*4_А_50с  Останкино</v>
          </cell>
          <cell r="D64" t="str">
            <v>кг</v>
          </cell>
          <cell r="F64">
            <v>163.87299999999999</v>
          </cell>
          <cell r="H64">
            <v>357.66699999999997</v>
          </cell>
          <cell r="I64">
            <v>41.787999999999997</v>
          </cell>
          <cell r="J64">
            <v>479.75200000000001</v>
          </cell>
          <cell r="K64">
            <v>163.87299999999999</v>
          </cell>
          <cell r="L64">
            <v>357.66699999999997</v>
          </cell>
          <cell r="M64">
            <v>41.787999999999997</v>
          </cell>
          <cell r="N64">
            <v>479.75200000000001</v>
          </cell>
        </row>
        <row r="65">
          <cell r="A65" t="str">
            <v>7073 МОЛОЧ.ПРЕМИУМ ПМ сос п/о в/у 1/350_50с  Останкино</v>
          </cell>
          <cell r="D65" t="str">
            <v>шт</v>
          </cell>
          <cell r="F65">
            <v>100</v>
          </cell>
          <cell r="H65">
            <v>128</v>
          </cell>
          <cell r="I65">
            <v>48</v>
          </cell>
          <cell r="J65">
            <v>180</v>
          </cell>
          <cell r="K65">
            <v>35</v>
          </cell>
          <cell r="L65">
            <v>44.8</v>
          </cell>
          <cell r="M65">
            <v>16.8</v>
          </cell>
          <cell r="N65">
            <v>63</v>
          </cell>
        </row>
        <row r="66">
          <cell r="A66" t="str">
            <v>7075 МОЛОЧ.ПРЕМИУМ ПМ сос п/о мгс 1,5*4_О_50с  Останкино</v>
          </cell>
          <cell r="D66" t="str">
            <v>кг</v>
          </cell>
          <cell r="F66">
            <v>53.965000000000003</v>
          </cell>
          <cell r="I66">
            <v>7.6879999999999997</v>
          </cell>
          <cell r="J66">
            <v>46.277000000000001</v>
          </cell>
          <cell r="K66">
            <v>53.965000000000003</v>
          </cell>
          <cell r="M66">
            <v>7.6879999999999997</v>
          </cell>
          <cell r="N66">
            <v>46.277000000000001</v>
          </cell>
        </row>
        <row r="67">
          <cell r="A67" t="str">
            <v>7080 СЛИВОЧНЫЕ ПМ сос п/о мгс 0,41кг 10шт 50с  Останкино</v>
          </cell>
          <cell r="D67" t="str">
            <v>шт</v>
          </cell>
          <cell r="F67">
            <v>222</v>
          </cell>
          <cell r="H67">
            <v>200</v>
          </cell>
          <cell r="I67">
            <v>128</v>
          </cell>
          <cell r="J67">
            <v>294</v>
          </cell>
          <cell r="K67">
            <v>91.02</v>
          </cell>
          <cell r="L67">
            <v>82</v>
          </cell>
          <cell r="M67">
            <v>52.48</v>
          </cell>
          <cell r="N67">
            <v>120.54</v>
          </cell>
        </row>
        <row r="68">
          <cell r="A68" t="str">
            <v>7083 СЛИВОЧНЫЕ ПМ сос п/о мгс 1.5*4_А_50с  ОСТАНКИНО</v>
          </cell>
          <cell r="D68" t="str">
            <v>кг</v>
          </cell>
          <cell r="F68">
            <v>133.56299999999999</v>
          </cell>
          <cell r="I68">
            <v>16.981000000000002</v>
          </cell>
          <cell r="J68">
            <v>116.58199999999999</v>
          </cell>
          <cell r="K68">
            <v>133.56299999999999</v>
          </cell>
          <cell r="M68">
            <v>16.981000000000002</v>
          </cell>
          <cell r="N68">
            <v>116.58199999999999</v>
          </cell>
        </row>
        <row r="69">
          <cell r="A69" t="str">
            <v>7090 СВИНИНА ПО-ДОМ.к/в мл/к в/у 0,3кг_50с  Останкино</v>
          </cell>
          <cell r="D69" t="str">
            <v>шт</v>
          </cell>
          <cell r="F69">
            <v>113</v>
          </cell>
          <cell r="I69">
            <v>19</v>
          </cell>
          <cell r="J69">
            <v>94</v>
          </cell>
          <cell r="K69">
            <v>33.9</v>
          </cell>
          <cell r="M69">
            <v>5.7</v>
          </cell>
          <cell r="N69">
            <v>28.2</v>
          </cell>
        </row>
        <row r="70">
          <cell r="A70" t="str">
            <v>7143 БРАУНШВЕЙГСКАЯ ГОСТ с/к в/у 1/220 8шт.  ОСТАНКИНО</v>
          </cell>
          <cell r="D70" t="str">
            <v>шт</v>
          </cell>
          <cell r="F70">
            <v>24</v>
          </cell>
          <cell r="I70">
            <v>3</v>
          </cell>
          <cell r="J70">
            <v>21</v>
          </cell>
          <cell r="K70">
            <v>5.28</v>
          </cell>
          <cell r="M70">
            <v>0.66</v>
          </cell>
          <cell r="N70">
            <v>4.62</v>
          </cell>
        </row>
        <row r="71">
          <cell r="A71" t="str">
            <v>7149 БАЛЫКОВАЯ Коровино п/к в/у 0,84кг_50с  Останкино</v>
          </cell>
          <cell r="D71" t="str">
            <v>шт</v>
          </cell>
          <cell r="F71">
            <v>53</v>
          </cell>
          <cell r="H71">
            <v>36</v>
          </cell>
          <cell r="I71">
            <v>17</v>
          </cell>
          <cell r="J71">
            <v>72</v>
          </cell>
          <cell r="K71">
            <v>44.52</v>
          </cell>
          <cell r="L71">
            <v>30.24</v>
          </cell>
          <cell r="M71">
            <v>14.28</v>
          </cell>
          <cell r="N71">
            <v>60.48</v>
          </cell>
        </row>
        <row r="72">
          <cell r="A72" t="str">
            <v>7154 СЕРВЕЛАТ ЗЕРНИСТЫЙ ПМ в/к в/у 0,35кг_50с  Останкино</v>
          </cell>
          <cell r="D72" t="str">
            <v>шт</v>
          </cell>
          <cell r="F72">
            <v>293</v>
          </cell>
          <cell r="H72">
            <v>498</v>
          </cell>
          <cell r="I72">
            <v>192</v>
          </cell>
          <cell r="J72">
            <v>599</v>
          </cell>
          <cell r="K72">
            <v>102.55</v>
          </cell>
          <cell r="L72">
            <v>174.3</v>
          </cell>
          <cell r="M72">
            <v>67.2</v>
          </cell>
          <cell r="N72">
            <v>209.65</v>
          </cell>
        </row>
        <row r="73">
          <cell r="A73" t="str">
            <v>7157 СЕРВЕЛАТ ЗЕРНИСТЫЙ ПМ в/к в/у_50с  Останкино</v>
          </cell>
          <cell r="D73" t="str">
            <v>кг</v>
          </cell>
          <cell r="F73">
            <v>255.131</v>
          </cell>
          <cell r="H73">
            <v>429.209</v>
          </cell>
          <cell r="I73">
            <v>64.164000000000001</v>
          </cell>
          <cell r="J73">
            <v>620.17600000000004</v>
          </cell>
          <cell r="K73">
            <v>255.131</v>
          </cell>
          <cell r="L73">
            <v>429.209</v>
          </cell>
          <cell r="M73">
            <v>64.164000000000001</v>
          </cell>
          <cell r="N73">
            <v>620.17600000000004</v>
          </cell>
        </row>
        <row r="74">
          <cell r="A74" t="str">
            <v>7166 СЕРВЕЛАТ ОХОТНИЧИЙ ПМ в/к в/у_50с  Останкино</v>
          </cell>
          <cell r="D74" t="str">
            <v>кг</v>
          </cell>
          <cell r="F74">
            <v>309.11399999999998</v>
          </cell>
          <cell r="H74">
            <v>447.48</v>
          </cell>
          <cell r="I74">
            <v>77.430000000000007</v>
          </cell>
          <cell r="J74">
            <v>679.16399999999999</v>
          </cell>
          <cell r="K74">
            <v>309.11399999999998</v>
          </cell>
          <cell r="L74">
            <v>447.48</v>
          </cell>
          <cell r="M74">
            <v>77.430000000000007</v>
          </cell>
          <cell r="N74">
            <v>679.16399999999999</v>
          </cell>
        </row>
        <row r="75">
          <cell r="A75" t="str">
            <v>7169 СЕРВЕЛАТ ОХОТНИЧИЙ ПМ в/к в/у 0,35кг_50с  Останкино</v>
          </cell>
          <cell r="D75" t="str">
            <v>шт</v>
          </cell>
          <cell r="F75">
            <v>253</v>
          </cell>
          <cell r="H75">
            <v>496</v>
          </cell>
          <cell r="I75">
            <v>184</v>
          </cell>
          <cell r="J75">
            <v>565</v>
          </cell>
          <cell r="K75">
            <v>88.55</v>
          </cell>
          <cell r="L75">
            <v>173.6</v>
          </cell>
          <cell r="M75">
            <v>64.400000000000006</v>
          </cell>
          <cell r="N75">
            <v>197.75</v>
          </cell>
        </row>
        <row r="76">
          <cell r="A76" t="str">
            <v>7187 ГРУДИНКА ПРЕМИУМ к/в мл/к в/у 0,3кг_50с  Останкино</v>
          </cell>
          <cell r="D76" t="str">
            <v>шт</v>
          </cell>
          <cell r="F76">
            <v>62</v>
          </cell>
          <cell r="I76">
            <v>9</v>
          </cell>
          <cell r="J76">
            <v>53</v>
          </cell>
          <cell r="K76">
            <v>18.600000000000001</v>
          </cell>
          <cell r="M76">
            <v>2.7</v>
          </cell>
          <cell r="N76">
            <v>15.9</v>
          </cell>
        </row>
        <row r="77">
          <cell r="A77" t="str">
            <v>7231 КЛАССИЧЕСКАЯ ПМ вар п/о 0,3кг 8 шт_209к  Останкино</v>
          </cell>
          <cell r="D77" t="str">
            <v>шт</v>
          </cell>
          <cell r="F77">
            <v>27</v>
          </cell>
          <cell r="I77">
            <v>27</v>
          </cell>
          <cell r="K77">
            <v>8.1</v>
          </cell>
          <cell r="M77">
            <v>8.1</v>
          </cell>
        </row>
        <row r="78">
          <cell r="A78" t="str">
            <v>7232 БОЯNСКАЯ ПМ п/к в/у 0,28кг 8шт_209к  Останкино</v>
          </cell>
          <cell r="D78" t="str">
            <v>шт</v>
          </cell>
          <cell r="F78">
            <v>70</v>
          </cell>
          <cell r="H78">
            <v>504</v>
          </cell>
          <cell r="I78">
            <v>71</v>
          </cell>
          <cell r="J78">
            <v>503</v>
          </cell>
          <cell r="K78">
            <v>19.600000000000001</v>
          </cell>
          <cell r="L78">
            <v>141.12</v>
          </cell>
          <cell r="M78">
            <v>19.88</v>
          </cell>
          <cell r="N78">
            <v>140.84</v>
          </cell>
        </row>
        <row r="79">
          <cell r="A79" t="str">
            <v>7236 СЕРВЕЛАТ КАРЕЛЬСКИЙ в/к в/у 0,28кг_209к  Останкино</v>
          </cell>
          <cell r="D79" t="str">
            <v>шт</v>
          </cell>
          <cell r="F79">
            <v>80</v>
          </cell>
          <cell r="H79">
            <v>504</v>
          </cell>
          <cell r="I79">
            <v>78</v>
          </cell>
          <cell r="J79">
            <v>506</v>
          </cell>
          <cell r="K79">
            <v>22.4</v>
          </cell>
          <cell r="L79">
            <v>141.12</v>
          </cell>
          <cell r="M79">
            <v>21.84</v>
          </cell>
          <cell r="N79">
            <v>141.68</v>
          </cell>
        </row>
        <row r="80">
          <cell r="A80" t="str">
            <v>7241 САЛЯМИ Папа может п/к в/у 0,28кг ОСТАНКИНО</v>
          </cell>
          <cell r="D80" t="str">
            <v>шт</v>
          </cell>
          <cell r="F80">
            <v>39</v>
          </cell>
          <cell r="H80">
            <v>480</v>
          </cell>
          <cell r="I80">
            <v>39</v>
          </cell>
          <cell r="J80">
            <v>480</v>
          </cell>
          <cell r="K80">
            <v>10.92</v>
          </cell>
          <cell r="L80">
            <v>134.4</v>
          </cell>
          <cell r="M80">
            <v>10.92</v>
          </cell>
          <cell r="N80">
            <v>134.4</v>
          </cell>
        </row>
        <row r="81">
          <cell r="A81" t="str">
            <v>7255 МЯСНЫЕ С ГОВЯД.ПМ сос п/о мгс 0.4кг 6шт.  ОСТАНКИНО</v>
          </cell>
          <cell r="D81" t="str">
            <v>шт</v>
          </cell>
          <cell r="F81">
            <v>33</v>
          </cell>
          <cell r="I81">
            <v>30</v>
          </cell>
          <cell r="J81">
            <v>3</v>
          </cell>
          <cell r="K81">
            <v>13.2</v>
          </cell>
          <cell r="M81">
            <v>12</v>
          </cell>
          <cell r="N81">
            <v>1.2</v>
          </cell>
        </row>
        <row r="82">
          <cell r="A82" t="str">
            <v>7271 МЯСНЫЕ С ГОВЯДИНОЙ ПМ сос п/о мгс 1.5*4  ОСТАНКИНО</v>
          </cell>
          <cell r="D82" t="str">
            <v>кг</v>
          </cell>
          <cell r="H82">
            <v>159.63200000000001</v>
          </cell>
          <cell r="J82">
            <v>159.63200000000001</v>
          </cell>
          <cell r="L82">
            <v>159.63200000000001</v>
          </cell>
          <cell r="N82">
            <v>159.63200000000001</v>
          </cell>
        </row>
        <row r="83">
          <cell r="A83" t="str">
            <v>7299 НАБОР ДЛЯ ПИЦЦЫ Папа Может с/к в/у  ОСТАНКИНО</v>
          </cell>
          <cell r="D83" t="str">
            <v>кг</v>
          </cell>
          <cell r="F83">
            <v>98.188999999999993</v>
          </cell>
          <cell r="I83">
            <v>67.721999999999994</v>
          </cell>
          <cell r="J83">
            <v>30.466999999999999</v>
          </cell>
          <cell r="K83">
            <v>98.188999999999993</v>
          </cell>
          <cell r="M83">
            <v>67.721999999999994</v>
          </cell>
          <cell r="N83">
            <v>30.466999999999999</v>
          </cell>
        </row>
        <row r="84">
          <cell r="A84" t="str">
            <v>7344 КОНСЕРВЫ МЯС.ГОВЯДИНА ТУШ. В/С 338г_ЧЗ  ОСТАНКИНО</v>
          </cell>
          <cell r="D84" t="str">
            <v>шт</v>
          </cell>
          <cell r="F84">
            <v>156</v>
          </cell>
          <cell r="I84">
            <v>1</v>
          </cell>
          <cell r="J84">
            <v>155</v>
          </cell>
          <cell r="K84">
            <v>52.728000000000002</v>
          </cell>
          <cell r="M84">
            <v>0.33800000000000002</v>
          </cell>
          <cell r="N84">
            <v>52.39</v>
          </cell>
        </row>
        <row r="85">
          <cell r="A85" t="str">
            <v>7345 КОНСЕРВЫ МЯС.СВИНИНА ТУШ. В/С 325г_ЧЗ  ОСТАНКИНО</v>
          </cell>
          <cell r="D85" t="str">
            <v>шт</v>
          </cell>
          <cell r="F85">
            <v>126</v>
          </cell>
          <cell r="I85">
            <v>1</v>
          </cell>
          <cell r="J85">
            <v>125</v>
          </cell>
          <cell r="K85">
            <v>40.950000000000003</v>
          </cell>
          <cell r="M85">
            <v>0.32500000000000001</v>
          </cell>
          <cell r="N85">
            <v>40.625</v>
          </cell>
        </row>
        <row r="86">
          <cell r="A86" t="str">
            <v>7382  САЛЯМИ МЕЛКОЗЕРНЕНАЯ с/к в/у1/120 8шт.  ОСТАНКИНО</v>
          </cell>
          <cell r="D86" t="str">
            <v>шт</v>
          </cell>
          <cell r="F86">
            <v>-16</v>
          </cell>
          <cell r="H86">
            <v>48</v>
          </cell>
          <cell r="J86">
            <v>32</v>
          </cell>
          <cell r="K86">
            <v>-1.92</v>
          </cell>
          <cell r="L86">
            <v>5.76</v>
          </cell>
          <cell r="N86">
            <v>3.84</v>
          </cell>
        </row>
        <row r="87">
          <cell r="A87" t="str">
            <v>7386 БАРСЕЛОНА ПМ с/к в/у 1/150  ОСТАНКИНО</v>
          </cell>
          <cell r="D87" t="str">
            <v>шт</v>
          </cell>
          <cell r="F87">
            <v>260</v>
          </cell>
          <cell r="H87">
            <v>54</v>
          </cell>
          <cell r="I87">
            <v>14</v>
          </cell>
          <cell r="J87">
            <v>300</v>
          </cell>
          <cell r="K87">
            <v>39</v>
          </cell>
          <cell r="L87">
            <v>8.1</v>
          </cell>
          <cell r="M87">
            <v>2.1</v>
          </cell>
          <cell r="N87">
            <v>45</v>
          </cell>
        </row>
        <row r="88">
          <cell r="A88" t="str">
            <v>7456 САЛЯМИ ФИНСКАЯ Папа может с/к в/у 1/150  ОСТАНКИНО</v>
          </cell>
          <cell r="D88" t="str">
            <v>шт</v>
          </cell>
          <cell r="F88">
            <v>268</v>
          </cell>
          <cell r="I88">
            <v>14</v>
          </cell>
          <cell r="J88">
            <v>254</v>
          </cell>
          <cell r="K88">
            <v>40.200000000000003</v>
          </cell>
          <cell r="M88">
            <v>2.1</v>
          </cell>
          <cell r="N88">
            <v>38.1</v>
          </cell>
        </row>
        <row r="89">
          <cell r="A89" t="str">
            <v>7461 ДЛЯ ДЕТЕЙ Папа Может сос п/о мгс 0,33кг ОСТАНКИНО</v>
          </cell>
          <cell r="D89" t="str">
            <v>шт</v>
          </cell>
          <cell r="F89">
            <v>11</v>
          </cell>
          <cell r="I89">
            <v>7</v>
          </cell>
          <cell r="J89">
            <v>4</v>
          </cell>
          <cell r="K89">
            <v>3.63</v>
          </cell>
          <cell r="M89">
            <v>2.31</v>
          </cell>
          <cell r="N89">
            <v>1.32</v>
          </cell>
        </row>
        <row r="90">
          <cell r="A90" t="str">
            <v>7485 РИЕТ МЯСНОЙ С ГРИБАМИ ПМ п/о 1/150  ОСТАНКИНО</v>
          </cell>
          <cell r="D90" t="str">
            <v>шт</v>
          </cell>
          <cell r="F90">
            <v>251</v>
          </cell>
          <cell r="I90">
            <v>21</v>
          </cell>
          <cell r="J90">
            <v>230</v>
          </cell>
          <cell r="K90">
            <v>37.65</v>
          </cell>
          <cell r="M90">
            <v>3.15</v>
          </cell>
          <cell r="N90">
            <v>34.5</v>
          </cell>
        </row>
        <row r="91">
          <cell r="A91" t="str">
            <v>7490 СОЧНЫЙ ГРИЛЬ сос ц/о мгс 0.41кг_Даблпак  ОСТАНКИНО</v>
          </cell>
          <cell r="D91" t="str">
            <v>шт</v>
          </cell>
          <cell r="F91">
            <v>38</v>
          </cell>
          <cell r="I91">
            <v>31</v>
          </cell>
          <cell r="J91">
            <v>7</v>
          </cell>
          <cell r="K91">
            <v>15.58</v>
          </cell>
          <cell r="M91">
            <v>12.71</v>
          </cell>
          <cell r="N91">
            <v>2.87</v>
          </cell>
        </row>
        <row r="92">
          <cell r="A92" t="str">
            <v>7512 ЧАЙНАЯ Останкино вар н/о 1*3</v>
          </cell>
          <cell r="D92" t="str">
            <v>кг</v>
          </cell>
          <cell r="F92">
            <v>55.279000000000003</v>
          </cell>
          <cell r="J92">
            <v>55.279000000000003</v>
          </cell>
          <cell r="K92">
            <v>55.279000000000003</v>
          </cell>
          <cell r="N92">
            <v>55.279000000000003</v>
          </cell>
        </row>
        <row r="93">
          <cell r="A93" t="str">
            <v>7513 ВОСКРЕСЕНСКАЯ ВЯЛЕНАЯ в/к в/у срез 1/260  ОСТАНКИНО</v>
          </cell>
          <cell r="D93" t="str">
            <v>шт</v>
          </cell>
          <cell r="F93">
            <v>222</v>
          </cell>
          <cell r="I93">
            <v>10</v>
          </cell>
          <cell r="J93">
            <v>212</v>
          </cell>
          <cell r="K93">
            <v>57.72</v>
          </cell>
          <cell r="M93">
            <v>2.6</v>
          </cell>
          <cell r="N93">
            <v>55.12</v>
          </cell>
        </row>
        <row r="94">
          <cell r="A94" t="str">
            <v>7514 ЛЮБИТЕЛЬСКАЯ ОСТАНКИНСКАЯ вар п/о в/у  ОСТАНКИНО</v>
          </cell>
          <cell r="D94" t="str">
            <v>кг</v>
          </cell>
          <cell r="F94">
            <v>18.282</v>
          </cell>
          <cell r="I94">
            <v>3</v>
          </cell>
          <cell r="J94">
            <v>15.282</v>
          </cell>
          <cell r="K94">
            <v>18.282</v>
          </cell>
          <cell r="M94">
            <v>3</v>
          </cell>
          <cell r="N94">
            <v>15.282</v>
          </cell>
        </row>
        <row r="95">
          <cell r="A95" t="str">
            <v>7516 НОВОМОСКОВСКАЯ в/к в/у срез 0.31кг  ОСТАНКИНО</v>
          </cell>
          <cell r="D95" t="str">
            <v>шт</v>
          </cell>
          <cell r="F95">
            <v>101</v>
          </cell>
          <cell r="I95">
            <v>48</v>
          </cell>
          <cell r="J95">
            <v>53</v>
          </cell>
          <cell r="K95">
            <v>31.31</v>
          </cell>
          <cell r="M95">
            <v>14.88</v>
          </cell>
          <cell r="N95">
            <v>16.43</v>
          </cell>
        </row>
        <row r="96">
          <cell r="A96" t="str">
            <v>7518 ТЕЛЯЧЬЯ ГОСТ Останкино вар п/о в/у  ОСТАНКИНО</v>
          </cell>
          <cell r="D96" t="str">
            <v>кг</v>
          </cell>
          <cell r="F96">
            <v>33.665999999999997</v>
          </cell>
          <cell r="I96">
            <v>3</v>
          </cell>
          <cell r="J96">
            <v>30.666</v>
          </cell>
          <cell r="K96">
            <v>33.665999999999997</v>
          </cell>
          <cell r="M96">
            <v>3</v>
          </cell>
          <cell r="N96">
            <v>30.666</v>
          </cell>
        </row>
        <row r="97">
          <cell r="A97" t="str">
            <v>7523 ГОВЯЖЬЯ Папа Может вар п/о 0,4кг 6шт. ОСТАНКИНО</v>
          </cell>
          <cell r="D97" t="str">
            <v>шт</v>
          </cell>
          <cell r="F97">
            <v>61</v>
          </cell>
          <cell r="I97">
            <v>30</v>
          </cell>
          <cell r="J97">
            <v>31</v>
          </cell>
          <cell r="K97">
            <v>24.4</v>
          </cell>
          <cell r="M97">
            <v>12</v>
          </cell>
          <cell r="N97">
            <v>12.4</v>
          </cell>
        </row>
        <row r="98">
          <cell r="A98" t="str">
            <v>7536 ДОКТОРСКАЯ ГОСТ Останкино вар п/о  ОСТАНКИНО</v>
          </cell>
          <cell r="D98" t="str">
            <v>кг</v>
          </cell>
          <cell r="H98">
            <v>53.154000000000003</v>
          </cell>
          <cell r="J98">
            <v>53.154000000000003</v>
          </cell>
          <cell r="L98">
            <v>53.154000000000003</v>
          </cell>
          <cell r="N98">
            <v>53.154000000000003</v>
          </cell>
        </row>
        <row r="99">
          <cell r="A99" t="str">
            <v>7539 ДОКТОРСКАЯ ГОСТ вар п/о 0,35кг ОСТАНКИНО</v>
          </cell>
          <cell r="D99" t="str">
            <v>шт</v>
          </cell>
          <cell r="F99">
            <v>46</v>
          </cell>
          <cell r="I99">
            <v>25</v>
          </cell>
          <cell r="J99">
            <v>21</v>
          </cell>
          <cell r="K99">
            <v>16.100000000000001</v>
          </cell>
          <cell r="M99">
            <v>8.75</v>
          </cell>
          <cell r="N99">
            <v>7.35</v>
          </cell>
        </row>
        <row r="100">
          <cell r="A100" t="str">
            <v>7564 Балыковая в/к в/у Останкино Вес  ОСТАНКИНО</v>
          </cell>
          <cell r="D100" t="str">
            <v>кг</v>
          </cell>
          <cell r="F100">
            <v>10.054</v>
          </cell>
          <cell r="I100">
            <v>4.9619999999999997</v>
          </cell>
          <cell r="J100">
            <v>5.0919999999999996</v>
          </cell>
          <cell r="K100">
            <v>10.054</v>
          </cell>
          <cell r="M100">
            <v>4.9619999999999997</v>
          </cell>
          <cell r="N100">
            <v>5.0919999999999996</v>
          </cell>
        </row>
        <row r="101">
          <cell r="A101" t="str">
            <v>7603 БАЛЫКОВАЯ в/к в/у 0.33кг 8шт. ОСТАНКИНО</v>
          </cell>
          <cell r="D101" t="str">
            <v>шт</v>
          </cell>
          <cell r="F101">
            <v>19</v>
          </cell>
          <cell r="I101">
            <v>17</v>
          </cell>
          <cell r="J101">
            <v>2</v>
          </cell>
          <cell r="K101">
            <v>6.27</v>
          </cell>
          <cell r="M101">
            <v>5.61</v>
          </cell>
          <cell r="N101">
            <v>0.66</v>
          </cell>
        </row>
        <row r="102">
          <cell r="A102" t="str">
            <v>7613 АРОМАТНАЯ с/к с/н в/у 1/100 10шт_Л10  ОСТАНКИНО</v>
          </cell>
          <cell r="D102" t="str">
            <v>шт</v>
          </cell>
          <cell r="F102">
            <v>77</v>
          </cell>
          <cell r="H102">
            <v>160</v>
          </cell>
          <cell r="I102">
            <v>47</v>
          </cell>
          <cell r="J102">
            <v>190</v>
          </cell>
          <cell r="K102">
            <v>7.7</v>
          </cell>
          <cell r="L102">
            <v>16</v>
          </cell>
          <cell r="M102">
            <v>4.7</v>
          </cell>
          <cell r="N102">
            <v>19</v>
          </cell>
        </row>
        <row r="103">
          <cell r="A103" t="str">
            <v>7616 ЭКСТРА Папа может с/к с/н в/у 1/100_  ОСТАНКИНО</v>
          </cell>
          <cell r="D103" t="str">
            <v>шт</v>
          </cell>
          <cell r="F103">
            <v>64</v>
          </cell>
          <cell r="H103">
            <v>160</v>
          </cell>
          <cell r="I103">
            <v>34</v>
          </cell>
          <cell r="J103">
            <v>190</v>
          </cell>
          <cell r="K103">
            <v>6.4</v>
          </cell>
          <cell r="L103">
            <v>16</v>
          </cell>
          <cell r="M103">
            <v>3.4</v>
          </cell>
          <cell r="N103">
            <v>19</v>
          </cell>
        </row>
        <row r="104">
          <cell r="A104" t="str">
            <v>7632 ЭКСТРА Папа может вар п/о 0.4кг 8шт_195к  ОСТАНКИНО</v>
          </cell>
          <cell r="D104" t="str">
            <v>шт</v>
          </cell>
          <cell r="H104">
            <v>160</v>
          </cell>
          <cell r="J104">
            <v>160</v>
          </cell>
          <cell r="L104">
            <v>64</v>
          </cell>
          <cell r="N104">
            <v>64</v>
          </cell>
        </row>
        <row r="105">
          <cell r="A105" t="str">
            <v>7700 ЛИТОВСКАЯ с/к в/у</v>
          </cell>
          <cell r="D105" t="str">
            <v>кг</v>
          </cell>
          <cell r="F105">
            <v>17.613</v>
          </cell>
          <cell r="J105">
            <v>17.613</v>
          </cell>
          <cell r="K105">
            <v>17.613</v>
          </cell>
          <cell r="N105">
            <v>17.613</v>
          </cell>
        </row>
        <row r="106">
          <cell r="A106" t="str">
            <v>7710 КРАКОВСКАЯ ГОСТ п/к н/о мгс 0.3кг  ОСТАНКИНО</v>
          </cell>
          <cell r="D106" t="str">
            <v>шт</v>
          </cell>
          <cell r="F106">
            <v>-5</v>
          </cell>
          <cell r="I106">
            <v>2</v>
          </cell>
          <cell r="J106">
            <v>-7</v>
          </cell>
          <cell r="K106">
            <v>-1.5</v>
          </cell>
          <cell r="M106">
            <v>0.6</v>
          </cell>
          <cell r="N106">
            <v>-2.1</v>
          </cell>
        </row>
        <row r="107">
          <cell r="A107" t="str">
            <v>7730 ХОЧУ ВЕТЧ.ИЗ СВ.ОТРУБА мгс 1/100_45с_Л11  ОСТАНКИНО</v>
          </cell>
          <cell r="D107" t="str">
            <v>шт</v>
          </cell>
          <cell r="F107">
            <v>37</v>
          </cell>
          <cell r="I107">
            <v>4</v>
          </cell>
          <cell r="J107">
            <v>33</v>
          </cell>
          <cell r="K107">
            <v>3.7</v>
          </cell>
          <cell r="M107">
            <v>0.4</v>
          </cell>
          <cell r="N107">
            <v>3.3</v>
          </cell>
        </row>
        <row r="108">
          <cell r="A108" t="str">
            <v>7731 ХОЧУ ВЕТЧ. МРАМОР. с/н мгс 1/100_45с_Л11  ОСТАНКИНО</v>
          </cell>
          <cell r="D108" t="str">
            <v>шт</v>
          </cell>
          <cell r="F108">
            <v>40</v>
          </cell>
          <cell r="H108">
            <v>2</v>
          </cell>
          <cell r="I108">
            <v>4</v>
          </cell>
          <cell r="J108">
            <v>38</v>
          </cell>
          <cell r="K108">
            <v>4</v>
          </cell>
          <cell r="L108">
            <v>0.2</v>
          </cell>
          <cell r="M108">
            <v>0.4</v>
          </cell>
          <cell r="N108">
            <v>3.8</v>
          </cell>
        </row>
        <row r="109">
          <cell r="A109" t="str">
            <v>7754 ДОМАШНИЙ РЕЦЕПТ Коровино вар п/о_332к  ОСТАНКИНО</v>
          </cell>
          <cell r="D109" t="str">
            <v>кг</v>
          </cell>
          <cell r="F109">
            <v>3.9289999999999998</v>
          </cell>
          <cell r="J109">
            <v>3.9289999999999998</v>
          </cell>
          <cell r="K109">
            <v>3.9289999999999998</v>
          </cell>
          <cell r="N109">
            <v>3.9289999999999998</v>
          </cell>
        </row>
        <row r="110">
          <cell r="A110" t="str">
            <v>БОНУС_6087 СОЧНЫЕ ПМ сос п/о мгс 0,41кг 10шт.  ОСТАНКИНО</v>
          </cell>
          <cell r="D110" t="str">
            <v>шт</v>
          </cell>
          <cell r="F110">
            <v>29</v>
          </cell>
          <cell r="J110">
            <v>29</v>
          </cell>
          <cell r="K110">
            <v>11.89</v>
          </cell>
          <cell r="N110">
            <v>11.89</v>
          </cell>
        </row>
        <row r="111">
          <cell r="A111" t="str">
            <v>Итого</v>
          </cell>
          <cell r="K111">
            <v>5278.5230000000001</v>
          </cell>
          <cell r="L111">
            <v>6687.5770000000002</v>
          </cell>
          <cell r="M111">
            <v>1701.057</v>
          </cell>
          <cell r="N111">
            <v>10265.043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N96"/>
  <sheetViews>
    <sheetView tabSelected="1" topLeftCell="A7" zoomScale="115" zoomScaleNormal="115" workbookViewId="0">
      <selection activeCell="P99" sqref="P99"/>
    </sheetView>
  </sheetViews>
  <sheetFormatPr defaultRowHeight="11.25" outlineLevelRow="1" x14ac:dyDescent="0.2"/>
  <cols>
    <col min="1" max="1" width="10.5" customWidth="1"/>
    <col min="2" max="2" width="4.1640625" customWidth="1"/>
    <col min="3" max="3" width="20.6640625" customWidth="1"/>
    <col min="4" max="4" width="23.5" customWidth="1"/>
    <col min="5" max="5" width="11.6640625" hidden="1" customWidth="1"/>
    <col min="6" max="6" width="2" hidden="1" customWidth="1"/>
    <col min="7" max="7" width="8.6640625" hidden="1" customWidth="1"/>
    <col min="8" max="8" width="12.33203125" hidden="1" customWidth="1"/>
    <col min="9" max="9" width="12.1640625" customWidth="1"/>
    <col min="10" max="10" width="13.83203125" customWidth="1"/>
    <col min="11" max="11" width="12.5" customWidth="1"/>
    <col min="12" max="12" width="28.6640625" style="35" customWidth="1"/>
    <col min="13" max="13" width="46.33203125" style="35" customWidth="1"/>
    <col min="14" max="256" width="10.6640625" customWidth="1"/>
  </cols>
  <sheetData>
    <row r="1" spans="1:14" ht="9.9499999999999993" customHeight="1" collapsed="1" x14ac:dyDescent="0.2"/>
    <row r="2" spans="1:14" ht="12.75" hidden="1" customHeight="1" outlineLevel="1" x14ac:dyDescent="0.2">
      <c r="A2" s="1" t="s">
        <v>0</v>
      </c>
      <c r="B2" s="1"/>
      <c r="C2" s="1" t="s">
        <v>1</v>
      </c>
      <c r="D2" s="1"/>
      <c r="E2" s="1"/>
      <c r="F2" s="1"/>
      <c r="L2"/>
      <c r="M2"/>
    </row>
    <row r="3" spans="1:14" ht="36.75" hidden="1" customHeight="1" outlineLevel="1" x14ac:dyDescent="0.2">
      <c r="A3" s="1" t="s">
        <v>2</v>
      </c>
      <c r="B3" s="1"/>
      <c r="C3" s="24" t="s">
        <v>3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9.9499999999999993" customHeight="1" x14ac:dyDescent="0.2"/>
    <row r="5" spans="1:14" ht="21" customHeight="1" x14ac:dyDescent="0.2">
      <c r="A5" s="2" t="s">
        <v>4</v>
      </c>
      <c r="B5" s="2"/>
      <c r="C5" s="2"/>
    </row>
    <row r="6" spans="1:14" ht="9.9499999999999993" customHeight="1" x14ac:dyDescent="0.2"/>
    <row r="7" spans="1:14" ht="9.9499999999999993" customHeight="1" x14ac:dyDescent="0.2"/>
    <row r="8" spans="1:14" ht="12.75" customHeight="1" x14ac:dyDescent="0.2">
      <c r="A8" s="25" t="s">
        <v>5</v>
      </c>
      <c r="B8" s="25"/>
      <c r="C8" s="25"/>
      <c r="D8" s="25"/>
      <c r="E8" s="19" t="s">
        <v>6</v>
      </c>
      <c r="F8" s="19"/>
      <c r="G8" s="19"/>
      <c r="H8" s="19"/>
      <c r="I8" s="19"/>
      <c r="J8" s="16"/>
      <c r="K8" s="15" t="s">
        <v>100</v>
      </c>
      <c r="L8" s="36"/>
      <c r="M8" s="36"/>
    </row>
    <row r="9" spans="1:14" ht="12.75" customHeight="1" x14ac:dyDescent="0.2">
      <c r="A9" s="26"/>
      <c r="B9" s="27"/>
      <c r="C9" s="27"/>
      <c r="D9" s="28"/>
      <c r="E9" s="3" t="s">
        <v>7</v>
      </c>
      <c r="F9" s="19" t="s">
        <v>8</v>
      </c>
      <c r="G9" s="19"/>
      <c r="H9" s="3" t="s">
        <v>9</v>
      </c>
      <c r="I9" s="25" t="s">
        <v>10</v>
      </c>
      <c r="J9" s="16"/>
      <c r="K9" s="15" t="s">
        <v>101</v>
      </c>
      <c r="L9" s="36"/>
      <c r="M9" s="36"/>
    </row>
    <row r="10" spans="1:14" ht="24.75" hidden="1" customHeight="1" x14ac:dyDescent="0.2">
      <c r="A10" s="29"/>
      <c r="B10" s="30"/>
      <c r="C10" s="30"/>
      <c r="D10" s="31"/>
      <c r="E10" s="4" t="s">
        <v>11</v>
      </c>
      <c r="F10" s="33" t="s">
        <v>12</v>
      </c>
      <c r="G10" s="33"/>
      <c r="H10" s="4" t="s">
        <v>13</v>
      </c>
      <c r="I10" s="32"/>
      <c r="J10" s="16"/>
      <c r="K10" s="16"/>
      <c r="L10" s="16"/>
      <c r="M10" s="16"/>
    </row>
    <row r="11" spans="1:14" ht="11.25" customHeight="1" x14ac:dyDescent="0.2">
      <c r="A11" s="17" t="s">
        <v>14</v>
      </c>
      <c r="B11" s="17"/>
      <c r="C11" s="17"/>
      <c r="D11" s="17"/>
      <c r="E11" s="5">
        <v>5.5</v>
      </c>
      <c r="F11" s="23">
        <v>5.4359999999999999</v>
      </c>
      <c r="G11" s="23"/>
      <c r="H11" s="6">
        <v>6.4000000000000001E-2</v>
      </c>
      <c r="I11" s="6">
        <v>6.4000000000000001E-2</v>
      </c>
      <c r="J11" s="16" t="str">
        <f>VLOOKUP(A11,[1]Sheet!$A:$I,9,0)</f>
        <v>матрица</v>
      </c>
      <c r="K11" s="16">
        <f>VLOOKUP(A11,[2]TDSheet!$A:$N,14,0)</f>
        <v>129.97</v>
      </c>
      <c r="L11" s="36"/>
      <c r="M11" s="36"/>
    </row>
    <row r="12" spans="1:14" ht="11.25" hidden="1" customHeight="1" x14ac:dyDescent="0.2">
      <c r="A12" s="17" t="s">
        <v>15</v>
      </c>
      <c r="B12" s="17"/>
      <c r="C12" s="17"/>
      <c r="D12" s="17"/>
      <c r="E12" s="5">
        <v>12.8</v>
      </c>
      <c r="F12" s="18">
        <v>12.8</v>
      </c>
      <c r="G12" s="18"/>
      <c r="H12" s="7"/>
      <c r="I12" s="8"/>
      <c r="J12" s="16"/>
      <c r="K12" s="16"/>
      <c r="L12" s="16"/>
      <c r="M12" s="16"/>
    </row>
    <row r="13" spans="1:14" ht="11.25" hidden="1" customHeight="1" x14ac:dyDescent="0.2">
      <c r="A13" s="17" t="s">
        <v>16</v>
      </c>
      <c r="B13" s="17"/>
      <c r="C13" s="17"/>
      <c r="D13" s="17"/>
      <c r="E13" s="5">
        <v>8.4</v>
      </c>
      <c r="F13" s="23">
        <v>8.5570000000000004</v>
      </c>
      <c r="G13" s="23"/>
      <c r="H13" s="6">
        <v>-0.157</v>
      </c>
      <c r="I13" s="8"/>
      <c r="J13" s="16"/>
      <c r="K13" s="16"/>
      <c r="L13" s="16"/>
      <c r="M13" s="16"/>
    </row>
    <row r="14" spans="1:14" ht="11.25" customHeight="1" x14ac:dyDescent="0.2">
      <c r="A14" s="17" t="s">
        <v>17</v>
      </c>
      <c r="B14" s="17"/>
      <c r="C14" s="17"/>
      <c r="D14" s="17"/>
      <c r="E14" s="5">
        <v>7.5</v>
      </c>
      <c r="F14" s="21">
        <v>4.25</v>
      </c>
      <c r="G14" s="21"/>
      <c r="H14" s="9">
        <v>3.25</v>
      </c>
      <c r="I14" s="9">
        <v>3.25</v>
      </c>
      <c r="J14" s="16" t="str">
        <f>VLOOKUP(A14,[1]Sheet!$A:$I,9,0)</f>
        <v>матрица</v>
      </c>
      <c r="K14" s="16">
        <f>VLOOKUP(A14,[2]TDSheet!$A:$N,14,0)</f>
        <v>40.25</v>
      </c>
      <c r="L14" s="36"/>
      <c r="M14" s="36"/>
    </row>
    <row r="15" spans="1:14" ht="11.25" hidden="1" customHeight="1" x14ac:dyDescent="0.2">
      <c r="A15" s="17" t="s">
        <v>18</v>
      </c>
      <c r="B15" s="17"/>
      <c r="C15" s="17"/>
      <c r="D15" s="17"/>
      <c r="E15" s="5">
        <v>49.9</v>
      </c>
      <c r="F15" s="21">
        <v>52.72</v>
      </c>
      <c r="G15" s="21"/>
      <c r="H15" s="9">
        <v>-2.82</v>
      </c>
      <c r="I15" s="8"/>
      <c r="J15" s="16"/>
      <c r="K15" s="16"/>
      <c r="L15" s="16"/>
      <c r="M15" s="16"/>
    </row>
    <row r="16" spans="1:14" ht="11.25" hidden="1" customHeight="1" x14ac:dyDescent="0.2">
      <c r="A16" s="17" t="s">
        <v>19</v>
      </c>
      <c r="B16" s="17"/>
      <c r="C16" s="17"/>
      <c r="D16" s="17"/>
      <c r="E16" s="5">
        <v>7.4</v>
      </c>
      <c r="F16" s="21">
        <v>7.53</v>
      </c>
      <c r="G16" s="21"/>
      <c r="H16" s="9">
        <v>-0.13</v>
      </c>
      <c r="I16" s="8"/>
      <c r="J16" s="16"/>
      <c r="K16" s="16"/>
      <c r="L16" s="16"/>
      <c r="M16" s="16"/>
    </row>
    <row r="17" spans="1:13" ht="11.25" hidden="1" customHeight="1" x14ac:dyDescent="0.2">
      <c r="A17" s="17" t="s">
        <v>20</v>
      </c>
      <c r="B17" s="17"/>
      <c r="C17" s="17"/>
      <c r="D17" s="17"/>
      <c r="E17" s="5">
        <v>2.6</v>
      </c>
      <c r="F17" s="23">
        <v>2.6989999999999998</v>
      </c>
      <c r="G17" s="23"/>
      <c r="H17" s="6">
        <v>-9.9000000000000005E-2</v>
      </c>
      <c r="I17" s="8"/>
      <c r="J17" s="16"/>
      <c r="K17" s="16"/>
      <c r="L17" s="16"/>
      <c r="M17" s="16"/>
    </row>
    <row r="18" spans="1:13" ht="11.25" hidden="1" customHeight="1" x14ac:dyDescent="0.2">
      <c r="A18" s="17" t="s">
        <v>21</v>
      </c>
      <c r="B18" s="17"/>
      <c r="C18" s="17"/>
      <c r="D18" s="17"/>
      <c r="E18" s="5">
        <v>16.5</v>
      </c>
      <c r="F18" s="23">
        <v>17.670999999999999</v>
      </c>
      <c r="G18" s="23"/>
      <c r="H18" s="6">
        <v>-1.171</v>
      </c>
      <c r="I18" s="8"/>
      <c r="J18" s="16"/>
      <c r="K18" s="16"/>
      <c r="L18" s="16"/>
      <c r="M18" s="16"/>
    </row>
    <row r="19" spans="1:13" ht="11.25" hidden="1" customHeight="1" x14ac:dyDescent="0.2">
      <c r="A19" s="17" t="s">
        <v>22</v>
      </c>
      <c r="B19" s="17"/>
      <c r="C19" s="17"/>
      <c r="D19" s="17"/>
      <c r="E19" s="9">
        <v>4.25</v>
      </c>
      <c r="F19" s="21">
        <v>4.25</v>
      </c>
      <c r="G19" s="21"/>
      <c r="H19" s="7"/>
      <c r="I19" s="8"/>
      <c r="J19" s="16"/>
      <c r="K19" s="16"/>
      <c r="L19" s="16"/>
      <c r="M19" s="16"/>
    </row>
    <row r="20" spans="1:13" ht="11.25" hidden="1" customHeight="1" x14ac:dyDescent="0.2">
      <c r="A20" s="17" t="s">
        <v>23</v>
      </c>
      <c r="B20" s="17"/>
      <c r="C20" s="17"/>
      <c r="D20" s="17"/>
      <c r="E20" s="10">
        <v>4</v>
      </c>
      <c r="F20" s="23">
        <v>4.0110000000000001</v>
      </c>
      <c r="G20" s="23"/>
      <c r="H20" s="6">
        <v>-1.0999999999999999E-2</v>
      </c>
      <c r="I20" s="8"/>
      <c r="J20" s="16"/>
      <c r="K20" s="16"/>
      <c r="L20" s="16"/>
      <c r="M20" s="16"/>
    </row>
    <row r="21" spans="1:13" ht="11.25" customHeight="1" x14ac:dyDescent="0.2">
      <c r="A21" s="17" t="s">
        <v>24</v>
      </c>
      <c r="B21" s="17"/>
      <c r="C21" s="17"/>
      <c r="D21" s="17"/>
      <c r="E21" s="10">
        <v>5</v>
      </c>
      <c r="F21" s="22">
        <v>1</v>
      </c>
      <c r="G21" s="22"/>
      <c r="H21" s="10">
        <v>4</v>
      </c>
      <c r="I21" s="10">
        <v>4</v>
      </c>
      <c r="J21" s="16" t="str">
        <f>VLOOKUP(A21,[1]Sheet!$A:$I,9,0)</f>
        <v>матрица</v>
      </c>
      <c r="K21" s="16">
        <f>VLOOKUP(A21,[2]TDSheet!$A:$N,14,0)</f>
        <v>38.25</v>
      </c>
      <c r="L21" s="36"/>
      <c r="M21" s="36"/>
    </row>
    <row r="22" spans="1:13" ht="11.25" hidden="1" customHeight="1" x14ac:dyDescent="0.2">
      <c r="A22" s="17" t="s">
        <v>25</v>
      </c>
      <c r="B22" s="17"/>
      <c r="C22" s="17"/>
      <c r="D22" s="17"/>
      <c r="E22" s="5">
        <v>0.4</v>
      </c>
      <c r="F22" s="18">
        <v>0.4</v>
      </c>
      <c r="G22" s="18"/>
      <c r="H22" s="7"/>
      <c r="I22" s="8"/>
      <c r="J22" s="16"/>
      <c r="K22" s="16"/>
      <c r="L22" s="16"/>
      <c r="M22" s="16"/>
    </row>
    <row r="23" spans="1:13" ht="11.25" hidden="1" customHeight="1" x14ac:dyDescent="0.2">
      <c r="A23" s="17" t="s">
        <v>26</v>
      </c>
      <c r="B23" s="17"/>
      <c r="C23" s="17"/>
      <c r="D23" s="17"/>
      <c r="E23" s="5">
        <v>54.7</v>
      </c>
      <c r="F23" s="23">
        <v>55.116999999999997</v>
      </c>
      <c r="G23" s="23"/>
      <c r="H23" s="6">
        <v>-0.41699999999999998</v>
      </c>
      <c r="I23" s="8"/>
      <c r="J23" s="16"/>
      <c r="K23" s="16"/>
      <c r="L23" s="16"/>
      <c r="M23" s="16"/>
    </row>
    <row r="24" spans="1:13" ht="11.25" customHeight="1" x14ac:dyDescent="0.2">
      <c r="A24" s="17" t="s">
        <v>27</v>
      </c>
      <c r="B24" s="17"/>
      <c r="C24" s="17"/>
      <c r="D24" s="17"/>
      <c r="E24" s="5">
        <v>3.5</v>
      </c>
      <c r="F24" s="11"/>
      <c r="G24" s="12"/>
      <c r="H24" s="5">
        <v>3.5</v>
      </c>
      <c r="I24" s="5">
        <v>3.5</v>
      </c>
      <c r="J24" s="34" t="str">
        <f>VLOOKUP(A24,[1]Sheet!$A:$I,9,0)</f>
        <v>вывод</v>
      </c>
      <c r="K24" s="16"/>
      <c r="L24" s="36"/>
      <c r="M24" s="36"/>
    </row>
    <row r="25" spans="1:13" ht="11.25" customHeight="1" x14ac:dyDescent="0.2">
      <c r="A25" s="17" t="s">
        <v>28</v>
      </c>
      <c r="B25" s="17"/>
      <c r="C25" s="17"/>
      <c r="D25" s="17"/>
      <c r="E25" s="5">
        <v>43.2</v>
      </c>
      <c r="F25" s="11"/>
      <c r="G25" s="12"/>
      <c r="H25" s="5">
        <v>43.2</v>
      </c>
      <c r="I25" s="5">
        <v>43.2</v>
      </c>
      <c r="J25" s="16" t="str">
        <f>VLOOKUP(A25,[1]Sheet!$A:$I,9,0)</f>
        <v>матрица</v>
      </c>
      <c r="K25" s="16"/>
      <c r="L25" s="36" t="s">
        <v>102</v>
      </c>
      <c r="M25" s="36" t="s">
        <v>106</v>
      </c>
    </row>
    <row r="26" spans="1:13" ht="11.25" customHeight="1" x14ac:dyDescent="0.2">
      <c r="A26" s="17" t="s">
        <v>29</v>
      </c>
      <c r="B26" s="17"/>
      <c r="C26" s="17"/>
      <c r="D26" s="17"/>
      <c r="E26" s="5">
        <v>8.6</v>
      </c>
      <c r="F26" s="23">
        <v>8.0180000000000007</v>
      </c>
      <c r="G26" s="23"/>
      <c r="H26" s="6">
        <v>0.58199999999999996</v>
      </c>
      <c r="I26" s="6">
        <v>0.58199999999999996</v>
      </c>
      <c r="J26" s="16" t="str">
        <f>VLOOKUP(A26,[1]Sheet!$A:$I,9,0)</f>
        <v>матрица</v>
      </c>
      <c r="K26" s="16">
        <f>VLOOKUP(A26,[2]TDSheet!$A:$N,14,0)</f>
        <v>315.51900000000001</v>
      </c>
      <c r="L26" s="36"/>
      <c r="M26" s="36"/>
    </row>
    <row r="27" spans="1:13" ht="11.25" customHeight="1" x14ac:dyDescent="0.2">
      <c r="A27" s="17" t="s">
        <v>30</v>
      </c>
      <c r="B27" s="17"/>
      <c r="C27" s="17"/>
      <c r="D27" s="17"/>
      <c r="E27" s="5">
        <v>16.5</v>
      </c>
      <c r="F27" s="21">
        <v>0.66</v>
      </c>
      <c r="G27" s="21"/>
      <c r="H27" s="9">
        <v>15.84</v>
      </c>
      <c r="I27" s="9">
        <v>15.84</v>
      </c>
      <c r="J27" s="16" t="str">
        <f>VLOOKUP(A27,[1]Sheet!$A:$I,9,0)</f>
        <v>матрица</v>
      </c>
      <c r="K27" s="16">
        <f>VLOOKUP(A27,[2]TDSheet!$A:$N,14,0)</f>
        <v>45.32</v>
      </c>
      <c r="L27" s="36"/>
      <c r="M27" s="36"/>
    </row>
    <row r="28" spans="1:13" ht="11.25" hidden="1" customHeight="1" x14ac:dyDescent="0.2">
      <c r="A28" s="17" t="s">
        <v>31</v>
      </c>
      <c r="B28" s="17"/>
      <c r="C28" s="17"/>
      <c r="D28" s="17"/>
      <c r="E28" s="5">
        <v>10.5</v>
      </c>
      <c r="F28" s="23">
        <v>10.862</v>
      </c>
      <c r="G28" s="23"/>
      <c r="H28" s="6">
        <v>-0.36199999999999999</v>
      </c>
      <c r="I28" s="8"/>
      <c r="J28" s="16"/>
      <c r="K28" s="16"/>
      <c r="L28" s="16"/>
      <c r="M28" s="16"/>
    </row>
    <row r="29" spans="1:13" ht="11.25" hidden="1" customHeight="1" x14ac:dyDescent="0.2">
      <c r="A29" s="17" t="s">
        <v>32</v>
      </c>
      <c r="B29" s="17"/>
      <c r="C29" s="17"/>
      <c r="D29" s="17"/>
      <c r="E29" s="9">
        <v>0.18</v>
      </c>
      <c r="F29" s="21">
        <v>0.18</v>
      </c>
      <c r="G29" s="21"/>
      <c r="H29" s="7"/>
      <c r="I29" s="8"/>
      <c r="J29" s="16"/>
      <c r="K29" s="16"/>
      <c r="L29" s="16"/>
      <c r="M29" s="16"/>
    </row>
    <row r="30" spans="1:13" ht="11.25" hidden="1" customHeight="1" x14ac:dyDescent="0.2">
      <c r="A30" s="17" t="s">
        <v>33</v>
      </c>
      <c r="B30" s="17"/>
      <c r="C30" s="17"/>
      <c r="D30" s="17"/>
      <c r="E30" s="9">
        <v>0.09</v>
      </c>
      <c r="F30" s="21">
        <v>0.09</v>
      </c>
      <c r="G30" s="21"/>
      <c r="H30" s="7"/>
      <c r="I30" s="8"/>
      <c r="J30" s="16"/>
      <c r="K30" s="16"/>
      <c r="L30" s="16"/>
      <c r="M30" s="16"/>
    </row>
    <row r="31" spans="1:13" ht="11.25" customHeight="1" x14ac:dyDescent="0.2">
      <c r="A31" s="17" t="s">
        <v>34</v>
      </c>
      <c r="B31" s="17"/>
      <c r="C31" s="17"/>
      <c r="D31" s="17"/>
      <c r="E31" s="5">
        <v>44.4</v>
      </c>
      <c r="F31" s="11"/>
      <c r="G31" s="12"/>
      <c r="H31" s="5">
        <v>44.4</v>
      </c>
      <c r="I31" s="5">
        <v>44.4</v>
      </c>
      <c r="J31" s="16" t="str">
        <f>VLOOKUP(A31,[1]Sheet!$A:$I,9,0)</f>
        <v>матрица</v>
      </c>
      <c r="K31" s="16"/>
      <c r="L31" s="36" t="s">
        <v>103</v>
      </c>
      <c r="M31" s="36" t="s">
        <v>106</v>
      </c>
    </row>
    <row r="32" spans="1:13" ht="11.25" hidden="1" customHeight="1" x14ac:dyDescent="0.2">
      <c r="A32" s="17" t="s">
        <v>35</v>
      </c>
      <c r="B32" s="17"/>
      <c r="C32" s="17"/>
      <c r="D32" s="17"/>
      <c r="E32" s="10">
        <v>177</v>
      </c>
      <c r="F32" s="23">
        <v>182.08799999999999</v>
      </c>
      <c r="G32" s="23"/>
      <c r="H32" s="6">
        <v>-5.0880000000000001</v>
      </c>
      <c r="I32" s="8"/>
      <c r="J32" s="16"/>
      <c r="K32" s="16"/>
      <c r="L32" s="16"/>
      <c r="M32" s="16"/>
    </row>
    <row r="33" spans="1:13" ht="11.25" hidden="1" customHeight="1" x14ac:dyDescent="0.2">
      <c r="A33" s="17" t="s">
        <v>36</v>
      </c>
      <c r="B33" s="17"/>
      <c r="C33" s="17"/>
      <c r="D33" s="17"/>
      <c r="E33" s="5">
        <v>2.4</v>
      </c>
      <c r="F33" s="18">
        <v>2.4</v>
      </c>
      <c r="G33" s="18"/>
      <c r="H33" s="7"/>
      <c r="I33" s="8"/>
      <c r="J33" s="16"/>
      <c r="K33" s="16"/>
      <c r="L33" s="16"/>
      <c r="M33" s="16"/>
    </row>
    <row r="34" spans="1:13" ht="11.25" customHeight="1" x14ac:dyDescent="0.2">
      <c r="A34" s="17" t="s">
        <v>37</v>
      </c>
      <c r="B34" s="17"/>
      <c r="C34" s="17"/>
      <c r="D34" s="17"/>
      <c r="E34" s="5">
        <v>34.799999999999997</v>
      </c>
      <c r="F34" s="11"/>
      <c r="G34" s="12"/>
      <c r="H34" s="5">
        <v>34.799999999999997</v>
      </c>
      <c r="I34" s="5">
        <v>34.799999999999997</v>
      </c>
      <c r="J34" s="16" t="str">
        <f>VLOOKUP(A34,[1]Sheet!$A:$I,9,0)</f>
        <v>матрица</v>
      </c>
      <c r="K34" s="16">
        <f>VLOOKUP(A34,[2]TDSheet!$A:$N,14,0)</f>
        <v>54.8</v>
      </c>
      <c r="L34" s="36"/>
      <c r="M34" s="36"/>
    </row>
    <row r="35" spans="1:13" ht="11.25" customHeight="1" x14ac:dyDescent="0.2">
      <c r="A35" s="17" t="s">
        <v>38</v>
      </c>
      <c r="B35" s="17"/>
      <c r="C35" s="17"/>
      <c r="D35" s="17"/>
      <c r="E35" s="5">
        <v>20.399999999999999</v>
      </c>
      <c r="F35" s="18">
        <v>10.8</v>
      </c>
      <c r="G35" s="18"/>
      <c r="H35" s="5">
        <v>9.6</v>
      </c>
      <c r="I35" s="5">
        <v>9.6</v>
      </c>
      <c r="J35" s="16" t="str">
        <f>VLOOKUP(A35,[1]Sheet!$A:$I,9,0)</f>
        <v>матрица</v>
      </c>
      <c r="K35" s="16">
        <f>VLOOKUP(A35,[2]TDSheet!$A:$N,14,0)</f>
        <v>64.400000000000006</v>
      </c>
      <c r="L35" s="36"/>
      <c r="M35" s="36"/>
    </row>
    <row r="36" spans="1:13" ht="11.25" customHeight="1" x14ac:dyDescent="0.2">
      <c r="A36" s="17" t="s">
        <v>39</v>
      </c>
      <c r="B36" s="17"/>
      <c r="C36" s="17"/>
      <c r="D36" s="17"/>
      <c r="E36" s="5">
        <v>7.2</v>
      </c>
      <c r="F36" s="11"/>
      <c r="G36" s="12"/>
      <c r="H36" s="5">
        <v>7.2</v>
      </c>
      <c r="I36" s="5">
        <v>7.2</v>
      </c>
      <c r="J36" s="34" t="s">
        <v>99</v>
      </c>
      <c r="K36" s="16"/>
      <c r="L36" s="36"/>
      <c r="M36" s="36"/>
    </row>
    <row r="37" spans="1:13" ht="11.25" hidden="1" customHeight="1" x14ac:dyDescent="0.2">
      <c r="A37" s="17" t="s">
        <v>40</v>
      </c>
      <c r="B37" s="17"/>
      <c r="C37" s="17"/>
      <c r="D37" s="17"/>
      <c r="E37" s="5">
        <v>1.8</v>
      </c>
      <c r="F37" s="18">
        <v>1.8</v>
      </c>
      <c r="G37" s="18"/>
      <c r="H37" s="7"/>
      <c r="I37" s="8"/>
      <c r="J37" s="16"/>
      <c r="K37" s="16"/>
      <c r="L37" s="16"/>
      <c r="M37" s="16"/>
    </row>
    <row r="38" spans="1:13" ht="11.25" hidden="1" customHeight="1" x14ac:dyDescent="0.2">
      <c r="A38" s="17" t="s">
        <v>41</v>
      </c>
      <c r="B38" s="17"/>
      <c r="C38" s="17"/>
      <c r="D38" s="17"/>
      <c r="E38" s="10">
        <v>5</v>
      </c>
      <c r="F38" s="23">
        <v>5.0149999999999997</v>
      </c>
      <c r="G38" s="23"/>
      <c r="H38" s="6">
        <v>-1.4999999999999999E-2</v>
      </c>
      <c r="I38" s="8"/>
      <c r="J38" s="16"/>
      <c r="K38" s="16"/>
      <c r="L38" s="16"/>
      <c r="M38" s="16"/>
    </row>
    <row r="39" spans="1:13" ht="11.25" hidden="1" customHeight="1" x14ac:dyDescent="0.2">
      <c r="A39" s="17" t="s">
        <v>42</v>
      </c>
      <c r="B39" s="17"/>
      <c r="C39" s="17"/>
      <c r="D39" s="17"/>
      <c r="E39" s="10">
        <v>8</v>
      </c>
      <c r="F39" s="23">
        <v>8.3119999999999994</v>
      </c>
      <c r="G39" s="23"/>
      <c r="H39" s="6">
        <v>-0.312</v>
      </c>
      <c r="I39" s="8"/>
      <c r="J39" s="16"/>
      <c r="K39" s="16"/>
      <c r="L39" s="16"/>
      <c r="M39" s="16"/>
    </row>
    <row r="40" spans="1:13" ht="11.25" hidden="1" customHeight="1" x14ac:dyDescent="0.2">
      <c r="A40" s="17" t="s">
        <v>43</v>
      </c>
      <c r="B40" s="17"/>
      <c r="C40" s="17"/>
      <c r="D40" s="17"/>
      <c r="E40" s="10">
        <v>6</v>
      </c>
      <c r="F40" s="23">
        <v>6.3280000000000003</v>
      </c>
      <c r="G40" s="23"/>
      <c r="H40" s="6">
        <v>-0.32800000000000001</v>
      </c>
      <c r="I40" s="8"/>
      <c r="J40" s="16"/>
      <c r="K40" s="16"/>
      <c r="L40" s="16"/>
      <c r="M40" s="16"/>
    </row>
    <row r="41" spans="1:13" ht="11.25" hidden="1" customHeight="1" x14ac:dyDescent="0.2">
      <c r="A41" s="17" t="s">
        <v>44</v>
      </c>
      <c r="B41" s="17"/>
      <c r="C41" s="17"/>
      <c r="D41" s="17"/>
      <c r="E41" s="10">
        <v>21</v>
      </c>
      <c r="F41" s="23">
        <v>22.800999999999998</v>
      </c>
      <c r="G41" s="23"/>
      <c r="H41" s="6">
        <v>-1.8009999999999999</v>
      </c>
      <c r="I41" s="8"/>
      <c r="J41" s="16"/>
      <c r="K41" s="16"/>
      <c r="L41" s="16"/>
      <c r="M41" s="16"/>
    </row>
    <row r="42" spans="1:13" ht="11.25" customHeight="1" x14ac:dyDescent="0.2">
      <c r="A42" s="17" t="s">
        <v>45</v>
      </c>
      <c r="B42" s="17"/>
      <c r="C42" s="17"/>
      <c r="D42" s="17"/>
      <c r="E42" s="5">
        <v>0.6</v>
      </c>
      <c r="F42" s="11"/>
      <c r="G42" s="12"/>
      <c r="H42" s="5">
        <v>0.6</v>
      </c>
      <c r="I42" s="5">
        <v>0.6</v>
      </c>
      <c r="J42" s="16" t="str">
        <f>VLOOKUP(A42,[1]Sheet!$A:$I,9,0)</f>
        <v>матрица</v>
      </c>
      <c r="K42" s="16">
        <f>VLOOKUP(A42,[2]TDSheet!$A:$N,14,0)</f>
        <v>3.6</v>
      </c>
      <c r="L42" s="36"/>
      <c r="M42" s="36"/>
    </row>
    <row r="43" spans="1:13" ht="11.25" hidden="1" customHeight="1" x14ac:dyDescent="0.2">
      <c r="A43" s="17" t="s">
        <v>46</v>
      </c>
      <c r="B43" s="17"/>
      <c r="C43" s="17"/>
      <c r="D43" s="17"/>
      <c r="E43" s="5">
        <v>30.5</v>
      </c>
      <c r="F43" s="23">
        <v>31.221</v>
      </c>
      <c r="G43" s="23"/>
      <c r="H43" s="6">
        <v>-0.72099999999999997</v>
      </c>
      <c r="I43" s="8"/>
      <c r="J43" s="16"/>
      <c r="K43" s="16"/>
      <c r="L43" s="16"/>
      <c r="M43" s="16"/>
    </row>
    <row r="44" spans="1:13" ht="11.25" hidden="1" customHeight="1" x14ac:dyDescent="0.2">
      <c r="A44" s="17" t="s">
        <v>47</v>
      </c>
      <c r="B44" s="17"/>
      <c r="C44" s="17"/>
      <c r="D44" s="17"/>
      <c r="E44" s="9">
        <v>50.05</v>
      </c>
      <c r="F44" s="21">
        <v>50.05</v>
      </c>
      <c r="G44" s="21"/>
      <c r="H44" s="7"/>
      <c r="I44" s="8"/>
      <c r="J44" s="16"/>
      <c r="K44" s="16"/>
      <c r="L44" s="16"/>
      <c r="M44" s="16"/>
    </row>
    <row r="45" spans="1:13" ht="11.25" customHeight="1" x14ac:dyDescent="0.2">
      <c r="A45" s="17" t="s">
        <v>48</v>
      </c>
      <c r="B45" s="17"/>
      <c r="C45" s="17"/>
      <c r="D45" s="17"/>
      <c r="E45" s="9">
        <v>27.06</v>
      </c>
      <c r="F45" s="11"/>
      <c r="G45" s="12"/>
      <c r="H45" s="9">
        <v>27.06</v>
      </c>
      <c r="I45" s="9">
        <v>27.06</v>
      </c>
      <c r="J45" s="34" t="str">
        <f>VLOOKUP(A45,[1]Sheet!$A:$I,9,0)</f>
        <v>вывод</v>
      </c>
      <c r="K45" s="16"/>
      <c r="L45" s="36"/>
      <c r="M45" s="36"/>
    </row>
    <row r="46" spans="1:13" ht="11.25" hidden="1" customHeight="1" x14ac:dyDescent="0.2">
      <c r="A46" s="17" t="s">
        <v>49</v>
      </c>
      <c r="B46" s="17"/>
      <c r="C46" s="17"/>
      <c r="D46" s="17"/>
      <c r="E46" s="9">
        <v>11.89</v>
      </c>
      <c r="F46" s="21">
        <v>12.71</v>
      </c>
      <c r="G46" s="21"/>
      <c r="H46" s="9">
        <v>-0.82</v>
      </c>
      <c r="I46" s="8"/>
      <c r="J46" s="16"/>
      <c r="K46" s="16"/>
      <c r="L46" s="16"/>
      <c r="M46" s="16"/>
    </row>
    <row r="47" spans="1:13" ht="11.25" hidden="1" customHeight="1" x14ac:dyDescent="0.2">
      <c r="A47" s="17" t="s">
        <v>50</v>
      </c>
      <c r="B47" s="17"/>
      <c r="C47" s="17"/>
      <c r="D47" s="17"/>
      <c r="E47" s="5">
        <v>1.5</v>
      </c>
      <c r="F47" s="23">
        <v>2.0840000000000001</v>
      </c>
      <c r="G47" s="23"/>
      <c r="H47" s="6">
        <v>-0.58399999999999996</v>
      </c>
      <c r="I47" s="8"/>
      <c r="J47" s="16"/>
      <c r="K47" s="16"/>
      <c r="L47" s="16"/>
      <c r="M47" s="16"/>
    </row>
    <row r="48" spans="1:13" ht="11.25" customHeight="1" x14ac:dyDescent="0.2">
      <c r="A48" s="17" t="s">
        <v>51</v>
      </c>
      <c r="B48" s="17"/>
      <c r="C48" s="17"/>
      <c r="D48" s="17"/>
      <c r="E48" s="9">
        <v>15.12</v>
      </c>
      <c r="F48" s="11"/>
      <c r="G48" s="12"/>
      <c r="H48" s="9">
        <v>15.12</v>
      </c>
      <c r="I48" s="9">
        <v>15.12</v>
      </c>
      <c r="J48" s="16" t="str">
        <f>VLOOKUP(A48,[1]Sheet!$A:$I,9,0)</f>
        <v>матрица</v>
      </c>
      <c r="K48" s="16">
        <f>VLOOKUP(A48,[2]TDSheet!$A:$N,14,0)</f>
        <v>1.08</v>
      </c>
      <c r="L48" s="36" t="s">
        <v>104</v>
      </c>
      <c r="M48" s="36"/>
    </row>
    <row r="49" spans="1:13" ht="11.25" hidden="1" customHeight="1" x14ac:dyDescent="0.2">
      <c r="A49" s="17" t="s">
        <v>52</v>
      </c>
      <c r="B49" s="17"/>
      <c r="C49" s="17"/>
      <c r="D49" s="17"/>
      <c r="E49" s="9">
        <v>1.32</v>
      </c>
      <c r="F49" s="21">
        <v>1.32</v>
      </c>
      <c r="G49" s="21"/>
      <c r="H49" s="7"/>
      <c r="I49" s="8"/>
      <c r="J49" s="16"/>
      <c r="K49" s="16"/>
      <c r="L49" s="16"/>
      <c r="M49" s="16"/>
    </row>
    <row r="50" spans="1:13" ht="11.25" hidden="1" customHeight="1" x14ac:dyDescent="0.2">
      <c r="A50" s="17" t="s">
        <v>53</v>
      </c>
      <c r="B50" s="17"/>
      <c r="C50" s="17"/>
      <c r="D50" s="17"/>
      <c r="E50" s="5">
        <v>3.6</v>
      </c>
      <c r="F50" s="18">
        <v>3.6</v>
      </c>
      <c r="G50" s="18"/>
      <c r="H50" s="7"/>
      <c r="I50" s="8"/>
      <c r="J50" s="16"/>
      <c r="K50" s="16"/>
      <c r="L50" s="16"/>
      <c r="M50" s="16"/>
    </row>
    <row r="51" spans="1:13" ht="11.25" hidden="1" customHeight="1" x14ac:dyDescent="0.2">
      <c r="A51" s="17" t="s">
        <v>54</v>
      </c>
      <c r="B51" s="17"/>
      <c r="C51" s="17"/>
      <c r="D51" s="17"/>
      <c r="E51" s="9">
        <v>0.99</v>
      </c>
      <c r="F51" s="21">
        <v>0.99</v>
      </c>
      <c r="G51" s="21"/>
      <c r="H51" s="7"/>
      <c r="I51" s="8"/>
      <c r="J51" s="16"/>
      <c r="K51" s="16"/>
      <c r="L51" s="16"/>
      <c r="M51" s="16"/>
    </row>
    <row r="52" spans="1:13" ht="11.25" hidden="1" customHeight="1" x14ac:dyDescent="0.2">
      <c r="A52" s="17" t="s">
        <v>55</v>
      </c>
      <c r="B52" s="17"/>
      <c r="C52" s="17"/>
      <c r="D52" s="17"/>
      <c r="E52" s="10">
        <v>98</v>
      </c>
      <c r="F52" s="23">
        <v>102.176</v>
      </c>
      <c r="G52" s="23"/>
      <c r="H52" s="6">
        <v>-4.1760000000000002</v>
      </c>
      <c r="I52" s="8"/>
      <c r="J52" s="16"/>
      <c r="K52" s="16"/>
      <c r="L52" s="16"/>
      <c r="M52" s="16"/>
    </row>
    <row r="53" spans="1:13" ht="11.25" hidden="1" customHeight="1" x14ac:dyDescent="0.2">
      <c r="A53" s="17" t="s">
        <v>56</v>
      </c>
      <c r="B53" s="17"/>
      <c r="C53" s="17"/>
      <c r="D53" s="17"/>
      <c r="E53" s="5">
        <v>0.8</v>
      </c>
      <c r="F53" s="18">
        <v>0.8</v>
      </c>
      <c r="G53" s="18"/>
      <c r="H53" s="7"/>
      <c r="I53" s="8"/>
      <c r="J53" s="16"/>
      <c r="K53" s="16"/>
      <c r="L53" s="16"/>
      <c r="M53" s="16"/>
    </row>
    <row r="54" spans="1:13" ht="11.25" customHeight="1" x14ac:dyDescent="0.2">
      <c r="A54" s="17" t="s">
        <v>57</v>
      </c>
      <c r="B54" s="17"/>
      <c r="C54" s="17"/>
      <c r="D54" s="17"/>
      <c r="E54" s="10">
        <v>2</v>
      </c>
      <c r="F54" s="23">
        <v>1.919</v>
      </c>
      <c r="G54" s="23"/>
      <c r="H54" s="6">
        <v>8.1000000000000003E-2</v>
      </c>
      <c r="I54" s="6">
        <v>8.1000000000000003E-2</v>
      </c>
      <c r="J54" s="34" t="str">
        <f>VLOOKUP(A54,[1]Sheet!$A:$I,9,0)</f>
        <v>вывод</v>
      </c>
      <c r="K54" s="16"/>
      <c r="L54" s="36"/>
      <c r="M54" s="36"/>
    </row>
    <row r="55" spans="1:13" ht="11.25" hidden="1" customHeight="1" x14ac:dyDescent="0.2">
      <c r="A55" s="17" t="s">
        <v>58</v>
      </c>
      <c r="B55" s="17"/>
      <c r="C55" s="17"/>
      <c r="D55" s="17"/>
      <c r="E55" s="5">
        <v>5.5</v>
      </c>
      <c r="F55" s="23">
        <v>6.0270000000000001</v>
      </c>
      <c r="G55" s="23"/>
      <c r="H55" s="6">
        <v>-0.52700000000000002</v>
      </c>
      <c r="I55" s="8"/>
      <c r="J55" s="16"/>
      <c r="K55" s="16"/>
      <c r="L55" s="16"/>
      <c r="M55" s="16"/>
    </row>
    <row r="56" spans="1:13" ht="11.25" hidden="1" customHeight="1" x14ac:dyDescent="0.2">
      <c r="A56" s="17" t="s">
        <v>59</v>
      </c>
      <c r="B56" s="17"/>
      <c r="C56" s="17"/>
      <c r="D56" s="17"/>
      <c r="E56" s="9">
        <v>0.75</v>
      </c>
      <c r="F56" s="21">
        <v>0.75</v>
      </c>
      <c r="G56" s="21"/>
      <c r="H56" s="7"/>
      <c r="I56" s="8"/>
      <c r="J56" s="16"/>
      <c r="K56" s="16"/>
      <c r="L56" s="16"/>
      <c r="M56" s="16"/>
    </row>
    <row r="57" spans="1:13" ht="11.25" hidden="1" customHeight="1" x14ac:dyDescent="0.2">
      <c r="A57" s="17" t="s">
        <v>60</v>
      </c>
      <c r="B57" s="17"/>
      <c r="C57" s="17"/>
      <c r="D57" s="17"/>
      <c r="E57" s="10">
        <v>6</v>
      </c>
      <c r="F57" s="23">
        <v>6.3049999999999997</v>
      </c>
      <c r="G57" s="23"/>
      <c r="H57" s="6">
        <v>-0.30499999999999999</v>
      </c>
      <c r="I57" s="8"/>
      <c r="J57" s="16"/>
      <c r="K57" s="16"/>
      <c r="L57" s="16"/>
      <c r="M57" s="16"/>
    </row>
    <row r="58" spans="1:13" ht="11.25" hidden="1" customHeight="1" x14ac:dyDescent="0.2">
      <c r="A58" s="17" t="s">
        <v>61</v>
      </c>
      <c r="B58" s="17"/>
      <c r="C58" s="17"/>
      <c r="D58" s="17"/>
      <c r="E58" s="9">
        <v>0.54</v>
      </c>
      <c r="F58" s="21">
        <v>0.54</v>
      </c>
      <c r="G58" s="21"/>
      <c r="H58" s="7"/>
      <c r="I58" s="8"/>
      <c r="J58" s="16"/>
      <c r="K58" s="16"/>
      <c r="L58" s="16"/>
      <c r="M58" s="16"/>
    </row>
    <row r="59" spans="1:13" ht="11.25" customHeight="1" x14ac:dyDescent="0.2">
      <c r="A59" s="17" t="s">
        <v>62</v>
      </c>
      <c r="B59" s="17"/>
      <c r="C59" s="17"/>
      <c r="D59" s="17"/>
      <c r="E59" s="9">
        <v>113.16</v>
      </c>
      <c r="F59" s="21">
        <v>4.51</v>
      </c>
      <c r="G59" s="21"/>
      <c r="H59" s="9">
        <v>108.65</v>
      </c>
      <c r="I59" s="9">
        <v>108.65</v>
      </c>
      <c r="J59" s="16" t="str">
        <f>VLOOKUP(A59,[1]Sheet!$A:$I,9,0)</f>
        <v>матрица</v>
      </c>
      <c r="K59" s="16">
        <f>VLOOKUP(A59,[2]TDSheet!$A:$N,14,0)</f>
        <v>91.02</v>
      </c>
      <c r="L59" s="36" t="str">
        <f>"+ рост продаж в 1,6 раза"</f>
        <v>+ рост продаж в 1,6 раза</v>
      </c>
      <c r="M59" s="36"/>
    </row>
    <row r="60" spans="1:13" ht="11.25" hidden="1" customHeight="1" x14ac:dyDescent="0.2">
      <c r="A60" s="17" t="s">
        <v>63</v>
      </c>
      <c r="B60" s="17"/>
      <c r="C60" s="17"/>
      <c r="D60" s="17"/>
      <c r="E60" s="10">
        <v>16</v>
      </c>
      <c r="F60" s="23">
        <v>17.035</v>
      </c>
      <c r="G60" s="23"/>
      <c r="H60" s="6">
        <v>-1.0349999999999999</v>
      </c>
      <c r="I60" s="8"/>
      <c r="J60" s="16"/>
      <c r="K60" s="16"/>
      <c r="L60" s="16"/>
      <c r="M60" s="16"/>
    </row>
    <row r="61" spans="1:13" ht="11.25" hidden="1" customHeight="1" x14ac:dyDescent="0.2">
      <c r="A61" s="17" t="s">
        <v>64</v>
      </c>
      <c r="B61" s="17"/>
      <c r="C61" s="17"/>
      <c r="D61" s="17"/>
      <c r="E61" s="5">
        <v>2.8</v>
      </c>
      <c r="F61" s="18">
        <v>2.8</v>
      </c>
      <c r="G61" s="18"/>
      <c r="H61" s="7"/>
      <c r="I61" s="8"/>
      <c r="J61" s="16"/>
      <c r="K61" s="16"/>
      <c r="L61" s="16"/>
      <c r="M61" s="16"/>
    </row>
    <row r="62" spans="1:13" ht="11.25" hidden="1" customHeight="1" x14ac:dyDescent="0.2">
      <c r="A62" s="17" t="s">
        <v>65</v>
      </c>
      <c r="B62" s="17"/>
      <c r="C62" s="17"/>
      <c r="D62" s="17"/>
      <c r="E62" s="9">
        <v>33.619999999999997</v>
      </c>
      <c r="F62" s="21">
        <v>33.619999999999997</v>
      </c>
      <c r="G62" s="21"/>
      <c r="H62" s="7"/>
      <c r="I62" s="8"/>
      <c r="J62" s="16"/>
      <c r="K62" s="16"/>
      <c r="L62" s="16"/>
      <c r="M62" s="16"/>
    </row>
    <row r="63" spans="1:13" ht="11.25" hidden="1" customHeight="1" x14ac:dyDescent="0.2">
      <c r="A63" s="17" t="s">
        <v>66</v>
      </c>
      <c r="B63" s="17"/>
      <c r="C63" s="17"/>
      <c r="D63" s="17"/>
      <c r="E63" s="5">
        <v>5.5</v>
      </c>
      <c r="F63" s="23">
        <v>6.1929999999999996</v>
      </c>
      <c r="G63" s="23"/>
      <c r="H63" s="6">
        <v>-0.69299999999999995</v>
      </c>
      <c r="I63" s="8"/>
      <c r="J63" s="16"/>
      <c r="K63" s="16"/>
      <c r="L63" s="16"/>
      <c r="M63" s="16"/>
    </row>
    <row r="64" spans="1:13" ht="11.25" hidden="1" customHeight="1" x14ac:dyDescent="0.2">
      <c r="A64" s="17" t="s">
        <v>67</v>
      </c>
      <c r="B64" s="17"/>
      <c r="C64" s="17"/>
      <c r="D64" s="17"/>
      <c r="E64" s="5">
        <v>2.1</v>
      </c>
      <c r="F64" s="18">
        <v>2.1</v>
      </c>
      <c r="G64" s="18"/>
      <c r="H64" s="7"/>
      <c r="I64" s="8"/>
      <c r="J64" s="16"/>
      <c r="K64" s="16"/>
      <c r="L64" s="16"/>
      <c r="M64" s="16"/>
    </row>
    <row r="65" spans="1:13" ht="11.25" customHeight="1" x14ac:dyDescent="0.2">
      <c r="A65" s="17" t="s">
        <v>68</v>
      </c>
      <c r="B65" s="17"/>
      <c r="C65" s="17"/>
      <c r="D65" s="17"/>
      <c r="E65" s="5">
        <v>19.8</v>
      </c>
      <c r="F65" s="11"/>
      <c r="G65" s="12"/>
      <c r="H65" s="5">
        <v>19.8</v>
      </c>
      <c r="I65" s="5">
        <v>19.8</v>
      </c>
      <c r="J65" s="16" t="str">
        <f>VLOOKUP(A65,[1]Sheet!$A:$I,9,0)</f>
        <v>матрица</v>
      </c>
      <c r="K65" s="16"/>
      <c r="L65" s="36" t="s">
        <v>105</v>
      </c>
      <c r="M65" s="36" t="s">
        <v>106</v>
      </c>
    </row>
    <row r="66" spans="1:13" ht="11.25" hidden="1" customHeight="1" x14ac:dyDescent="0.2">
      <c r="A66" s="17" t="s">
        <v>69</v>
      </c>
      <c r="B66" s="17"/>
      <c r="C66" s="17"/>
      <c r="D66" s="17"/>
      <c r="E66" s="9">
        <v>0.22</v>
      </c>
      <c r="F66" s="21">
        <v>0.22</v>
      </c>
      <c r="G66" s="21"/>
      <c r="H66" s="7"/>
      <c r="I66" s="8"/>
      <c r="J66" s="16"/>
      <c r="K66" s="16"/>
      <c r="L66" s="16"/>
      <c r="M66" s="16"/>
    </row>
    <row r="67" spans="1:13" ht="11.25" hidden="1" customHeight="1" x14ac:dyDescent="0.2">
      <c r="A67" s="17" t="s">
        <v>70</v>
      </c>
      <c r="B67" s="17"/>
      <c r="C67" s="17"/>
      <c r="D67" s="17"/>
      <c r="E67" s="5">
        <v>8.4</v>
      </c>
      <c r="F67" s="21">
        <v>11.76</v>
      </c>
      <c r="G67" s="21"/>
      <c r="H67" s="9">
        <v>-3.36</v>
      </c>
      <c r="I67" s="8"/>
      <c r="J67" s="16"/>
      <c r="K67" s="16"/>
      <c r="L67" s="16"/>
      <c r="M67" s="16"/>
    </row>
    <row r="68" spans="1:13" ht="11.25" hidden="1" customHeight="1" x14ac:dyDescent="0.2">
      <c r="A68" s="17" t="s">
        <v>71</v>
      </c>
      <c r="B68" s="17"/>
      <c r="C68" s="17"/>
      <c r="D68" s="17"/>
      <c r="E68" s="9">
        <v>39.549999999999997</v>
      </c>
      <c r="F68" s="21">
        <v>39.549999999999997</v>
      </c>
      <c r="G68" s="21"/>
      <c r="H68" s="7"/>
      <c r="I68" s="8"/>
      <c r="J68" s="16"/>
      <c r="K68" s="16"/>
      <c r="L68" s="16"/>
      <c r="M68" s="16"/>
    </row>
    <row r="69" spans="1:13" ht="11.25" hidden="1" customHeight="1" x14ac:dyDescent="0.2">
      <c r="A69" s="17" t="s">
        <v>72</v>
      </c>
      <c r="B69" s="17"/>
      <c r="C69" s="17"/>
      <c r="D69" s="17"/>
      <c r="E69" s="5">
        <v>44.3</v>
      </c>
      <c r="F69" s="23">
        <v>44.552</v>
      </c>
      <c r="G69" s="23"/>
      <c r="H69" s="6">
        <v>-0.252</v>
      </c>
      <c r="I69" s="8"/>
      <c r="J69" s="16"/>
      <c r="K69" s="16"/>
      <c r="L69" s="16"/>
      <c r="M69" s="16"/>
    </row>
    <row r="70" spans="1:13" ht="11.25" hidden="1" customHeight="1" x14ac:dyDescent="0.2">
      <c r="A70" s="17" t="s">
        <v>73</v>
      </c>
      <c r="B70" s="17"/>
      <c r="C70" s="17"/>
      <c r="D70" s="17"/>
      <c r="E70" s="5">
        <v>55.7</v>
      </c>
      <c r="F70" s="23">
        <v>55.814999999999998</v>
      </c>
      <c r="G70" s="23"/>
      <c r="H70" s="6">
        <v>-0.115</v>
      </c>
      <c r="I70" s="8"/>
      <c r="J70" s="16"/>
      <c r="K70" s="16"/>
      <c r="L70" s="16"/>
      <c r="M70" s="16"/>
    </row>
    <row r="71" spans="1:13" ht="11.25" hidden="1" customHeight="1" x14ac:dyDescent="0.2">
      <c r="A71" s="17" t="s">
        <v>74</v>
      </c>
      <c r="B71" s="17"/>
      <c r="C71" s="17"/>
      <c r="D71" s="17"/>
      <c r="E71" s="5">
        <v>38.5</v>
      </c>
      <c r="F71" s="18">
        <v>38.5</v>
      </c>
      <c r="G71" s="18"/>
      <c r="H71" s="7"/>
      <c r="I71" s="8"/>
      <c r="J71" s="16"/>
      <c r="K71" s="16"/>
      <c r="L71" s="16"/>
      <c r="M71" s="16"/>
    </row>
    <row r="72" spans="1:13" ht="11.25" hidden="1" customHeight="1" x14ac:dyDescent="0.2">
      <c r="A72" s="17" t="s">
        <v>75</v>
      </c>
      <c r="B72" s="17"/>
      <c r="C72" s="17"/>
      <c r="D72" s="17"/>
      <c r="E72" s="5">
        <v>1.8</v>
      </c>
      <c r="F72" s="18">
        <v>1.8</v>
      </c>
      <c r="G72" s="18"/>
      <c r="H72" s="7"/>
      <c r="I72" s="8"/>
      <c r="J72" s="16"/>
      <c r="K72" s="16"/>
      <c r="L72" s="16"/>
      <c r="M72" s="16"/>
    </row>
    <row r="73" spans="1:13" ht="11.25" customHeight="1" x14ac:dyDescent="0.2">
      <c r="A73" s="17" t="s">
        <v>76</v>
      </c>
      <c r="B73" s="17"/>
      <c r="C73" s="17"/>
      <c r="D73" s="17"/>
      <c r="E73" s="5">
        <v>0.3</v>
      </c>
      <c r="F73" s="11"/>
      <c r="G73" s="12"/>
      <c r="H73" s="5">
        <v>0.3</v>
      </c>
      <c r="I73" s="5">
        <v>0.3</v>
      </c>
      <c r="J73" s="16" t="str">
        <f>VLOOKUP(A73,[1]Sheet!$A:$I,9,0)</f>
        <v>матрица</v>
      </c>
      <c r="K73" s="16"/>
      <c r="L73" s="36" t="s">
        <v>107</v>
      </c>
      <c r="M73" s="36" t="s">
        <v>106</v>
      </c>
    </row>
    <row r="74" spans="1:13" ht="11.25" customHeight="1" x14ac:dyDescent="0.2">
      <c r="A74" s="17" t="s">
        <v>77</v>
      </c>
      <c r="B74" s="17"/>
      <c r="C74" s="17"/>
      <c r="D74" s="17"/>
      <c r="E74" s="9">
        <v>21.56</v>
      </c>
      <c r="F74" s="18">
        <v>2.8</v>
      </c>
      <c r="G74" s="18"/>
      <c r="H74" s="9">
        <v>18.760000000000002</v>
      </c>
      <c r="I74" s="9">
        <v>18.760000000000002</v>
      </c>
      <c r="J74" s="16" t="str">
        <f>VLOOKUP(A74,[1]Sheet!$A:$I,9,0)</f>
        <v>матрица</v>
      </c>
      <c r="K74" s="16">
        <f>VLOOKUP(A74,[2]TDSheet!$A:$N,14,0)</f>
        <v>140.84</v>
      </c>
      <c r="L74" s="36"/>
      <c r="M74" s="36"/>
    </row>
    <row r="75" spans="1:13" ht="11.25" customHeight="1" x14ac:dyDescent="0.2">
      <c r="A75" s="17" t="s">
        <v>78</v>
      </c>
      <c r="B75" s="17"/>
      <c r="C75" s="17"/>
      <c r="D75" s="17"/>
      <c r="E75" s="9">
        <v>26.04</v>
      </c>
      <c r="F75" s="21">
        <v>11.76</v>
      </c>
      <c r="G75" s="21"/>
      <c r="H75" s="9">
        <v>14.28</v>
      </c>
      <c r="I75" s="9">
        <v>14.28</v>
      </c>
      <c r="J75" s="16" t="str">
        <f>VLOOKUP(A75,[1]Sheet!$A:$I,9,0)</f>
        <v>матрица</v>
      </c>
      <c r="K75" s="16">
        <f>VLOOKUP(A75,[2]TDSheet!$A:$N,14,0)</f>
        <v>141.68</v>
      </c>
      <c r="L75" s="36"/>
      <c r="M75" s="36"/>
    </row>
    <row r="76" spans="1:13" ht="11.25" customHeight="1" x14ac:dyDescent="0.2">
      <c r="A76" s="17" t="s">
        <v>79</v>
      </c>
      <c r="B76" s="17"/>
      <c r="C76" s="17"/>
      <c r="D76" s="17"/>
      <c r="E76" s="9">
        <v>24.92</v>
      </c>
      <c r="F76" s="21">
        <v>4.76</v>
      </c>
      <c r="G76" s="21"/>
      <c r="H76" s="9">
        <v>20.16</v>
      </c>
      <c r="I76" s="9">
        <v>20.16</v>
      </c>
      <c r="J76" s="16" t="str">
        <f>VLOOKUP(A76,[1]Sheet!$A:$I,9,0)</f>
        <v>матрица</v>
      </c>
      <c r="K76" s="16">
        <f>VLOOKUP(A76,[2]TDSheet!$A:$N,14,0)</f>
        <v>134.4</v>
      </c>
      <c r="L76" s="36"/>
      <c r="M76" s="36"/>
    </row>
    <row r="77" spans="1:13" ht="11.25" customHeight="1" x14ac:dyDescent="0.2">
      <c r="A77" s="17" t="s">
        <v>80</v>
      </c>
      <c r="B77" s="17"/>
      <c r="C77" s="17"/>
      <c r="D77" s="17"/>
      <c r="E77" s="5">
        <v>90.4</v>
      </c>
      <c r="F77" s="18">
        <v>2.4</v>
      </c>
      <c r="G77" s="18"/>
      <c r="H77" s="10">
        <v>88</v>
      </c>
      <c r="I77" s="10">
        <v>88</v>
      </c>
      <c r="J77" s="16" t="str">
        <f>VLOOKUP(A77,[1]Sheet!$A:$I,9,0)</f>
        <v>матрица</v>
      </c>
      <c r="K77" s="16">
        <f>VLOOKUP(A77,[2]TDSheet!$A:$N,14,0)</f>
        <v>1.2</v>
      </c>
      <c r="L77" s="36" t="s">
        <v>108</v>
      </c>
      <c r="M77" s="36"/>
    </row>
    <row r="78" spans="1:13" ht="11.25" customHeight="1" x14ac:dyDescent="0.2">
      <c r="A78" s="17" t="s">
        <v>81</v>
      </c>
      <c r="B78" s="17"/>
      <c r="C78" s="17"/>
      <c r="D78" s="17"/>
      <c r="E78" s="10">
        <v>3</v>
      </c>
      <c r="F78" s="11"/>
      <c r="G78" s="12"/>
      <c r="H78" s="10">
        <v>3</v>
      </c>
      <c r="I78" s="10">
        <v>3</v>
      </c>
      <c r="J78" s="34" t="s">
        <v>99</v>
      </c>
      <c r="K78" s="16"/>
      <c r="L78" s="36"/>
      <c r="M78" s="36"/>
    </row>
    <row r="79" spans="1:13" ht="11.25" customHeight="1" x14ac:dyDescent="0.2">
      <c r="A79" s="17" t="s">
        <v>82</v>
      </c>
      <c r="B79" s="17"/>
      <c r="C79" s="17"/>
      <c r="D79" s="17"/>
      <c r="E79" s="9">
        <v>12.84</v>
      </c>
      <c r="F79" s="11"/>
      <c r="G79" s="12"/>
      <c r="H79" s="9">
        <v>12.84</v>
      </c>
      <c r="I79" s="9">
        <v>12.84</v>
      </c>
      <c r="J79" s="16" t="str">
        <f>VLOOKUP(A79,[1]Sheet!$A:$I,9,0)</f>
        <v>матрица</v>
      </c>
      <c r="K79" s="16">
        <f>VLOOKUP(A79,[2]TDSheet!$A:$N,14,0)</f>
        <v>3.84</v>
      </c>
      <c r="L79" s="36" t="s">
        <v>109</v>
      </c>
      <c r="M79" s="36"/>
    </row>
    <row r="80" spans="1:13" ht="11.25" hidden="1" customHeight="1" x14ac:dyDescent="0.2">
      <c r="A80" s="17" t="s">
        <v>83</v>
      </c>
      <c r="B80" s="17"/>
      <c r="C80" s="17"/>
      <c r="D80" s="17"/>
      <c r="E80" s="5">
        <v>1.2</v>
      </c>
      <c r="F80" s="18">
        <v>1.2</v>
      </c>
      <c r="G80" s="18"/>
      <c r="H80" s="7"/>
      <c r="I80" s="8"/>
      <c r="J80" s="16"/>
      <c r="K80" s="16"/>
      <c r="L80" s="16"/>
      <c r="M80" s="16"/>
    </row>
    <row r="81" spans="1:13" ht="11.25" hidden="1" customHeight="1" x14ac:dyDescent="0.2">
      <c r="A81" s="17" t="s">
        <v>84</v>
      </c>
      <c r="B81" s="17"/>
      <c r="C81" s="17"/>
      <c r="D81" s="17"/>
      <c r="E81" s="5">
        <v>1.8</v>
      </c>
      <c r="F81" s="18">
        <v>1.8</v>
      </c>
      <c r="G81" s="18"/>
      <c r="H81" s="7"/>
      <c r="I81" s="8"/>
      <c r="J81" s="16"/>
      <c r="K81" s="16"/>
      <c r="L81" s="16"/>
      <c r="M81" s="16"/>
    </row>
    <row r="82" spans="1:13" ht="11.25" customHeight="1" x14ac:dyDescent="0.2">
      <c r="A82" s="17" t="s">
        <v>85</v>
      </c>
      <c r="B82" s="17"/>
      <c r="C82" s="17"/>
      <c r="D82" s="17"/>
      <c r="E82" s="9">
        <v>0.99</v>
      </c>
      <c r="F82" s="21">
        <v>0.33</v>
      </c>
      <c r="G82" s="21"/>
      <c r="H82" s="9">
        <v>0.66</v>
      </c>
      <c r="I82" s="9">
        <v>0.66</v>
      </c>
      <c r="J82" s="16" t="str">
        <f>VLOOKUP(A82,[1]Sheet!$A:$I,9,0)</f>
        <v>матрица</v>
      </c>
      <c r="K82" s="16">
        <f>VLOOKUP(A82,[2]TDSheet!$A:$N,14,0)</f>
        <v>1.32</v>
      </c>
      <c r="L82" s="36"/>
      <c r="M82" s="36"/>
    </row>
    <row r="83" spans="1:13" ht="11.25" hidden="1" customHeight="1" x14ac:dyDescent="0.2">
      <c r="A83" s="17" t="s">
        <v>86</v>
      </c>
      <c r="B83" s="17"/>
      <c r="C83" s="17"/>
      <c r="D83" s="17"/>
      <c r="E83" s="9">
        <v>0.15</v>
      </c>
      <c r="F83" s="21">
        <v>0.15</v>
      </c>
      <c r="G83" s="21"/>
      <c r="H83" s="7"/>
      <c r="I83" s="8"/>
      <c r="J83" s="16"/>
      <c r="K83" s="16"/>
      <c r="L83" s="16"/>
      <c r="M83" s="16"/>
    </row>
    <row r="84" spans="1:13" ht="11.25" customHeight="1" x14ac:dyDescent="0.2">
      <c r="A84" s="17" t="s">
        <v>87</v>
      </c>
      <c r="B84" s="17"/>
      <c r="C84" s="17"/>
      <c r="D84" s="17"/>
      <c r="E84" s="9">
        <v>23.78</v>
      </c>
      <c r="F84" s="11"/>
      <c r="G84" s="12"/>
      <c r="H84" s="9">
        <v>23.78</v>
      </c>
      <c r="I84" s="9">
        <v>23.78</v>
      </c>
      <c r="J84" s="16" t="str">
        <f>VLOOKUP(A84,[1]Sheet!$A:$I,9,0)</f>
        <v>матрица</v>
      </c>
      <c r="K84" s="16">
        <f>VLOOKUP(A84,[2]TDSheet!$A:$N,14,0)</f>
        <v>2.87</v>
      </c>
      <c r="L84" s="36" t="s">
        <v>110</v>
      </c>
      <c r="M84" s="36"/>
    </row>
    <row r="85" spans="1:13" ht="11.25" hidden="1" customHeight="1" x14ac:dyDescent="0.2">
      <c r="A85" s="17" t="s">
        <v>88</v>
      </c>
      <c r="B85" s="17"/>
      <c r="C85" s="17"/>
      <c r="D85" s="17"/>
      <c r="E85" s="9">
        <v>1.04</v>
      </c>
      <c r="F85" s="21">
        <v>1.04</v>
      </c>
      <c r="G85" s="21"/>
      <c r="H85" s="7"/>
      <c r="I85" s="8"/>
      <c r="J85" s="16"/>
      <c r="K85" s="16"/>
      <c r="L85" s="16"/>
      <c r="M85" s="16"/>
    </row>
    <row r="86" spans="1:13" ht="11.25" customHeight="1" x14ac:dyDescent="0.2">
      <c r="A86" s="17" t="s">
        <v>89</v>
      </c>
      <c r="B86" s="17"/>
      <c r="C86" s="17"/>
      <c r="D86" s="17"/>
      <c r="E86" s="9">
        <v>1.86</v>
      </c>
      <c r="F86" s="11"/>
      <c r="G86" s="12"/>
      <c r="H86" s="9">
        <v>1.86</v>
      </c>
      <c r="I86" s="9">
        <v>1.86</v>
      </c>
      <c r="J86" s="16" t="str">
        <f>VLOOKUP(A86,[1]Sheet!$A:$I,9,0)</f>
        <v>матрица</v>
      </c>
      <c r="K86" s="16">
        <f>VLOOKUP(A86,[2]TDSheet!$A:$N,14,0)</f>
        <v>16.43</v>
      </c>
      <c r="L86" s="36"/>
      <c r="M86" s="36"/>
    </row>
    <row r="87" spans="1:13" ht="11.25" hidden="1" customHeight="1" x14ac:dyDescent="0.2">
      <c r="A87" s="17" t="s">
        <v>90</v>
      </c>
      <c r="B87" s="17"/>
      <c r="C87" s="17"/>
      <c r="D87" s="17"/>
      <c r="E87" s="10">
        <v>4</v>
      </c>
      <c r="F87" s="22">
        <v>4</v>
      </c>
      <c r="G87" s="22"/>
      <c r="H87" s="7"/>
      <c r="I87" s="8"/>
      <c r="J87" s="16"/>
      <c r="K87" s="16"/>
      <c r="L87" s="16"/>
      <c r="M87" s="16"/>
    </row>
    <row r="88" spans="1:13" ht="33.75" x14ac:dyDescent="0.2">
      <c r="A88" s="17" t="s">
        <v>91</v>
      </c>
      <c r="B88" s="17"/>
      <c r="C88" s="17"/>
      <c r="D88" s="17"/>
      <c r="E88" s="5">
        <v>0.6</v>
      </c>
      <c r="F88" s="11"/>
      <c r="G88" s="12"/>
      <c r="H88" s="5">
        <v>0.6</v>
      </c>
      <c r="I88" s="5">
        <v>0.6</v>
      </c>
      <c r="J88" s="16" t="str">
        <f>VLOOKUP(A88,[1]Sheet!$A:$I,9,0)</f>
        <v>матрица</v>
      </c>
      <c r="K88" s="16"/>
      <c r="L88" s="37" t="s">
        <v>111</v>
      </c>
      <c r="M88" s="38" t="s">
        <v>112</v>
      </c>
    </row>
    <row r="89" spans="1:13" ht="11.25" hidden="1" customHeight="1" x14ac:dyDescent="0.2">
      <c r="A89" s="17" t="s">
        <v>92</v>
      </c>
      <c r="B89" s="17"/>
      <c r="C89" s="17"/>
      <c r="D89" s="17"/>
      <c r="E89" s="10">
        <v>4</v>
      </c>
      <c r="F89" s="23">
        <v>4.9619999999999997</v>
      </c>
      <c r="G89" s="23"/>
      <c r="H89" s="6">
        <v>-0.96199999999999997</v>
      </c>
      <c r="I89" s="8"/>
      <c r="J89" s="16"/>
      <c r="K89" s="16"/>
      <c r="L89" s="16"/>
      <c r="M89" s="16"/>
    </row>
    <row r="90" spans="1:13" ht="11.25" customHeight="1" x14ac:dyDescent="0.2">
      <c r="A90" s="17" t="s">
        <v>93</v>
      </c>
      <c r="B90" s="17"/>
      <c r="C90" s="17"/>
      <c r="D90" s="17"/>
      <c r="E90" s="5">
        <v>19.8</v>
      </c>
      <c r="F90" s="21">
        <v>0.33</v>
      </c>
      <c r="G90" s="21"/>
      <c r="H90" s="9">
        <v>19.47</v>
      </c>
      <c r="I90" s="9">
        <v>19.47</v>
      </c>
      <c r="J90" s="16" t="str">
        <f>VLOOKUP(A90,[1]Sheet!$A:$I,9,0)</f>
        <v>матрица</v>
      </c>
      <c r="K90" s="16">
        <f>VLOOKUP(A90,[2]TDSheet!$A:$N,14,0)</f>
        <v>0.66</v>
      </c>
      <c r="L90" s="36" t="s">
        <v>113</v>
      </c>
      <c r="M90" s="36"/>
    </row>
    <row r="91" spans="1:13" ht="11.25" customHeight="1" x14ac:dyDescent="0.2">
      <c r="A91" s="17" t="s">
        <v>94</v>
      </c>
      <c r="B91" s="17"/>
      <c r="C91" s="17"/>
      <c r="D91" s="17"/>
      <c r="E91" s="5">
        <v>12.1</v>
      </c>
      <c r="F91" s="18">
        <v>0.8</v>
      </c>
      <c r="G91" s="18"/>
      <c r="H91" s="5">
        <v>11.3</v>
      </c>
      <c r="I91" s="5">
        <v>11.3</v>
      </c>
      <c r="J91" s="16" t="str">
        <f>VLOOKUP(A91,[1]Sheet!$A:$I,9,0)</f>
        <v>матрица</v>
      </c>
      <c r="K91" s="16">
        <f>VLOOKUP(A91,[2]TDSheet!$A:$N,14,0)</f>
        <v>19</v>
      </c>
      <c r="L91" s="36"/>
      <c r="M91" s="36"/>
    </row>
    <row r="92" spans="1:13" ht="11.25" hidden="1" customHeight="1" x14ac:dyDescent="0.2">
      <c r="A92" s="17" t="s">
        <v>95</v>
      </c>
      <c r="B92" s="17"/>
      <c r="C92" s="17"/>
      <c r="D92" s="17"/>
      <c r="E92" s="5">
        <v>0.5</v>
      </c>
      <c r="F92" s="18">
        <v>0.5</v>
      </c>
      <c r="G92" s="18"/>
      <c r="H92" s="7"/>
      <c r="I92" s="8"/>
      <c r="J92" s="16"/>
      <c r="K92" s="16"/>
      <c r="L92" s="16"/>
      <c r="M92" s="16"/>
    </row>
    <row r="93" spans="1:13" ht="11.25" customHeight="1" x14ac:dyDescent="0.2">
      <c r="A93" s="17" t="s">
        <v>96</v>
      </c>
      <c r="B93" s="17"/>
      <c r="C93" s="17"/>
      <c r="D93" s="17"/>
      <c r="E93" s="5">
        <v>13.2</v>
      </c>
      <c r="F93" s="11"/>
      <c r="G93" s="12"/>
      <c r="H93" s="5">
        <v>13.2</v>
      </c>
      <c r="I93" s="5">
        <v>13.2</v>
      </c>
      <c r="J93" s="16" t="str">
        <f>VLOOKUP(A93,[1]Sheet!$A:$I,9,0)</f>
        <v>матрица</v>
      </c>
      <c r="K93" s="16">
        <f>VLOOKUP(A93,[2]TDSheet!$A:$N,14,0)</f>
        <v>64</v>
      </c>
      <c r="L93" s="36"/>
      <c r="M93" s="36"/>
    </row>
    <row r="94" spans="1:13" ht="11.25" hidden="1" customHeight="1" x14ac:dyDescent="0.2">
      <c r="A94" s="17" t="s">
        <v>97</v>
      </c>
      <c r="B94" s="17"/>
      <c r="C94" s="17"/>
      <c r="D94" s="17"/>
      <c r="E94" s="5">
        <v>0.2</v>
      </c>
      <c r="F94" s="18">
        <v>0.2</v>
      </c>
      <c r="G94" s="18"/>
      <c r="H94" s="7"/>
      <c r="I94" s="8"/>
      <c r="L94"/>
      <c r="M94"/>
    </row>
    <row r="95" spans="1:13" ht="11.25" hidden="1" customHeight="1" x14ac:dyDescent="0.2">
      <c r="A95" s="17" t="s">
        <v>98</v>
      </c>
      <c r="B95" s="17"/>
      <c r="C95" s="17"/>
      <c r="D95" s="17"/>
      <c r="E95" s="5">
        <v>0.2</v>
      </c>
      <c r="F95" s="18">
        <v>0.2</v>
      </c>
      <c r="G95" s="18"/>
      <c r="H95" s="7"/>
      <c r="I95" s="8"/>
      <c r="L95"/>
      <c r="M95"/>
    </row>
    <row r="96" spans="1:13" ht="12.75" customHeight="1" x14ac:dyDescent="0.2">
      <c r="A96" s="19" t="s">
        <v>6</v>
      </c>
      <c r="B96" s="19"/>
      <c r="C96" s="19"/>
      <c r="D96" s="19"/>
      <c r="E96" s="13">
        <v>1491.67</v>
      </c>
      <c r="F96" s="20">
        <v>951.97400000000005</v>
      </c>
      <c r="G96" s="20"/>
      <c r="H96" s="14">
        <v>539.69600000000003</v>
      </c>
      <c r="I96" s="14">
        <v>565.95699999999999</v>
      </c>
    </row>
  </sheetData>
  <autoFilter ref="E9:I96" xr:uid="{7BC432D8-7BF3-4D14-B4D3-F47E2DB479FF}">
    <filterColumn colId="1" showButton="0"/>
    <filterColumn colId="4">
      <customFilters>
        <customFilter operator="notEqual" val=" "/>
      </customFilters>
    </filterColumn>
  </autoFilter>
  <mergeCells count="162">
    <mergeCell ref="A11:D11"/>
    <mergeCell ref="F11:G11"/>
    <mergeCell ref="A12:D12"/>
    <mergeCell ref="F12:G12"/>
    <mergeCell ref="A13:D13"/>
    <mergeCell ref="F13:G13"/>
    <mergeCell ref="C3:N3"/>
    <mergeCell ref="A8:D10"/>
    <mergeCell ref="E8:I8"/>
    <mergeCell ref="F9:G9"/>
    <mergeCell ref="I9:I10"/>
    <mergeCell ref="F10:G10"/>
    <mergeCell ref="A17:D17"/>
    <mergeCell ref="F17:G17"/>
    <mergeCell ref="A18:D18"/>
    <mergeCell ref="F18:G18"/>
    <mergeCell ref="A19:D19"/>
    <mergeCell ref="F19:G19"/>
    <mergeCell ref="A14:D14"/>
    <mergeCell ref="F14:G14"/>
    <mergeCell ref="A15:D15"/>
    <mergeCell ref="F15:G15"/>
    <mergeCell ref="A16:D16"/>
    <mergeCell ref="F16:G16"/>
    <mergeCell ref="A23:D23"/>
    <mergeCell ref="F23:G23"/>
    <mergeCell ref="A24:D24"/>
    <mergeCell ref="A25:D25"/>
    <mergeCell ref="A26:D26"/>
    <mergeCell ref="F26:G26"/>
    <mergeCell ref="A20:D20"/>
    <mergeCell ref="F20:G20"/>
    <mergeCell ref="A21:D21"/>
    <mergeCell ref="F21:G21"/>
    <mergeCell ref="A22:D22"/>
    <mergeCell ref="F22:G22"/>
    <mergeCell ref="A30:D30"/>
    <mergeCell ref="F30:G30"/>
    <mergeCell ref="A31:D31"/>
    <mergeCell ref="A32:D32"/>
    <mergeCell ref="F32:G32"/>
    <mergeCell ref="A33:D33"/>
    <mergeCell ref="F33:G33"/>
    <mergeCell ref="A27:D27"/>
    <mergeCell ref="F27:G27"/>
    <mergeCell ref="A28:D28"/>
    <mergeCell ref="F28:G28"/>
    <mergeCell ref="A29:D29"/>
    <mergeCell ref="F29:G29"/>
    <mergeCell ref="A38:D38"/>
    <mergeCell ref="F38:G38"/>
    <mergeCell ref="A39:D39"/>
    <mergeCell ref="F39:G39"/>
    <mergeCell ref="A40:D40"/>
    <mergeCell ref="F40:G40"/>
    <mergeCell ref="A34:D34"/>
    <mergeCell ref="A35:D35"/>
    <mergeCell ref="F35:G35"/>
    <mergeCell ref="A36:D36"/>
    <mergeCell ref="A37:D37"/>
    <mergeCell ref="F37:G37"/>
    <mergeCell ref="A45:D45"/>
    <mergeCell ref="A46:D46"/>
    <mergeCell ref="F46:G46"/>
    <mergeCell ref="A47:D47"/>
    <mergeCell ref="F47:G47"/>
    <mergeCell ref="A48:D48"/>
    <mergeCell ref="A41:D41"/>
    <mergeCell ref="F41:G41"/>
    <mergeCell ref="A42:D42"/>
    <mergeCell ref="A43:D43"/>
    <mergeCell ref="F43:G43"/>
    <mergeCell ref="A44:D44"/>
    <mergeCell ref="F44:G44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58:D58"/>
    <mergeCell ref="F58:G58"/>
    <mergeCell ref="A59:D59"/>
    <mergeCell ref="F59:G59"/>
    <mergeCell ref="A60:D60"/>
    <mergeCell ref="F60:G60"/>
    <mergeCell ref="A55:D55"/>
    <mergeCell ref="F55:G55"/>
    <mergeCell ref="A56:D56"/>
    <mergeCell ref="F56:G56"/>
    <mergeCell ref="A57:D57"/>
    <mergeCell ref="F57:G57"/>
    <mergeCell ref="A64:D64"/>
    <mergeCell ref="F64:G64"/>
    <mergeCell ref="A65:D65"/>
    <mergeCell ref="A66:D66"/>
    <mergeCell ref="F66:G66"/>
    <mergeCell ref="A67:D67"/>
    <mergeCell ref="F67:G67"/>
    <mergeCell ref="A61:D61"/>
    <mergeCell ref="F61:G61"/>
    <mergeCell ref="A62:D62"/>
    <mergeCell ref="F62:G62"/>
    <mergeCell ref="A63:D63"/>
    <mergeCell ref="F63:G63"/>
    <mergeCell ref="A71:D71"/>
    <mergeCell ref="F71:G71"/>
    <mergeCell ref="A72:D72"/>
    <mergeCell ref="F72:G72"/>
    <mergeCell ref="A73:D73"/>
    <mergeCell ref="A74:D74"/>
    <mergeCell ref="F74:G74"/>
    <mergeCell ref="A68:D68"/>
    <mergeCell ref="F68:G68"/>
    <mergeCell ref="A69:D69"/>
    <mergeCell ref="F69:G69"/>
    <mergeCell ref="A70:D70"/>
    <mergeCell ref="F70:G70"/>
    <mergeCell ref="A78:D78"/>
    <mergeCell ref="A79:D79"/>
    <mergeCell ref="A80:D80"/>
    <mergeCell ref="F80:G80"/>
    <mergeCell ref="A81:D81"/>
    <mergeCell ref="F81:G81"/>
    <mergeCell ref="A75:D75"/>
    <mergeCell ref="F75:G75"/>
    <mergeCell ref="A76:D76"/>
    <mergeCell ref="F76:G76"/>
    <mergeCell ref="A77:D77"/>
    <mergeCell ref="F77:G77"/>
    <mergeCell ref="A86:D86"/>
    <mergeCell ref="A87:D87"/>
    <mergeCell ref="F87:G87"/>
    <mergeCell ref="A88:D88"/>
    <mergeCell ref="A89:D89"/>
    <mergeCell ref="F89:G89"/>
    <mergeCell ref="A82:D82"/>
    <mergeCell ref="F82:G82"/>
    <mergeCell ref="A83:D83"/>
    <mergeCell ref="F83:G83"/>
    <mergeCell ref="A84:D84"/>
    <mergeCell ref="A85:D85"/>
    <mergeCell ref="F85:G85"/>
    <mergeCell ref="A93:D93"/>
    <mergeCell ref="A94:D94"/>
    <mergeCell ref="F94:G94"/>
    <mergeCell ref="A95:D95"/>
    <mergeCell ref="F95:G95"/>
    <mergeCell ref="A96:D96"/>
    <mergeCell ref="F96:G96"/>
    <mergeCell ref="A90:D90"/>
    <mergeCell ref="F90:G90"/>
    <mergeCell ref="A91:D91"/>
    <mergeCell ref="F91:G91"/>
    <mergeCell ref="A92:D92"/>
    <mergeCell ref="F92:G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2026-10-21T07:32:46Z</cp:lastPrinted>
  <dcterms:created xsi:type="dcterms:W3CDTF">2026-10-21T07:32:46Z</dcterms:created>
  <dcterms:modified xsi:type="dcterms:W3CDTF">2026-10-21T08:02:04Z</dcterms:modified>
</cp:coreProperties>
</file>