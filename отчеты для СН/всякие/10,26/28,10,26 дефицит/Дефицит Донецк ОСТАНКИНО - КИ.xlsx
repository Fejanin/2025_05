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ather\Work\2025_05\графики\отчеты для СН\дефицит\"/>
    </mc:Choice>
  </mc:AlternateContent>
  <xr:revisionPtr revIDLastSave="0" documentId="13_ncr:1_{AD804772-0355-43B5-BB2B-A5F1BA6868A7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TDSheet" sheetId="1" r:id="rId1"/>
    <sheet name="Лист1" sheetId="2" r:id="rId2"/>
  </sheets>
  <externalReferences>
    <externalReference r:id="rId3"/>
    <externalReference r:id="rId4"/>
  </externalReferences>
  <definedNames>
    <definedName name="_xlnm._FilterDatabase" localSheetId="0" hidden="1">TDSheet!$A$8:$J$149</definedName>
  </definedNames>
  <calcPr calcId="191029" refMode="R1C1"/>
</workbook>
</file>

<file path=xl/calcChain.xml><?xml version="1.0" encoding="utf-8"?>
<calcChain xmlns="http://schemas.openxmlformats.org/spreadsheetml/2006/main">
  <c r="D19" i="2" l="1"/>
  <c r="D14" i="2"/>
  <c r="D8" i="2"/>
  <c r="D7" i="2"/>
  <c r="D5" i="2"/>
  <c r="D3" i="2"/>
  <c r="C8" i="2"/>
  <c r="C3" i="2"/>
  <c r="C5" i="2"/>
  <c r="C7" i="2"/>
  <c r="C10" i="2"/>
  <c r="C11" i="2"/>
  <c r="C12" i="2"/>
  <c r="C14" i="2"/>
  <c r="C19" i="2"/>
  <c r="C20" i="2"/>
  <c r="B21" i="2" l="1"/>
  <c r="J59" i="1"/>
  <c r="J110" i="1"/>
  <c r="J117" i="1"/>
  <c r="J120" i="1"/>
  <c r="J122" i="1"/>
  <c r="J90" i="1"/>
  <c r="J68" i="1"/>
  <c r="J69" i="1"/>
  <c r="J72" i="1"/>
  <c r="J75" i="1"/>
  <c r="J79" i="1"/>
  <c r="J84" i="1"/>
  <c r="J145" i="1"/>
  <c r="J61" i="1"/>
  <c r="J47" i="1"/>
  <c r="J43" i="1"/>
  <c r="J149" i="1" s="1"/>
  <c r="J38" i="1"/>
  <c r="J30" i="1"/>
  <c r="J21" i="1"/>
</calcChain>
</file>

<file path=xl/sharedStrings.xml><?xml version="1.0" encoding="utf-8"?>
<sst xmlns="http://schemas.openxmlformats.org/spreadsheetml/2006/main" count="189" uniqueCount="171">
  <si>
    <t>Ведомость по товарам на складах</t>
  </si>
  <si>
    <t>Параметры:</t>
  </si>
  <si>
    <t>Период: 28.10.2026 - 28.10.2026</t>
  </si>
  <si>
    <t>Количество товаров: В единицах хранения</t>
  </si>
  <si>
    <t>Отбор:</t>
  </si>
  <si>
    <t>Склад Равно "АСП Донецк Останкино" И
Номенклатура В группе из списка "Авида; АО "КОНТИ-РУС"; Апрель ООО (Яшкино) ; Артеменко Т.С. ИП (Макаро...; Атяшево МК (11000); Байсад ЗАО; Белокаменка-Фиш ООО; Бизнес логистика ТК ООО; Бондюэль-кубань ООО; Варвикс МК;..."</t>
  </si>
  <si>
    <t>Склад</t>
  </si>
  <si>
    <t>Количество</t>
  </si>
  <si>
    <t>Номенклатура, Артикул</t>
  </si>
  <si>
    <t>АСП Донецк Останкино</t>
  </si>
  <si>
    <t xml:space="preserve">Останкино ООО, </t>
  </si>
  <si>
    <t xml:space="preserve">ООО Останкино-Краснодар, </t>
  </si>
  <si>
    <t>0614 ПРАЗДНИЧНАЯ с/к в/с дек.спец.мгс  Останкино, 1001060720614</t>
  </si>
  <si>
    <t>3287 САЛЯМИ ИТАЛЬЯНСКАЯ с/к в/у ОСТАНКИНО, 1001060763287</t>
  </si>
  <si>
    <t>4063 МЯСНАЯ Папа может вар п/о_Л   ОСТАНКИНО, 1001012484063</t>
  </si>
  <si>
    <t>4117 ЭКСТРА Папа может с/к в/у_Л   ОСТАНКИНО, 1001062504117</t>
  </si>
  <si>
    <t>4574 Мясная со шпиком Папа может вар п/о ОСТАНКИНО, 1001012634574</t>
  </si>
  <si>
    <t>4813 ФИЛЕЙНАЯ Папа может вар п/о_Л   ОСТАНКИНО, 1001012564813</t>
  </si>
  <si>
    <t>5452 ВЕТЧ.МЯСНАЯ Папа может п/о    ОСТАНКИНО, 1001092485452</t>
  </si>
  <si>
    <t>5544 Сервелат Финский в/к в/у_45с НОВАЯ ОСТАНКИНО, 1001051875544</t>
  </si>
  <si>
    <t>5851 ЭКСТРА Папа может вар п/о   ОСТАНКИНО, 1001012505851</t>
  </si>
  <si>
    <t>6008 САЛО СОЛЕНОЕ С ЧЕРНЫМ ПЕРЦЕМ мл/к в/у ОСТАНКИНО, 1001084856008</t>
  </si>
  <si>
    <t>6220 ГОВЯЖЬЯ папа может вар п/о  Останкино, 1001012426220</t>
  </si>
  <si>
    <t>6303 Мясные Папа может сос п/о мгс 1,5*3  Останкино, 1001022726303</t>
  </si>
  <si>
    <t>6498 МОЛОЧНАЯ Папа может вар п/о  ОСТАНКИНО, 1001012456498</t>
  </si>
  <si>
    <t>6527 ШПИКАЧКИ СОЧНЫЕ ПМ сар б/о мгс 1*3 45с ОСТАНКИНО, 1001031076527</t>
  </si>
  <si>
    <t>6550 МЯСНЫЕ Папа может сар б/о мгс 1*3 О 45с  Останкино, 1001032736550</t>
  </si>
  <si>
    <t>6608 С ГОВЯДИНОЙ ОРИГИН. сар б/о мгс 1*3_45с  ОСТАНКИНО, 1001033856608</t>
  </si>
  <si>
    <t>6620 РЕБРЫШКИ к/в в/у_30с  Останкино, 1001081596620</t>
  </si>
  <si>
    <t>6661 СОЧНЫЙ ГРИЛЬ ПМ сос п/о мгс 1,5*4_Маяк Останкино, 1001022246661</t>
  </si>
  <si>
    <t>6764 СЛИИВОЧНЫЕ сос ц/о мгс 1*4  Останкино, 1001020846764</t>
  </si>
  <si>
    <t>6767 РУБЛЕНЫЕ сос ц/о мгс 1*4  Останкино, 1001023696767</t>
  </si>
  <si>
    <t>6829  МОЛОЧНЫЕ КЛАССИЧЕСКИЕ сос п/о мгс 2*4 С  Останккино, 1001024976829</t>
  </si>
  <si>
    <t>6929 КАРБОНАД ДОМАШНИЙ ПМ к/в кр/к в/у  ОСТАНКИНО, 1001085476929</t>
  </si>
  <si>
    <t>7001 КЛАССИЧЕСКИЕ Папа может сар б/о мгс 1*3  Останкино, 1001035937001</t>
  </si>
  <si>
    <t>7070 СОЧНЫЕ ПМ сос п/о 1,5*4_А_50с  Останкино, 1001022377070</t>
  </si>
  <si>
    <t>7083 СЛИВОЧНЫЕ ПМ сос п/о мгс 1.5*4_А_50с  ОСТАНКИНО, 1001022467083</t>
  </si>
  <si>
    <t>7132 ВЕНСКАЯ САЛЯМИ п/к в/у 0.840кг  ОСТАНКИНО, 1001300517132</t>
  </si>
  <si>
    <t>7157 СЕРВЕЛАТ ЗЕРНИСТЫЙ ПМ в/к в/у_50с  Останкино, 1001300387157</t>
  </si>
  <si>
    <t>7166 СЕРВЕЛАТ ОХОТНИЧИЙ ПМ в/к в/у_50с  Останкино, 1001303987166</t>
  </si>
  <si>
    <t>7299 НАБОР ДЛЯ ПИЦЦЫ Папа Может с/к в/у  ОСТАНКИНО, 1001060677299</t>
  </si>
  <si>
    <t>7512 ЧАЙНАЯ Останкино вар н/о мгс 1*3  ОСТАНКИНО, 1001016997512</t>
  </si>
  <si>
    <t>7514 ЛЮБИТЕЛЬСКАЯ ОСТАНКИНСКАЯ вар п/о в/у  ОСТАНКИНО, 1001017557514</t>
  </si>
  <si>
    <t>7518 ТЕЛЯЧЬЯ ГОСТ Останкино вар п/о в/у  ОСТАНКИНО, 1001017567518</t>
  </si>
  <si>
    <t>7562 КРАКОВСКАЯ ГОСТ Останкино п/к н/о мгс  ОСТАНКИНО, 1001307587562</t>
  </si>
  <si>
    <t>7564 Балыковая в/к в/у Останкино Вес  ОСТАНКИНО, 1001303637564</t>
  </si>
  <si>
    <t>7700 ЛИТОВСКАЯ с/к в/у  ОСТАНКИНО, 1001067977700</t>
  </si>
  <si>
    <t>7754 ДОМАШНИЙ РЕЦЕПТ Коровино вар п/о_332к  ОСТАНКИНО, 1001015647754</t>
  </si>
  <si>
    <t>8014 ДОКТОРСКАЯ ПРЕМИУМ вар п/о(п)    ОСТАНКИНО, 1001010108014</t>
  </si>
  <si>
    <t xml:space="preserve">ООО Останкино-Краснодар (ШТ), </t>
  </si>
  <si>
    <t>3215 ВЕТЧ.МЯСНАЯ Папа может п/о 0.4кг 8шт.    ОСТАНКИНО, 1001094053215</t>
  </si>
  <si>
    <t>3986 Ароматная с/к в/у 1/250 ОСТАНКИНО, 1001061973986</t>
  </si>
  <si>
    <t>4993 САЛЯМИ ИТАЛЬЯНСКАЯ с/к в/у 1/250*8_120c ОСТАНКИНО, 1001060764993</t>
  </si>
  <si>
    <t>5483 ЭКСТРА Папа может с/к в/у 1/250 8шт.   ОСТАНКИНО, 1001062505483</t>
  </si>
  <si>
    <t>5495 ВЕТЧ.С ИНДЕЙКОЙ Папа может п/о 400*6  Останкино, 1001093345495</t>
  </si>
  <si>
    <t>5819 Сосиски Папа может 400г Мясные  ОСТАНКИНО, 1001022725819</t>
  </si>
  <si>
    <t>5931 ОХОТНИЧЬЯ Папа может с/к в/у 1/220 8шт.   ОСТАНКИНО, 1001060755931</t>
  </si>
  <si>
    <t>6221 НЕОПОЛИТАНСКИЙ ДУЭТ с/к с/н мгс 1/90  Останкино, 1001205376221</t>
  </si>
  <si>
    <t>6228 МЯСНОЕ АССОРТИ к/з с/н мгс 1/90 10шт  Останкино, 1001225416228</t>
  </si>
  <si>
    <t>6254 ФИЛЕЙНЫЕ Папа может сос ц/о мгс 1.5*2  ОСТАНКИНО, 1001022556254</t>
  </si>
  <si>
    <t>6279 КОРЕЙКА ПО-ОСТ.к/в в/с с/н в/у 1/150_45с  Останкино, 1001220286279</t>
  </si>
  <si>
    <t>6325 ДОКТОРСКАЯ ПРЕМИУМ вар п/о 0.4кг 8шт.  ОСТАНКИНО, 1001010106325</t>
  </si>
  <si>
    <t>6333 МЯСНАЯ Папа может вар п/о 0.4кг 8шт.  ОСТАНКИНО, 1001012486333</t>
  </si>
  <si>
    <t>6392 ФИЛЕЙНАЯ Папа может вар п/о 0,4кг  ОСТАНКИНО, 1001012566392</t>
  </si>
  <si>
    <t>6616 МОЛОЧНЫЕ КЛАССИЧЕСКИЕ сос п/о в/у 0,3 кг  Останкино, 1001024976616</t>
  </si>
  <si>
    <t>6697 СЕРВЕЛАТ ФИНСКИЙ ПМ в/к в/у 0,35кг 8шт  ОСТАНКИНО, 1001301876697</t>
  </si>
  <si>
    <t>6724 МОЛОЧНЫЕ ПМ сос п/о мгс 0,41кг 10шт  Останкино, 1001020836724</t>
  </si>
  <si>
    <t>6754 БАЛЫК И ШЕЙКА с/в с/н мгс 1/90 8 шт ОСТАНКИНО, 1001225406754</t>
  </si>
  <si>
    <t>6765 РУБЛЕНЫЕ сос ц/о мгс 0,36кг 6шт  Останкино, 1001023696765</t>
  </si>
  <si>
    <t>6787 СЕРВЕЛАТ КРЕМЛЕВСКИЙ в/к в/у 0,33кг 8шт  Останкино, 1001300456787</t>
  </si>
  <si>
    <t>6797 С ИНДЕЙКОЙ Папа может вар п/о 0,4кг 8шт. ОСТАНКИНО, 1001015026797</t>
  </si>
  <si>
    <t>6807 СЕРВЕЛАТ ЕВРОПЕЙСКИЙ в/к в/у 0,33кг 8шт  Останкино, 1001300366807</t>
  </si>
  <si>
    <t>6837 ФИЛЕЙНЫЕ Папа Может сос ц/о мгс 0,4кг  Останкино, 1001022556837</t>
  </si>
  <si>
    <t>6967 БУРГУНДИЯ Папа может с/к в/у 1/250 8шт  Останкино, 1001063656967</t>
  </si>
  <si>
    <t>7040 С ИНДЕЙКОЙ ПМ сос ц/о в/у 1/270 8шт.  ОСТАНКИНО, 1001025027040</t>
  </si>
  <si>
    <t>7059 ШПИКАЧКИ СОЧНЫЕ С БЕК. п/о мгс 0,3кг 60с ОСТАНКИНО, 1001035277059</t>
  </si>
  <si>
    <t>7066 СОЧНЫЕ ПМ сос п/о мгс 0,41кг 10шт 50с  Останкино, 1001022377066</t>
  </si>
  <si>
    <t>7073 МОЛОЧ.ПРЕМИУМ ПМ сос п/о в/у 1/350_50с  Останкино, 1001022657073</t>
  </si>
  <si>
    <t>7080 СЛИВОЧНЫЕ ПМ сос п/о мгс 0,41кг 10шт 50с  Останкино, 1001022467080</t>
  </si>
  <si>
    <t>7090 СВИНИНА ПО-ДОМ.к/в мл/к в/у 0,3кг_50с  Останкино, 1001084217090</t>
  </si>
  <si>
    <t>7103 БЕКОН Останкино с/к с/н в/у 1/180_50с  Останкино, 1001223297103</t>
  </si>
  <si>
    <t>7143 БРАУНШВЕЙГСКАЯ ГОСТ с/к в/у 1/220 8шт.  ОСТАНКИНО, 1001060717143</t>
  </si>
  <si>
    <t>7154 СЕРВЕЛАТ ЗЕРНИСТЫЙ ПМ в/к в/у 0,35кг_50с  Останкино, 1001300387154</t>
  </si>
  <si>
    <t>7156 СЕРВЕЛАТ КОПЧ.НА БУКЕ в/к в/у 0.35кг_50с  ОСТАНКИНО, 1001304237156</t>
  </si>
  <si>
    <t>7163 СЕРВЕЛАТ КЛАССИЧ.ПМ в/к в/у 0,62кг_50с  Останкино, 1001304087163</t>
  </si>
  <si>
    <t>7169 СЕРВЕЛАТ ОХОТНИЧИЙ ПМ в/к в/у 0,35кг_50с  Останкино, 1001303987169</t>
  </si>
  <si>
    <t>7187 ГРУДИНКА ПРЕМИУМ к/в мл/к в/у 0,3кг_50с  Останкино, 1001085637187</t>
  </si>
  <si>
    <t>7231 КЛАССИЧЕСКАЯ ПМ вар п/о 0,3кг 8 шт_209к  Останкино, 1001013957231</t>
  </si>
  <si>
    <t>7232 БОЯNСКАЯ ПМ п/к в/у 0,28кг 8шт_209к  Останкино, 1001302277232</t>
  </si>
  <si>
    <t>7236 СЕРВЕЛАТ КАРЕЛЬСКИЙ в/к в/у 0,28кг_209к  Останкино, 1001304507236</t>
  </si>
  <si>
    <t>7241 САЛЯМИ Папа может п/к в/у 0,28кг ОСТАНКИНО, 1001303107241</t>
  </si>
  <si>
    <t>7255 МЯСНЫЕ С ГОВЯД.ПМ сос п/о мгс 0.4кг 6шт.  ОСТАНКИНО, 1001025507255</t>
  </si>
  <si>
    <t>7271 МЯСНЫЕ С ГОВЯДИНОЙ ПМ сос п/о мгс 1.5*4  ОСТАНКИНО, 1001025507271</t>
  </si>
  <si>
    <t>7344 КОНСЕРВЫ МЯС.ГОВЯДИНА ТУШ. В/С 338г_ЧЗ  ОСТАНКИНО, 1001122287344</t>
  </si>
  <si>
    <t>7345 КОНСЕРВЫ МЯС.СВИНИНА ТУШ. В/С 325г_ЧЗ  ОСТАНКИНО, 1001123677345</t>
  </si>
  <si>
    <t>7364 ЧОРИЗО Останкино с/к в/у 1/220 8шт.  ОСТАНКИНО, 1001063217364</t>
  </si>
  <si>
    <t>7382  САЛЯМИ МЕЛКОЗЕРНЕНАЯ с/к в/у1/120 8шт.  ОСТАНКИНО, 1001203117382</t>
  </si>
  <si>
    <t>7386 БАРСЕЛОНА ПМ с/к в/у 1/150  ОСТАНКИНО, 1001067017386</t>
  </si>
  <si>
    <t>7456 САЛЯМИ ФИНСКАЯ Папа может с/к в/у 1/150  ОСТАНКИНО, 1001063097456</t>
  </si>
  <si>
    <t>7461 ДЛЯ ДЕТЕЙ Папа Может сос п/о мгс 0,33кг ОСТАНКИНО, 1001025767461</t>
  </si>
  <si>
    <t>7485 РИЕТ МЯСНОЙ С ГРИБАМИ ПМ п/о 1/150  ОСТАНКИНО, 1001107397485</t>
  </si>
  <si>
    <t>7490 СОЧНЫЙ ГРИЛЬ сос ц/о мгс 0.41кг_Даблпак  ОСТАНКИНО, 1001027417490</t>
  </si>
  <si>
    <t>7513 ВОСКРЕСЕНСКАЯ ВЯЛЕНАЯ в/к в/у срез 1/260  ОСТАНКИНО, 1001307077513</t>
  </si>
  <si>
    <t>7516 НОВОМОСКОВСКАЯ в/к в/у срез 0.31кг  ОСТАНКИНО, 1001307107516</t>
  </si>
  <si>
    <t>7523 ГОВЯЖЬЯ Папа Может вар п/о 0,4кг 6шт. ОСТАНКИНО, 1001012427523</t>
  </si>
  <si>
    <t>7539 ДОКТОРСКАЯ ГОСТ вар п/о 0,35кг ОСТАНКИНО, 1001010017539</t>
  </si>
  <si>
    <t>7603 БАЛЫКОВАЯ в/к в/у 0.33кг 8шт. ОСТАНКИНО, 1001303637603</t>
  </si>
  <si>
    <t>7613 АРОМАТНАЯ с/к с/н в/у 1/100 10шт_Л10  ОСТАНКИНО, 1001061977613</t>
  </si>
  <si>
    <t>7616 ЭКСТРА Папа может с/к с/н в/у 1/100_  ОСТАНКИНО, 1001062507616</t>
  </si>
  <si>
    <t>7626 БРАУНШВЕЙГСКАЯ с/к с/н мгс 1/100_Л10  ОСТАНКИНО, 1001066607626</t>
  </si>
  <si>
    <t>7632 ЭКСТРА Папа может вар п/о 0.4кг 8шт_195к  ОСТАНКИНО, 1001012507632</t>
  </si>
  <si>
    <t>7710 КРАКОВСКАЯ ГОСТ п/к н/о мгс 0.3кг  ОСТАНКИНО, 1001307587710</t>
  </si>
  <si>
    <t>7725 ВЕТ.МРАМОРНАЯ в/у срез 0.3кг 6шт_62  ОСТАНКИНО, 1001092437725</t>
  </si>
  <si>
    <t>7730 ХОЧУ ВЕТЧ.ИЗ СВ.ОТРУБА мгс 1/100_45с_Л11  ОСТАНКИНО, 1001097747730</t>
  </si>
  <si>
    <t>7731 ХОЧУ ВЕТЧ. МРАМОР. с/н мгс 1/100_45с_Л11  ОСТАНКИНО, 1001097767731</t>
  </si>
  <si>
    <t xml:space="preserve">Останкино Заморозка, </t>
  </si>
  <si>
    <t>5754 БЛИНЧ.КРУГЛЫЕ С МЯСОМ 4,5кг зам. ПМ ОСТАНКИНО, 1002131155754</t>
  </si>
  <si>
    <t>5755 БЛИНЧ.КРУГЛЫЕ С ТВОРОГОМ 4,5кг зам. ПМ ОСТАНКИНО, 1002131185755</t>
  </si>
  <si>
    <t>5897 БЛИНЧ.КРУГЛЫЕ С ГРУШЕЙ пл.1/420 зам.   ОСТАНКИНО, 1002134615897</t>
  </si>
  <si>
    <t>6149 БЛИНЧ.КРУГЛЫЕ С ПЕЧЕНЬЮ ПМ 1/300 зам. ОСТАНКИНО, 1002131166149</t>
  </si>
  <si>
    <t>6168 Блинчики с мясом пл. 1/350 зам. ОСТАНКИНО, 1002131156168</t>
  </si>
  <si>
    <t>6202 БЛИНЧ.КРУГЛЫЕ С ТВОРОГОМ ПМ 1/300 зам. ОСТАНКИНО, 1002131186202</t>
  </si>
  <si>
    <t>6209 Блинчики с куриным мясом пл. 1/350 зам. ОСТАНКИНО, 1002131146209</t>
  </si>
  <si>
    <t>6819 БЛИНЧ.КРУГЛЫЕ С САД.ЯБЛОК. пл. 1/300 зам. ОСТАНКИНО, 1002134276819</t>
  </si>
  <si>
    <t>6824 ОСТАНКИНСКИЕ пельм кор.0,5кг зам_NEW  ОСТАНКИНО, 1002112606824</t>
  </si>
  <si>
    <t>7049 С КАРТОФ.И ГРИБ.вареники пл.0,42кг зам  ОСТАНКИНО, 1002151787049</t>
  </si>
  <si>
    <t>7085 ОСТАНКИНСКИЕ пельм пл.0,7кг 10шт.зам  ОСТАНКИНО, 1002112607085</t>
  </si>
  <si>
    <t>7212 СОЧНЫЕ Папа Может пельм пл.0,42кг зам  ОСТАНКИНО, 1002112857212</t>
  </si>
  <si>
    <t>7214 СОЧНЫЕ Папа Может пельм пл.0,7кг зам  ОСТАНКИНО, 1002112857214</t>
  </si>
  <si>
    <t>7216 СОЧНЫЕ СО СЛ.МАСЛ.ПМ пельм пл.0.7кг зам. ОСТАНКИНО, 1002116437216</t>
  </si>
  <si>
    <t>7224 МЯСНЫЕ ПРЕМИУМ пельм кор.0,4кг зам  ОСТАНКИНО, 1002116517224</t>
  </si>
  <si>
    <t>7375 СОЧНЫЕ Папа Может пельм 4кг зам  ОСТАНКИНО, 1002112857375</t>
  </si>
  <si>
    <t xml:space="preserve">Останкино КОРОВИНО (ВЕС), </t>
  </si>
  <si>
    <t>6861 ДОМАШНИЙ РЕЦЕПТ Коровино вар п/о  Останкино, 1001015646861</t>
  </si>
  <si>
    <t>6866 ВЕТЧ.НЕЖНАЯ Коровино п/о_Маяк  Останкино, 1001095716866</t>
  </si>
  <si>
    <t xml:space="preserve">Останкино КОРОВИНО (ШТ), </t>
  </si>
  <si>
    <t>7149 БАЛЫКОВАЯ Коровино п/к в/у 0,84кг_50с  Останкино, 1001303637149</t>
  </si>
  <si>
    <t>Итого</t>
  </si>
  <si>
    <t>Конечный остаток на 29.10.26</t>
  </si>
  <si>
    <t>Дефицит</t>
  </si>
  <si>
    <t>Нач.остаток на кг/шт 28.10.26</t>
  </si>
  <si>
    <t>Заказано кг на 29.10.26</t>
  </si>
  <si>
    <t>Расход кг на 29.10.26</t>
  </si>
  <si>
    <t>5708 ПОСОЛЬСКАЯ Папа может с/к в/у ОСТАНКИНО</t>
  </si>
  <si>
    <t>7075 МОЛОЧ.ПРЕМИУМ ПМ сос п/о мгс 1,5*4_О_50с  Останкино</t>
  </si>
  <si>
    <t>7536 ДОКТОРСКАЯ ГОСТ Останкино вар п/о  ОСТАНКИНО</t>
  </si>
  <si>
    <t>6475 Сосиски Папа может 400г С сыром  ОСТАНКИНО</t>
  </si>
  <si>
    <t>6602 БАВАРСКИЕ ПМ сос ц/о мгс 0,35кг 8шт  Останкино</t>
  </si>
  <si>
    <t>6713 СОЧНЫЙ ГРИЛЬ ПМ сос п/о мгс 0,41кг 8 шт.  ОСТАНКИНО</t>
  </si>
  <si>
    <t>6834 ПОСОЛЬСКАЯ с/к с/н в/у 1/100 10шт  Останкино</t>
  </si>
  <si>
    <t>7147 САЛЬЧИЧОН Останкино с/к в/у 1/220 8 шт  Останкино</t>
  </si>
  <si>
    <t>7489 СЫРРРВЕЛАТ Папа Может в/к в/у 0,28кг 8шт. ОСТАНКИНО</t>
  </si>
  <si>
    <t>7612 БАЛЫК с/к с/н в/у 1/100 10шт_  ОСТАНКИНО</t>
  </si>
  <si>
    <t>6148 БЛИНЧ.КРУГЛЫЕ С ВЕТЧ.И СЫР. ПМ 1/300 зам. ОСТАНКИНО</t>
  </si>
  <si>
    <t>Сроки ниже 50%</t>
  </si>
  <si>
    <t>6620 РЕБРЫШКИ к/в в/у_30с  Останкино</t>
  </si>
  <si>
    <t>7299 НАБОР ДЛЯ ПИЦЦЫ Папа Может с/к в/у  ОСТАНКИНО</t>
  </si>
  <si>
    <t>5819 Сосиски Папа может 400г Мясные  ОСТАНКИНО</t>
  </si>
  <si>
    <t>6221 НЕОПОЛИТАНСКИЙ ДУЭТ с/к с/н мгс 1/90  Останкино</t>
  </si>
  <si>
    <t>6765 РУБЛЕНЫЕ сос ц/о мгс 0,36кг 6шт  Останкино</t>
  </si>
  <si>
    <t>7066 СОЧНЫЕ ПМ сос п/о мгс 0,41кг 10шт 50с  Останкино</t>
  </si>
  <si>
    <t>7626 БРАУНШВЕЙГСКАЯ с/к с/н мгс 1/100_Л10  ОСТАНКИНО</t>
  </si>
  <si>
    <t>7710 КРАКОВСКАЯ ГОСТ п/к н/о мгс 0.3кг  ОСТАНКИНО</t>
  </si>
  <si>
    <t>6861 ДОМАШНИЙ РЕЦЕПТ Коровино вар п/о  Останкино</t>
  </si>
  <si>
    <t>не в матрице</t>
  </si>
  <si>
    <t>не заказываем для Донецка</t>
  </si>
  <si>
    <t>73кг в уценку (23,10,26)</t>
  </si>
  <si>
    <t>рост продаж в 1,7 раза</t>
  </si>
  <si>
    <t>Номенклатура</t>
  </si>
  <si>
    <t>дефицит</t>
  </si>
  <si>
    <t>остаток, 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</si>
</sst>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;[Red]\-#,##0.000"/>
    <numFmt numFmtId="165" formatCode="0.000;[Red]\-0.000"/>
    <numFmt numFmtId="166" formatCode="0.000"/>
  </numFmts>
  <fonts count="6" x14ac:knownFonts="1">
    <font>
      <sz val="8"/>
      <name val="Arial"/>
      <family val="2"/>
    </font>
    <font>
      <b/>
      <sz val="18"/>
      <name val="Arial"/>
    </font>
    <font>
      <sz val="10"/>
      <name val="Arial"/>
    </font>
    <font>
      <sz val="8"/>
      <name val="Arial"/>
    </font>
    <font>
      <b/>
      <sz val="10"/>
      <name val="Arial"/>
      <family val="2"/>
      <charset val="204"/>
    </font>
    <font>
      <b/>
      <sz val="8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indexed="28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 style="thin">
        <color indexed="24"/>
      </left>
      <right/>
      <top style="thin">
        <color indexed="24"/>
      </top>
      <bottom/>
      <diagonal/>
    </border>
    <border>
      <left style="thin">
        <color indexed="24"/>
      </left>
      <right/>
      <top/>
      <bottom style="thin">
        <color indexed="24"/>
      </bottom>
      <diagonal/>
    </border>
    <border>
      <left style="thin">
        <color indexed="24"/>
      </left>
      <right/>
      <top style="thin">
        <color indexed="24"/>
      </top>
      <bottom style="thin">
        <color indexed="24"/>
      </bottom>
      <diagonal/>
    </border>
    <border>
      <left style="thin">
        <color indexed="2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/>
      <right/>
      <top style="thin">
        <color indexed="24"/>
      </top>
      <bottom style="thin">
        <color indexed="24"/>
      </bottom>
      <diagonal/>
    </border>
    <border>
      <left/>
      <right style="thin">
        <color indexed="24"/>
      </right>
      <top style="thin">
        <color indexed="24"/>
      </top>
      <bottom style="thin">
        <color indexed="24"/>
      </bottom>
      <diagonal/>
    </border>
    <border>
      <left/>
      <right style="thin">
        <color indexed="60"/>
      </right>
      <top style="thin">
        <color indexed="24"/>
      </top>
      <bottom style="thin">
        <color indexed="2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164" fontId="3" fillId="2" borderId="1" xfId="0" applyNumberFormat="1" applyFont="1" applyFill="1" applyBorder="1" applyAlignment="1">
      <alignment horizontal="right" vertical="top"/>
    </xf>
    <xf numFmtId="165" fontId="3" fillId="2" borderId="1" xfId="0" applyNumberFormat="1" applyFont="1" applyFill="1" applyBorder="1" applyAlignment="1">
      <alignment horizontal="right" vertical="top"/>
    </xf>
    <xf numFmtId="164" fontId="3" fillId="3" borderId="1" xfId="0" applyNumberFormat="1" applyFont="1" applyFill="1" applyBorder="1" applyAlignment="1">
      <alignment horizontal="right" vertical="top"/>
    </xf>
    <xf numFmtId="165" fontId="3" fillId="3" borderId="1" xfId="0" applyNumberFormat="1" applyFont="1" applyFill="1" applyBorder="1" applyAlignment="1">
      <alignment horizontal="right" vertical="top"/>
    </xf>
    <xf numFmtId="0" fontId="4" fillId="4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horizontal="left" vertical="top" wrapText="1"/>
    </xf>
    <xf numFmtId="164" fontId="3" fillId="2" borderId="4" xfId="0" applyNumberFormat="1" applyFont="1" applyFill="1" applyBorder="1" applyAlignment="1">
      <alignment horizontal="right" vertical="top"/>
    </xf>
    <xf numFmtId="164" fontId="3" fillId="3" borderId="4" xfId="0" applyNumberFormat="1" applyFont="1" applyFill="1" applyBorder="1" applyAlignment="1">
      <alignment horizontal="right" vertical="top"/>
    </xf>
    <xf numFmtId="0" fontId="0" fillId="0" borderId="6" xfId="0" applyBorder="1"/>
    <xf numFmtId="166" fontId="5" fillId="5" borderId="6" xfId="0" applyNumberFormat="1" applyFont="1" applyFill="1" applyBorder="1"/>
    <xf numFmtId="166" fontId="5" fillId="6" borderId="6" xfId="0" applyNumberFormat="1" applyFont="1" applyFill="1" applyBorder="1"/>
    <xf numFmtId="0" fontId="5" fillId="0" borderId="1" xfId="0" applyFont="1" applyBorder="1" applyAlignment="1">
      <alignment vertical="top" wrapText="1" indent="6"/>
    </xf>
    <xf numFmtId="165" fontId="5" fillId="0" borderId="1" xfId="0" applyNumberFormat="1" applyFont="1" applyBorder="1" applyAlignment="1">
      <alignment horizontal="right" vertical="top"/>
    </xf>
    <xf numFmtId="166" fontId="5" fillId="0" borderId="7" xfId="0" applyNumberFormat="1" applyFont="1" applyBorder="1" applyAlignment="1">
      <alignment horizontal="right" vertical="top"/>
    </xf>
    <xf numFmtId="165" fontId="5" fillId="0" borderId="4" xfId="0" applyNumberFormat="1" applyFont="1" applyBorder="1" applyAlignment="1">
      <alignment horizontal="right" vertical="top"/>
    </xf>
    <xf numFmtId="0" fontId="5" fillId="0" borderId="1" xfId="0" applyFont="1" applyBorder="1" applyAlignment="1">
      <alignment horizontal="right" vertical="top"/>
    </xf>
    <xf numFmtId="164" fontId="5" fillId="0" borderId="4" xfId="0" applyNumberFormat="1" applyFont="1" applyBorder="1" applyAlignment="1">
      <alignment horizontal="right" vertical="top"/>
    </xf>
    <xf numFmtId="166" fontId="5" fillId="6" borderId="7" xfId="0" applyNumberFormat="1" applyFont="1" applyFill="1" applyBorder="1" applyAlignment="1">
      <alignment horizontal="right" vertical="top"/>
    </xf>
    <xf numFmtId="165" fontId="5" fillId="6" borderId="1" xfId="0" applyNumberFormat="1" applyFont="1" applyFill="1" applyBorder="1" applyAlignment="1">
      <alignment horizontal="right" vertical="top"/>
    </xf>
    <xf numFmtId="0" fontId="5" fillId="6" borderId="1" xfId="0" applyFont="1" applyFill="1" applyBorder="1" applyAlignment="1">
      <alignment horizontal="right" vertical="top"/>
    </xf>
    <xf numFmtId="0" fontId="5" fillId="0" borderId="4" xfId="0" applyFont="1" applyBorder="1" applyAlignment="1">
      <alignment horizontal="right" vertical="top"/>
    </xf>
    <xf numFmtId="164" fontId="5" fillId="3" borderId="1" xfId="0" applyNumberFormat="1" applyFont="1" applyFill="1" applyBorder="1" applyAlignment="1">
      <alignment horizontal="right" vertical="top"/>
    </xf>
    <xf numFmtId="165" fontId="5" fillId="3" borderId="1" xfId="0" applyNumberFormat="1" applyFont="1" applyFill="1" applyBorder="1" applyAlignment="1">
      <alignment horizontal="right" vertical="top"/>
    </xf>
    <xf numFmtId="164" fontId="5" fillId="3" borderId="4" xfId="0" applyNumberFormat="1" applyFont="1" applyFill="1" applyBorder="1" applyAlignment="1">
      <alignment horizontal="right" vertical="top"/>
    </xf>
    <xf numFmtId="0" fontId="5" fillId="0" borderId="6" xfId="0" applyFont="1" applyBorder="1"/>
    <xf numFmtId="165" fontId="5" fillId="3" borderId="4" xfId="0" applyNumberFormat="1" applyFont="1" applyFill="1" applyBorder="1" applyAlignment="1">
      <alignment horizontal="right" vertical="top"/>
    </xf>
    <xf numFmtId="0" fontId="5" fillId="3" borderId="4" xfId="0" applyFont="1" applyFill="1" applyBorder="1" applyAlignment="1">
      <alignment horizontal="right" vertical="top"/>
    </xf>
    <xf numFmtId="164" fontId="4" fillId="4" borderId="1" xfId="0" applyNumberFormat="1" applyFont="1" applyFill="1" applyBorder="1" applyAlignment="1">
      <alignment horizontal="right" vertical="top"/>
    </xf>
    <xf numFmtId="164" fontId="4" fillId="4" borderId="4" xfId="0" applyNumberFormat="1" applyFont="1" applyFill="1" applyBorder="1" applyAlignment="1">
      <alignment horizontal="right" vertical="top"/>
    </xf>
    <xf numFmtId="0" fontId="5" fillId="6" borderId="6" xfId="0" applyFont="1" applyFill="1" applyBorder="1"/>
    <xf numFmtId="0" fontId="5" fillId="0" borderId="0" xfId="0" applyFont="1"/>
    <xf numFmtId="166" fontId="5" fillId="5" borderId="7" xfId="0" applyNumberFormat="1" applyFont="1" applyFill="1" applyBorder="1" applyAlignment="1">
      <alignment horizontal="right" vertical="top"/>
    </xf>
    <xf numFmtId="166" fontId="5" fillId="3" borderId="1" xfId="0" applyNumberFormat="1" applyFont="1" applyFill="1" applyBorder="1" applyAlignment="1">
      <alignment horizontal="right" vertical="top"/>
    </xf>
    <xf numFmtId="166" fontId="5" fillId="0" borderId="1" xfId="0" applyNumberFormat="1" applyFont="1" applyBorder="1" applyAlignment="1">
      <alignment horizontal="right" vertical="top"/>
    </xf>
    <xf numFmtId="166" fontId="4" fillId="4" borderId="1" xfId="0" applyNumberFormat="1" applyFont="1" applyFill="1" applyBorder="1" applyAlignment="1">
      <alignment horizontal="right" vertical="top"/>
    </xf>
    <xf numFmtId="0" fontId="2" fillId="0" borderId="0" xfId="0" applyFont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4" fillId="4" borderId="2" xfId="0" applyFont="1" applyFill="1" applyBorder="1" applyAlignment="1">
      <alignment vertical="top" wrapText="1"/>
    </xf>
    <xf numFmtId="0" fontId="4" fillId="4" borderId="3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164" fontId="3" fillId="2" borderId="1" xfId="0" applyNumberFormat="1" applyFont="1" applyFill="1" applyBorder="1" applyAlignment="1">
      <alignment horizontal="right" vertical="top"/>
    </xf>
    <xf numFmtId="0" fontId="3" fillId="3" borderId="1" xfId="0" applyFont="1" applyFill="1" applyBorder="1" applyAlignment="1">
      <alignment vertical="top" wrapText="1" indent="2"/>
    </xf>
    <xf numFmtId="164" fontId="3" fillId="3" borderId="1" xfId="0" applyNumberFormat="1" applyFont="1" applyFill="1" applyBorder="1" applyAlignment="1">
      <alignment horizontal="right" vertical="top"/>
    </xf>
    <xf numFmtId="165" fontId="5" fillId="0" borderId="4" xfId="0" applyNumberFormat="1" applyFont="1" applyBorder="1" applyAlignment="1">
      <alignment horizontal="center" vertical="top"/>
    </xf>
    <xf numFmtId="165" fontId="5" fillId="0" borderId="9" xfId="0" applyNumberFormat="1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5" fillId="0" borderId="9" xfId="0" applyFont="1" applyBorder="1" applyAlignment="1">
      <alignment horizontal="center" vertical="top" wrapText="1"/>
    </xf>
    <xf numFmtId="0" fontId="3" fillId="3" borderId="1" xfId="0" applyFont="1" applyFill="1" applyBorder="1" applyAlignment="1">
      <alignment vertical="top" wrapText="1" indent="4"/>
    </xf>
    <xf numFmtId="0" fontId="5" fillId="0" borderId="1" xfId="0" applyFont="1" applyBorder="1" applyAlignment="1">
      <alignment vertical="top" wrapText="1" indent="6"/>
    </xf>
    <xf numFmtId="165" fontId="5" fillId="0" borderId="1" xfId="0" applyNumberFormat="1" applyFont="1" applyBorder="1" applyAlignment="1">
      <alignment horizontal="right" vertical="top"/>
    </xf>
    <xf numFmtId="164" fontId="5" fillId="0" borderId="1" xfId="0" applyNumberFormat="1" applyFont="1" applyBorder="1" applyAlignment="1">
      <alignment horizontal="right" vertical="top"/>
    </xf>
    <xf numFmtId="0" fontId="5" fillId="3" borderId="1" xfId="0" applyFont="1" applyFill="1" applyBorder="1" applyAlignment="1">
      <alignment vertical="top" wrapText="1" indent="4"/>
    </xf>
    <xf numFmtId="164" fontId="5" fillId="3" borderId="1" xfId="0" applyNumberFormat="1" applyFont="1" applyFill="1" applyBorder="1" applyAlignment="1">
      <alignment horizontal="right" vertical="top"/>
    </xf>
    <xf numFmtId="0" fontId="5" fillId="0" borderId="4" xfId="0" applyFont="1" applyBorder="1" applyAlignment="1">
      <alignment vertical="top" wrapText="1" indent="6"/>
    </xf>
    <xf numFmtId="0" fontId="5" fillId="0" borderId="8" xfId="0" applyFont="1" applyBorder="1" applyAlignment="1">
      <alignment vertical="top" wrapText="1" indent="6"/>
    </xf>
    <xf numFmtId="0" fontId="5" fillId="0" borderId="9" xfId="0" applyFont="1" applyBorder="1" applyAlignment="1">
      <alignment vertical="top" wrapText="1" indent="6"/>
    </xf>
    <xf numFmtId="164" fontId="5" fillId="0" borderId="4" xfId="0" applyNumberFormat="1" applyFont="1" applyBorder="1" applyAlignment="1">
      <alignment horizontal="center" vertical="top"/>
    </xf>
    <xf numFmtId="164" fontId="5" fillId="0" borderId="9" xfId="0" applyNumberFormat="1" applyFont="1" applyBorder="1" applyAlignment="1">
      <alignment horizontal="center" vertical="top"/>
    </xf>
    <xf numFmtId="165" fontId="5" fillId="3" borderId="1" xfId="0" applyNumberFormat="1" applyFont="1" applyFill="1" applyBorder="1" applyAlignment="1">
      <alignment horizontal="right" vertical="top"/>
    </xf>
    <xf numFmtId="0" fontId="4" fillId="4" borderId="1" xfId="0" applyFont="1" applyFill="1" applyBorder="1" applyAlignment="1">
      <alignment vertical="top"/>
    </xf>
    <xf numFmtId="164" fontId="4" fillId="4" borderId="1" xfId="0" applyNumberFormat="1" applyFont="1" applyFill="1" applyBorder="1" applyAlignment="1">
      <alignment horizontal="right" vertical="top"/>
    </xf>
    <xf numFmtId="0" fontId="4" fillId="4" borderId="2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165" fontId="5" fillId="0" borderId="10" xfId="0" applyNumberFormat="1" applyFont="1" applyBorder="1" applyAlignment="1">
      <alignment horizontal="center" vertical="top"/>
    </xf>
    <xf numFmtId="0" fontId="0" fillId="7" borderId="6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CCC085"/>
      <rgbColor rgb="00993366"/>
      <rgbColor rgb="00F4ECC5"/>
      <rgbColor rgb="00CCFFFF"/>
      <rgbColor rgb="00F8F2D8"/>
      <rgbColor rgb="00FBF9EC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Father\Work\2025_05\2026\&#1047;&#1040;&#1042;&#1054;&#1044;&#1067;\&#1054;&#1089;&#1090;&#1072;&#1085;&#1082;&#1080;&#1085;&#1086;\&#1092;&#1080;&#1083;&#1080;&#1072;&#1083;&#1099;%20&#1053;&#1042;\10,26\26,10,26%20&#1054;&#1089;&#1090;&#1072;&#1085;&#1082;&#1080;&#1085;&#1086;%20&#1050;&#1048;%20&#1080;%20&#1047;&#1055;&#1060;\&#1076;&#1074;%2026,10,26%20&#1076;&#1085;&#1088;&#1089;&#1095;%20&#1086;&#1089;&#1090;%20&#1082;&#1080;.xlsx" TargetMode="External"/><Relationship Id="rId1" Type="http://schemas.openxmlformats.org/officeDocument/2006/relationships/externalLinkPath" Target="/Father/Work/2025_05/2026/&#1047;&#1040;&#1042;&#1054;&#1044;&#1067;/&#1054;&#1089;&#1090;&#1072;&#1085;&#1082;&#1080;&#1085;&#1086;/&#1092;&#1080;&#1083;&#1080;&#1072;&#1083;&#1099;%20&#1053;&#1042;/10,26/26,10,26%20&#1054;&#1089;&#1090;&#1072;&#1085;&#1082;&#1080;&#1085;&#1086;%20&#1050;&#1048;%20&#1080;%20&#1047;&#1055;&#1060;/&#1076;&#1074;%2026,10,26%20&#1076;&#1085;&#1088;&#1089;&#1095;%20&#1086;&#1089;&#1090;%20&#1082;&#1080;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Father\Work\2025_05\&#1075;&#1088;&#1072;&#1092;&#1080;&#1082;&#1080;\&#1086;&#1090;&#1095;&#1077;&#1090;&#1099;%20&#1076;&#1083;&#1103;%20&#1057;&#1053;\&#1076;&#1077;&#1092;&#1080;&#1094;&#1080;&#1090;\&#1076;&#1072;&#1085;&#1085;&#1099;&#1077;%20&#1087;&#1086;%20&#1086;&#1089;&#1090;&#1072;&#1090;&#1082;&#1072;&#1084;\&#1086;&#1089;&#1090;%20&#1076;&#1085;%20&#1086;&#1089;&#1090;%20&#1082;&#1080;%2029,10,26.xlsx" TargetMode="External"/><Relationship Id="rId1" Type="http://schemas.openxmlformats.org/officeDocument/2006/relationships/externalLinkPath" Target="&#1076;&#1072;&#1085;&#1085;&#1099;&#1077;%20&#1087;&#1086;%20&#1086;&#1089;&#1090;&#1072;&#1090;&#1082;&#1072;&#1084;/&#1086;&#1089;&#1090;%20&#1076;&#1085;%20&#1086;&#1089;&#1090;%20&#1082;&#1080;%2029,10,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</row>
        <row r="5">
          <cell r="E5">
            <v>17949.744999999999</v>
          </cell>
          <cell r="F5">
            <v>21165.562999999998</v>
          </cell>
        </row>
        <row r="6">
          <cell r="A6" t="str">
            <v>0614 ПРАЗДНИЧНАЯ с/к в/с дек.спец.мгс  Останкино</v>
          </cell>
          <cell r="B6" t="str">
            <v>кг</v>
          </cell>
          <cell r="C6">
            <v>15.351000000000001</v>
          </cell>
          <cell r="E6">
            <v>0.54200000000000004</v>
          </cell>
          <cell r="F6">
            <v>14.808999999999999</v>
          </cell>
          <cell r="G6">
            <v>1</v>
          </cell>
          <cell r="H6">
            <v>120</v>
          </cell>
          <cell r="I6" t="str">
            <v>матрица</v>
          </cell>
        </row>
        <row r="7">
          <cell r="A7" t="str">
            <v>3215 ВЕТЧ.МЯСНАЯ Папа может п/о 0.4кг 8шт.    ОСТАНКИНО</v>
          </cell>
          <cell r="B7" t="str">
            <v>шт</v>
          </cell>
          <cell r="C7">
            <v>220</v>
          </cell>
          <cell r="D7">
            <v>253</v>
          </cell>
          <cell r="E7">
            <v>302</v>
          </cell>
          <cell r="F7">
            <v>156</v>
          </cell>
          <cell r="G7">
            <v>0.4</v>
          </cell>
          <cell r="H7">
            <v>60</v>
          </cell>
          <cell r="I7" t="str">
            <v>матрица</v>
          </cell>
        </row>
        <row r="8">
          <cell r="A8" t="str">
            <v>3287 САЛЯМИ ИТАЛЬЯНСКАЯ с/к в/у ОСТАНКИНО</v>
          </cell>
          <cell r="B8" t="str">
            <v>кг</v>
          </cell>
          <cell r="C8">
            <v>6.5579999999999998</v>
          </cell>
          <cell r="D8">
            <v>12.557</v>
          </cell>
          <cell r="E8">
            <v>2.5259999999999998</v>
          </cell>
          <cell r="F8">
            <v>15.069000000000001</v>
          </cell>
          <cell r="G8">
            <v>1</v>
          </cell>
          <cell r="H8">
            <v>120</v>
          </cell>
          <cell r="I8" t="str">
            <v>матрица</v>
          </cell>
        </row>
        <row r="9">
          <cell r="A9" t="str">
            <v>3986 Ароматная с/к в/у 1/250 ОСТАНКИНО</v>
          </cell>
          <cell r="B9" t="str">
            <v>шт</v>
          </cell>
          <cell r="C9">
            <v>40</v>
          </cell>
          <cell r="D9">
            <v>478</v>
          </cell>
          <cell r="E9">
            <v>144</v>
          </cell>
          <cell r="F9">
            <v>290</v>
          </cell>
          <cell r="G9">
            <v>0.25</v>
          </cell>
          <cell r="H9">
            <v>120</v>
          </cell>
          <cell r="I9" t="str">
            <v>матрица</v>
          </cell>
        </row>
        <row r="10">
          <cell r="A10" t="str">
            <v>4063 МЯСНАЯ Папа может вар п/о_Л   ОСТАНКИНО</v>
          </cell>
          <cell r="B10" t="str">
            <v>кг</v>
          </cell>
          <cell r="C10">
            <v>885.51199999999994</v>
          </cell>
          <cell r="D10">
            <v>1717.115</v>
          </cell>
          <cell r="E10">
            <v>1034.2149999999999</v>
          </cell>
          <cell r="F10">
            <v>1350.288</v>
          </cell>
          <cell r="G10">
            <v>1</v>
          </cell>
          <cell r="H10">
            <v>60</v>
          </cell>
          <cell r="I10" t="str">
            <v>матрица</v>
          </cell>
        </row>
        <row r="11">
          <cell r="A11" t="str">
            <v>4117 ЭКСТРА Папа может с/к в/у_Л   ОСТАНКИНО</v>
          </cell>
          <cell r="B11" t="str">
            <v>кг</v>
          </cell>
          <cell r="C11">
            <v>24.234000000000002</v>
          </cell>
          <cell r="D11">
            <v>7.508</v>
          </cell>
          <cell r="E11">
            <v>10.930999999999999</v>
          </cell>
          <cell r="F11">
            <v>16.818000000000001</v>
          </cell>
          <cell r="G11">
            <v>1</v>
          </cell>
          <cell r="H11">
            <v>120</v>
          </cell>
          <cell r="I11" t="str">
            <v>матрица</v>
          </cell>
        </row>
        <row r="12">
          <cell r="A12" t="str">
            <v>4574 Мясная со шпиком Папа может вар п/о ОСТАНКИНО</v>
          </cell>
          <cell r="B12" t="str">
            <v>кг</v>
          </cell>
          <cell r="C12">
            <v>112.85599999999999</v>
          </cell>
          <cell r="D12">
            <v>84.995999999999995</v>
          </cell>
          <cell r="E12">
            <v>107.999</v>
          </cell>
          <cell r="F12">
            <v>76.83</v>
          </cell>
          <cell r="G12">
            <v>1</v>
          </cell>
          <cell r="H12">
            <v>60</v>
          </cell>
          <cell r="I12" t="str">
            <v>матрица</v>
          </cell>
        </row>
        <row r="13">
          <cell r="A13" t="str">
            <v>4813 ФИЛЕЙНАЯ Папа может вар п/о_Л   ОСТАНКИНО</v>
          </cell>
          <cell r="B13" t="str">
            <v>кг</v>
          </cell>
          <cell r="C13">
            <v>306.74900000000002</v>
          </cell>
          <cell r="D13">
            <v>666.505</v>
          </cell>
          <cell r="E13">
            <v>428.31099999999998</v>
          </cell>
          <cell r="F13">
            <v>459.01799999999997</v>
          </cell>
          <cell r="G13">
            <v>1</v>
          </cell>
          <cell r="H13">
            <v>60</v>
          </cell>
          <cell r="I13" t="str">
            <v>матрица</v>
          </cell>
        </row>
        <row r="14">
          <cell r="A14" t="str">
            <v>4993 САЛЯМИ ИТАЛЬЯНСКАЯ с/к в/у 1/250*8_120c ОСТАНКИНО</v>
          </cell>
          <cell r="B14" t="str">
            <v>шт</v>
          </cell>
          <cell r="C14">
            <v>13</v>
          </cell>
          <cell r="D14">
            <v>105</v>
          </cell>
          <cell r="E14">
            <v>20</v>
          </cell>
          <cell r="F14">
            <v>87</v>
          </cell>
          <cell r="G14">
            <v>0.25</v>
          </cell>
          <cell r="H14">
            <v>120</v>
          </cell>
          <cell r="I14" t="str">
            <v>матрица</v>
          </cell>
        </row>
        <row r="15">
          <cell r="A15" t="str">
            <v>5452 ВЕТЧ.МЯСНАЯ Папа может п/о    ОСТАНКИНО</v>
          </cell>
          <cell r="B15" t="str">
            <v>кг</v>
          </cell>
          <cell r="C15">
            <v>14.971</v>
          </cell>
          <cell r="D15">
            <v>190.167</v>
          </cell>
          <cell r="E15">
            <v>75.870999999999995</v>
          </cell>
          <cell r="F15">
            <v>123.87</v>
          </cell>
          <cell r="G15">
            <v>1</v>
          </cell>
          <cell r="H15">
            <v>60</v>
          </cell>
          <cell r="I15" t="str">
            <v>матрица</v>
          </cell>
        </row>
        <row r="16">
          <cell r="A16" t="str">
            <v>5483 ЭКСТРА Папа может с/к в/у 1/250 8шт.   ОСТАНКИНО</v>
          </cell>
          <cell r="B16" t="str">
            <v>шт</v>
          </cell>
          <cell r="C16">
            <v>-30</v>
          </cell>
          <cell r="D16">
            <v>45</v>
          </cell>
          <cell r="E16">
            <v>9</v>
          </cell>
          <cell r="F16">
            <v>2</v>
          </cell>
          <cell r="G16">
            <v>0.25</v>
          </cell>
          <cell r="H16">
            <v>120</v>
          </cell>
          <cell r="I16" t="str">
            <v>матрица</v>
          </cell>
        </row>
        <row r="17">
          <cell r="A17" t="str">
            <v>5495 ВЕТЧ.С ИНДЕЙКОЙ Папа может п/о 400*6  Останкино</v>
          </cell>
          <cell r="B17" t="str">
            <v>шт</v>
          </cell>
          <cell r="D17">
            <v>191</v>
          </cell>
          <cell r="E17">
            <v>139</v>
          </cell>
          <cell r="G17">
            <v>0.4</v>
          </cell>
          <cell r="H17">
            <v>60</v>
          </cell>
          <cell r="I17" t="str">
            <v>матрица</v>
          </cell>
        </row>
        <row r="18">
          <cell r="A18" t="str">
            <v>5544 Сервелат Финский в/к в/у_45с НОВАЯ ОСТАНКИНО</v>
          </cell>
          <cell r="B18" t="str">
            <v>кг</v>
          </cell>
          <cell r="C18">
            <v>810.77099999999996</v>
          </cell>
          <cell r="D18">
            <v>447.81299999999999</v>
          </cell>
          <cell r="E18">
            <v>304.66800000000001</v>
          </cell>
          <cell r="F18">
            <v>881.00900000000001</v>
          </cell>
          <cell r="G18">
            <v>1</v>
          </cell>
          <cell r="H18">
            <v>45</v>
          </cell>
          <cell r="I18" t="str">
            <v>матрица</v>
          </cell>
        </row>
        <row r="19">
          <cell r="A19" t="str">
            <v>5819 Сосиски Папа может 400г Мясные  ОСТАНКИНО</v>
          </cell>
          <cell r="B19" t="str">
            <v>шт</v>
          </cell>
          <cell r="C19">
            <v>721</v>
          </cell>
          <cell r="D19">
            <v>11</v>
          </cell>
          <cell r="E19">
            <v>289</v>
          </cell>
          <cell r="F19">
            <v>426</v>
          </cell>
          <cell r="G19">
            <v>0.4</v>
          </cell>
          <cell r="H19">
            <v>45</v>
          </cell>
          <cell r="I19" t="str">
            <v>матрица</v>
          </cell>
        </row>
        <row r="20">
          <cell r="A20" t="str">
            <v>5851 ЭКСТРА Папа может вар п/о   ОСТАНКИНО</v>
          </cell>
          <cell r="B20" t="str">
            <v>кг</v>
          </cell>
          <cell r="C20">
            <v>273.29300000000001</v>
          </cell>
          <cell r="D20">
            <v>218.05</v>
          </cell>
          <cell r="E20">
            <v>278.55200000000002</v>
          </cell>
          <cell r="F20">
            <v>150.61699999999999</v>
          </cell>
          <cell r="G20">
            <v>1</v>
          </cell>
          <cell r="H20">
            <v>60</v>
          </cell>
          <cell r="I20" t="str">
            <v>матрица</v>
          </cell>
        </row>
        <row r="21">
          <cell r="A21" t="str">
            <v>5931 ОХОТНИЧЬЯ Папа может с/к в/у 1/220 8шт.   ОСТАНКИНО</v>
          </cell>
          <cell r="B21" t="str">
            <v>шт</v>
          </cell>
          <cell r="D21">
            <v>135</v>
          </cell>
          <cell r="E21">
            <v>55</v>
          </cell>
          <cell r="F21">
            <v>63</v>
          </cell>
          <cell r="G21">
            <v>0.22</v>
          </cell>
          <cell r="H21">
            <v>120</v>
          </cell>
          <cell r="I21" t="str">
            <v>матрица</v>
          </cell>
        </row>
        <row r="22">
          <cell r="A22" t="str">
            <v>6008 САЛО СОЛЕНОЕ С ЧЕРНЫМ ПЕРЦЕМ мл/к в/у ОСТАНКИНО</v>
          </cell>
          <cell r="B22" t="str">
            <v>кг</v>
          </cell>
          <cell r="C22">
            <v>27.245999999999999</v>
          </cell>
          <cell r="E22">
            <v>10.236000000000001</v>
          </cell>
          <cell r="F22">
            <v>11.46</v>
          </cell>
          <cell r="G22">
            <v>1</v>
          </cell>
          <cell r="H22">
            <v>40</v>
          </cell>
          <cell r="I22" t="str">
            <v>матрица</v>
          </cell>
        </row>
        <row r="23">
          <cell r="A23" t="str">
            <v>6220 ГОВЯЖЬЯ папа может вар п/о  Останкино</v>
          </cell>
          <cell r="B23" t="str">
            <v>кг</v>
          </cell>
          <cell r="C23">
            <v>511.46800000000002</v>
          </cell>
          <cell r="D23">
            <v>255.28100000000001</v>
          </cell>
          <cell r="E23">
            <v>363.62700000000001</v>
          </cell>
          <cell r="F23">
            <v>335.762</v>
          </cell>
          <cell r="G23">
            <v>1</v>
          </cell>
          <cell r="H23">
            <v>60</v>
          </cell>
          <cell r="I23" t="str">
            <v>матрица</v>
          </cell>
        </row>
        <row r="24">
          <cell r="A24" t="str">
            <v>6221 НЕОПОЛИТАНСКИЙ ДУЭТ с/к с/н мгс 1/90  Останкино</v>
          </cell>
          <cell r="B24" t="str">
            <v>шт</v>
          </cell>
          <cell r="C24">
            <v>299</v>
          </cell>
          <cell r="D24">
            <v>1031</v>
          </cell>
          <cell r="E24">
            <v>322</v>
          </cell>
          <cell r="F24">
            <v>979</v>
          </cell>
          <cell r="G24">
            <v>0.09</v>
          </cell>
          <cell r="H24">
            <v>60</v>
          </cell>
          <cell r="I24" t="str">
            <v>ВНИМАНИЕ / матрица</v>
          </cell>
        </row>
        <row r="25">
          <cell r="A25" t="str">
            <v>6228 МЯСНОЕ АССОРТИ к/з с/н мгс 1/90 10шт  Останкино</v>
          </cell>
          <cell r="B25" t="str">
            <v>шт</v>
          </cell>
          <cell r="C25">
            <v>198</v>
          </cell>
          <cell r="D25">
            <v>4</v>
          </cell>
          <cell r="E25">
            <v>83</v>
          </cell>
          <cell r="F25">
            <v>111</v>
          </cell>
          <cell r="G25">
            <v>0.09</v>
          </cell>
          <cell r="H25">
            <v>45</v>
          </cell>
          <cell r="I25" t="str">
            <v>матрица</v>
          </cell>
        </row>
        <row r="26">
          <cell r="A26" t="str">
            <v>6279 КОРЕЙКА ПО-ОСТ.к/в в/с с/н в/у 1/150_45с  Останкино</v>
          </cell>
          <cell r="B26" t="str">
            <v>шт</v>
          </cell>
          <cell r="C26">
            <v>100</v>
          </cell>
          <cell r="D26">
            <v>48</v>
          </cell>
          <cell r="E26">
            <v>59</v>
          </cell>
          <cell r="F26">
            <v>88</v>
          </cell>
          <cell r="G26">
            <v>0.15</v>
          </cell>
          <cell r="H26">
            <v>45</v>
          </cell>
          <cell r="I26" t="str">
            <v>матрица</v>
          </cell>
        </row>
        <row r="27">
          <cell r="A27" t="str">
            <v>6303 Мясные Папа может сос п/о мгс 1,5*3  Останкино</v>
          </cell>
          <cell r="B27" t="str">
            <v>кг</v>
          </cell>
          <cell r="D27">
            <v>562.62699999999995</v>
          </cell>
          <cell r="E27">
            <v>265.92899999999997</v>
          </cell>
          <cell r="F27">
            <v>198.274</v>
          </cell>
          <cell r="G27">
            <v>1</v>
          </cell>
          <cell r="H27">
            <v>45</v>
          </cell>
          <cell r="I27" t="str">
            <v>матрица</v>
          </cell>
        </row>
        <row r="28">
          <cell r="A28" t="str">
            <v>6325 ДОКТОРСКАЯ ПРЕМИУМ вар п/о 0.4кг 8шт.  ОСТАНКИНО</v>
          </cell>
          <cell r="B28" t="str">
            <v>шт</v>
          </cell>
          <cell r="C28">
            <v>29</v>
          </cell>
          <cell r="D28">
            <v>73</v>
          </cell>
          <cell r="E28">
            <v>74</v>
          </cell>
          <cell r="F28">
            <v>23</v>
          </cell>
          <cell r="G28">
            <v>0.4</v>
          </cell>
          <cell r="H28">
            <v>60</v>
          </cell>
          <cell r="I28" t="str">
            <v>матрица</v>
          </cell>
        </row>
        <row r="29">
          <cell r="A29" t="str">
            <v>6333 МЯСНАЯ Папа может вар п/о 0.4кг 8шт.  ОСТАНКИНО</v>
          </cell>
          <cell r="B29" t="str">
            <v>шт</v>
          </cell>
          <cell r="C29">
            <v>744</v>
          </cell>
          <cell r="D29">
            <v>177</v>
          </cell>
          <cell r="E29">
            <v>526</v>
          </cell>
          <cell r="F29">
            <v>371</v>
          </cell>
          <cell r="G29">
            <v>0.4</v>
          </cell>
          <cell r="H29">
            <v>60</v>
          </cell>
          <cell r="I29" t="str">
            <v>ВНИМАНИЕ / матрица</v>
          </cell>
        </row>
        <row r="30">
          <cell r="A30" t="str">
            <v>6392 ФИЛЕЙНАЯ Папа может вар п/о 0,4кг  ОСТАНКИНО</v>
          </cell>
          <cell r="B30" t="str">
            <v>шт</v>
          </cell>
          <cell r="C30">
            <v>439</v>
          </cell>
          <cell r="D30">
            <v>783</v>
          </cell>
          <cell r="E30">
            <v>543</v>
          </cell>
          <cell r="F30">
            <v>639</v>
          </cell>
          <cell r="G30">
            <v>0.4</v>
          </cell>
          <cell r="H30">
            <v>60</v>
          </cell>
          <cell r="I30" t="str">
            <v>матрица</v>
          </cell>
        </row>
        <row r="31">
          <cell r="A31" t="str">
            <v>6411 ВЕТЧ.РУБЛЕНАЯ ПМ в/у срез 0.3кг 6шт.  ОСТАНКИНО</v>
          </cell>
          <cell r="B31" t="str">
            <v>шт</v>
          </cell>
          <cell r="C31">
            <v>12</v>
          </cell>
          <cell r="G31">
            <v>0</v>
          </cell>
          <cell r="H31">
            <v>45</v>
          </cell>
          <cell r="I31" t="str">
            <v>вывод</v>
          </cell>
        </row>
        <row r="32">
          <cell r="A32" t="str">
            <v>6498 МОЛОЧНАЯ Папа может вар п/о  ОСТАНКИНО</v>
          </cell>
          <cell r="B32" t="str">
            <v>кг</v>
          </cell>
          <cell r="C32">
            <v>236.506</v>
          </cell>
          <cell r="D32">
            <v>184.68700000000001</v>
          </cell>
          <cell r="E32">
            <v>136.50700000000001</v>
          </cell>
          <cell r="F32">
            <v>220.726</v>
          </cell>
          <cell r="G32">
            <v>1</v>
          </cell>
          <cell r="H32">
            <v>60</v>
          </cell>
          <cell r="I32" t="str">
            <v>матрица</v>
          </cell>
        </row>
        <row r="33">
          <cell r="A33" t="str">
            <v>6527 ШПИКАЧКИ СОЧНЫЕ ПМ сар б/о мгс 1*3 45с ОСТАНКИНО</v>
          </cell>
          <cell r="B33" t="str">
            <v>кг</v>
          </cell>
          <cell r="C33">
            <v>22.943999999999999</v>
          </cell>
          <cell r="D33">
            <v>84.680999999999997</v>
          </cell>
          <cell r="E33">
            <v>40.165999999999997</v>
          </cell>
          <cell r="F33">
            <v>57.808999999999997</v>
          </cell>
          <cell r="G33">
            <v>1</v>
          </cell>
          <cell r="H33">
            <v>45</v>
          </cell>
          <cell r="I33" t="str">
            <v>матрица</v>
          </cell>
        </row>
        <row r="34">
          <cell r="A34" t="str">
            <v>6550 МЯСНЫЕ Папа может сар б/о мгс 1*3 О 45с  Останкино</v>
          </cell>
          <cell r="B34" t="str">
            <v>кг</v>
          </cell>
          <cell r="C34">
            <v>34.552999999999997</v>
          </cell>
          <cell r="D34">
            <v>116.164</v>
          </cell>
          <cell r="E34">
            <v>92.430999999999997</v>
          </cell>
          <cell r="F34">
            <v>26.077000000000002</v>
          </cell>
          <cell r="G34">
            <v>1</v>
          </cell>
          <cell r="H34">
            <v>45</v>
          </cell>
          <cell r="I34" t="str">
            <v>матрица</v>
          </cell>
        </row>
        <row r="35">
          <cell r="A35" t="str">
            <v>6602 БАВАРСКИЕ ПМ сос ц/о мгс 0,35кг 8шт  Останкино</v>
          </cell>
          <cell r="B35" t="str">
            <v>шт</v>
          </cell>
          <cell r="C35">
            <v>448</v>
          </cell>
          <cell r="E35">
            <v>1</v>
          </cell>
          <cell r="G35">
            <v>0</v>
          </cell>
          <cell r="I35" t="str">
            <v>не в матрице</v>
          </cell>
        </row>
        <row r="36">
          <cell r="A36" t="str">
            <v>6608 С ГОВЯДИНОЙ ОРИГИН. сар б/о мгс 1*3_45с  ОСТАНКИНО</v>
          </cell>
          <cell r="B36" t="str">
            <v>кг</v>
          </cell>
          <cell r="C36">
            <v>132.30000000000001</v>
          </cell>
          <cell r="D36">
            <v>117.64100000000001</v>
          </cell>
          <cell r="E36">
            <v>146.93700000000001</v>
          </cell>
          <cell r="F36">
            <v>46.386000000000003</v>
          </cell>
          <cell r="G36">
            <v>1</v>
          </cell>
          <cell r="H36">
            <v>45</v>
          </cell>
          <cell r="I36" t="str">
            <v>матрица</v>
          </cell>
        </row>
        <row r="37">
          <cell r="A37" t="str">
            <v>6616 МОЛОЧНЫЕ КЛАССИЧЕСКИЕ сос п/о в/у 0,3 кг  Останкино</v>
          </cell>
          <cell r="B37" t="str">
            <v>шт</v>
          </cell>
          <cell r="C37">
            <v>121</v>
          </cell>
          <cell r="D37">
            <v>508</v>
          </cell>
          <cell r="E37">
            <v>303</v>
          </cell>
          <cell r="F37">
            <v>266</v>
          </cell>
          <cell r="G37">
            <v>0.3</v>
          </cell>
          <cell r="H37">
            <v>45</v>
          </cell>
          <cell r="I37" t="str">
            <v>матрица</v>
          </cell>
        </row>
        <row r="38">
          <cell r="A38" t="str">
            <v>6620 РЕБРЫШКИ к/в в/у_30с  Останкино</v>
          </cell>
          <cell r="B38" t="str">
            <v>кг</v>
          </cell>
          <cell r="C38">
            <v>90.5</v>
          </cell>
          <cell r="D38">
            <v>1.1100000000000001</v>
          </cell>
          <cell r="E38">
            <v>8.1340000000000003</v>
          </cell>
          <cell r="F38">
            <v>3.6920000000000002</v>
          </cell>
          <cell r="G38">
            <v>1</v>
          </cell>
          <cell r="H38">
            <v>30</v>
          </cell>
          <cell r="I38" t="str">
            <v>матрица</v>
          </cell>
        </row>
        <row r="39">
          <cell r="A39" t="str">
            <v>6661 СОЧНЫЙ ГРИЛЬ ПМ сос п/о мгс 1,5*4_Маяк Останкино</v>
          </cell>
          <cell r="B39" t="str">
            <v>кг</v>
          </cell>
          <cell r="C39">
            <v>7.6550000000000002</v>
          </cell>
          <cell r="E39">
            <v>3.0670000000000002</v>
          </cell>
          <cell r="F39">
            <v>4.5880000000000001</v>
          </cell>
          <cell r="G39">
            <v>1</v>
          </cell>
          <cell r="H39">
            <v>45</v>
          </cell>
          <cell r="I39" t="str">
            <v>матрица</v>
          </cell>
        </row>
        <row r="40">
          <cell r="A40" t="str">
            <v>6697 СЕРВЕЛАТ ФИНСКИЙ ПМ в/к в/у 0,35кг 8шт  ОСТАНКИНО</v>
          </cell>
          <cell r="B40" t="str">
            <v>шт</v>
          </cell>
          <cell r="C40">
            <v>1033</v>
          </cell>
          <cell r="D40">
            <v>1432</v>
          </cell>
          <cell r="E40">
            <v>1201</v>
          </cell>
          <cell r="F40">
            <v>1178</v>
          </cell>
          <cell r="G40">
            <v>0.35</v>
          </cell>
          <cell r="H40">
            <v>45</v>
          </cell>
          <cell r="I40" t="str">
            <v>матрица</v>
          </cell>
        </row>
        <row r="41">
          <cell r="A41" t="str">
            <v>6713 СОЧНЫЙ ГРИЛЬ ПМ сос п/о мгс 0,41кг 8 шт.  ОСТАНКИНО</v>
          </cell>
          <cell r="B41" t="str">
            <v>шт</v>
          </cell>
          <cell r="C41">
            <v>1</v>
          </cell>
          <cell r="D41">
            <v>12</v>
          </cell>
          <cell r="E41">
            <v>3</v>
          </cell>
          <cell r="G41">
            <v>0</v>
          </cell>
          <cell r="H41">
            <v>45</v>
          </cell>
          <cell r="I41" t="str">
            <v>вывод</v>
          </cell>
        </row>
        <row r="42">
          <cell r="A42" t="str">
            <v>6724 МОЛОЧНЫЕ ПМ сос п/о мгс 0,41кг 10шт  Останкино</v>
          </cell>
          <cell r="B42" t="str">
            <v>шт</v>
          </cell>
          <cell r="C42">
            <v>17</v>
          </cell>
          <cell r="D42">
            <v>163</v>
          </cell>
          <cell r="E42">
            <v>78</v>
          </cell>
          <cell r="F42">
            <v>92</v>
          </cell>
          <cell r="G42">
            <v>0.41</v>
          </cell>
          <cell r="H42">
            <v>45</v>
          </cell>
          <cell r="I42" t="str">
            <v>матрица</v>
          </cell>
        </row>
        <row r="43">
          <cell r="A43" t="str">
            <v>6764 СЛИИВОЧНЫЕ сос ц/о мгс 1*4  Останкино</v>
          </cell>
          <cell r="B43" t="str">
            <v>кг</v>
          </cell>
          <cell r="C43">
            <v>41.817</v>
          </cell>
          <cell r="E43">
            <v>2.1019999999999999</v>
          </cell>
          <cell r="F43">
            <v>39.715000000000003</v>
          </cell>
          <cell r="G43">
            <v>0</v>
          </cell>
          <cell r="I43" t="str">
            <v>РАЗОВО</v>
          </cell>
        </row>
        <row r="44">
          <cell r="A44" t="str">
            <v>6765 РУБЛЕНЫЕ сос ц/о мгс 0,36кг 6шт  Останкино</v>
          </cell>
          <cell r="B44" t="str">
            <v>шт</v>
          </cell>
          <cell r="D44">
            <v>223</v>
          </cell>
          <cell r="E44">
            <v>124</v>
          </cell>
          <cell r="F44">
            <v>89</v>
          </cell>
          <cell r="G44">
            <v>0.36</v>
          </cell>
          <cell r="H44">
            <v>45</v>
          </cell>
          <cell r="I44" t="str">
            <v>ротация на 7520</v>
          </cell>
        </row>
        <row r="45">
          <cell r="A45" t="str">
            <v>6787 СЕРВЕЛАТ КРЕМЛЕВСКИЙ в/к в/у 0,33кг 8шт  Останкино</v>
          </cell>
          <cell r="B45" t="str">
            <v>шт</v>
          </cell>
          <cell r="C45">
            <v>169</v>
          </cell>
          <cell r="D45">
            <v>465</v>
          </cell>
          <cell r="E45">
            <v>360</v>
          </cell>
          <cell r="F45">
            <v>270</v>
          </cell>
          <cell r="G45">
            <v>0.33</v>
          </cell>
          <cell r="H45">
            <v>45</v>
          </cell>
          <cell r="I45" t="str">
            <v>матрица</v>
          </cell>
        </row>
        <row r="46">
          <cell r="A46" t="str">
            <v>6797 С ИНДЕЙКОЙ Папа может вар п/о 0,4кг 8шт. ОСТАНКИНО</v>
          </cell>
          <cell r="B46" t="str">
            <v>шт</v>
          </cell>
          <cell r="C46">
            <v>53</v>
          </cell>
          <cell r="D46">
            <v>146</v>
          </cell>
          <cell r="E46">
            <v>34</v>
          </cell>
          <cell r="F46">
            <v>161</v>
          </cell>
          <cell r="G46">
            <v>0.4</v>
          </cell>
          <cell r="H46">
            <v>60</v>
          </cell>
          <cell r="I46" t="str">
            <v>матрица</v>
          </cell>
        </row>
        <row r="47">
          <cell r="A47" t="str">
            <v>6807 СЕРВЕЛАТ ЕВРОПЕЙСКИЙ в/к в/у 0,33кг 8шт  Останкино</v>
          </cell>
          <cell r="B47" t="str">
            <v>шт</v>
          </cell>
          <cell r="C47">
            <v>4</v>
          </cell>
          <cell r="D47">
            <v>24</v>
          </cell>
          <cell r="E47">
            <v>5</v>
          </cell>
          <cell r="F47">
            <v>20</v>
          </cell>
          <cell r="G47">
            <v>0.33</v>
          </cell>
          <cell r="H47">
            <v>45</v>
          </cell>
          <cell r="I47" t="str">
            <v>матрица</v>
          </cell>
        </row>
        <row r="48">
          <cell r="A48" t="str">
            <v>6829  МОЛОЧНЫЕ КЛАССИЧЕСКИЕ сос п/о мгс 2*4 С  Останккино</v>
          </cell>
          <cell r="B48" t="str">
            <v>кг</v>
          </cell>
          <cell r="C48">
            <v>627.67100000000005</v>
          </cell>
          <cell r="D48">
            <v>413.32600000000002</v>
          </cell>
          <cell r="E48">
            <v>337.84699999999998</v>
          </cell>
          <cell r="F48">
            <v>619.42100000000005</v>
          </cell>
          <cell r="G48">
            <v>1</v>
          </cell>
          <cell r="H48">
            <v>45</v>
          </cell>
          <cell r="I48" t="str">
            <v>матрица</v>
          </cell>
        </row>
        <row r="49">
          <cell r="A49" t="str">
            <v>6837 ФИЛЕЙНЫЕ Папа Может сос ц/о мгс 0,4кг  Останкино</v>
          </cell>
          <cell r="B49" t="str">
            <v>шт</v>
          </cell>
          <cell r="C49">
            <v>14</v>
          </cell>
          <cell r="D49">
            <v>73</v>
          </cell>
          <cell r="E49">
            <v>22</v>
          </cell>
          <cell r="F49">
            <v>56</v>
          </cell>
          <cell r="G49">
            <v>0.4</v>
          </cell>
          <cell r="H49">
            <v>45</v>
          </cell>
          <cell r="I49" t="str">
            <v>матрица</v>
          </cell>
        </row>
        <row r="50">
          <cell r="A50" t="str">
            <v>6861 ДОМАШНИЙ РЕЦЕПТ Коровино вар п/о  Останкино</v>
          </cell>
          <cell r="B50" t="str">
            <v>кг</v>
          </cell>
          <cell r="C50">
            <v>9.9039999999999999</v>
          </cell>
          <cell r="E50">
            <v>13.867000000000001</v>
          </cell>
          <cell r="F50">
            <v>-3.9630000000000001</v>
          </cell>
          <cell r="G50">
            <v>0</v>
          </cell>
          <cell r="H50">
            <v>60</v>
          </cell>
          <cell r="I50" t="str">
            <v>вывод</v>
          </cell>
        </row>
        <row r="51">
          <cell r="A51" t="str">
            <v>6866 ВЕТЧ.НЕЖНАЯ Коровино п/о_Маяк  Останкино</v>
          </cell>
          <cell r="B51" t="str">
            <v>кг</v>
          </cell>
          <cell r="D51">
            <v>42.25</v>
          </cell>
          <cell r="E51">
            <v>24.155000000000001</v>
          </cell>
          <cell r="F51">
            <v>11.695</v>
          </cell>
          <cell r="G51">
            <v>1</v>
          </cell>
          <cell r="H51">
            <v>60</v>
          </cell>
          <cell r="I51" t="str">
            <v>матрица</v>
          </cell>
        </row>
        <row r="52">
          <cell r="A52" t="str">
            <v>6929 КАРБОНАД ДОМАШНИЙ ПМ к/в кр/к в/у  ОСТАНКИНО</v>
          </cell>
          <cell r="B52" t="str">
            <v>кг</v>
          </cell>
          <cell r="C52">
            <v>19.507999999999999</v>
          </cell>
          <cell r="D52">
            <v>5.9020000000000001</v>
          </cell>
          <cell r="F52">
            <v>24.6</v>
          </cell>
          <cell r="G52">
            <v>1</v>
          </cell>
          <cell r="H52">
            <v>45</v>
          </cell>
          <cell r="I52" t="str">
            <v>матрица</v>
          </cell>
        </row>
        <row r="53">
          <cell r="A53" t="str">
            <v>6967 БУРГУНДИЯ Папа может с/к в/у 1/250 8шт  Останкино</v>
          </cell>
          <cell r="B53" t="str">
            <v>шт</v>
          </cell>
          <cell r="C53">
            <v>2</v>
          </cell>
          <cell r="D53">
            <v>130</v>
          </cell>
          <cell r="E53">
            <v>11</v>
          </cell>
          <cell r="F53">
            <v>119</v>
          </cell>
          <cell r="G53">
            <v>0.25</v>
          </cell>
          <cell r="H53">
            <v>120</v>
          </cell>
          <cell r="I53" t="str">
            <v>матрица</v>
          </cell>
        </row>
        <row r="54">
          <cell r="A54" t="str">
            <v>7001 КЛАССИЧЕСКИЕ Папа может сар б/о мгс 1*3  Останкино</v>
          </cell>
          <cell r="B54" t="str">
            <v>кг</v>
          </cell>
          <cell r="C54">
            <v>2.085</v>
          </cell>
          <cell r="D54">
            <v>29.475999999999999</v>
          </cell>
          <cell r="E54">
            <v>11.97</v>
          </cell>
          <cell r="F54">
            <v>16.84</v>
          </cell>
          <cell r="G54">
            <v>1</v>
          </cell>
          <cell r="H54">
            <v>45</v>
          </cell>
          <cell r="I54" t="str">
            <v>матрица</v>
          </cell>
        </row>
        <row r="55">
          <cell r="A55" t="str">
            <v>7040 С ИНДЕЙКОЙ ПМ сос ц/о в/у 1/270 8шт.  ОСТАНКИНО</v>
          </cell>
          <cell r="B55" t="str">
            <v>шт</v>
          </cell>
          <cell r="D55">
            <v>8</v>
          </cell>
          <cell r="E55">
            <v>1</v>
          </cell>
          <cell r="G55">
            <v>0.27</v>
          </cell>
          <cell r="I55" t="str">
            <v>матрица</v>
          </cell>
        </row>
        <row r="56">
          <cell r="A56" t="str">
            <v>7059 ШПИКАЧКИ СОЧНЫЕ С БЕК. п/о мгс 0,3кг 60с ОСТАНКИНО</v>
          </cell>
          <cell r="B56" t="str">
            <v>шт</v>
          </cell>
          <cell r="C56">
            <v>10</v>
          </cell>
          <cell r="D56">
            <v>144</v>
          </cell>
          <cell r="E56">
            <v>47</v>
          </cell>
          <cell r="F56">
            <v>103</v>
          </cell>
          <cell r="G56">
            <v>0.3</v>
          </cell>
          <cell r="H56">
            <v>60</v>
          </cell>
          <cell r="I56" t="str">
            <v>матрица</v>
          </cell>
        </row>
        <row r="57">
          <cell r="A57" t="str">
            <v>7066 СОЧНЫЕ ПМ сос п/о мгс 0,41кг 10шт 50с  Останкино</v>
          </cell>
          <cell r="B57" t="str">
            <v>шт</v>
          </cell>
          <cell r="C57">
            <v>843</v>
          </cell>
          <cell r="D57">
            <v>1697</v>
          </cell>
          <cell r="E57">
            <v>935</v>
          </cell>
          <cell r="F57">
            <v>1550</v>
          </cell>
          <cell r="G57">
            <v>0.41</v>
          </cell>
          <cell r="H57">
            <v>50</v>
          </cell>
          <cell r="I57" t="str">
            <v>ВНИМАНИЕ / матрица</v>
          </cell>
        </row>
        <row r="58">
          <cell r="A58" t="str">
            <v>7070 СОЧНЫЕ ПМ сос п/о 1,5*4_А_50с  Останкино</v>
          </cell>
          <cell r="B58" t="str">
            <v>кг</v>
          </cell>
          <cell r="C58">
            <v>517.18799999999999</v>
          </cell>
          <cell r="D58">
            <v>337.86200000000002</v>
          </cell>
          <cell r="E58">
            <v>435.83</v>
          </cell>
          <cell r="F58">
            <v>340.24400000000003</v>
          </cell>
          <cell r="G58">
            <v>1</v>
          </cell>
          <cell r="H58">
            <v>50</v>
          </cell>
          <cell r="I58" t="str">
            <v>ВНИМАНИЕ / матрица</v>
          </cell>
        </row>
        <row r="59">
          <cell r="A59" t="str">
            <v>7073 МОЛОЧ.ПРЕМИУМ ПМ сос п/о в/у 1/350_50с  Останкино</v>
          </cell>
          <cell r="B59" t="str">
            <v>шт</v>
          </cell>
          <cell r="C59">
            <v>132</v>
          </cell>
          <cell r="D59">
            <v>4</v>
          </cell>
          <cell r="E59">
            <v>50</v>
          </cell>
          <cell r="F59">
            <v>78</v>
          </cell>
          <cell r="G59">
            <v>0.35</v>
          </cell>
          <cell r="H59">
            <v>50</v>
          </cell>
          <cell r="I59" t="str">
            <v>матрица</v>
          </cell>
        </row>
        <row r="60">
          <cell r="A60" t="str">
            <v>7075 МОЛОЧ.ПРЕМИУМ ПМ сос п/о мгс 1,5*4_О_50с  Останкино</v>
          </cell>
          <cell r="B60" t="str">
            <v>кг</v>
          </cell>
          <cell r="G60">
            <v>0</v>
          </cell>
          <cell r="I60" t="str">
            <v>матрица</v>
          </cell>
        </row>
        <row r="61">
          <cell r="A61" t="str">
            <v>7080 СЛИВОЧНЫЕ ПМ сос п/о мгс 0,41кг 10шт 50с  Останкино</v>
          </cell>
          <cell r="B61" t="str">
            <v>шт</v>
          </cell>
          <cell r="C61">
            <v>651</v>
          </cell>
          <cell r="D61">
            <v>416</v>
          </cell>
          <cell r="E61">
            <v>618</v>
          </cell>
          <cell r="F61">
            <v>424</v>
          </cell>
          <cell r="G61">
            <v>0.41</v>
          </cell>
          <cell r="H61">
            <v>50</v>
          </cell>
          <cell r="I61" t="str">
            <v>матрица</v>
          </cell>
        </row>
        <row r="62">
          <cell r="A62" t="str">
            <v>7083 СЛИВОЧНЫЕ ПМ сос п/о мгс 1.5*4_А_50с  ОСТАНКИНО</v>
          </cell>
          <cell r="B62" t="str">
            <v>кг</v>
          </cell>
          <cell r="C62">
            <v>34.500999999999998</v>
          </cell>
          <cell r="E62">
            <v>34.502000000000002</v>
          </cell>
          <cell r="F62">
            <v>-1E-3</v>
          </cell>
          <cell r="G62">
            <v>1</v>
          </cell>
          <cell r="H62">
            <v>50</v>
          </cell>
          <cell r="I62" t="str">
            <v>матрица</v>
          </cell>
        </row>
        <row r="63">
          <cell r="A63" t="str">
            <v>7090 СВИНИНА ПО-ДОМ.к/в мл/к в/у 0,3кг_50с  Останкино</v>
          </cell>
          <cell r="B63" t="str">
            <v>шт</v>
          </cell>
          <cell r="C63">
            <v>44</v>
          </cell>
          <cell r="D63">
            <v>124</v>
          </cell>
          <cell r="E63">
            <v>69</v>
          </cell>
          <cell r="F63">
            <v>85</v>
          </cell>
          <cell r="G63">
            <v>0.3</v>
          </cell>
          <cell r="H63">
            <v>50</v>
          </cell>
          <cell r="I63" t="str">
            <v>матрица</v>
          </cell>
        </row>
        <row r="64">
          <cell r="A64" t="str">
            <v>7103 БЕКОН Останкино с/к с/н в/у 1/180_50с  Останкино</v>
          </cell>
          <cell r="B64" t="str">
            <v>шт</v>
          </cell>
          <cell r="C64">
            <v>157</v>
          </cell>
          <cell r="D64">
            <v>7</v>
          </cell>
          <cell r="E64">
            <v>89</v>
          </cell>
          <cell r="F64">
            <v>63</v>
          </cell>
          <cell r="G64">
            <v>0.18</v>
          </cell>
          <cell r="H64">
            <v>50</v>
          </cell>
          <cell r="I64" t="str">
            <v>матрица</v>
          </cell>
        </row>
        <row r="65">
          <cell r="A65" t="str">
            <v>7143 БРАУНШВЕЙГСКАЯ ГОСТ с/к в/у 1/220 8шт.  ОСТАНКИНО</v>
          </cell>
          <cell r="B65" t="str">
            <v>шт</v>
          </cell>
          <cell r="C65">
            <v>2</v>
          </cell>
          <cell r="E65">
            <v>2</v>
          </cell>
          <cell r="G65">
            <v>0.22</v>
          </cell>
          <cell r="H65">
            <v>120</v>
          </cell>
          <cell r="I65" t="str">
            <v>матрица</v>
          </cell>
        </row>
        <row r="66">
          <cell r="A66" t="str">
            <v>7149 БАЛЫКОВАЯ Коровино п/к в/у 0,84кг_50с  Останкино</v>
          </cell>
          <cell r="B66" t="str">
            <v>кг</v>
          </cell>
          <cell r="D66">
            <v>36</v>
          </cell>
          <cell r="E66">
            <v>18</v>
          </cell>
          <cell r="G66">
            <v>0</v>
          </cell>
          <cell r="I66" t="str">
            <v>матрица</v>
          </cell>
        </row>
        <row r="67">
          <cell r="A67" t="str">
            <v>7154 СЕРВЕЛАТ ЗЕРНИСТЫЙ ПМ в/к в/у 0,35кг_50с  Останкино</v>
          </cell>
          <cell r="B67" t="str">
            <v>шт</v>
          </cell>
          <cell r="C67">
            <v>640</v>
          </cell>
          <cell r="D67">
            <v>1878</v>
          </cell>
          <cell r="E67">
            <v>1107</v>
          </cell>
          <cell r="F67">
            <v>1287</v>
          </cell>
          <cell r="G67">
            <v>0.35</v>
          </cell>
          <cell r="H67">
            <v>50</v>
          </cell>
          <cell r="I67" t="str">
            <v>матрица</v>
          </cell>
        </row>
        <row r="68">
          <cell r="A68" t="str">
            <v>7156 СЕРВЕЛАТ КОПЧ.НА БУКЕ в/к в/у 0.35кг_50с  ОСТАНКИНО</v>
          </cell>
          <cell r="B68" t="str">
            <v>шт</v>
          </cell>
          <cell r="C68">
            <v>46</v>
          </cell>
          <cell r="D68">
            <v>56</v>
          </cell>
          <cell r="E68">
            <v>56</v>
          </cell>
          <cell r="F68">
            <v>17</v>
          </cell>
          <cell r="G68">
            <v>0.35</v>
          </cell>
          <cell r="H68">
            <v>50</v>
          </cell>
          <cell r="I68" t="str">
            <v>матрица</v>
          </cell>
        </row>
        <row r="69">
          <cell r="A69" t="str">
            <v>7157 СЕРВЕЛАТ ЗЕРНИСТЫЙ ПМ в/к в/у_50с  Останкино</v>
          </cell>
          <cell r="B69" t="str">
            <v>кг</v>
          </cell>
          <cell r="C69">
            <v>503.13900000000001</v>
          </cell>
          <cell r="D69">
            <v>278.31900000000002</v>
          </cell>
          <cell r="E69">
            <v>347.37200000000001</v>
          </cell>
          <cell r="F69">
            <v>375.51499999999999</v>
          </cell>
          <cell r="G69">
            <v>1</v>
          </cell>
          <cell r="H69">
            <v>50</v>
          </cell>
          <cell r="I69" t="str">
            <v>матрица</v>
          </cell>
        </row>
        <row r="70">
          <cell r="A70" t="str">
            <v>7163 СЕРВЕЛАТ КЛАССИЧ.ПМ в/к в/у 0,62кг_50с  Останкино</v>
          </cell>
          <cell r="B70" t="str">
            <v>шт</v>
          </cell>
          <cell r="C70">
            <v>14</v>
          </cell>
          <cell r="F70">
            <v>14</v>
          </cell>
          <cell r="G70">
            <v>0</v>
          </cell>
          <cell r="H70">
            <v>50</v>
          </cell>
          <cell r="I70" t="str">
            <v>не в матрице</v>
          </cell>
        </row>
        <row r="71">
          <cell r="A71" t="str">
            <v>7166 СЕРВЕЛАТ ОХОТНИЧИЙ ПМ в/к в/у_50с  Останкино</v>
          </cell>
          <cell r="B71" t="str">
            <v>кг</v>
          </cell>
          <cell r="C71">
            <v>743.86199999999997</v>
          </cell>
          <cell r="D71">
            <v>435.20400000000001</v>
          </cell>
          <cell r="E71">
            <v>440.15699999999998</v>
          </cell>
          <cell r="F71">
            <v>662.45799999999997</v>
          </cell>
          <cell r="G71">
            <v>1</v>
          </cell>
          <cell r="H71">
            <v>50</v>
          </cell>
          <cell r="I71" t="str">
            <v>матрица</v>
          </cell>
        </row>
        <row r="72">
          <cell r="A72" t="str">
            <v>7169 СЕРВЕЛАТ ОХОТНИЧИЙ ПМ в/к в/у 0,35кг_50с  Останкино</v>
          </cell>
          <cell r="B72" t="str">
            <v>шт</v>
          </cell>
          <cell r="C72">
            <v>297</v>
          </cell>
          <cell r="D72">
            <v>2357</v>
          </cell>
          <cell r="E72">
            <v>1361</v>
          </cell>
          <cell r="F72">
            <v>1226</v>
          </cell>
          <cell r="G72">
            <v>0.35</v>
          </cell>
          <cell r="H72">
            <v>50</v>
          </cell>
          <cell r="I72" t="str">
            <v>матрица</v>
          </cell>
        </row>
        <row r="73">
          <cell r="A73" t="str">
            <v>7187 ГРУДИНКА ПРЕМИУМ к/в мл/к в/у 0,3кг_50с  Останкино</v>
          </cell>
          <cell r="B73" t="str">
            <v>шт</v>
          </cell>
          <cell r="C73">
            <v>9</v>
          </cell>
          <cell r="D73">
            <v>194</v>
          </cell>
          <cell r="E73">
            <v>74</v>
          </cell>
          <cell r="F73">
            <v>120</v>
          </cell>
          <cell r="G73">
            <v>0.3</v>
          </cell>
          <cell r="H73">
            <v>50</v>
          </cell>
          <cell r="I73" t="str">
            <v>матрица</v>
          </cell>
        </row>
        <row r="74">
          <cell r="A74" t="str">
            <v>7231 КЛАССИЧЕСКАЯ ПМ вар п/о 0,3кг 8 шт_209к  Останкино</v>
          </cell>
          <cell r="B74" t="str">
            <v>шт</v>
          </cell>
          <cell r="C74">
            <v>15</v>
          </cell>
          <cell r="D74">
            <v>48</v>
          </cell>
          <cell r="E74">
            <v>48</v>
          </cell>
          <cell r="F74">
            <v>13</v>
          </cell>
          <cell r="G74">
            <v>0.3</v>
          </cell>
          <cell r="H74">
            <v>60</v>
          </cell>
          <cell r="I74" t="str">
            <v>матрица</v>
          </cell>
        </row>
        <row r="75">
          <cell r="A75" t="str">
            <v>7232 БОЯNСКАЯ ПМ п/к в/у 0,28кг 8шт_209к  Останкино</v>
          </cell>
          <cell r="B75" t="str">
            <v>шт</v>
          </cell>
          <cell r="C75">
            <v>63</v>
          </cell>
          <cell r="D75">
            <v>232</v>
          </cell>
          <cell r="E75">
            <v>156</v>
          </cell>
          <cell r="F75">
            <v>110</v>
          </cell>
          <cell r="G75">
            <v>0.28000000000000003</v>
          </cell>
          <cell r="H75">
            <v>50</v>
          </cell>
          <cell r="I75" t="str">
            <v>матрица</v>
          </cell>
        </row>
        <row r="76">
          <cell r="A76" t="str">
            <v>7236 СЕРВЕЛАТ КАРЕЛЬСКИЙ в/к в/у 0,28кг_209к  Останкино</v>
          </cell>
          <cell r="B76" t="str">
            <v>шт</v>
          </cell>
          <cell r="C76">
            <v>25</v>
          </cell>
          <cell r="D76">
            <v>692</v>
          </cell>
          <cell r="E76">
            <v>186</v>
          </cell>
          <cell r="F76">
            <v>489</v>
          </cell>
          <cell r="G76">
            <v>0.28000000000000003</v>
          </cell>
          <cell r="H76">
            <v>45</v>
          </cell>
          <cell r="I76" t="str">
            <v>матрица</v>
          </cell>
        </row>
        <row r="77">
          <cell r="A77" t="str">
            <v>7241 САЛЯМИ Папа может п/к в/у 0,28кг ОСТАНКИНО</v>
          </cell>
          <cell r="B77" t="str">
            <v>шт</v>
          </cell>
          <cell r="C77">
            <v>70</v>
          </cell>
          <cell r="D77">
            <v>329</v>
          </cell>
          <cell r="E77">
            <v>170</v>
          </cell>
          <cell r="F77">
            <v>221</v>
          </cell>
          <cell r="G77">
            <v>0.28000000000000003</v>
          </cell>
          <cell r="H77">
            <v>45</v>
          </cell>
          <cell r="I77" t="str">
            <v>матрица</v>
          </cell>
        </row>
        <row r="78">
          <cell r="A78" t="str">
            <v>7255 МЯСНЫЕ С ГОВЯД.ПМ сос п/о мгс 0.4кг 6шт.  ОСТАНКИНО</v>
          </cell>
          <cell r="B78" t="str">
            <v>шт</v>
          </cell>
          <cell r="C78">
            <v>1</v>
          </cell>
          <cell r="D78">
            <v>927</v>
          </cell>
          <cell r="E78">
            <v>302</v>
          </cell>
          <cell r="F78">
            <v>597</v>
          </cell>
          <cell r="G78">
            <v>0.4</v>
          </cell>
          <cell r="H78">
            <v>50</v>
          </cell>
          <cell r="I78" t="str">
            <v>матрица</v>
          </cell>
        </row>
        <row r="79">
          <cell r="A79" t="str">
            <v>7299 НАБОР ДЛЯ ПИЦЦЫ Папа Может с/к в/у  ОСТАНКИНО</v>
          </cell>
          <cell r="B79" t="str">
            <v>кг</v>
          </cell>
          <cell r="C79">
            <v>19.959</v>
          </cell>
          <cell r="D79">
            <v>110.462</v>
          </cell>
          <cell r="E79">
            <v>63.52</v>
          </cell>
          <cell r="F79">
            <v>63.46</v>
          </cell>
          <cell r="G79">
            <v>1</v>
          </cell>
          <cell r="H79">
            <v>30</v>
          </cell>
          <cell r="I79" t="str">
            <v>матрица</v>
          </cell>
        </row>
        <row r="80">
          <cell r="A80" t="str">
            <v>7334 МЯСНАЯ СО ШПИКОМ ПМ вар п/о 0.4кг 8шт.</v>
          </cell>
          <cell r="B80" t="str">
            <v>шт</v>
          </cell>
          <cell r="D80">
            <v>48</v>
          </cell>
          <cell r="E80">
            <v>24</v>
          </cell>
          <cell r="G80">
            <v>0</v>
          </cell>
          <cell r="I80" t="str">
            <v>не в матрице</v>
          </cell>
        </row>
        <row r="81">
          <cell r="A81" t="str">
            <v>7344 КОНСЕРВЫ МЯС.ГОВЯДИНА ТУШ. В/С 338г_ЧЗ  ОСТАНКИНО</v>
          </cell>
          <cell r="B81" t="str">
            <v>шт</v>
          </cell>
          <cell r="C81">
            <v>32</v>
          </cell>
          <cell r="F81">
            <v>32</v>
          </cell>
          <cell r="G81">
            <v>0.33800000000000002</v>
          </cell>
          <cell r="H81" t="str">
            <v>3 года</v>
          </cell>
          <cell r="I81" t="str">
            <v>матрица</v>
          </cell>
        </row>
        <row r="82">
          <cell r="A82" t="str">
            <v>7345 КОНСЕРВЫ МЯС.СВИНИНА ТУШ. В/С 325г_ЧЗ  ОСТАНКИНО</v>
          </cell>
          <cell r="B82" t="str">
            <v>шт</v>
          </cell>
          <cell r="C82">
            <v>12</v>
          </cell>
          <cell r="E82">
            <v>2</v>
          </cell>
          <cell r="F82">
            <v>10</v>
          </cell>
          <cell r="G82">
            <v>0.32500000000000001</v>
          </cell>
          <cell r="H82" t="str">
            <v>3 года</v>
          </cell>
          <cell r="I82" t="str">
            <v>матрица</v>
          </cell>
        </row>
        <row r="83">
          <cell r="A83" t="str">
            <v>7382  САЛЯМИ МЕЛКОЗЕРНЕНАЯ с/к в/у1/120 8шт.  ОСТАНКИНО</v>
          </cell>
          <cell r="B83" t="str">
            <v>шт</v>
          </cell>
          <cell r="C83">
            <v>215</v>
          </cell>
          <cell r="D83">
            <v>4</v>
          </cell>
          <cell r="E83">
            <v>120</v>
          </cell>
          <cell r="F83">
            <v>92</v>
          </cell>
          <cell r="G83">
            <v>0.12</v>
          </cell>
          <cell r="H83">
            <v>60</v>
          </cell>
          <cell r="I83" t="str">
            <v>матрица</v>
          </cell>
        </row>
        <row r="84">
          <cell r="A84" t="str">
            <v>7386 БАРСЕЛОНА ПМ с/к в/у 1/150  ОСТАНКИНО</v>
          </cell>
          <cell r="B84" t="str">
            <v>шт</v>
          </cell>
          <cell r="C84">
            <v>5</v>
          </cell>
          <cell r="D84">
            <v>27</v>
          </cell>
          <cell r="E84">
            <v>30</v>
          </cell>
          <cell r="F84">
            <v>1</v>
          </cell>
          <cell r="G84">
            <v>0.15</v>
          </cell>
          <cell r="H84">
            <v>90</v>
          </cell>
          <cell r="I84" t="str">
            <v>матрица</v>
          </cell>
        </row>
        <row r="85">
          <cell r="A85" t="str">
            <v>7456 САЛЯМИ ФИНСКАЯ Папа может с/к в/у 1/150  ОСТАНКИНО</v>
          </cell>
          <cell r="B85" t="str">
            <v>шт</v>
          </cell>
          <cell r="D85">
            <v>12</v>
          </cell>
          <cell r="E85">
            <v>12</v>
          </cell>
          <cell r="G85">
            <v>0.15</v>
          </cell>
          <cell r="H85">
            <v>90</v>
          </cell>
          <cell r="I85" t="str">
            <v>матрица</v>
          </cell>
        </row>
        <row r="86">
          <cell r="A86" t="str">
            <v>7461 ДЛЯ ДЕТЕЙ Папа Может сос п/о мгс 0,33кг ОСТАНКИНО</v>
          </cell>
          <cell r="B86" t="str">
            <v>шт</v>
          </cell>
          <cell r="C86">
            <v>43</v>
          </cell>
          <cell r="D86">
            <v>637</v>
          </cell>
          <cell r="E86">
            <v>232</v>
          </cell>
          <cell r="F86">
            <v>353</v>
          </cell>
          <cell r="G86">
            <v>0.33</v>
          </cell>
          <cell r="H86">
            <v>30</v>
          </cell>
          <cell r="I86" t="str">
            <v>матрица</v>
          </cell>
        </row>
        <row r="87">
          <cell r="A87" t="str">
            <v>7485 РИЕТ МЯСНОЙ С ГРИБАМИ ПМ п/о 1/150  ОСТАНКИНО</v>
          </cell>
          <cell r="B87" t="str">
            <v>шт</v>
          </cell>
          <cell r="C87">
            <v>592</v>
          </cell>
          <cell r="D87">
            <v>104</v>
          </cell>
          <cell r="E87">
            <v>363</v>
          </cell>
          <cell r="F87">
            <v>313</v>
          </cell>
          <cell r="G87">
            <v>0.15</v>
          </cell>
          <cell r="H87">
            <v>60</v>
          </cell>
          <cell r="I87" t="str">
            <v>матрица</v>
          </cell>
        </row>
        <row r="88">
          <cell r="A88" t="str">
            <v>7490 СОЧНЫЙ ГРИЛЬ сос ц/о мгс 0.41кг_Даблпак  ОСТАНКИНО</v>
          </cell>
          <cell r="B88" t="str">
            <v>шт</v>
          </cell>
          <cell r="C88">
            <v>579</v>
          </cell>
          <cell r="E88">
            <v>9</v>
          </cell>
          <cell r="F88">
            <v>563</v>
          </cell>
          <cell r="G88">
            <v>0.41</v>
          </cell>
          <cell r="H88">
            <v>45</v>
          </cell>
          <cell r="I88" t="str">
            <v>матрица</v>
          </cell>
        </row>
        <row r="89">
          <cell r="A89" t="str">
            <v>7512 ЧАЙНАЯ Останкино вар н/о 1*3</v>
          </cell>
          <cell r="B89" t="str">
            <v>кг</v>
          </cell>
          <cell r="C89">
            <v>53.902999999999999</v>
          </cell>
          <cell r="F89">
            <v>53.902999999999999</v>
          </cell>
          <cell r="G89">
            <v>0</v>
          </cell>
          <cell r="I89" t="str">
            <v>РАЗОВО</v>
          </cell>
        </row>
        <row r="90">
          <cell r="A90" t="str">
            <v>7513 ВОСКРЕСЕНСКАЯ ВЯЛЕНАЯ в/к в/у срез 1/260  ОСТАНКИНО</v>
          </cell>
          <cell r="B90" t="str">
            <v>шт</v>
          </cell>
          <cell r="C90">
            <v>127</v>
          </cell>
          <cell r="D90">
            <v>94</v>
          </cell>
          <cell r="E90">
            <v>151</v>
          </cell>
          <cell r="F90">
            <v>61</v>
          </cell>
          <cell r="G90">
            <v>0.26</v>
          </cell>
          <cell r="H90">
            <v>45</v>
          </cell>
          <cell r="I90" t="str">
            <v>матрица</v>
          </cell>
        </row>
        <row r="91">
          <cell r="A91" t="str">
            <v>7514 ЛЮБИТЕЛЬСКАЯ ОСТАНКИНСКАЯ вар п/о в/у  ОСТАНКИНО</v>
          </cell>
          <cell r="B91" t="str">
            <v>кг</v>
          </cell>
          <cell r="C91">
            <v>45.085000000000001</v>
          </cell>
          <cell r="D91">
            <v>78.397000000000006</v>
          </cell>
          <cell r="E91">
            <v>52.899000000000001</v>
          </cell>
          <cell r="F91">
            <v>44.110999999999997</v>
          </cell>
          <cell r="G91">
            <v>1</v>
          </cell>
          <cell r="H91">
            <v>30</v>
          </cell>
          <cell r="I91" t="str">
            <v>матрица</v>
          </cell>
        </row>
        <row r="92">
          <cell r="A92" t="str">
            <v>7516 НОВОМОСКОВСКАЯ в/к в/у срез 0.31кг  ОСТАНКИНО</v>
          </cell>
          <cell r="B92" t="str">
            <v>шт</v>
          </cell>
          <cell r="C92">
            <v>122</v>
          </cell>
          <cell r="D92">
            <v>100</v>
          </cell>
          <cell r="E92">
            <v>83</v>
          </cell>
          <cell r="F92">
            <v>135</v>
          </cell>
          <cell r="G92">
            <v>0.31</v>
          </cell>
          <cell r="H92">
            <v>45</v>
          </cell>
          <cell r="I92" t="str">
            <v>матрица</v>
          </cell>
        </row>
        <row r="93">
          <cell r="A93" t="str">
            <v>7518 ТЕЛЯЧЬЯ ГОСТ Останкино вар п/о в/у  ОСТАНКИНО</v>
          </cell>
          <cell r="B93" t="str">
            <v>кг</v>
          </cell>
          <cell r="C93">
            <v>12.596</v>
          </cell>
          <cell r="E93">
            <v>0.86299999999999999</v>
          </cell>
          <cell r="F93">
            <v>8.4280000000000008</v>
          </cell>
          <cell r="G93">
            <v>1</v>
          </cell>
          <cell r="H93">
            <v>30</v>
          </cell>
          <cell r="I93" t="str">
            <v>матрица</v>
          </cell>
        </row>
        <row r="94">
          <cell r="A94" t="str">
            <v>7523 ГОВЯЖЬЯ Папа Может вар п/о 0,4кг 6шт. ОСТАНКИНО</v>
          </cell>
          <cell r="B94" t="str">
            <v>шт</v>
          </cell>
          <cell r="C94">
            <v>136</v>
          </cell>
          <cell r="D94">
            <v>144</v>
          </cell>
          <cell r="E94">
            <v>198</v>
          </cell>
          <cell r="F94">
            <v>38</v>
          </cell>
          <cell r="G94">
            <v>0.4</v>
          </cell>
          <cell r="H94">
            <v>60</v>
          </cell>
          <cell r="I94" t="str">
            <v>матрица</v>
          </cell>
        </row>
        <row r="95">
          <cell r="A95" t="str">
            <v>7539 ДОКТОРСКАЯ ГОСТ вар п/о 0,35кг ОСТАНКИНО</v>
          </cell>
          <cell r="B95" t="str">
            <v>шт</v>
          </cell>
          <cell r="C95">
            <v>411</v>
          </cell>
          <cell r="D95">
            <v>314</v>
          </cell>
          <cell r="E95">
            <v>459</v>
          </cell>
          <cell r="F95">
            <v>222</v>
          </cell>
          <cell r="G95">
            <v>0.35</v>
          </cell>
          <cell r="H95">
            <v>60</v>
          </cell>
          <cell r="I95" t="str">
            <v>матрица</v>
          </cell>
        </row>
        <row r="96">
          <cell r="A96" t="str">
            <v>7562 КРАКОВСКАЯ ГОСТ Останкино п/к н/о мгс  ОСТАНКИНО</v>
          </cell>
          <cell r="B96" t="str">
            <v>кг</v>
          </cell>
          <cell r="E96">
            <v>-2.8490000000000002</v>
          </cell>
          <cell r="G96">
            <v>1</v>
          </cell>
          <cell r="H96">
            <v>45</v>
          </cell>
          <cell r="I96" t="str">
            <v>матрица</v>
          </cell>
        </row>
        <row r="97">
          <cell r="A97" t="str">
            <v>7564 Балыковая в/к в/у Останкино Вес  ОСТАНКИНО</v>
          </cell>
          <cell r="B97" t="str">
            <v>кг</v>
          </cell>
          <cell r="C97">
            <v>20.199000000000002</v>
          </cell>
          <cell r="E97">
            <v>4.2629999999999999</v>
          </cell>
          <cell r="F97">
            <v>15.092000000000001</v>
          </cell>
          <cell r="G97">
            <v>1</v>
          </cell>
          <cell r="H97">
            <v>45</v>
          </cell>
          <cell r="I97" t="str">
            <v>матрица</v>
          </cell>
        </row>
        <row r="98">
          <cell r="A98" t="str">
            <v>7603 БАЛЫКОВАЯ в/к в/у 0.33кг 8шт. ОСТАНКИНО</v>
          </cell>
          <cell r="B98" t="str">
            <v>шт</v>
          </cell>
          <cell r="C98">
            <v>146</v>
          </cell>
          <cell r="D98">
            <v>130</v>
          </cell>
          <cell r="E98">
            <v>152</v>
          </cell>
          <cell r="F98">
            <v>61</v>
          </cell>
          <cell r="G98">
            <v>0.33</v>
          </cell>
          <cell r="H98">
            <v>45</v>
          </cell>
          <cell r="I98" t="str">
            <v>матрица</v>
          </cell>
        </row>
        <row r="99">
          <cell r="A99" t="str">
            <v>7613 АРОМАТНАЯ с/к с/н в/у 1/100 10шт_Л10  ОСТАНКИНО</v>
          </cell>
          <cell r="B99" t="str">
            <v>шт</v>
          </cell>
          <cell r="C99">
            <v>164</v>
          </cell>
          <cell r="D99">
            <v>85</v>
          </cell>
          <cell r="E99">
            <v>167</v>
          </cell>
          <cell r="F99">
            <v>53</v>
          </cell>
          <cell r="G99">
            <v>0.1</v>
          </cell>
          <cell r="H99">
            <v>60</v>
          </cell>
          <cell r="I99" t="str">
            <v>матрица</v>
          </cell>
        </row>
        <row r="100">
          <cell r="A100" t="str">
            <v>7616 ЭКСТРА Папа может с/к с/н в/у 1/100_  ОСТАНКИНО</v>
          </cell>
          <cell r="B100" t="str">
            <v>шт</v>
          </cell>
          <cell r="C100">
            <v>291</v>
          </cell>
          <cell r="D100">
            <v>293</v>
          </cell>
          <cell r="E100">
            <v>268</v>
          </cell>
          <cell r="F100">
            <v>310</v>
          </cell>
          <cell r="G100">
            <v>0.1</v>
          </cell>
          <cell r="H100">
            <v>60</v>
          </cell>
          <cell r="I100" t="str">
            <v>матрица</v>
          </cell>
        </row>
        <row r="101">
          <cell r="A101" t="str">
            <v>7632 ЭКСТРА Папа может вар п/о 0.4кг 8шт_195к  ОСТАНКИНО</v>
          </cell>
          <cell r="B101" t="str">
            <v>шт</v>
          </cell>
          <cell r="C101">
            <v>688</v>
          </cell>
          <cell r="D101">
            <v>71</v>
          </cell>
          <cell r="E101">
            <v>391</v>
          </cell>
          <cell r="F101">
            <v>354</v>
          </cell>
          <cell r="G101">
            <v>0.4</v>
          </cell>
          <cell r="H101">
            <v>60</v>
          </cell>
          <cell r="I101" t="str">
            <v>матрица</v>
          </cell>
        </row>
        <row r="102">
          <cell r="A102" t="str">
            <v>7700 ЛИТОВСКАЯ с/к в/у</v>
          </cell>
          <cell r="B102" t="str">
            <v>кг</v>
          </cell>
          <cell r="C102">
            <v>17.663</v>
          </cell>
          <cell r="D102">
            <v>45.017000000000003</v>
          </cell>
          <cell r="F102">
            <v>62.68</v>
          </cell>
          <cell r="G102">
            <v>1</v>
          </cell>
          <cell r="H102">
            <v>120</v>
          </cell>
          <cell r="I102" t="str">
            <v>матрица</v>
          </cell>
        </row>
        <row r="103">
          <cell r="A103" t="str">
            <v>7710 КРАКОВСКАЯ ГОСТ п/к н/о мгс 0.3кг  ОСТАНКИНО</v>
          </cell>
          <cell r="B103" t="str">
            <v>шт</v>
          </cell>
          <cell r="C103">
            <v>83</v>
          </cell>
          <cell r="D103">
            <v>1</v>
          </cell>
          <cell r="E103">
            <v>48</v>
          </cell>
          <cell r="F103">
            <v>32</v>
          </cell>
          <cell r="G103">
            <v>0.3</v>
          </cell>
          <cell r="H103">
            <v>45</v>
          </cell>
          <cell r="I103" t="str">
            <v>матрица</v>
          </cell>
        </row>
        <row r="104">
          <cell r="A104" t="str">
            <v>7725 ВЕТ.МРАМОРНАЯ в/у срез 0.3кг 6шт_62  ОСТАНКИНО</v>
          </cell>
          <cell r="B104" t="str">
            <v>шт</v>
          </cell>
          <cell r="C104">
            <v>212</v>
          </cell>
          <cell r="D104">
            <v>5</v>
          </cell>
          <cell r="E104">
            <v>103</v>
          </cell>
          <cell r="F104">
            <v>105</v>
          </cell>
          <cell r="G104">
            <v>0.3</v>
          </cell>
          <cell r="H104">
            <v>62</v>
          </cell>
          <cell r="I104" t="str">
            <v>матрица</v>
          </cell>
        </row>
        <row r="105">
          <cell r="A105" t="str">
            <v>7730 ХОЧУ ВЕТЧ.ИЗ СВ.ОТРУБА мгс 1/100_45с_Л11  ОСТАНКИНО</v>
          </cell>
          <cell r="B105" t="str">
            <v>шт</v>
          </cell>
          <cell r="C105">
            <v>66</v>
          </cell>
          <cell r="D105">
            <v>50</v>
          </cell>
          <cell r="E105">
            <v>26</v>
          </cell>
          <cell r="F105">
            <v>88</v>
          </cell>
          <cell r="G105">
            <v>0.1</v>
          </cell>
          <cell r="H105">
            <v>45</v>
          </cell>
          <cell r="I105" t="str">
            <v>матрица</v>
          </cell>
        </row>
        <row r="106">
          <cell r="A106" t="str">
            <v>7731 ХОЧУ ВЕТЧ. МРАМОР. с/н мгс 1/100_45с_Л11  ОСТАНКИНО</v>
          </cell>
          <cell r="B106" t="str">
            <v>шт</v>
          </cell>
          <cell r="C106">
            <v>62</v>
          </cell>
          <cell r="D106">
            <v>50</v>
          </cell>
          <cell r="E106">
            <v>22</v>
          </cell>
          <cell r="F106">
            <v>87</v>
          </cell>
          <cell r="G106">
            <v>0.1</v>
          </cell>
          <cell r="H106">
            <v>45</v>
          </cell>
          <cell r="I106" t="str">
            <v>матрица</v>
          </cell>
        </row>
        <row r="107">
          <cell r="A107" t="str">
            <v>7754 ДОМАШНИЙ РЕЦЕПТ Коровино вар п/о_332к  ОСТАНКИНО</v>
          </cell>
          <cell r="B107" t="str">
            <v>кг</v>
          </cell>
          <cell r="C107">
            <v>3.8940000000000001</v>
          </cell>
          <cell r="D107">
            <v>19.795999999999999</v>
          </cell>
          <cell r="E107">
            <v>13.867000000000001</v>
          </cell>
          <cell r="F107">
            <v>19.727</v>
          </cell>
          <cell r="G107">
            <v>1</v>
          </cell>
          <cell r="H107">
            <v>60</v>
          </cell>
          <cell r="I107" t="str">
            <v>матрица</v>
          </cell>
        </row>
        <row r="108">
          <cell r="A108" t="str">
            <v>8014 ДОКТОРСКАЯ ПРЕМИУМ вар п/о(п)    ОСТАНКИНО</v>
          </cell>
          <cell r="B108" t="str">
            <v>кг</v>
          </cell>
          <cell r="C108">
            <v>28.266999999999999</v>
          </cell>
          <cell r="D108">
            <v>4.0609999999999999</v>
          </cell>
          <cell r="E108">
            <v>2.7309999999999999</v>
          </cell>
          <cell r="F108">
            <v>25.536000000000001</v>
          </cell>
          <cell r="G108">
            <v>1</v>
          </cell>
          <cell r="H108">
            <v>60</v>
          </cell>
          <cell r="I108" t="str">
            <v>матрица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DSheet"/>
    </sheetNames>
    <sheetDataSet>
      <sheetData sheetId="0">
        <row r="2">
          <cell r="A2" t="str">
            <v>Ведомость по товарам на складах</v>
          </cell>
        </row>
        <row r="4">
          <cell r="A4" t="str">
            <v>Параметры:</v>
          </cell>
          <cell r="C4" t="str">
            <v>Период: 28.10.2026 - 29.10.2026</v>
          </cell>
        </row>
        <row r="5">
          <cell r="C5" t="str">
            <v>Количество товаров: В единицах хранения</v>
          </cell>
        </row>
        <row r="6">
          <cell r="A6" t="str">
            <v>Отбор:</v>
          </cell>
          <cell r="C6" t="str">
            <v>Склад В списке "АСП Донецк Останкино"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(ШТ)"</v>
          </cell>
        </row>
        <row r="8">
          <cell r="A8" t="str">
            <v>Номенклатура</v>
          </cell>
          <cell r="D8" t="str">
            <v>Ед. изм.</v>
          </cell>
          <cell r="F8" t="str">
            <v>Количество</v>
          </cell>
          <cell r="K8" t="str">
            <v>Вес (нетто), кг</v>
          </cell>
        </row>
        <row r="9">
          <cell r="F9" t="str">
            <v>Начальный остаток</v>
          </cell>
          <cell r="H9" t="str">
            <v>Приход</v>
          </cell>
          <cell r="I9" t="str">
            <v>Расход</v>
          </cell>
          <cell r="J9" t="str">
            <v>Конечный остаток</v>
          </cell>
          <cell r="K9" t="str">
            <v>Начальный остаток</v>
          </cell>
          <cell r="L9" t="str">
            <v>Приход</v>
          </cell>
          <cell r="M9" t="str">
            <v>Расход</v>
          </cell>
          <cell r="N9" t="str">
            <v>Конечный остаток</v>
          </cell>
        </row>
        <row r="10">
          <cell r="A10" t="str">
            <v>0614 ПРАЗДНИЧНАЯ с/к в/с дек.спец.мгс  Останкино</v>
          </cell>
          <cell r="D10" t="str">
            <v>кг</v>
          </cell>
          <cell r="F10">
            <v>13.727</v>
          </cell>
          <cell r="I10">
            <v>0.54</v>
          </cell>
          <cell r="J10">
            <v>13.186999999999999</v>
          </cell>
          <cell r="K10">
            <v>13.727</v>
          </cell>
          <cell r="M10">
            <v>0.54</v>
          </cell>
          <cell r="N10">
            <v>13.186999999999999</v>
          </cell>
        </row>
        <row r="11">
          <cell r="A11" t="str">
            <v>3215 ВЕТЧ.МЯСНАЯ Папа может п/о 0.4кг 8шт.    ОСТАНКИНО</v>
          </cell>
          <cell r="D11" t="str">
            <v>шт</v>
          </cell>
          <cell r="F11">
            <v>124</v>
          </cell>
          <cell r="H11">
            <v>61</v>
          </cell>
          <cell r="I11">
            <v>124</v>
          </cell>
          <cell r="J11">
            <v>61</v>
          </cell>
          <cell r="K11">
            <v>49.6</v>
          </cell>
          <cell r="L11">
            <v>24.4</v>
          </cell>
          <cell r="M11">
            <v>49.6</v>
          </cell>
          <cell r="N11">
            <v>24.4</v>
          </cell>
        </row>
        <row r="12">
          <cell r="A12" t="str">
            <v>3287 САЛЯМИ ИТАЛЬЯНСКАЯ с/к в/у ОСТАНКИНО</v>
          </cell>
          <cell r="D12" t="str">
            <v>кг</v>
          </cell>
          <cell r="F12">
            <v>25.065999999999999</v>
          </cell>
          <cell r="J12">
            <v>25.065999999999999</v>
          </cell>
          <cell r="K12">
            <v>25.065999999999999</v>
          </cell>
          <cell r="N12">
            <v>25.065999999999999</v>
          </cell>
        </row>
        <row r="13">
          <cell r="A13" t="str">
            <v>3986 Ароматная с/к в/у 1/250 ОСТАНКИНО</v>
          </cell>
          <cell r="D13" t="str">
            <v>шт</v>
          </cell>
          <cell r="F13">
            <v>317</v>
          </cell>
          <cell r="H13">
            <v>41</v>
          </cell>
          <cell r="I13">
            <v>69</v>
          </cell>
          <cell r="J13">
            <v>289</v>
          </cell>
          <cell r="K13">
            <v>79.25</v>
          </cell>
          <cell r="L13">
            <v>10.25</v>
          </cell>
          <cell r="M13">
            <v>17.25</v>
          </cell>
          <cell r="N13">
            <v>72.25</v>
          </cell>
        </row>
        <row r="14">
          <cell r="A14" t="str">
            <v>4063 МЯСНАЯ Папа может вар п/о_Л   ОСТАНКИНО</v>
          </cell>
          <cell r="D14" t="str">
            <v>кг</v>
          </cell>
          <cell r="F14">
            <v>2463.3719999999998</v>
          </cell>
          <cell r="H14">
            <v>865.529</v>
          </cell>
          <cell r="I14">
            <v>456.00099999999998</v>
          </cell>
          <cell r="J14">
            <v>2872.9</v>
          </cell>
          <cell r="K14">
            <v>2463.3719999999998</v>
          </cell>
          <cell r="L14">
            <v>865.529</v>
          </cell>
          <cell r="M14">
            <v>456.00099999999998</v>
          </cell>
          <cell r="N14">
            <v>2872.9</v>
          </cell>
        </row>
        <row r="15">
          <cell r="A15" t="str">
            <v>4117 ЭКСТРА Папа может с/к в/у_Л   ОСТАНКИНО</v>
          </cell>
          <cell r="D15" t="str">
            <v>кг</v>
          </cell>
          <cell r="F15">
            <v>22.385000000000002</v>
          </cell>
          <cell r="I15">
            <v>1</v>
          </cell>
          <cell r="J15">
            <v>21.385000000000002</v>
          </cell>
          <cell r="K15">
            <v>22.385000000000002</v>
          </cell>
          <cell r="M15">
            <v>1</v>
          </cell>
          <cell r="N15">
            <v>21.385000000000002</v>
          </cell>
        </row>
        <row r="16">
          <cell r="A16" t="str">
            <v>4574 Мясная со шпиком Папа может вар п/о ОСТАНКИНО</v>
          </cell>
          <cell r="D16" t="str">
            <v>кг</v>
          </cell>
          <cell r="F16">
            <v>178.614</v>
          </cell>
          <cell r="H16">
            <v>132.833</v>
          </cell>
          <cell r="I16">
            <v>19.059999999999999</v>
          </cell>
          <cell r="J16">
            <v>292.387</v>
          </cell>
          <cell r="K16">
            <v>178.614</v>
          </cell>
          <cell r="L16">
            <v>132.833</v>
          </cell>
          <cell r="M16">
            <v>19.059999999999999</v>
          </cell>
          <cell r="N16">
            <v>292.387</v>
          </cell>
        </row>
        <row r="17">
          <cell r="A17" t="str">
            <v>4813 ФИЛЕЙНАЯ Папа может вар п/о_Л   ОСТАНКИНО</v>
          </cell>
          <cell r="D17" t="str">
            <v>кг</v>
          </cell>
          <cell r="F17">
            <v>776.42600000000004</v>
          </cell>
          <cell r="H17">
            <v>368.66399999999999</v>
          </cell>
          <cell r="I17">
            <v>149.73599999999999</v>
          </cell>
          <cell r="J17">
            <v>995.35400000000004</v>
          </cell>
          <cell r="K17">
            <v>776.42600000000004</v>
          </cell>
          <cell r="L17">
            <v>368.66399999999999</v>
          </cell>
          <cell r="M17">
            <v>149.73599999999999</v>
          </cell>
          <cell r="N17">
            <v>995.35400000000004</v>
          </cell>
        </row>
        <row r="18">
          <cell r="A18" t="str">
            <v>4993 САЛЯМИ ИТАЛЬЯНСКАЯ с/к в/у 1/250*8_120c ОСТАНКИНО</v>
          </cell>
          <cell r="D18" t="str">
            <v>шт</v>
          </cell>
          <cell r="F18">
            <v>138</v>
          </cell>
          <cell r="H18">
            <v>41</v>
          </cell>
          <cell r="I18">
            <v>89</v>
          </cell>
          <cell r="J18">
            <v>90</v>
          </cell>
          <cell r="K18">
            <v>34.5</v>
          </cell>
          <cell r="L18">
            <v>10.25</v>
          </cell>
          <cell r="M18">
            <v>22.25</v>
          </cell>
          <cell r="N18">
            <v>22.5</v>
          </cell>
        </row>
        <row r="19">
          <cell r="A19" t="str">
            <v>5452 ВЕТЧ.МЯСНАЯ Папа может п/о    ОСТАНКИНО</v>
          </cell>
          <cell r="D19" t="str">
            <v>кг</v>
          </cell>
          <cell r="F19">
            <v>114.367</v>
          </cell>
          <cell r="I19">
            <v>3.9990000000000001</v>
          </cell>
          <cell r="J19">
            <v>110.36799999999999</v>
          </cell>
          <cell r="K19">
            <v>114.367</v>
          </cell>
          <cell r="M19">
            <v>3.9990000000000001</v>
          </cell>
          <cell r="N19">
            <v>110.36799999999999</v>
          </cell>
        </row>
        <row r="20">
          <cell r="A20" t="str">
            <v>5483 ЭКСТРА Папа может с/к в/у 1/250 8шт.   ОСТАНКИНО</v>
          </cell>
          <cell r="D20" t="str">
            <v>шт</v>
          </cell>
          <cell r="F20">
            <v>138</v>
          </cell>
          <cell r="H20">
            <v>98</v>
          </cell>
          <cell r="I20">
            <v>27</v>
          </cell>
          <cell r="J20">
            <v>209</v>
          </cell>
          <cell r="K20">
            <v>34.5</v>
          </cell>
          <cell r="L20">
            <v>24.5</v>
          </cell>
          <cell r="M20">
            <v>6.75</v>
          </cell>
          <cell r="N20">
            <v>52.25</v>
          </cell>
        </row>
        <row r="21">
          <cell r="A21" t="str">
            <v>5495 ВЕТЧ.С ИНДЕЙКОЙ Папа может п/о 400*6  Останкино</v>
          </cell>
          <cell r="D21" t="str">
            <v>шт</v>
          </cell>
          <cell r="F21">
            <v>238</v>
          </cell>
          <cell r="H21">
            <v>225</v>
          </cell>
          <cell r="I21">
            <v>148</v>
          </cell>
          <cell r="J21">
            <v>315</v>
          </cell>
          <cell r="K21">
            <v>95.2</v>
          </cell>
          <cell r="L21">
            <v>90</v>
          </cell>
          <cell r="M21">
            <v>59.2</v>
          </cell>
          <cell r="N21">
            <v>126</v>
          </cell>
        </row>
        <row r="22">
          <cell r="A22" t="str">
            <v>5544 Сервелат Финский в/к в/у_45с НОВАЯ ОСТАНКИНО</v>
          </cell>
          <cell r="D22" t="str">
            <v>кг</v>
          </cell>
          <cell r="F22">
            <v>832.18600000000004</v>
          </cell>
          <cell r="H22">
            <v>67.265000000000001</v>
          </cell>
          <cell r="I22">
            <v>66.346000000000004</v>
          </cell>
          <cell r="J22">
            <v>833.10500000000002</v>
          </cell>
          <cell r="K22">
            <v>832.18600000000004</v>
          </cell>
          <cell r="L22">
            <v>67.265000000000001</v>
          </cell>
          <cell r="M22">
            <v>66.346000000000004</v>
          </cell>
          <cell r="N22">
            <v>833.10500000000002</v>
          </cell>
        </row>
        <row r="23">
          <cell r="A23" t="str">
            <v>5819 Сосиски Папа может 400г Мясные  ОСТАНКИНО</v>
          </cell>
          <cell r="D23" t="str">
            <v>шт</v>
          </cell>
          <cell r="F23">
            <v>338</v>
          </cell>
          <cell r="I23">
            <v>57</v>
          </cell>
          <cell r="J23">
            <v>281</v>
          </cell>
          <cell r="K23">
            <v>135.19999999999999</v>
          </cell>
          <cell r="M23">
            <v>22.8</v>
          </cell>
          <cell r="N23">
            <v>112.4</v>
          </cell>
        </row>
        <row r="24">
          <cell r="A24" t="str">
            <v>5851 ЭКСТРА Папа может вар п/о   ОСТАНКИНО</v>
          </cell>
          <cell r="D24" t="str">
            <v>кг</v>
          </cell>
          <cell r="F24">
            <v>448.29899999999998</v>
          </cell>
          <cell r="H24">
            <v>259.3</v>
          </cell>
          <cell r="I24">
            <v>118.77200000000001</v>
          </cell>
          <cell r="J24">
            <v>588.827</v>
          </cell>
          <cell r="K24">
            <v>448.29899999999998</v>
          </cell>
          <cell r="L24">
            <v>259.3</v>
          </cell>
          <cell r="M24">
            <v>118.77200000000001</v>
          </cell>
          <cell r="N24">
            <v>588.827</v>
          </cell>
        </row>
        <row r="25">
          <cell r="A25" t="str">
            <v>5931 ОХОТНИЧЬЯ Папа может с/к в/у 1/220 8шт.   ОСТАНКИНО</v>
          </cell>
          <cell r="D25" t="str">
            <v>шт</v>
          </cell>
          <cell r="F25">
            <v>250</v>
          </cell>
          <cell r="H25">
            <v>167</v>
          </cell>
          <cell r="I25">
            <v>143</v>
          </cell>
          <cell r="J25">
            <v>274</v>
          </cell>
          <cell r="K25">
            <v>55</v>
          </cell>
          <cell r="L25">
            <v>36.74</v>
          </cell>
          <cell r="M25">
            <v>31.46</v>
          </cell>
          <cell r="N25">
            <v>60.28</v>
          </cell>
        </row>
        <row r="26">
          <cell r="A26" t="str">
            <v>6008 САЛО СОЛЕНОЕ С ЧЕРНЫМ ПЕРЦЕМ мл/к в/у ОСТАНКИНО</v>
          </cell>
          <cell r="D26" t="str">
            <v>кг</v>
          </cell>
          <cell r="F26">
            <v>11.266</v>
          </cell>
          <cell r="I26">
            <v>3.3180000000000001</v>
          </cell>
          <cell r="J26">
            <v>7.9480000000000004</v>
          </cell>
          <cell r="K26">
            <v>11.266</v>
          </cell>
          <cell r="M26">
            <v>3.3180000000000001</v>
          </cell>
          <cell r="N26">
            <v>7.9480000000000004</v>
          </cell>
        </row>
        <row r="27">
          <cell r="A27" t="str">
            <v>6220 ГОВЯЖЬЯ папа может вар п/о  Останкино</v>
          </cell>
          <cell r="D27" t="str">
            <v>кг</v>
          </cell>
          <cell r="F27">
            <v>442.73200000000003</v>
          </cell>
          <cell r="H27">
            <v>173.768</v>
          </cell>
          <cell r="I27">
            <v>92.570999999999998</v>
          </cell>
          <cell r="J27">
            <v>523.92899999999997</v>
          </cell>
          <cell r="K27">
            <v>442.73200000000003</v>
          </cell>
          <cell r="L27">
            <v>173.768</v>
          </cell>
          <cell r="M27">
            <v>92.570999999999998</v>
          </cell>
          <cell r="N27">
            <v>523.92899999999997</v>
          </cell>
        </row>
        <row r="28">
          <cell r="A28" t="str">
            <v>6221 НЕОПОЛИТАНСКИЙ ДУЭТ с/к с/н мгс 1/90  Останкино</v>
          </cell>
          <cell r="D28" t="str">
            <v>шт</v>
          </cell>
          <cell r="F28">
            <v>1122</v>
          </cell>
          <cell r="H28">
            <v>160</v>
          </cell>
          <cell r="I28">
            <v>1216</v>
          </cell>
          <cell r="J28">
            <v>66</v>
          </cell>
          <cell r="K28">
            <v>100.98</v>
          </cell>
          <cell r="L28">
            <v>14.4</v>
          </cell>
          <cell r="M28">
            <v>109.44</v>
          </cell>
          <cell r="N28">
            <v>5.94</v>
          </cell>
        </row>
        <row r="29">
          <cell r="A29" t="str">
            <v>6228 МЯСНОЕ АССОРТИ к/з с/н мгс 1/90 10шт  Останкино</v>
          </cell>
          <cell r="D29" t="str">
            <v>шт</v>
          </cell>
          <cell r="F29">
            <v>180</v>
          </cell>
          <cell r="H29">
            <v>70</v>
          </cell>
          <cell r="I29">
            <v>139</v>
          </cell>
          <cell r="J29">
            <v>111</v>
          </cell>
          <cell r="K29">
            <v>16.2</v>
          </cell>
          <cell r="L29">
            <v>6.3</v>
          </cell>
          <cell r="M29">
            <v>12.51</v>
          </cell>
          <cell r="N29">
            <v>9.99</v>
          </cell>
        </row>
        <row r="30">
          <cell r="A30" t="str">
            <v>6254 ФИЛЕЙНЫЕ Папа может сос ц/о мгс 1.5*2  ОСТАНКИНО</v>
          </cell>
          <cell r="D30" t="str">
            <v>кг</v>
          </cell>
          <cell r="F30">
            <v>18.504000000000001</v>
          </cell>
          <cell r="I30">
            <v>18.504000000000001</v>
          </cell>
          <cell r="K30">
            <v>18.504000000000001</v>
          </cell>
          <cell r="M30">
            <v>18.504000000000001</v>
          </cell>
        </row>
        <row r="31">
          <cell r="A31" t="str">
            <v>6279 КОРЕЙКА ПО-ОСТ.к/в в/с с/н в/у 1/150_45с  Останкино</v>
          </cell>
          <cell r="D31" t="str">
            <v>шт</v>
          </cell>
          <cell r="F31">
            <v>106</v>
          </cell>
          <cell r="H31">
            <v>57</v>
          </cell>
          <cell r="I31">
            <v>82</v>
          </cell>
          <cell r="J31">
            <v>81</v>
          </cell>
          <cell r="K31">
            <v>15.9</v>
          </cell>
          <cell r="L31">
            <v>8.5500000000000007</v>
          </cell>
          <cell r="M31">
            <v>12.3</v>
          </cell>
          <cell r="N31">
            <v>12.15</v>
          </cell>
        </row>
        <row r="32">
          <cell r="A32" t="str">
            <v>6303 Мясные Папа может сос п/о мгс 1,5*3  Останкино</v>
          </cell>
          <cell r="D32" t="str">
            <v>кг</v>
          </cell>
          <cell r="F32">
            <v>188.14</v>
          </cell>
          <cell r="H32">
            <v>6.1589999999999998</v>
          </cell>
          <cell r="I32">
            <v>191.38399999999999</v>
          </cell>
          <cell r="J32">
            <v>2.915</v>
          </cell>
          <cell r="K32">
            <v>188.14</v>
          </cell>
          <cell r="L32">
            <v>6.1589999999999998</v>
          </cell>
          <cell r="M32">
            <v>191.38399999999999</v>
          </cell>
          <cell r="N32">
            <v>2.915</v>
          </cell>
        </row>
        <row r="33">
          <cell r="A33" t="str">
            <v>6325 ДОКТОРСКАЯ ПРЕМИУМ вар п/о 0.4кг 8шт.  ОСТАНКИНО</v>
          </cell>
          <cell r="D33" t="str">
            <v>шт</v>
          </cell>
          <cell r="F33">
            <v>105</v>
          </cell>
          <cell r="H33">
            <v>73</v>
          </cell>
          <cell r="I33">
            <v>22</v>
          </cell>
          <cell r="J33">
            <v>156</v>
          </cell>
          <cell r="K33">
            <v>42</v>
          </cell>
          <cell r="L33">
            <v>29.2</v>
          </cell>
          <cell r="M33">
            <v>8.8000000000000007</v>
          </cell>
          <cell r="N33">
            <v>62.4</v>
          </cell>
        </row>
        <row r="34">
          <cell r="A34" t="str">
            <v>6333 МЯСНАЯ Папа может вар п/о 0.4кг 8шт.  ОСТАНКИНО</v>
          </cell>
          <cell r="D34" t="str">
            <v>шт</v>
          </cell>
          <cell r="F34">
            <v>290</v>
          </cell>
          <cell r="H34">
            <v>110</v>
          </cell>
          <cell r="I34">
            <v>278</v>
          </cell>
          <cell r="J34">
            <v>122</v>
          </cell>
          <cell r="K34">
            <v>116</v>
          </cell>
          <cell r="L34">
            <v>44</v>
          </cell>
          <cell r="M34">
            <v>111.2</v>
          </cell>
          <cell r="N34">
            <v>48.8</v>
          </cell>
        </row>
        <row r="35">
          <cell r="A35" t="str">
            <v>6392 ФИЛЕЙНАЯ Папа может вар п/о 0,4кг  ОСТАНКИНО</v>
          </cell>
          <cell r="D35" t="str">
            <v>шт</v>
          </cell>
          <cell r="F35">
            <v>947</v>
          </cell>
          <cell r="H35">
            <v>371</v>
          </cell>
          <cell r="I35">
            <v>345</v>
          </cell>
          <cell r="J35">
            <v>973</v>
          </cell>
          <cell r="K35">
            <v>378.8</v>
          </cell>
          <cell r="L35">
            <v>148.4</v>
          </cell>
          <cell r="M35">
            <v>138</v>
          </cell>
          <cell r="N35">
            <v>389.2</v>
          </cell>
        </row>
        <row r="36">
          <cell r="A36" t="str">
            <v>6498 МОЛОЧНАЯ Папа может вар п/о  ОСТАНКИНО</v>
          </cell>
          <cell r="D36" t="str">
            <v>кг</v>
          </cell>
          <cell r="F36">
            <v>227.762</v>
          </cell>
          <cell r="H36">
            <v>4.0010000000000003</v>
          </cell>
          <cell r="I36">
            <v>20.170000000000002</v>
          </cell>
          <cell r="J36">
            <v>211.59299999999999</v>
          </cell>
          <cell r="K36">
            <v>227.762</v>
          </cell>
          <cell r="L36">
            <v>4.0010000000000003</v>
          </cell>
          <cell r="M36">
            <v>20.170000000000002</v>
          </cell>
          <cell r="N36">
            <v>211.59299999999999</v>
          </cell>
        </row>
        <row r="37">
          <cell r="A37" t="str">
            <v>6527 ШПИКАЧКИ СОЧНЫЕ ПМ сар б/о мгс 1*3 45с ОСТАНКИНО</v>
          </cell>
          <cell r="D37" t="str">
            <v>кг</v>
          </cell>
          <cell r="F37">
            <v>38.216999999999999</v>
          </cell>
          <cell r="H37">
            <v>5.1840000000000002</v>
          </cell>
          <cell r="I37">
            <v>30.99</v>
          </cell>
          <cell r="J37">
            <v>12.411</v>
          </cell>
          <cell r="K37">
            <v>38.216999999999999</v>
          </cell>
          <cell r="L37">
            <v>5.1840000000000002</v>
          </cell>
          <cell r="M37">
            <v>30.99</v>
          </cell>
          <cell r="N37">
            <v>12.411</v>
          </cell>
        </row>
        <row r="38">
          <cell r="A38" t="str">
            <v>6550 МЯСНЫЕ Папа может сар б/о мгс 1*3 О 45с  Останкино</v>
          </cell>
          <cell r="D38" t="str">
            <v>кг</v>
          </cell>
          <cell r="F38">
            <v>93.685000000000002</v>
          </cell>
          <cell r="H38">
            <v>76.738</v>
          </cell>
          <cell r="I38">
            <v>38.381</v>
          </cell>
          <cell r="J38">
            <v>132.042</v>
          </cell>
          <cell r="K38">
            <v>93.685000000000002</v>
          </cell>
          <cell r="L38">
            <v>76.738</v>
          </cell>
          <cell r="M38">
            <v>38.381</v>
          </cell>
          <cell r="N38">
            <v>132.042</v>
          </cell>
        </row>
        <row r="39">
          <cell r="A39" t="str">
            <v>6608 С ГОВЯДИНОЙ ОРИГИН. сар б/о мгс 1*3_45с  ОСТАНКИНО</v>
          </cell>
          <cell r="D39" t="str">
            <v>кг</v>
          </cell>
          <cell r="F39">
            <v>138.535</v>
          </cell>
          <cell r="H39">
            <v>101.646</v>
          </cell>
          <cell r="I39">
            <v>60.273000000000003</v>
          </cell>
          <cell r="J39">
            <v>179.90799999999999</v>
          </cell>
          <cell r="K39">
            <v>138.535</v>
          </cell>
          <cell r="L39">
            <v>101.646</v>
          </cell>
          <cell r="M39">
            <v>60.273000000000003</v>
          </cell>
          <cell r="N39">
            <v>179.90799999999999</v>
          </cell>
        </row>
        <row r="40">
          <cell r="A40" t="str">
            <v>6616 МОЛОЧНЫЕ КЛАССИЧЕСКИЕ сос п/о в/у 0,3 кг  Останкино</v>
          </cell>
          <cell r="D40" t="str">
            <v>шт</v>
          </cell>
          <cell r="F40">
            <v>512</v>
          </cell>
          <cell r="H40">
            <v>251</v>
          </cell>
          <cell r="I40">
            <v>193</v>
          </cell>
          <cell r="J40">
            <v>570</v>
          </cell>
          <cell r="K40">
            <v>153.6</v>
          </cell>
          <cell r="L40">
            <v>75.3</v>
          </cell>
          <cell r="M40">
            <v>57.9</v>
          </cell>
          <cell r="N40">
            <v>171</v>
          </cell>
        </row>
        <row r="41">
          <cell r="A41" t="str">
            <v>6620 РЕБРЫШКИ к/в в/у_30с  Останкино</v>
          </cell>
          <cell r="D41" t="str">
            <v>кг</v>
          </cell>
          <cell r="F41">
            <v>3.6920000000000002</v>
          </cell>
          <cell r="J41">
            <v>3.6920000000000002</v>
          </cell>
          <cell r="K41">
            <v>3.6920000000000002</v>
          </cell>
          <cell r="N41">
            <v>3.6920000000000002</v>
          </cell>
        </row>
        <row r="42">
          <cell r="A42" t="str">
            <v>6661 СОЧНЫЙ ГРИЛЬ ПМ сос п/о мгс 1,5*4_Маяк Останкино</v>
          </cell>
          <cell r="D42" t="str">
            <v>кг</v>
          </cell>
          <cell r="F42">
            <v>26.181999999999999</v>
          </cell>
          <cell r="H42">
            <v>1.5549999999999999</v>
          </cell>
          <cell r="I42">
            <v>21.51</v>
          </cell>
          <cell r="J42">
            <v>6.2270000000000003</v>
          </cell>
          <cell r="K42">
            <v>26.181999999999999</v>
          </cell>
          <cell r="L42">
            <v>1.5549999999999999</v>
          </cell>
          <cell r="M42">
            <v>21.51</v>
          </cell>
          <cell r="N42">
            <v>6.2270000000000003</v>
          </cell>
        </row>
        <row r="43">
          <cell r="A43" t="str">
            <v>6697 СЕРВЕЛАТ ФИНСКИЙ ПМ в/к в/у 0,35кг 8шт  ОСТАНКИНО</v>
          </cell>
          <cell r="D43" t="str">
            <v>шт</v>
          </cell>
          <cell r="F43">
            <v>1149</v>
          </cell>
          <cell r="H43">
            <v>199</v>
          </cell>
          <cell r="I43">
            <v>634</v>
          </cell>
          <cell r="J43">
            <v>714</v>
          </cell>
          <cell r="K43">
            <v>402.15</v>
          </cell>
          <cell r="L43">
            <v>69.650000000000006</v>
          </cell>
          <cell r="M43">
            <v>221.9</v>
          </cell>
          <cell r="N43">
            <v>249.9</v>
          </cell>
        </row>
        <row r="44">
          <cell r="A44" t="str">
            <v>6724 МОЛОЧНЫЕ ПМ сос п/о мгс 0,41кг 10шт  Останкино</v>
          </cell>
          <cell r="D44" t="str">
            <v>шт</v>
          </cell>
          <cell r="F44">
            <v>59</v>
          </cell>
          <cell r="H44">
            <v>1</v>
          </cell>
          <cell r="I44">
            <v>49</v>
          </cell>
          <cell r="J44">
            <v>11</v>
          </cell>
          <cell r="K44">
            <v>24.19</v>
          </cell>
          <cell r="L44">
            <v>0.41</v>
          </cell>
          <cell r="M44">
            <v>20.09</v>
          </cell>
          <cell r="N44">
            <v>4.51</v>
          </cell>
        </row>
        <row r="45">
          <cell r="A45" t="str">
            <v>6754 БАЛЫК И ШЕЙКА с/в с/н мгс 1/90 8 шт ОСТАНКИНО</v>
          </cell>
          <cell r="D45" t="str">
            <v>шт</v>
          </cell>
          <cell r="F45">
            <v>24</v>
          </cell>
          <cell r="I45">
            <v>24</v>
          </cell>
          <cell r="K45">
            <v>2.16</v>
          </cell>
          <cell r="M45">
            <v>2.16</v>
          </cell>
        </row>
        <row r="46">
          <cell r="A46" t="str">
            <v>6764 СЛИИВОЧНЫЕ сос ц/о мгс 1*4  Останкино</v>
          </cell>
          <cell r="D46" t="str">
            <v>кг</v>
          </cell>
          <cell r="F46">
            <v>68.418999999999997</v>
          </cell>
          <cell r="I46">
            <v>30.803999999999998</v>
          </cell>
          <cell r="J46">
            <v>37.615000000000002</v>
          </cell>
          <cell r="K46">
            <v>68.418999999999997</v>
          </cell>
          <cell r="M46">
            <v>30.803999999999998</v>
          </cell>
          <cell r="N46">
            <v>37.615000000000002</v>
          </cell>
        </row>
        <row r="47">
          <cell r="A47" t="str">
            <v>6765 РУБЛЕНЫЕ сос ц/о мгс 0,36кг 6шт  Останкино</v>
          </cell>
          <cell r="D47" t="str">
            <v>шт</v>
          </cell>
          <cell r="F47">
            <v>61</v>
          </cell>
          <cell r="H47">
            <v>5</v>
          </cell>
          <cell r="I47">
            <v>66</v>
          </cell>
          <cell r="K47">
            <v>21.96</v>
          </cell>
          <cell r="L47">
            <v>1.8</v>
          </cell>
          <cell r="M47">
            <v>23.76</v>
          </cell>
        </row>
        <row r="48">
          <cell r="A48" t="str">
            <v>6767 РУБЛЕНЫЕ сос ц/о мгс 1*4  Останкино</v>
          </cell>
          <cell r="D48" t="str">
            <v>кг</v>
          </cell>
          <cell r="F48">
            <v>17.158000000000001</v>
          </cell>
          <cell r="I48">
            <v>17.158000000000001</v>
          </cell>
          <cell r="K48">
            <v>17.158000000000001</v>
          </cell>
          <cell r="M48">
            <v>17.158000000000001</v>
          </cell>
        </row>
        <row r="49">
          <cell r="A49" t="str">
            <v>6787 СЕРВЕЛАТ КРЕМЛЕВСКИЙ в/к в/у 0,33кг 8шт  Останкино</v>
          </cell>
          <cell r="D49" t="str">
            <v>шт</v>
          </cell>
          <cell r="F49">
            <v>312</v>
          </cell>
          <cell r="H49">
            <v>9</v>
          </cell>
          <cell r="I49">
            <v>181</v>
          </cell>
          <cell r="J49">
            <v>140</v>
          </cell>
          <cell r="K49">
            <v>102.96</v>
          </cell>
          <cell r="L49">
            <v>2.97</v>
          </cell>
          <cell r="M49">
            <v>59.73</v>
          </cell>
          <cell r="N49">
            <v>46.2</v>
          </cell>
        </row>
        <row r="50">
          <cell r="A50" t="str">
            <v>6797 С ИНДЕЙКОЙ Папа может вар п/о 0,4кг 8шт. ОСТАНКИНО</v>
          </cell>
          <cell r="D50" t="str">
            <v>шт</v>
          </cell>
          <cell r="F50">
            <v>347</v>
          </cell>
          <cell r="H50">
            <v>121</v>
          </cell>
          <cell r="I50">
            <v>139</v>
          </cell>
          <cell r="J50">
            <v>329</v>
          </cell>
          <cell r="K50">
            <v>138.80000000000001</v>
          </cell>
          <cell r="L50">
            <v>48.4</v>
          </cell>
          <cell r="M50">
            <v>55.6</v>
          </cell>
          <cell r="N50">
            <v>131.6</v>
          </cell>
        </row>
        <row r="51">
          <cell r="A51" t="str">
            <v>6807 СЕРВЕЛАТ ЕВРОПЕЙСКИЙ в/к в/у 0,33кг 8шт  Останкино</v>
          </cell>
          <cell r="D51" t="str">
            <v>шт</v>
          </cell>
          <cell r="F51">
            <v>9</v>
          </cell>
          <cell r="H51">
            <v>3</v>
          </cell>
          <cell r="I51">
            <v>10</v>
          </cell>
          <cell r="J51">
            <v>2</v>
          </cell>
          <cell r="K51">
            <v>2.97</v>
          </cell>
          <cell r="L51">
            <v>0.99</v>
          </cell>
          <cell r="M51">
            <v>3.3</v>
          </cell>
          <cell r="N51">
            <v>0.66</v>
          </cell>
        </row>
        <row r="52">
          <cell r="A52" t="str">
            <v>6829  МОЛОЧНЫЕ КЛАССИЧЕСКИЕ сос п/о мгс 2*4 С  Останккино</v>
          </cell>
          <cell r="D52" t="str">
            <v>кг</v>
          </cell>
          <cell r="F52">
            <v>784.24</v>
          </cell>
          <cell r="H52">
            <v>167.61699999999999</v>
          </cell>
          <cell r="I52">
            <v>166.535</v>
          </cell>
          <cell r="J52">
            <v>785.322</v>
          </cell>
          <cell r="K52">
            <v>784.24</v>
          </cell>
          <cell r="L52">
            <v>167.61699999999999</v>
          </cell>
          <cell r="M52">
            <v>166.535</v>
          </cell>
          <cell r="N52">
            <v>785.322</v>
          </cell>
        </row>
        <row r="53">
          <cell r="A53" t="str">
            <v>6837 ФИЛЕЙНЫЕ Папа Может сос ц/о мгс 0,4кг  Останкино</v>
          </cell>
          <cell r="D53" t="str">
            <v>шт</v>
          </cell>
          <cell r="F53">
            <v>80</v>
          </cell>
          <cell r="H53">
            <v>2</v>
          </cell>
          <cell r="I53">
            <v>17</v>
          </cell>
          <cell r="J53">
            <v>65</v>
          </cell>
          <cell r="K53">
            <v>32</v>
          </cell>
          <cell r="L53">
            <v>0.8</v>
          </cell>
          <cell r="M53">
            <v>6.8</v>
          </cell>
          <cell r="N53">
            <v>26</v>
          </cell>
        </row>
        <row r="54">
          <cell r="A54" t="str">
            <v>6861 ДОМАШНИЙ РЕЦЕПТ Коровино вар п/о  Останкино</v>
          </cell>
          <cell r="D54" t="str">
            <v>кг</v>
          </cell>
          <cell r="F54">
            <v>-3.9630000000000001</v>
          </cell>
          <cell r="J54">
            <v>-3.9630000000000001</v>
          </cell>
          <cell r="K54">
            <v>-3.9630000000000001</v>
          </cell>
          <cell r="N54">
            <v>-3.9630000000000001</v>
          </cell>
        </row>
        <row r="55">
          <cell r="A55" t="str">
            <v>6866 ВЕТЧ.НЕЖНАЯ Коровино п/о_Маяк  Останкино</v>
          </cell>
          <cell r="D55" t="str">
            <v>кг</v>
          </cell>
          <cell r="F55">
            <v>5.6550000000000002</v>
          </cell>
          <cell r="I55">
            <v>6.0549999999999997</v>
          </cell>
          <cell r="J55">
            <v>-0.4</v>
          </cell>
          <cell r="K55">
            <v>5.6550000000000002</v>
          </cell>
          <cell r="M55">
            <v>6.0549999999999997</v>
          </cell>
          <cell r="N55">
            <v>-0.4</v>
          </cell>
        </row>
        <row r="56">
          <cell r="A56" t="str">
            <v>6929 КАРБОНАД ДОМАШНИЙ ПМ к/в кр/к в/у  ОСТАНКИНО</v>
          </cell>
          <cell r="D56" t="str">
            <v>кг</v>
          </cell>
          <cell r="F56">
            <v>20.244</v>
          </cell>
          <cell r="H56">
            <v>2.0019999999999998</v>
          </cell>
          <cell r="I56">
            <v>2.5760000000000001</v>
          </cell>
          <cell r="J56">
            <v>19.670000000000002</v>
          </cell>
          <cell r="K56">
            <v>20.244</v>
          </cell>
          <cell r="L56">
            <v>2.0019999999999998</v>
          </cell>
          <cell r="M56">
            <v>2.5760000000000001</v>
          </cell>
          <cell r="N56">
            <v>19.670000000000002</v>
          </cell>
        </row>
        <row r="57">
          <cell r="A57" t="str">
            <v>6967 БУРГУНДИЯ Папа может с/к в/у 1/250 8шт  Останкино</v>
          </cell>
          <cell r="D57" t="str">
            <v>шт</v>
          </cell>
          <cell r="F57">
            <v>152</v>
          </cell>
          <cell r="H57">
            <v>2</v>
          </cell>
          <cell r="I57">
            <v>50</v>
          </cell>
          <cell r="J57">
            <v>104</v>
          </cell>
          <cell r="K57">
            <v>38</v>
          </cell>
          <cell r="L57">
            <v>0.5</v>
          </cell>
          <cell r="M57">
            <v>12.5</v>
          </cell>
          <cell r="N57">
            <v>26</v>
          </cell>
        </row>
        <row r="58">
          <cell r="A58" t="str">
            <v>7001 КЛАССИЧЕСКИЕ Папа может сар б/о мгс 1*3  Останкино</v>
          </cell>
          <cell r="D58" t="str">
            <v>кг</v>
          </cell>
          <cell r="F58">
            <v>34.701000000000001</v>
          </cell>
          <cell r="I58">
            <v>7.3840000000000003</v>
          </cell>
          <cell r="J58">
            <v>27.317</v>
          </cell>
          <cell r="K58">
            <v>34.701000000000001</v>
          </cell>
          <cell r="M58">
            <v>7.3840000000000003</v>
          </cell>
          <cell r="N58">
            <v>27.317</v>
          </cell>
        </row>
        <row r="59">
          <cell r="A59" t="str">
            <v>7040 С ИНДЕЙКОЙ ПМ сос ц/о в/у 1/270 8шт.  ОСТАНКИНО</v>
          </cell>
          <cell r="D59" t="str">
            <v>шт</v>
          </cell>
          <cell r="F59">
            <v>20</v>
          </cell>
          <cell r="I59">
            <v>3</v>
          </cell>
          <cell r="J59">
            <v>17</v>
          </cell>
          <cell r="K59">
            <v>5.4</v>
          </cell>
          <cell r="M59">
            <v>0.81</v>
          </cell>
          <cell r="N59">
            <v>4.59</v>
          </cell>
        </row>
        <row r="60">
          <cell r="A60" t="str">
            <v>7059 ШПИКАЧКИ СОЧНЫЕ С БЕК. п/о мгс 0,3кг 60с ОСТАНКИНО</v>
          </cell>
          <cell r="D60" t="str">
            <v>шт</v>
          </cell>
          <cell r="F60">
            <v>104</v>
          </cell>
          <cell r="H60">
            <v>58</v>
          </cell>
          <cell r="I60">
            <v>8</v>
          </cell>
          <cell r="J60">
            <v>154</v>
          </cell>
          <cell r="K60">
            <v>31.2</v>
          </cell>
          <cell r="L60">
            <v>17.399999999999999</v>
          </cell>
          <cell r="M60">
            <v>2.4</v>
          </cell>
          <cell r="N60">
            <v>46.2</v>
          </cell>
        </row>
        <row r="61">
          <cell r="A61" t="str">
            <v>7066 СОЧНЫЕ ПМ сос п/о мгс 0,41кг 10шт 50с  Останкино</v>
          </cell>
          <cell r="D61" t="str">
            <v>шт</v>
          </cell>
          <cell r="F61">
            <v>2250</v>
          </cell>
          <cell r="H61">
            <v>770</v>
          </cell>
          <cell r="I61">
            <v>2431</v>
          </cell>
          <cell r="J61">
            <v>589</v>
          </cell>
          <cell r="K61">
            <v>922.5</v>
          </cell>
          <cell r="L61">
            <v>315.7</v>
          </cell>
          <cell r="M61">
            <v>996.71</v>
          </cell>
          <cell r="N61">
            <v>241.49</v>
          </cell>
        </row>
        <row r="62">
          <cell r="A62" t="str">
            <v>7070 СОЧНЫЕ ПМ сос п/о 1,5*4_А_50с  Останкино</v>
          </cell>
          <cell r="D62" t="str">
            <v>кг</v>
          </cell>
          <cell r="F62">
            <v>1070.145</v>
          </cell>
          <cell r="H62">
            <v>567.95100000000002</v>
          </cell>
          <cell r="I62">
            <v>150.22800000000001</v>
          </cell>
          <cell r="J62">
            <v>1487.8679999999999</v>
          </cell>
          <cell r="K62">
            <v>1070.145</v>
          </cell>
          <cell r="L62">
            <v>567.95100000000002</v>
          </cell>
          <cell r="M62">
            <v>150.22800000000001</v>
          </cell>
          <cell r="N62">
            <v>1487.8679999999999</v>
          </cell>
        </row>
        <row r="63">
          <cell r="A63" t="str">
            <v>7073 МОЛОЧ.ПРЕМИУМ ПМ сос п/о в/у 1/350_50с  Останкино</v>
          </cell>
          <cell r="D63" t="str">
            <v>шт</v>
          </cell>
          <cell r="F63">
            <v>107</v>
          </cell>
          <cell r="I63">
            <v>12</v>
          </cell>
          <cell r="J63">
            <v>95</v>
          </cell>
          <cell r="K63">
            <v>37.450000000000003</v>
          </cell>
          <cell r="M63">
            <v>4.2</v>
          </cell>
          <cell r="N63">
            <v>33.25</v>
          </cell>
        </row>
        <row r="64">
          <cell r="A64" t="str">
            <v>7080 СЛИВОЧНЫЕ ПМ сос п/о мгс 0,41кг 10шт 50с  Останкино</v>
          </cell>
          <cell r="D64" t="str">
            <v>шт</v>
          </cell>
          <cell r="F64">
            <v>769</v>
          </cell>
          <cell r="H64">
            <v>464</v>
          </cell>
          <cell r="I64">
            <v>357</v>
          </cell>
          <cell r="J64">
            <v>876</v>
          </cell>
          <cell r="K64">
            <v>315.29000000000002</v>
          </cell>
          <cell r="L64">
            <v>190.24</v>
          </cell>
          <cell r="M64">
            <v>146.37</v>
          </cell>
          <cell r="N64">
            <v>359.16</v>
          </cell>
        </row>
        <row r="65">
          <cell r="A65" t="str">
            <v>7083 СЛИВОЧНЫЕ ПМ сос п/о мгс 1.5*4_А_50с  ОСТАНКИНО</v>
          </cell>
          <cell r="D65" t="str">
            <v>кг</v>
          </cell>
          <cell r="F65">
            <v>81.369</v>
          </cell>
          <cell r="H65">
            <v>59.268000000000001</v>
          </cell>
          <cell r="I65">
            <v>31.318999999999999</v>
          </cell>
          <cell r="J65">
            <v>109.318</v>
          </cell>
          <cell r="K65">
            <v>81.369</v>
          </cell>
          <cell r="L65">
            <v>59.268000000000001</v>
          </cell>
          <cell r="M65">
            <v>31.318999999999999</v>
          </cell>
          <cell r="N65">
            <v>109.318</v>
          </cell>
        </row>
        <row r="66">
          <cell r="A66" t="str">
            <v>7090 СВИНИНА ПО-ДОМ.к/в мл/к в/у 0,3кг_50с  Останкино</v>
          </cell>
          <cell r="D66" t="str">
            <v>шт</v>
          </cell>
          <cell r="F66">
            <v>157</v>
          </cell>
          <cell r="H66">
            <v>5</v>
          </cell>
          <cell r="I66">
            <v>131</v>
          </cell>
          <cell r="J66">
            <v>31</v>
          </cell>
          <cell r="K66">
            <v>47.1</v>
          </cell>
          <cell r="L66">
            <v>1.5</v>
          </cell>
          <cell r="M66">
            <v>39.299999999999997</v>
          </cell>
          <cell r="N66">
            <v>9.3000000000000007</v>
          </cell>
        </row>
        <row r="67">
          <cell r="A67" t="str">
            <v>7103 БЕКОН Останкино с/к с/н в/у 1/180_50с  Останкино</v>
          </cell>
          <cell r="D67" t="str">
            <v>шт</v>
          </cell>
          <cell r="F67">
            <v>175</v>
          </cell>
          <cell r="H67">
            <v>123</v>
          </cell>
          <cell r="I67">
            <v>95</v>
          </cell>
          <cell r="J67">
            <v>203</v>
          </cell>
          <cell r="K67">
            <v>31.5</v>
          </cell>
          <cell r="L67">
            <v>22.14</v>
          </cell>
          <cell r="M67">
            <v>17.100000000000001</v>
          </cell>
          <cell r="N67">
            <v>36.54</v>
          </cell>
        </row>
        <row r="68">
          <cell r="A68" t="str">
            <v>7132 ВЕНСКАЯ САЛЯМИ п/к в/у 0.840кг  ОСТАНКИНО</v>
          </cell>
          <cell r="D68" t="str">
            <v>кг</v>
          </cell>
          <cell r="F68">
            <v>35.268999999999998</v>
          </cell>
          <cell r="I68">
            <v>35.268999999999998</v>
          </cell>
          <cell r="K68">
            <v>35.268999999999998</v>
          </cell>
          <cell r="M68">
            <v>35.268999999999998</v>
          </cell>
        </row>
        <row r="69">
          <cell r="A69" t="str">
            <v>7143 БРАУНШВЕЙГСКАЯ ГОСТ с/к в/у 1/220 8шт.  ОСТАНКИНО</v>
          </cell>
          <cell r="D69" t="str">
            <v>шт</v>
          </cell>
          <cell r="F69">
            <v>32</v>
          </cell>
          <cell r="I69">
            <v>1</v>
          </cell>
          <cell r="J69">
            <v>31</v>
          </cell>
          <cell r="K69">
            <v>7.04</v>
          </cell>
          <cell r="M69">
            <v>0.22</v>
          </cell>
          <cell r="N69">
            <v>6.82</v>
          </cell>
        </row>
        <row r="70">
          <cell r="A70" t="str">
            <v>7149 БАЛЫКОВАЯ Коровино п/к в/у 0,84кг_50с  Останкино</v>
          </cell>
          <cell r="D70" t="str">
            <v>шт</v>
          </cell>
          <cell r="F70">
            <v>30</v>
          </cell>
          <cell r="I70">
            <v>30</v>
          </cell>
          <cell r="K70">
            <v>25.2</v>
          </cell>
          <cell r="M70">
            <v>25.2</v>
          </cell>
        </row>
        <row r="71">
          <cell r="A71" t="str">
            <v>7154 СЕРВЕЛАТ ЗЕРНИСТЫЙ ПМ в/к в/у 0,35кг_50с  Останкино</v>
          </cell>
          <cell r="D71" t="str">
            <v>шт</v>
          </cell>
          <cell r="F71">
            <v>994</v>
          </cell>
          <cell r="H71">
            <v>17</v>
          </cell>
          <cell r="I71">
            <v>487</v>
          </cell>
          <cell r="J71">
            <v>524</v>
          </cell>
          <cell r="K71">
            <v>347.9</v>
          </cell>
          <cell r="L71">
            <v>5.95</v>
          </cell>
          <cell r="M71">
            <v>170.45</v>
          </cell>
          <cell r="N71">
            <v>183.4</v>
          </cell>
        </row>
        <row r="72">
          <cell r="A72" t="str">
            <v>7156 СЕРВЕЛАТ КОПЧ.НА БУКЕ в/к в/у 0.35кг_50с  ОСТАНКИНО</v>
          </cell>
          <cell r="D72" t="str">
            <v>шт</v>
          </cell>
          <cell r="F72">
            <v>8</v>
          </cell>
          <cell r="I72">
            <v>7</v>
          </cell>
          <cell r="J72">
            <v>1</v>
          </cell>
          <cell r="K72">
            <v>2.8</v>
          </cell>
          <cell r="M72">
            <v>2.4500000000000002</v>
          </cell>
          <cell r="N72">
            <v>0.35</v>
          </cell>
        </row>
        <row r="73">
          <cell r="A73" t="str">
            <v>7157 СЕРВЕЛАТ ЗЕРНИСТЫЙ ПМ в/к в/у_50с  Останкино</v>
          </cell>
          <cell r="D73" t="str">
            <v>кг</v>
          </cell>
          <cell r="F73">
            <v>399.87799999999999</v>
          </cell>
          <cell r="H73">
            <v>3.4009999999999998</v>
          </cell>
          <cell r="I73">
            <v>84.992000000000004</v>
          </cell>
          <cell r="J73">
            <v>318.28699999999998</v>
          </cell>
          <cell r="K73">
            <v>399.87799999999999</v>
          </cell>
          <cell r="L73">
            <v>3.4009999999999998</v>
          </cell>
          <cell r="M73">
            <v>84.992000000000004</v>
          </cell>
          <cell r="N73">
            <v>318.28699999999998</v>
          </cell>
        </row>
        <row r="74">
          <cell r="A74" t="str">
            <v>7163 СЕРВЕЛАТ КЛАССИЧ.ПМ в/к в/у 0,62кг_50с  Останкино</v>
          </cell>
          <cell r="D74" t="str">
            <v>шт</v>
          </cell>
          <cell r="F74">
            <v>14</v>
          </cell>
          <cell r="J74">
            <v>14</v>
          </cell>
          <cell r="K74">
            <v>8.68</v>
          </cell>
          <cell r="N74">
            <v>8.68</v>
          </cell>
        </row>
        <row r="75">
          <cell r="A75" t="str">
            <v>7166 СЕРВЕЛАТ ОХОТНИЧИЙ ПМ в/к в/у_50с  Останкино</v>
          </cell>
          <cell r="D75" t="str">
            <v>кг</v>
          </cell>
          <cell r="F75">
            <v>705.52</v>
          </cell>
          <cell r="H75">
            <v>118.46899999999999</v>
          </cell>
          <cell r="I75">
            <v>100.38500000000001</v>
          </cell>
          <cell r="J75">
            <v>723.60400000000004</v>
          </cell>
          <cell r="K75">
            <v>705.52</v>
          </cell>
          <cell r="L75">
            <v>118.46899999999999</v>
          </cell>
          <cell r="M75">
            <v>100.38500000000001</v>
          </cell>
          <cell r="N75">
            <v>723.60400000000004</v>
          </cell>
        </row>
        <row r="76">
          <cell r="A76" t="str">
            <v>7169 СЕРВЕЛАТ ОХОТНИЧИЙ ПМ в/к в/у 0,35кг_50с  Останкино</v>
          </cell>
          <cell r="D76" t="str">
            <v>шт</v>
          </cell>
          <cell r="F76">
            <v>1007</v>
          </cell>
          <cell r="H76">
            <v>163</v>
          </cell>
          <cell r="I76">
            <v>695</v>
          </cell>
          <cell r="J76">
            <v>475</v>
          </cell>
          <cell r="K76">
            <v>352.45</v>
          </cell>
          <cell r="L76">
            <v>57.05</v>
          </cell>
          <cell r="M76">
            <v>243.25</v>
          </cell>
          <cell r="N76">
            <v>166.25</v>
          </cell>
        </row>
        <row r="77">
          <cell r="A77" t="str">
            <v>7187 ГРУДИНКА ПРЕМИУМ к/в мл/к в/у 0,3кг_50с  Останкино</v>
          </cell>
          <cell r="D77" t="str">
            <v>шт</v>
          </cell>
          <cell r="F77">
            <v>162</v>
          </cell>
          <cell r="H77">
            <v>69</v>
          </cell>
          <cell r="I77">
            <v>24</v>
          </cell>
          <cell r="J77">
            <v>207</v>
          </cell>
          <cell r="K77">
            <v>48.6</v>
          </cell>
          <cell r="L77">
            <v>20.7</v>
          </cell>
          <cell r="M77">
            <v>7.2</v>
          </cell>
          <cell r="N77">
            <v>62.1</v>
          </cell>
        </row>
        <row r="78">
          <cell r="A78" t="str">
            <v>7231 КЛАССИЧЕСКАЯ ПМ вар п/о 0,3кг 8 шт_209к  Останкино</v>
          </cell>
          <cell r="D78" t="str">
            <v>шт</v>
          </cell>
          <cell r="F78">
            <v>71</v>
          </cell>
          <cell r="H78">
            <v>49</v>
          </cell>
          <cell r="I78">
            <v>46</v>
          </cell>
          <cell r="J78">
            <v>74</v>
          </cell>
          <cell r="K78">
            <v>21.3</v>
          </cell>
          <cell r="L78">
            <v>14.7</v>
          </cell>
          <cell r="M78">
            <v>13.8</v>
          </cell>
          <cell r="N78">
            <v>22.2</v>
          </cell>
        </row>
        <row r="79">
          <cell r="A79" t="str">
            <v>7232 БОЯNСКАЯ ПМ п/к в/у 0,28кг 8шт_209к  Останкино</v>
          </cell>
          <cell r="D79" t="str">
            <v>шт</v>
          </cell>
          <cell r="F79">
            <v>130</v>
          </cell>
          <cell r="I79">
            <v>62</v>
          </cell>
          <cell r="J79">
            <v>68</v>
          </cell>
          <cell r="K79">
            <v>36.4</v>
          </cell>
          <cell r="M79">
            <v>17.36</v>
          </cell>
          <cell r="N79">
            <v>19.04</v>
          </cell>
        </row>
        <row r="80">
          <cell r="A80" t="str">
            <v>7236 СЕРВЕЛАТ КАРЕЛЬСКИЙ в/к в/у 0,28кг_209к  Останкино</v>
          </cell>
          <cell r="D80" t="str">
            <v>шт</v>
          </cell>
          <cell r="F80">
            <v>476</v>
          </cell>
          <cell r="H80">
            <v>7</v>
          </cell>
          <cell r="I80">
            <v>176</v>
          </cell>
          <cell r="J80">
            <v>307</v>
          </cell>
          <cell r="K80">
            <v>133.28</v>
          </cell>
          <cell r="L80">
            <v>1.96</v>
          </cell>
          <cell r="M80">
            <v>49.28</v>
          </cell>
          <cell r="N80">
            <v>85.96</v>
          </cell>
        </row>
        <row r="81">
          <cell r="A81" t="str">
            <v>7241 САЛЯМИ Папа может п/к в/у 0,28кг ОСТАНКИНО</v>
          </cell>
          <cell r="D81" t="str">
            <v>шт</v>
          </cell>
          <cell r="F81">
            <v>505</v>
          </cell>
          <cell r="H81">
            <v>184</v>
          </cell>
          <cell r="I81">
            <v>344</v>
          </cell>
          <cell r="J81">
            <v>345</v>
          </cell>
          <cell r="K81">
            <v>141.4</v>
          </cell>
          <cell r="L81">
            <v>51.52</v>
          </cell>
          <cell r="M81">
            <v>96.32</v>
          </cell>
          <cell r="N81">
            <v>96.6</v>
          </cell>
        </row>
        <row r="82">
          <cell r="A82" t="str">
            <v>7255 МЯСНЫЕ С ГОВЯД.ПМ сос п/о мгс 0.4кг 6шт.  ОСТАНКИНО</v>
          </cell>
          <cell r="D82" t="str">
            <v>шт</v>
          </cell>
          <cell r="F82">
            <v>666</v>
          </cell>
          <cell r="H82">
            <v>121</v>
          </cell>
          <cell r="I82">
            <v>263</v>
          </cell>
          <cell r="J82">
            <v>524</v>
          </cell>
          <cell r="K82">
            <v>266.39999999999998</v>
          </cell>
          <cell r="L82">
            <v>48.4</v>
          </cell>
          <cell r="M82">
            <v>105.2</v>
          </cell>
          <cell r="N82">
            <v>209.6</v>
          </cell>
        </row>
        <row r="83">
          <cell r="A83" t="str">
            <v>7271 МЯСНЫЕ С ГОВЯДИНОЙ ПМ сос п/о мгс 1.5*4  ОСТАНКИНО</v>
          </cell>
          <cell r="D83" t="str">
            <v>кг</v>
          </cell>
          <cell r="F83">
            <v>30.702000000000002</v>
          </cell>
          <cell r="I83">
            <v>30.702000000000002</v>
          </cell>
          <cell r="K83">
            <v>30.702000000000002</v>
          </cell>
          <cell r="M83">
            <v>30.702000000000002</v>
          </cell>
        </row>
        <row r="84">
          <cell r="A84" t="str">
            <v>7299 НАБОР ДЛЯ ПИЦЦЫ Папа Может с/к в/у  ОСТАНКИНО</v>
          </cell>
          <cell r="D84" t="str">
            <v>кг</v>
          </cell>
          <cell r="F84">
            <v>1.302</v>
          </cell>
          <cell r="H84">
            <v>88.478999999999999</v>
          </cell>
          <cell r="I84">
            <v>34.039000000000001</v>
          </cell>
          <cell r="J84">
            <v>55.741999999999997</v>
          </cell>
          <cell r="K84">
            <v>1.302</v>
          </cell>
          <cell r="L84">
            <v>88.478999999999999</v>
          </cell>
          <cell r="M84">
            <v>34.039000000000001</v>
          </cell>
          <cell r="N84">
            <v>55.741999999999997</v>
          </cell>
        </row>
        <row r="85">
          <cell r="A85" t="str">
            <v>7344 КОНСЕРВЫ МЯС.ГОВЯДИНА ТУШ. В/С 338г_ЧЗ  ОСТАНКИНО</v>
          </cell>
          <cell r="D85" t="str">
            <v>шт</v>
          </cell>
          <cell r="F85">
            <v>92</v>
          </cell>
          <cell r="H85">
            <v>36</v>
          </cell>
          <cell r="I85">
            <v>7</v>
          </cell>
          <cell r="J85">
            <v>121</v>
          </cell>
          <cell r="K85">
            <v>31.096</v>
          </cell>
          <cell r="L85">
            <v>12.167999999999999</v>
          </cell>
          <cell r="M85">
            <v>2.3660000000000001</v>
          </cell>
          <cell r="N85">
            <v>40.898000000000003</v>
          </cell>
        </row>
        <row r="86">
          <cell r="A86" t="str">
            <v>7345 КОНСЕРВЫ МЯС.СВИНИНА ТУШ. В/С 325г_ЧЗ  ОСТАНКИНО</v>
          </cell>
          <cell r="D86" t="str">
            <v>шт</v>
          </cell>
          <cell r="F86">
            <v>10</v>
          </cell>
          <cell r="I86">
            <v>5</v>
          </cell>
          <cell r="J86">
            <v>5</v>
          </cell>
          <cell r="K86">
            <v>3.25</v>
          </cell>
          <cell r="M86">
            <v>1.625</v>
          </cell>
          <cell r="N86">
            <v>1.625</v>
          </cell>
        </row>
        <row r="87">
          <cell r="A87" t="str">
            <v>7364 ЧОРИЗО Останкино с/к в/у 1/220 8шт.  ОСТАНКИНО</v>
          </cell>
          <cell r="D87" t="str">
            <v>шт</v>
          </cell>
          <cell r="F87">
            <v>32</v>
          </cell>
          <cell r="I87">
            <v>32</v>
          </cell>
          <cell r="K87">
            <v>7.04</v>
          </cell>
          <cell r="M87">
            <v>7.04</v>
          </cell>
        </row>
        <row r="88">
          <cell r="A88" t="str">
            <v>7382  САЛЯМИ МЕЛКОЗЕРНЕНАЯ с/к в/у1/120 8шт.  ОСТАНКИНО</v>
          </cell>
          <cell r="D88" t="str">
            <v>шт</v>
          </cell>
          <cell r="F88">
            <v>258</v>
          </cell>
          <cell r="H88">
            <v>147</v>
          </cell>
          <cell r="I88">
            <v>124</v>
          </cell>
          <cell r="J88">
            <v>281</v>
          </cell>
          <cell r="K88">
            <v>30.96</v>
          </cell>
          <cell r="L88">
            <v>17.64</v>
          </cell>
          <cell r="M88">
            <v>14.88</v>
          </cell>
          <cell r="N88">
            <v>33.72</v>
          </cell>
        </row>
        <row r="89">
          <cell r="A89" t="str">
            <v>7386 БАРСЕЛОНА ПМ с/к в/у 1/150  ОСТАНКИНО</v>
          </cell>
          <cell r="D89" t="str">
            <v>шт</v>
          </cell>
          <cell r="F89">
            <v>87</v>
          </cell>
          <cell r="H89">
            <v>72</v>
          </cell>
          <cell r="I89">
            <v>37</v>
          </cell>
          <cell r="J89">
            <v>122</v>
          </cell>
          <cell r="K89">
            <v>13.05</v>
          </cell>
          <cell r="L89">
            <v>10.8</v>
          </cell>
          <cell r="M89">
            <v>5.55</v>
          </cell>
          <cell r="N89">
            <v>18.3</v>
          </cell>
        </row>
        <row r="90">
          <cell r="A90" t="str">
            <v>7456 САЛЯМИ ФИНСКАЯ Папа может с/к в/у 1/150  ОСТАНКИНО</v>
          </cell>
          <cell r="D90" t="str">
            <v>шт</v>
          </cell>
          <cell r="F90">
            <v>75</v>
          </cell>
          <cell r="H90">
            <v>72</v>
          </cell>
          <cell r="I90">
            <v>40</v>
          </cell>
          <cell r="J90">
            <v>107</v>
          </cell>
          <cell r="K90">
            <v>11.25</v>
          </cell>
          <cell r="L90">
            <v>10.8</v>
          </cell>
          <cell r="M90">
            <v>6</v>
          </cell>
          <cell r="N90">
            <v>16.05</v>
          </cell>
        </row>
        <row r="91">
          <cell r="A91" t="str">
            <v>7461 ДЛЯ ДЕТЕЙ Папа Может сос п/о мгс 0,33кг ОСТАНКИНО</v>
          </cell>
          <cell r="D91" t="str">
            <v>шт</v>
          </cell>
          <cell r="F91">
            <v>407</v>
          </cell>
          <cell r="H91">
            <v>106</v>
          </cell>
          <cell r="I91">
            <v>209</v>
          </cell>
          <cell r="J91">
            <v>304</v>
          </cell>
          <cell r="K91">
            <v>134.31</v>
          </cell>
          <cell r="L91">
            <v>34.979999999999997</v>
          </cell>
          <cell r="M91">
            <v>68.97</v>
          </cell>
          <cell r="N91">
            <v>100.32</v>
          </cell>
        </row>
        <row r="92">
          <cell r="A92" t="str">
            <v>7485 РИЕТ МЯСНОЙ С ГРИБАМИ ПМ п/о 1/150  ОСТАНКИНО</v>
          </cell>
          <cell r="D92" t="str">
            <v>шт</v>
          </cell>
          <cell r="F92">
            <v>624</v>
          </cell>
          <cell r="H92">
            <v>395</v>
          </cell>
          <cell r="I92">
            <v>114</v>
          </cell>
          <cell r="J92">
            <v>905</v>
          </cell>
          <cell r="K92">
            <v>93.6</v>
          </cell>
          <cell r="L92">
            <v>59.25</v>
          </cell>
          <cell r="M92">
            <v>17.100000000000001</v>
          </cell>
          <cell r="N92">
            <v>135.75</v>
          </cell>
        </row>
        <row r="93">
          <cell r="A93" t="str">
            <v>7490 СОЧНЫЙ ГРИЛЬ сос ц/о мгс 0.41кг_Даблпак  ОСТАНКИНО</v>
          </cell>
          <cell r="D93" t="str">
            <v>шт</v>
          </cell>
          <cell r="F93">
            <v>581</v>
          </cell>
          <cell r="I93">
            <v>28</v>
          </cell>
          <cell r="J93">
            <v>553</v>
          </cell>
          <cell r="K93">
            <v>238.21</v>
          </cell>
          <cell r="M93">
            <v>11.48</v>
          </cell>
          <cell r="N93">
            <v>226.73</v>
          </cell>
        </row>
        <row r="94">
          <cell r="A94" t="str">
            <v>7512 ЧАЙНАЯ Останкино вар н/о мгс 1*3  ОСТАНКИНО</v>
          </cell>
          <cell r="D94" t="str">
            <v>кг</v>
          </cell>
          <cell r="F94">
            <v>53.902999999999999</v>
          </cell>
          <cell r="I94">
            <v>2.0760000000000001</v>
          </cell>
          <cell r="J94">
            <v>51.826999999999998</v>
          </cell>
          <cell r="K94">
            <v>53.902999999999999</v>
          </cell>
          <cell r="M94">
            <v>2.0760000000000001</v>
          </cell>
          <cell r="N94">
            <v>51.826999999999998</v>
          </cell>
        </row>
        <row r="95">
          <cell r="A95" t="str">
            <v>7513 ВОСКРЕСЕНСКАЯ ВЯЛЕНАЯ в/к в/у срез 1/260  ОСТАНКИНО</v>
          </cell>
          <cell r="D95" t="str">
            <v>шт</v>
          </cell>
          <cell r="F95">
            <v>159</v>
          </cell>
          <cell r="H95">
            <v>103</v>
          </cell>
          <cell r="I95">
            <v>50</v>
          </cell>
          <cell r="J95">
            <v>212</v>
          </cell>
          <cell r="K95">
            <v>41.34</v>
          </cell>
          <cell r="L95">
            <v>26.78</v>
          </cell>
          <cell r="M95">
            <v>13</v>
          </cell>
          <cell r="N95">
            <v>55.12</v>
          </cell>
        </row>
        <row r="96">
          <cell r="A96" t="str">
            <v>7514 ЛЮБИТЕЛЬСКАЯ ОСТАНКИНСКАЯ вар п/о в/у  ОСТАНКИНО</v>
          </cell>
          <cell r="D96" t="str">
            <v>кг</v>
          </cell>
          <cell r="F96">
            <v>97.370999999999995</v>
          </cell>
          <cell r="H96">
            <v>4.9260000000000002</v>
          </cell>
          <cell r="I96">
            <v>18.055</v>
          </cell>
          <cell r="J96">
            <v>84.242000000000004</v>
          </cell>
          <cell r="K96">
            <v>97.370999999999995</v>
          </cell>
          <cell r="L96">
            <v>4.9260000000000002</v>
          </cell>
          <cell r="M96">
            <v>18.055</v>
          </cell>
          <cell r="N96">
            <v>84.242000000000004</v>
          </cell>
        </row>
        <row r="97">
          <cell r="A97" t="str">
            <v>7516 НОВОМОСКОВСКАЯ в/к в/у срез 0.31кг  ОСТАНКИНО</v>
          </cell>
          <cell r="D97" t="str">
            <v>шт</v>
          </cell>
          <cell r="F97">
            <v>149</v>
          </cell>
          <cell r="H97">
            <v>61</v>
          </cell>
          <cell r="I97">
            <v>31</v>
          </cell>
          <cell r="J97">
            <v>179</v>
          </cell>
          <cell r="K97">
            <v>46.19</v>
          </cell>
          <cell r="L97">
            <v>18.91</v>
          </cell>
          <cell r="M97">
            <v>9.61</v>
          </cell>
          <cell r="N97">
            <v>55.49</v>
          </cell>
        </row>
        <row r="98">
          <cell r="A98" t="str">
            <v>7518 ТЕЛЯЧЬЯ ГОСТ Останкино вар п/о в/у  ОСТАНКИНО</v>
          </cell>
          <cell r="D98" t="str">
            <v>кг</v>
          </cell>
          <cell r="F98">
            <v>29.420999999999999</v>
          </cell>
          <cell r="H98">
            <v>1.2050000000000001</v>
          </cell>
          <cell r="I98">
            <v>5.133</v>
          </cell>
          <cell r="J98">
            <v>25.492999999999999</v>
          </cell>
          <cell r="K98">
            <v>29.420999999999999</v>
          </cell>
          <cell r="L98">
            <v>1.2050000000000001</v>
          </cell>
          <cell r="M98">
            <v>5.133</v>
          </cell>
          <cell r="N98">
            <v>25.492999999999999</v>
          </cell>
        </row>
        <row r="99">
          <cell r="A99" t="str">
            <v>7523 ГОВЯЖЬЯ Папа Может вар п/о 0,4кг 6шт. ОСТАНКИНО</v>
          </cell>
          <cell r="D99" t="str">
            <v>шт</v>
          </cell>
          <cell r="F99">
            <v>275</v>
          </cell>
          <cell r="H99">
            <v>184</v>
          </cell>
          <cell r="I99">
            <v>47</v>
          </cell>
          <cell r="J99">
            <v>412</v>
          </cell>
          <cell r="K99">
            <v>110</v>
          </cell>
          <cell r="L99">
            <v>73.599999999999994</v>
          </cell>
          <cell r="M99">
            <v>18.8</v>
          </cell>
          <cell r="N99">
            <v>164.8</v>
          </cell>
        </row>
        <row r="100">
          <cell r="A100" t="str">
            <v>7539 ДОКТОРСКАЯ ГОСТ вар п/о 0,35кг ОСТАНКИНО</v>
          </cell>
          <cell r="D100" t="str">
            <v>шт</v>
          </cell>
          <cell r="F100">
            <v>211</v>
          </cell>
          <cell r="H100">
            <v>6</v>
          </cell>
          <cell r="I100">
            <v>150</v>
          </cell>
          <cell r="J100">
            <v>67</v>
          </cell>
          <cell r="K100">
            <v>73.849999999999994</v>
          </cell>
          <cell r="L100">
            <v>2.1</v>
          </cell>
          <cell r="M100">
            <v>52.5</v>
          </cell>
          <cell r="N100">
            <v>23.45</v>
          </cell>
        </row>
        <row r="101">
          <cell r="A101" t="str">
            <v>7562 КРАКОВСКАЯ ГОСТ Останкино п/к н/о мгс  ОСТАНКИНО</v>
          </cell>
          <cell r="D101" t="str">
            <v>кг</v>
          </cell>
          <cell r="F101">
            <v>28.928000000000001</v>
          </cell>
          <cell r="H101">
            <v>1.593</v>
          </cell>
          <cell r="I101">
            <v>14.53</v>
          </cell>
          <cell r="J101">
            <v>15.991</v>
          </cell>
          <cell r="K101">
            <v>28.928000000000001</v>
          </cell>
          <cell r="L101">
            <v>1.593</v>
          </cell>
          <cell r="M101">
            <v>14.53</v>
          </cell>
          <cell r="N101">
            <v>15.991</v>
          </cell>
        </row>
        <row r="102">
          <cell r="A102" t="str">
            <v>7564 Балыковая в/к в/у Останкино Вес  ОСТАНКИНО</v>
          </cell>
          <cell r="D102" t="str">
            <v>кг</v>
          </cell>
          <cell r="F102">
            <v>16.768999999999998</v>
          </cell>
          <cell r="H102">
            <v>1.7170000000000001</v>
          </cell>
          <cell r="I102">
            <v>1.7170000000000001</v>
          </cell>
          <cell r="J102">
            <v>16.768999999999998</v>
          </cell>
          <cell r="K102">
            <v>16.768999999999998</v>
          </cell>
          <cell r="L102">
            <v>1.7170000000000001</v>
          </cell>
          <cell r="M102">
            <v>1.7170000000000001</v>
          </cell>
          <cell r="N102">
            <v>16.768999999999998</v>
          </cell>
        </row>
        <row r="103">
          <cell r="A103" t="str">
            <v>7603 БАЛЫКОВАЯ в/к в/у 0.33кг 8шт. ОСТАНКИНО</v>
          </cell>
          <cell r="D103" t="str">
            <v>шт</v>
          </cell>
          <cell r="F103">
            <v>168</v>
          </cell>
          <cell r="H103">
            <v>107</v>
          </cell>
          <cell r="I103">
            <v>73</v>
          </cell>
          <cell r="J103">
            <v>202</v>
          </cell>
          <cell r="K103">
            <v>55.44</v>
          </cell>
          <cell r="L103">
            <v>35.31</v>
          </cell>
          <cell r="M103">
            <v>24.09</v>
          </cell>
          <cell r="N103">
            <v>66.66</v>
          </cell>
        </row>
        <row r="104">
          <cell r="A104" t="str">
            <v>7613 АРОМАТНАЯ с/к с/н в/у 1/100 10шт_Л10  ОСТАНКИНО</v>
          </cell>
          <cell r="D104" t="str">
            <v>шт</v>
          </cell>
          <cell r="F104">
            <v>229</v>
          </cell>
          <cell r="H104">
            <v>172</v>
          </cell>
          <cell r="I104">
            <v>164</v>
          </cell>
          <cell r="J104">
            <v>237</v>
          </cell>
          <cell r="K104">
            <v>22.9</v>
          </cell>
          <cell r="L104">
            <v>17.2</v>
          </cell>
          <cell r="M104">
            <v>16.399999999999999</v>
          </cell>
          <cell r="N104">
            <v>23.7</v>
          </cell>
        </row>
        <row r="105">
          <cell r="A105" t="str">
            <v>7616 ЭКСТРА Папа может с/к с/н в/у 1/100_  ОСТАНКИНО</v>
          </cell>
          <cell r="D105" t="str">
            <v>шт</v>
          </cell>
          <cell r="F105">
            <v>282</v>
          </cell>
          <cell r="H105">
            <v>13</v>
          </cell>
          <cell r="I105">
            <v>279</v>
          </cell>
          <cell r="J105">
            <v>16</v>
          </cell>
          <cell r="K105">
            <v>28.2</v>
          </cell>
          <cell r="L105">
            <v>1.3</v>
          </cell>
          <cell r="M105">
            <v>27.9</v>
          </cell>
          <cell r="N105">
            <v>1.6</v>
          </cell>
        </row>
        <row r="106">
          <cell r="A106" t="str">
            <v>7626 БРАУНШВЕЙГСКАЯ с/к с/н мгс 1/100_Л10  ОСТАНКИНО</v>
          </cell>
          <cell r="D106" t="str">
            <v>шт</v>
          </cell>
          <cell r="F106">
            <v>10</v>
          </cell>
          <cell r="I106">
            <v>10</v>
          </cell>
          <cell r="K106">
            <v>1</v>
          </cell>
          <cell r="M106">
            <v>1</v>
          </cell>
        </row>
        <row r="107">
          <cell r="A107" t="str">
            <v>7632 ЭКСТРА Папа может вар п/о 0.4кг 8шт_195к  ОСТАНКИНО</v>
          </cell>
          <cell r="D107" t="str">
            <v>шт</v>
          </cell>
          <cell r="F107">
            <v>482</v>
          </cell>
          <cell r="H107">
            <v>180</v>
          </cell>
          <cell r="I107">
            <v>245</v>
          </cell>
          <cell r="J107">
            <v>417</v>
          </cell>
          <cell r="K107">
            <v>192.8</v>
          </cell>
          <cell r="L107">
            <v>72</v>
          </cell>
          <cell r="M107">
            <v>98</v>
          </cell>
          <cell r="N107">
            <v>166.8</v>
          </cell>
        </row>
        <row r="108">
          <cell r="A108" t="str">
            <v>7700 ЛИТОВСКАЯ с/к в/у  ОСТАНКИНО</v>
          </cell>
          <cell r="D108" t="str">
            <v>кг</v>
          </cell>
          <cell r="F108">
            <v>62.68</v>
          </cell>
          <cell r="J108">
            <v>62.68</v>
          </cell>
          <cell r="K108">
            <v>62.68</v>
          </cell>
          <cell r="N108">
            <v>62.68</v>
          </cell>
        </row>
        <row r="109">
          <cell r="A109" t="str">
            <v>7710 КРАКОВСКАЯ ГОСТ п/к н/о мгс 0.3кг  ОСТАНКИНО</v>
          </cell>
          <cell r="D109" t="str">
            <v>шт</v>
          </cell>
          <cell r="F109">
            <v>13</v>
          </cell>
          <cell r="H109">
            <v>1</v>
          </cell>
          <cell r="I109">
            <v>13</v>
          </cell>
          <cell r="J109">
            <v>1</v>
          </cell>
          <cell r="K109">
            <v>3.9</v>
          </cell>
          <cell r="L109">
            <v>0.3</v>
          </cell>
          <cell r="M109">
            <v>3.9</v>
          </cell>
          <cell r="N109">
            <v>0.3</v>
          </cell>
        </row>
        <row r="110">
          <cell r="A110" t="str">
            <v>7725 ВЕТ.МРАМОРНАЯ в/у срез 0.3кг 6шт_62  ОСТАНКИНО</v>
          </cell>
          <cell r="D110" t="str">
            <v>шт</v>
          </cell>
          <cell r="F110">
            <v>123</v>
          </cell>
          <cell r="H110">
            <v>3</v>
          </cell>
          <cell r="I110">
            <v>133</v>
          </cell>
          <cell r="J110">
            <v>-7</v>
          </cell>
          <cell r="K110">
            <v>36.9</v>
          </cell>
          <cell r="L110">
            <v>0.9</v>
          </cell>
          <cell r="M110">
            <v>39.9</v>
          </cell>
          <cell r="N110">
            <v>-2.1</v>
          </cell>
        </row>
        <row r="111">
          <cell r="A111" t="str">
            <v>7730 ХОЧУ ВЕТЧ.ИЗ СВ.ОТРУБА мгс 1/100_45с_Л11  ОСТАНКИНО</v>
          </cell>
          <cell r="D111" t="str">
            <v>шт</v>
          </cell>
          <cell r="F111">
            <v>103</v>
          </cell>
          <cell r="I111">
            <v>25</v>
          </cell>
          <cell r="J111">
            <v>78</v>
          </cell>
          <cell r="K111">
            <v>10.3</v>
          </cell>
          <cell r="M111">
            <v>2.5</v>
          </cell>
          <cell r="N111">
            <v>7.8</v>
          </cell>
        </row>
        <row r="112">
          <cell r="A112" t="str">
            <v>7731 ХОЧУ ВЕТЧ. МРАМОР. с/н мгс 1/100_45с_Л11  ОСТАНКИНО</v>
          </cell>
          <cell r="D112" t="str">
            <v>шт</v>
          </cell>
          <cell r="F112">
            <v>108</v>
          </cell>
          <cell r="I112">
            <v>19</v>
          </cell>
          <cell r="J112">
            <v>89</v>
          </cell>
          <cell r="K112">
            <v>10.8</v>
          </cell>
          <cell r="M112">
            <v>1.9</v>
          </cell>
          <cell r="N112">
            <v>8.9</v>
          </cell>
        </row>
        <row r="113">
          <cell r="A113" t="str">
            <v>7754 ДОМАШНИЙ РЕЦЕПТ Коровино вар п/о_332к  ОСТАНКИНО</v>
          </cell>
          <cell r="D113" t="str">
            <v>кг</v>
          </cell>
          <cell r="F113">
            <v>27.675999999999998</v>
          </cell>
          <cell r="J113">
            <v>27.675999999999998</v>
          </cell>
          <cell r="K113">
            <v>27.675999999999998</v>
          </cell>
          <cell r="N113">
            <v>27.675999999999998</v>
          </cell>
        </row>
        <row r="114">
          <cell r="A114" t="str">
            <v>8014 ДОКТОРСКАЯ ПРЕМИУМ вар п/о(п)    ОСТАНКИНО</v>
          </cell>
          <cell r="D114" t="str">
            <v>кг</v>
          </cell>
          <cell r="F114">
            <v>25.536000000000001</v>
          </cell>
          <cell r="I114">
            <v>1.3240000000000001</v>
          </cell>
          <cell r="J114">
            <v>24.212</v>
          </cell>
          <cell r="K114">
            <v>25.536000000000001</v>
          </cell>
          <cell r="M114">
            <v>1.3240000000000001</v>
          </cell>
          <cell r="N114">
            <v>24.212</v>
          </cell>
        </row>
        <row r="115">
          <cell r="A115" t="str">
            <v>Итого</v>
          </cell>
          <cell r="K115">
            <v>15706.276</v>
          </cell>
          <cell r="L115">
            <v>4868.3779999999997</v>
          </cell>
          <cell r="M115">
            <v>5480.2669999999998</v>
          </cell>
          <cell r="N115">
            <v>15094.387000000001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  <pageSetUpPr autoPageBreaks="0"/>
  </sheetPr>
  <dimension ref="A1:K149"/>
  <sheetViews>
    <sheetView workbookViewId="0">
      <selection activeCell="J21" sqref="J21:K145"/>
    </sheetView>
  </sheetViews>
  <sheetFormatPr defaultColWidth="10.6640625" defaultRowHeight="11.25" outlineLevelRow="3" x14ac:dyDescent="0.2"/>
  <cols>
    <col min="1" max="1" width="10.5" customWidth="1"/>
    <col min="2" max="2" width="4.1640625" customWidth="1"/>
    <col min="3" max="3" width="41.6640625" customWidth="1"/>
    <col min="4" max="4" width="11.33203125" customWidth="1"/>
    <col min="5" max="5" width="3" hidden="1" customWidth="1"/>
    <col min="6" max="6" width="12.6640625" hidden="1" customWidth="1"/>
    <col min="7" max="7" width="17.83203125" hidden="1" customWidth="1"/>
    <col min="8" max="8" width="20" hidden="1" customWidth="1"/>
    <col min="9" max="9" width="17" customWidth="1"/>
    <col min="10" max="10" width="21.6640625" customWidth="1"/>
    <col min="11" max="11" width="19" customWidth="1"/>
  </cols>
  <sheetData>
    <row r="1" spans="1:10" ht="9.9499999999999993" customHeight="1" x14ac:dyDescent="0.2"/>
    <row r="2" spans="1:10" ht="24" customHeight="1" x14ac:dyDescent="0.2">
      <c r="A2" s="1" t="s">
        <v>0</v>
      </c>
      <c r="B2" s="1"/>
      <c r="C2" s="1"/>
    </row>
    <row r="3" spans="1:10" ht="9.9499999999999993" customHeight="1" x14ac:dyDescent="0.2"/>
    <row r="4" spans="1:10" ht="12.75" customHeight="1" outlineLevel="1" x14ac:dyDescent="0.2">
      <c r="A4" s="2" t="s">
        <v>1</v>
      </c>
      <c r="B4" s="2"/>
      <c r="C4" s="2" t="s">
        <v>2</v>
      </c>
      <c r="D4" s="2"/>
      <c r="E4" s="2"/>
    </row>
    <row r="5" spans="1:10" ht="12.75" customHeight="1" outlineLevel="1" x14ac:dyDescent="0.2">
      <c r="C5" s="2" t="s">
        <v>3</v>
      </c>
      <c r="D5" s="2"/>
      <c r="E5" s="2"/>
    </row>
    <row r="6" spans="1:10" ht="24.75" customHeight="1" outlineLevel="1" x14ac:dyDescent="0.2">
      <c r="A6" s="2" t="s">
        <v>4</v>
      </c>
      <c r="B6" s="2"/>
      <c r="C6" s="38" t="s">
        <v>5</v>
      </c>
      <c r="D6" s="38"/>
      <c r="E6" s="38"/>
      <c r="F6" s="38"/>
      <c r="G6" s="38"/>
      <c r="H6" s="38"/>
      <c r="I6" s="38"/>
      <c r="J6" s="38"/>
    </row>
    <row r="7" spans="1:10" ht="9.9499999999999993" customHeight="1" x14ac:dyDescent="0.2"/>
    <row r="8" spans="1:10" ht="12.75" customHeight="1" x14ac:dyDescent="0.2">
      <c r="A8" s="39" t="s">
        <v>6</v>
      </c>
      <c r="B8" s="39"/>
      <c r="C8" s="39"/>
      <c r="D8" s="39"/>
      <c r="E8" s="40" t="s">
        <v>7</v>
      </c>
      <c r="F8" s="40"/>
      <c r="G8" s="40"/>
      <c r="H8" s="40"/>
      <c r="I8" s="41" t="s">
        <v>138</v>
      </c>
      <c r="J8" s="66" t="s">
        <v>139</v>
      </c>
    </row>
    <row r="9" spans="1:10" ht="24.75" hidden="1" customHeight="1" x14ac:dyDescent="0.2">
      <c r="A9" s="39" t="s">
        <v>8</v>
      </c>
      <c r="B9" s="39"/>
      <c r="C9" s="39"/>
      <c r="D9" s="39"/>
      <c r="E9" s="40" t="s">
        <v>140</v>
      </c>
      <c r="F9" s="40"/>
      <c r="G9" s="8" t="s">
        <v>141</v>
      </c>
      <c r="H9" s="7" t="s">
        <v>142</v>
      </c>
      <c r="I9" s="42"/>
      <c r="J9" s="67"/>
    </row>
    <row r="10" spans="1:10" ht="11.25" hidden="1" customHeight="1" x14ac:dyDescent="0.2">
      <c r="A10" s="43" t="s">
        <v>9</v>
      </c>
      <c r="B10" s="43"/>
      <c r="C10" s="43"/>
      <c r="D10" s="43"/>
      <c r="E10" s="44">
        <v>30214.675999999999</v>
      </c>
      <c r="F10" s="44"/>
      <c r="G10" s="4"/>
      <c r="H10" s="3">
        <v>3944.951</v>
      </c>
      <c r="I10" s="9">
        <v>29217.75</v>
      </c>
      <c r="J10" s="11"/>
    </row>
    <row r="11" spans="1:10" ht="11.25" hidden="1" customHeight="1" outlineLevel="1" x14ac:dyDescent="0.2">
      <c r="A11" s="45" t="s">
        <v>10</v>
      </c>
      <c r="B11" s="45"/>
      <c r="C11" s="45"/>
      <c r="D11" s="45"/>
      <c r="E11" s="46">
        <v>29208.675999999999</v>
      </c>
      <c r="F11" s="46"/>
      <c r="G11" s="6"/>
      <c r="H11" s="5">
        <v>3944.951</v>
      </c>
      <c r="I11" s="10">
        <v>12115.75</v>
      </c>
      <c r="J11" s="11"/>
    </row>
    <row r="12" spans="1:10" ht="11.25" hidden="1" customHeight="1" outlineLevel="2" x14ac:dyDescent="0.2">
      <c r="A12" s="52" t="s">
        <v>11</v>
      </c>
      <c r="B12" s="52"/>
      <c r="C12" s="52"/>
      <c r="D12" s="52"/>
      <c r="E12" s="46">
        <v>9605.1820000000007</v>
      </c>
      <c r="F12" s="46"/>
      <c r="G12" s="6"/>
      <c r="H12" s="5">
        <v>1294.7059999999999</v>
      </c>
      <c r="I12" s="10">
        <v>8383.5249999999996</v>
      </c>
      <c r="J12" s="11"/>
    </row>
    <row r="13" spans="1:10" ht="11.25" hidden="1" customHeight="1" outlineLevel="3" x14ac:dyDescent="0.2">
      <c r="A13" s="53" t="s">
        <v>12</v>
      </c>
      <c r="B13" s="53"/>
      <c r="C13" s="53"/>
      <c r="D13" s="53"/>
      <c r="E13" s="54">
        <v>13.727</v>
      </c>
      <c r="F13" s="54"/>
      <c r="G13" s="16">
        <v>0.5</v>
      </c>
      <c r="H13" s="15">
        <v>0.54</v>
      </c>
      <c r="I13" s="17">
        <v>13.186999999999999</v>
      </c>
      <c r="J13" s="12"/>
    </row>
    <row r="14" spans="1:10" ht="11.25" hidden="1" customHeight="1" outlineLevel="3" x14ac:dyDescent="0.2">
      <c r="A14" s="53" t="s">
        <v>13</v>
      </c>
      <c r="B14" s="53"/>
      <c r="C14" s="53"/>
      <c r="D14" s="53"/>
      <c r="E14" s="54">
        <v>25.065999999999999</v>
      </c>
      <c r="F14" s="54"/>
      <c r="G14" s="16">
        <v>0</v>
      </c>
      <c r="H14" s="18"/>
      <c r="I14" s="17">
        <v>25.065999999999999</v>
      </c>
      <c r="J14" s="12"/>
    </row>
    <row r="15" spans="1:10" ht="11.25" hidden="1" customHeight="1" outlineLevel="3" x14ac:dyDescent="0.2">
      <c r="A15" s="53" t="s">
        <v>14</v>
      </c>
      <c r="B15" s="53"/>
      <c r="C15" s="53"/>
      <c r="D15" s="53"/>
      <c r="E15" s="55">
        <v>2463.3719999999998</v>
      </c>
      <c r="F15" s="55"/>
      <c r="G15" s="16">
        <v>299.18099999999998</v>
      </c>
      <c r="H15" s="15">
        <v>302.93799999999999</v>
      </c>
      <c r="I15" s="19">
        <v>2171.1869999999999</v>
      </c>
      <c r="J15" s="12"/>
    </row>
    <row r="16" spans="1:10" ht="11.25" hidden="1" customHeight="1" outlineLevel="3" x14ac:dyDescent="0.2">
      <c r="A16" s="53" t="s">
        <v>15</v>
      </c>
      <c r="B16" s="53"/>
      <c r="C16" s="53"/>
      <c r="D16" s="53"/>
      <c r="E16" s="54">
        <v>22.385000000000002</v>
      </c>
      <c r="F16" s="54"/>
      <c r="G16" s="16">
        <v>0</v>
      </c>
      <c r="H16" s="18"/>
      <c r="I16" s="17">
        <v>22.385000000000002</v>
      </c>
      <c r="J16" s="12"/>
    </row>
    <row r="17" spans="1:10" ht="11.25" hidden="1" customHeight="1" outlineLevel="3" x14ac:dyDescent="0.2">
      <c r="A17" s="53" t="s">
        <v>16</v>
      </c>
      <c r="B17" s="53"/>
      <c r="C17" s="53"/>
      <c r="D17" s="53"/>
      <c r="E17" s="54">
        <v>178.614</v>
      </c>
      <c r="F17" s="54"/>
      <c r="G17" s="16">
        <v>11.9</v>
      </c>
      <c r="H17" s="15">
        <v>12.243</v>
      </c>
      <c r="I17" s="17">
        <v>188.07599999999999</v>
      </c>
      <c r="J17" s="12"/>
    </row>
    <row r="18" spans="1:10" ht="11.25" hidden="1" customHeight="1" outlineLevel="3" x14ac:dyDescent="0.2">
      <c r="A18" s="53" t="s">
        <v>17</v>
      </c>
      <c r="B18" s="53"/>
      <c r="C18" s="53"/>
      <c r="D18" s="53"/>
      <c r="E18" s="54">
        <v>776.42600000000004</v>
      </c>
      <c r="F18" s="54"/>
      <c r="G18" s="16">
        <v>74.3</v>
      </c>
      <c r="H18" s="15">
        <v>76.795000000000002</v>
      </c>
      <c r="I18" s="17">
        <v>706.34500000000003</v>
      </c>
      <c r="J18" s="12"/>
    </row>
    <row r="19" spans="1:10" ht="11.25" hidden="1" customHeight="1" outlineLevel="3" x14ac:dyDescent="0.2">
      <c r="A19" s="53" t="s">
        <v>18</v>
      </c>
      <c r="B19" s="53"/>
      <c r="C19" s="53"/>
      <c r="D19" s="53"/>
      <c r="E19" s="54">
        <v>114.367</v>
      </c>
      <c r="F19" s="54"/>
      <c r="G19" s="16">
        <v>2.6</v>
      </c>
      <c r="H19" s="15">
        <v>2.6850000000000001</v>
      </c>
      <c r="I19" s="17">
        <v>111.682</v>
      </c>
      <c r="J19" s="12"/>
    </row>
    <row r="20" spans="1:10" ht="11.25" hidden="1" customHeight="1" outlineLevel="3" x14ac:dyDescent="0.2">
      <c r="A20" s="53" t="s">
        <v>19</v>
      </c>
      <c r="B20" s="53"/>
      <c r="C20" s="53"/>
      <c r="D20" s="53"/>
      <c r="E20" s="54">
        <v>832.18600000000004</v>
      </c>
      <c r="F20" s="54"/>
      <c r="G20" s="16">
        <v>24.812000000000001</v>
      </c>
      <c r="H20" s="15">
        <v>26.433</v>
      </c>
      <c r="I20" s="17">
        <v>808.30799999999999</v>
      </c>
      <c r="J20" s="12"/>
    </row>
    <row r="21" spans="1:10" ht="11.25" customHeight="1" outlineLevel="3" x14ac:dyDescent="0.2">
      <c r="A21" s="49" t="s">
        <v>143</v>
      </c>
      <c r="B21" s="50"/>
      <c r="C21" s="51"/>
      <c r="D21" s="14"/>
      <c r="E21" s="47"/>
      <c r="F21" s="48"/>
      <c r="G21" s="20">
        <v>0.5</v>
      </c>
      <c r="H21" s="21"/>
      <c r="I21" s="17"/>
      <c r="J21" s="13">
        <f t="shared" ref="J21:J47" si="0">G21-H21</f>
        <v>0.5</v>
      </c>
    </row>
    <row r="22" spans="1:10" ht="11.25" hidden="1" customHeight="1" outlineLevel="3" x14ac:dyDescent="0.2">
      <c r="A22" s="53" t="s">
        <v>20</v>
      </c>
      <c r="B22" s="53"/>
      <c r="C22" s="53"/>
      <c r="D22" s="53"/>
      <c r="E22" s="54">
        <v>448.29899999999998</v>
      </c>
      <c r="F22" s="54"/>
      <c r="G22" s="16">
        <v>79.013999999999996</v>
      </c>
      <c r="H22" s="15">
        <v>80.691000000000003</v>
      </c>
      <c r="I22" s="17">
        <v>368.97</v>
      </c>
      <c r="J22" s="12"/>
    </row>
    <row r="23" spans="1:10" ht="11.25" hidden="1" customHeight="1" outlineLevel="3" x14ac:dyDescent="0.2">
      <c r="A23" s="53" t="s">
        <v>21</v>
      </c>
      <c r="B23" s="53"/>
      <c r="C23" s="53"/>
      <c r="D23" s="53"/>
      <c r="E23" s="54">
        <v>11.266</v>
      </c>
      <c r="F23" s="54"/>
      <c r="G23" s="16">
        <v>1.5</v>
      </c>
      <c r="H23" s="15">
        <v>1.734</v>
      </c>
      <c r="I23" s="17">
        <v>9.532</v>
      </c>
      <c r="J23" s="12"/>
    </row>
    <row r="24" spans="1:10" ht="11.25" hidden="1" customHeight="1" outlineLevel="3" x14ac:dyDescent="0.2">
      <c r="A24" s="53" t="s">
        <v>22</v>
      </c>
      <c r="B24" s="53"/>
      <c r="C24" s="53"/>
      <c r="D24" s="53"/>
      <c r="E24" s="54">
        <v>442.73200000000003</v>
      </c>
      <c r="F24" s="54"/>
      <c r="G24" s="16">
        <v>29.9</v>
      </c>
      <c r="H24" s="15">
        <v>31.34</v>
      </c>
      <c r="I24" s="17">
        <v>411.392</v>
      </c>
      <c r="J24" s="12"/>
    </row>
    <row r="25" spans="1:10" ht="11.25" hidden="1" customHeight="1" outlineLevel="3" x14ac:dyDescent="0.2">
      <c r="A25" s="53" t="s">
        <v>23</v>
      </c>
      <c r="B25" s="53"/>
      <c r="C25" s="53"/>
      <c r="D25" s="53"/>
      <c r="E25" s="54">
        <v>188.14</v>
      </c>
      <c r="F25" s="54"/>
      <c r="G25" s="16">
        <v>176.75</v>
      </c>
      <c r="H25" s="15">
        <v>172.578</v>
      </c>
      <c r="I25" s="17">
        <v>17.116</v>
      </c>
      <c r="J25" s="12"/>
    </row>
    <row r="26" spans="1:10" ht="11.25" hidden="1" customHeight="1" outlineLevel="3" x14ac:dyDescent="0.2">
      <c r="A26" s="53" t="s">
        <v>24</v>
      </c>
      <c r="B26" s="53"/>
      <c r="C26" s="53"/>
      <c r="D26" s="53"/>
      <c r="E26" s="54">
        <v>227.762</v>
      </c>
      <c r="F26" s="54"/>
      <c r="G26" s="16">
        <v>6.1</v>
      </c>
      <c r="H26" s="15">
        <v>6.0289999999999999</v>
      </c>
      <c r="I26" s="17">
        <v>223.726</v>
      </c>
      <c r="J26" s="12"/>
    </row>
    <row r="27" spans="1:10" ht="11.25" hidden="1" customHeight="1" outlineLevel="3" x14ac:dyDescent="0.2">
      <c r="A27" s="53" t="s">
        <v>25</v>
      </c>
      <c r="B27" s="53"/>
      <c r="C27" s="53"/>
      <c r="D27" s="53"/>
      <c r="E27" s="54">
        <v>38.216999999999999</v>
      </c>
      <c r="F27" s="54"/>
      <c r="G27" s="16">
        <v>17.138000000000002</v>
      </c>
      <c r="H27" s="15">
        <v>17.576000000000001</v>
      </c>
      <c r="I27" s="17">
        <v>22.713999999999999</v>
      </c>
      <c r="J27" s="12"/>
    </row>
    <row r="28" spans="1:10" ht="11.25" hidden="1" customHeight="1" outlineLevel="3" x14ac:dyDescent="0.2">
      <c r="A28" s="53" t="s">
        <v>26</v>
      </c>
      <c r="B28" s="53"/>
      <c r="C28" s="53"/>
      <c r="D28" s="53"/>
      <c r="E28" s="54">
        <v>93.685000000000002</v>
      </c>
      <c r="F28" s="54"/>
      <c r="G28" s="16">
        <v>22.349</v>
      </c>
      <c r="H28" s="15">
        <v>22.806000000000001</v>
      </c>
      <c r="I28" s="17">
        <v>75.063999999999993</v>
      </c>
      <c r="J28" s="12"/>
    </row>
    <row r="29" spans="1:10" ht="11.25" hidden="1" customHeight="1" outlineLevel="3" x14ac:dyDescent="0.2">
      <c r="A29" s="53" t="s">
        <v>27</v>
      </c>
      <c r="B29" s="53"/>
      <c r="C29" s="53"/>
      <c r="D29" s="53"/>
      <c r="E29" s="54">
        <v>138.535</v>
      </c>
      <c r="F29" s="54"/>
      <c r="G29" s="16">
        <v>33.5</v>
      </c>
      <c r="H29" s="15">
        <v>33.225000000000001</v>
      </c>
      <c r="I29" s="17">
        <v>107.41500000000001</v>
      </c>
      <c r="J29" s="12"/>
    </row>
    <row r="30" spans="1:10" ht="11.25" customHeight="1" outlineLevel="3" x14ac:dyDescent="0.2">
      <c r="A30" s="53" t="s">
        <v>28</v>
      </c>
      <c r="B30" s="53"/>
      <c r="C30" s="53"/>
      <c r="D30" s="53"/>
      <c r="E30" s="54">
        <v>3.6920000000000002</v>
      </c>
      <c r="F30" s="54"/>
      <c r="G30" s="20">
        <v>7.6</v>
      </c>
      <c r="H30" s="22"/>
      <c r="I30" s="17">
        <v>3.6920000000000002</v>
      </c>
      <c r="J30" s="13">
        <f t="shared" si="0"/>
        <v>7.6</v>
      </c>
    </row>
    <row r="31" spans="1:10" ht="11.25" hidden="1" customHeight="1" outlineLevel="3" x14ac:dyDescent="0.2">
      <c r="A31" s="53" t="s">
        <v>29</v>
      </c>
      <c r="B31" s="53"/>
      <c r="C31" s="53"/>
      <c r="D31" s="53"/>
      <c r="E31" s="54">
        <v>26.181999999999999</v>
      </c>
      <c r="F31" s="54"/>
      <c r="G31" s="16">
        <v>21.478000000000002</v>
      </c>
      <c r="H31" s="15">
        <v>21.51</v>
      </c>
      <c r="I31" s="17">
        <v>6.2270000000000003</v>
      </c>
      <c r="J31" s="12"/>
    </row>
    <row r="32" spans="1:10" ht="11.25" hidden="1" customHeight="1" outlineLevel="3" x14ac:dyDescent="0.2">
      <c r="A32" s="53" t="s">
        <v>30</v>
      </c>
      <c r="B32" s="53"/>
      <c r="C32" s="53"/>
      <c r="D32" s="53"/>
      <c r="E32" s="54">
        <v>68.418999999999997</v>
      </c>
      <c r="F32" s="54"/>
      <c r="G32" s="16">
        <v>30.704000000000001</v>
      </c>
      <c r="H32" s="15">
        <v>30.803999999999998</v>
      </c>
      <c r="I32" s="17">
        <v>37.615000000000002</v>
      </c>
      <c r="J32" s="12"/>
    </row>
    <row r="33" spans="1:10" ht="11.25" hidden="1" customHeight="1" outlineLevel="3" x14ac:dyDescent="0.2">
      <c r="A33" s="53" t="s">
        <v>31</v>
      </c>
      <c r="B33" s="53"/>
      <c r="C33" s="53"/>
      <c r="D33" s="53"/>
      <c r="E33" s="54">
        <v>17.158000000000001</v>
      </c>
      <c r="F33" s="54"/>
      <c r="G33" s="16">
        <v>17.158000000000001</v>
      </c>
      <c r="H33" s="15">
        <v>17.158000000000001</v>
      </c>
      <c r="I33" s="23"/>
      <c r="J33" s="12"/>
    </row>
    <row r="34" spans="1:10" ht="11.25" hidden="1" customHeight="1" outlineLevel="3" x14ac:dyDescent="0.2">
      <c r="A34" s="53" t="s">
        <v>32</v>
      </c>
      <c r="B34" s="53"/>
      <c r="C34" s="53"/>
      <c r="D34" s="53"/>
      <c r="E34" s="54">
        <v>784.24</v>
      </c>
      <c r="F34" s="54"/>
      <c r="G34" s="16">
        <v>117.262</v>
      </c>
      <c r="H34" s="15">
        <v>119.521</v>
      </c>
      <c r="I34" s="17">
        <v>666.77099999999996</v>
      </c>
      <c r="J34" s="12"/>
    </row>
    <row r="35" spans="1:10" ht="11.25" hidden="1" customHeight="1" outlineLevel="3" x14ac:dyDescent="0.2">
      <c r="A35" s="53" t="s">
        <v>33</v>
      </c>
      <c r="B35" s="53"/>
      <c r="C35" s="53"/>
      <c r="D35" s="53"/>
      <c r="E35" s="54">
        <v>20.244</v>
      </c>
      <c r="F35" s="54"/>
      <c r="G35" s="16">
        <v>2.6</v>
      </c>
      <c r="H35" s="15">
        <v>2.5760000000000001</v>
      </c>
      <c r="I35" s="17">
        <v>17.667999999999999</v>
      </c>
      <c r="J35" s="12"/>
    </row>
    <row r="36" spans="1:10" ht="11.25" hidden="1" customHeight="1" outlineLevel="3" x14ac:dyDescent="0.2">
      <c r="A36" s="53" t="s">
        <v>34</v>
      </c>
      <c r="B36" s="53"/>
      <c r="C36" s="53"/>
      <c r="D36" s="53"/>
      <c r="E36" s="54">
        <v>34.701000000000001</v>
      </c>
      <c r="F36" s="54"/>
      <c r="G36" s="16">
        <v>6.3</v>
      </c>
      <c r="H36" s="15">
        <v>6.34</v>
      </c>
      <c r="I36" s="17">
        <v>28.361000000000001</v>
      </c>
      <c r="J36" s="12"/>
    </row>
    <row r="37" spans="1:10" ht="11.25" hidden="1" customHeight="1" outlineLevel="3" x14ac:dyDescent="0.2">
      <c r="A37" s="53" t="s">
        <v>35</v>
      </c>
      <c r="B37" s="53"/>
      <c r="C37" s="53"/>
      <c r="D37" s="53"/>
      <c r="E37" s="55">
        <v>1070.145</v>
      </c>
      <c r="F37" s="55"/>
      <c r="G37" s="16">
        <v>99.186000000000007</v>
      </c>
      <c r="H37" s="15">
        <v>100.717</v>
      </c>
      <c r="I37" s="17">
        <v>972.54600000000005</v>
      </c>
      <c r="J37" s="12"/>
    </row>
    <row r="38" spans="1:10" ht="11.25" customHeight="1" outlineLevel="3" x14ac:dyDescent="0.2">
      <c r="A38" s="49" t="s">
        <v>144</v>
      </c>
      <c r="B38" s="50"/>
      <c r="C38" s="51"/>
      <c r="D38" s="14"/>
      <c r="E38" s="61"/>
      <c r="F38" s="62"/>
      <c r="G38" s="20">
        <v>2.5</v>
      </c>
      <c r="H38" s="21"/>
      <c r="I38" s="17"/>
      <c r="J38" s="13">
        <f t="shared" si="0"/>
        <v>2.5</v>
      </c>
    </row>
    <row r="39" spans="1:10" ht="11.25" hidden="1" customHeight="1" outlineLevel="3" x14ac:dyDescent="0.2">
      <c r="A39" s="53" t="s">
        <v>36</v>
      </c>
      <c r="B39" s="53"/>
      <c r="C39" s="53"/>
      <c r="D39" s="53"/>
      <c r="E39" s="54">
        <v>81.369</v>
      </c>
      <c r="F39" s="54"/>
      <c r="G39" s="16">
        <v>9</v>
      </c>
      <c r="H39" s="15">
        <v>9.4120000000000008</v>
      </c>
      <c r="I39" s="17">
        <v>73.516000000000005</v>
      </c>
      <c r="J39" s="12"/>
    </row>
    <row r="40" spans="1:10" ht="11.25" hidden="1" customHeight="1" outlineLevel="3" x14ac:dyDescent="0.2">
      <c r="A40" s="53" t="s">
        <v>37</v>
      </c>
      <c r="B40" s="53"/>
      <c r="C40" s="53"/>
      <c r="D40" s="53"/>
      <c r="E40" s="54">
        <v>35.268999999999998</v>
      </c>
      <c r="F40" s="54"/>
      <c r="G40" s="16">
        <v>35.268999999999998</v>
      </c>
      <c r="H40" s="15">
        <v>35.268999999999998</v>
      </c>
      <c r="I40" s="23"/>
      <c r="J40" s="12"/>
    </row>
    <row r="41" spans="1:10" ht="11.25" hidden="1" customHeight="1" outlineLevel="3" x14ac:dyDescent="0.2">
      <c r="A41" s="53" t="s">
        <v>38</v>
      </c>
      <c r="B41" s="53"/>
      <c r="C41" s="53"/>
      <c r="D41" s="53"/>
      <c r="E41" s="54">
        <v>399.87799999999999</v>
      </c>
      <c r="F41" s="54"/>
      <c r="G41" s="16">
        <v>78.177999999999997</v>
      </c>
      <c r="H41" s="15">
        <v>80.295000000000002</v>
      </c>
      <c r="I41" s="17">
        <v>320.94600000000003</v>
      </c>
      <c r="J41" s="12"/>
    </row>
    <row r="42" spans="1:10" ht="11.25" hidden="1" customHeight="1" outlineLevel="3" x14ac:dyDescent="0.2">
      <c r="A42" s="53" t="s">
        <v>39</v>
      </c>
      <c r="B42" s="53"/>
      <c r="C42" s="53"/>
      <c r="D42" s="53"/>
      <c r="E42" s="54">
        <v>705.52</v>
      </c>
      <c r="F42" s="54"/>
      <c r="G42" s="16">
        <v>53.485999999999997</v>
      </c>
      <c r="H42" s="15">
        <v>55.42</v>
      </c>
      <c r="I42" s="17">
        <v>652.87800000000004</v>
      </c>
      <c r="J42" s="12"/>
    </row>
    <row r="43" spans="1:10" ht="11.25" customHeight="1" outlineLevel="3" x14ac:dyDescent="0.2">
      <c r="A43" s="53" t="s">
        <v>40</v>
      </c>
      <c r="B43" s="53"/>
      <c r="C43" s="53"/>
      <c r="D43" s="53"/>
      <c r="E43" s="54">
        <v>1.302</v>
      </c>
      <c r="F43" s="54"/>
      <c r="G43" s="20">
        <v>6.45</v>
      </c>
      <c r="H43" s="22"/>
      <c r="I43" s="17">
        <v>1.302</v>
      </c>
      <c r="J43" s="13">
        <f t="shared" si="0"/>
        <v>6.45</v>
      </c>
    </row>
    <row r="44" spans="1:10" ht="11.25" hidden="1" customHeight="1" outlineLevel="3" x14ac:dyDescent="0.2">
      <c r="A44" s="53" t="s">
        <v>41</v>
      </c>
      <c r="B44" s="53"/>
      <c r="C44" s="53"/>
      <c r="D44" s="53"/>
      <c r="E44" s="54">
        <v>53.902999999999999</v>
      </c>
      <c r="F44" s="54"/>
      <c r="G44" s="16">
        <v>2</v>
      </c>
      <c r="H44" s="15">
        <v>2.0760000000000001</v>
      </c>
      <c r="I44" s="17">
        <v>51.826999999999998</v>
      </c>
      <c r="J44" s="12"/>
    </row>
    <row r="45" spans="1:10" ht="11.25" hidden="1" customHeight="1" outlineLevel="3" x14ac:dyDescent="0.2">
      <c r="A45" s="53" t="s">
        <v>42</v>
      </c>
      <c r="B45" s="53"/>
      <c r="C45" s="53"/>
      <c r="D45" s="53"/>
      <c r="E45" s="54">
        <v>97.370999999999995</v>
      </c>
      <c r="F45" s="54"/>
      <c r="G45" s="16">
        <v>13</v>
      </c>
      <c r="H45" s="15">
        <v>14.78</v>
      </c>
      <c r="I45" s="17">
        <v>85.866</v>
      </c>
      <c r="J45" s="12"/>
    </row>
    <row r="46" spans="1:10" ht="11.25" hidden="1" customHeight="1" outlineLevel="3" x14ac:dyDescent="0.2">
      <c r="A46" s="53" t="s">
        <v>43</v>
      </c>
      <c r="B46" s="53"/>
      <c r="C46" s="53"/>
      <c r="D46" s="53"/>
      <c r="E46" s="54">
        <v>29.420999999999999</v>
      </c>
      <c r="F46" s="54"/>
      <c r="G46" s="16">
        <v>3.8</v>
      </c>
      <c r="H46" s="15">
        <v>3.7570000000000001</v>
      </c>
      <c r="I46" s="17">
        <v>25.664000000000001</v>
      </c>
      <c r="J46" s="12"/>
    </row>
    <row r="47" spans="1:10" ht="11.25" customHeight="1" outlineLevel="3" x14ac:dyDescent="0.2">
      <c r="A47" s="49" t="s">
        <v>145</v>
      </c>
      <c r="B47" s="50"/>
      <c r="C47" s="51"/>
      <c r="D47" s="14"/>
      <c r="E47" s="47"/>
      <c r="F47" s="48"/>
      <c r="G47" s="20">
        <v>2.8</v>
      </c>
      <c r="H47" s="21"/>
      <c r="I47" s="17"/>
      <c r="J47" s="13">
        <f t="shared" si="0"/>
        <v>2.8</v>
      </c>
    </row>
    <row r="48" spans="1:10" ht="11.25" hidden="1" customHeight="1" outlineLevel="3" x14ac:dyDescent="0.2">
      <c r="A48" s="53" t="s">
        <v>44</v>
      </c>
      <c r="B48" s="53"/>
      <c r="C48" s="53"/>
      <c r="D48" s="53"/>
      <c r="E48" s="54">
        <v>28.928000000000001</v>
      </c>
      <c r="F48" s="54"/>
      <c r="G48" s="16">
        <v>4.383</v>
      </c>
      <c r="H48" s="15">
        <v>4.4169999999999998</v>
      </c>
      <c r="I48" s="17">
        <v>25.143999999999998</v>
      </c>
      <c r="J48" s="12"/>
    </row>
    <row r="49" spans="1:11" ht="11.25" hidden="1" customHeight="1" outlineLevel="3" x14ac:dyDescent="0.2">
      <c r="A49" s="53" t="s">
        <v>45</v>
      </c>
      <c r="B49" s="53"/>
      <c r="C49" s="53"/>
      <c r="D49" s="53"/>
      <c r="E49" s="54">
        <v>16.768999999999998</v>
      </c>
      <c r="F49" s="54"/>
      <c r="G49" s="16">
        <v>1.7170000000000001</v>
      </c>
      <c r="H49" s="15">
        <v>1.7170000000000001</v>
      </c>
      <c r="I49" s="17">
        <v>16.768999999999998</v>
      </c>
      <c r="J49" s="12"/>
    </row>
    <row r="50" spans="1:11" ht="11.25" hidden="1" customHeight="1" outlineLevel="2" x14ac:dyDescent="0.2">
      <c r="A50" s="53" t="s">
        <v>46</v>
      </c>
      <c r="B50" s="53"/>
      <c r="C50" s="53"/>
      <c r="D50" s="53"/>
      <c r="E50" s="54">
        <v>62.68</v>
      </c>
      <c r="F50" s="54"/>
      <c r="G50" s="16">
        <v>0</v>
      </c>
      <c r="H50" s="18"/>
      <c r="I50" s="17">
        <v>62.68</v>
      </c>
      <c r="J50" s="12"/>
    </row>
    <row r="51" spans="1:11" ht="11.25" hidden="1" customHeight="1" outlineLevel="3" x14ac:dyDescent="0.2">
      <c r="A51" s="53" t="s">
        <v>47</v>
      </c>
      <c r="B51" s="53"/>
      <c r="C51" s="53"/>
      <c r="D51" s="53"/>
      <c r="E51" s="54">
        <v>27.675999999999998</v>
      </c>
      <c r="F51" s="54"/>
      <c r="G51" s="16">
        <v>0</v>
      </c>
      <c r="H51" s="18"/>
      <c r="I51" s="17">
        <v>27.675999999999998</v>
      </c>
      <c r="J51" s="12"/>
    </row>
    <row r="52" spans="1:11" ht="11.25" hidden="1" customHeight="1" outlineLevel="3" x14ac:dyDescent="0.2">
      <c r="A52" s="53" t="s">
        <v>48</v>
      </c>
      <c r="B52" s="53"/>
      <c r="C52" s="53"/>
      <c r="D52" s="53"/>
      <c r="E52" s="54">
        <v>25.536000000000001</v>
      </c>
      <c r="F52" s="54"/>
      <c r="G52" s="16">
        <v>1.3</v>
      </c>
      <c r="H52" s="15">
        <v>1.3240000000000001</v>
      </c>
      <c r="I52" s="17">
        <v>24.212</v>
      </c>
      <c r="J52" s="12"/>
    </row>
    <row r="53" spans="1:11" ht="11.25" hidden="1" customHeight="1" outlineLevel="3" x14ac:dyDescent="0.2">
      <c r="A53" s="56" t="s">
        <v>49</v>
      </c>
      <c r="B53" s="56"/>
      <c r="C53" s="56"/>
      <c r="D53" s="56"/>
      <c r="E53" s="57">
        <v>19172.205999999998</v>
      </c>
      <c r="F53" s="57"/>
      <c r="G53" s="35"/>
      <c r="H53" s="24">
        <v>2598.482</v>
      </c>
      <c r="I53" s="26">
        <v>3526.21</v>
      </c>
      <c r="J53" s="27"/>
    </row>
    <row r="54" spans="1:11" ht="11.25" hidden="1" customHeight="1" outlineLevel="3" x14ac:dyDescent="0.2">
      <c r="A54" s="53" t="s">
        <v>50</v>
      </c>
      <c r="B54" s="53"/>
      <c r="C54" s="53"/>
      <c r="D54" s="53"/>
      <c r="E54" s="54">
        <v>124</v>
      </c>
      <c r="F54" s="54"/>
      <c r="G54" s="16">
        <v>34.799999999999997</v>
      </c>
      <c r="H54" s="15">
        <v>34.799999999999997</v>
      </c>
      <c r="I54" s="17">
        <v>16</v>
      </c>
      <c r="J54" s="12"/>
    </row>
    <row r="55" spans="1:11" ht="11.25" hidden="1" customHeight="1" outlineLevel="3" x14ac:dyDescent="0.2">
      <c r="A55" s="53" t="s">
        <v>51</v>
      </c>
      <c r="B55" s="53"/>
      <c r="C55" s="53"/>
      <c r="D55" s="53"/>
      <c r="E55" s="54">
        <v>317</v>
      </c>
      <c r="F55" s="54"/>
      <c r="G55" s="16">
        <v>5</v>
      </c>
      <c r="H55" s="15">
        <v>5</v>
      </c>
      <c r="I55" s="17">
        <v>74.25</v>
      </c>
      <c r="J55" s="12"/>
    </row>
    <row r="56" spans="1:11" ht="11.25" hidden="1" customHeight="1" outlineLevel="3" x14ac:dyDescent="0.2">
      <c r="A56" s="53" t="s">
        <v>52</v>
      </c>
      <c r="B56" s="53"/>
      <c r="C56" s="53"/>
      <c r="D56" s="53"/>
      <c r="E56" s="54">
        <v>138</v>
      </c>
      <c r="F56" s="54"/>
      <c r="G56" s="16">
        <v>21.5</v>
      </c>
      <c r="H56" s="15">
        <v>21.5</v>
      </c>
      <c r="I56" s="17">
        <v>13.25</v>
      </c>
      <c r="J56" s="12"/>
    </row>
    <row r="57" spans="1:11" ht="11.25" hidden="1" customHeight="1" outlineLevel="3" x14ac:dyDescent="0.2">
      <c r="A57" s="53" t="s">
        <v>53</v>
      </c>
      <c r="B57" s="53"/>
      <c r="C57" s="53"/>
      <c r="D57" s="53"/>
      <c r="E57" s="54">
        <v>138</v>
      </c>
      <c r="F57" s="54"/>
      <c r="G57" s="16">
        <v>5.75</v>
      </c>
      <c r="H57" s="15">
        <v>5.75</v>
      </c>
      <c r="I57" s="17">
        <v>29</v>
      </c>
      <c r="J57" s="12"/>
    </row>
    <row r="58" spans="1:11" ht="11.25" hidden="1" customHeight="1" outlineLevel="3" x14ac:dyDescent="0.2">
      <c r="A58" s="53" t="s">
        <v>54</v>
      </c>
      <c r="B58" s="53"/>
      <c r="C58" s="53"/>
      <c r="D58" s="53"/>
      <c r="E58" s="54">
        <v>238</v>
      </c>
      <c r="F58" s="54"/>
      <c r="G58" s="16">
        <v>34.4</v>
      </c>
      <c r="H58" s="15">
        <v>34.4</v>
      </c>
      <c r="I58" s="17">
        <v>63.2</v>
      </c>
      <c r="J58" s="12"/>
    </row>
    <row r="59" spans="1:11" ht="11.25" customHeight="1" outlineLevel="3" x14ac:dyDescent="0.2">
      <c r="A59" s="53" t="s">
        <v>55</v>
      </c>
      <c r="B59" s="53"/>
      <c r="C59" s="53"/>
      <c r="D59" s="53"/>
      <c r="E59" s="54">
        <v>338</v>
      </c>
      <c r="F59" s="54"/>
      <c r="G59" s="20">
        <v>36.4</v>
      </c>
      <c r="H59" s="21">
        <v>22</v>
      </c>
      <c r="I59" s="17">
        <v>113.2</v>
      </c>
      <c r="J59" s="13">
        <f t="shared" ref="J59:J84" si="1">G59-H59</f>
        <v>14.399999999999999</v>
      </c>
      <c r="K59" s="33" t="s">
        <v>154</v>
      </c>
    </row>
    <row r="60" spans="1:11" ht="11.25" hidden="1" customHeight="1" outlineLevel="3" x14ac:dyDescent="0.2">
      <c r="A60" s="53" t="s">
        <v>56</v>
      </c>
      <c r="B60" s="53"/>
      <c r="C60" s="53"/>
      <c r="D60" s="53"/>
      <c r="E60" s="54">
        <v>250</v>
      </c>
      <c r="F60" s="54"/>
      <c r="G60" s="16">
        <v>23.76</v>
      </c>
      <c r="H60" s="15">
        <v>23.76</v>
      </c>
      <c r="I60" s="17">
        <v>32.119999999999997</v>
      </c>
      <c r="J60" s="12"/>
    </row>
    <row r="61" spans="1:11" ht="11.25" customHeight="1" outlineLevel="3" x14ac:dyDescent="0.2">
      <c r="A61" s="53" t="s">
        <v>57</v>
      </c>
      <c r="B61" s="53"/>
      <c r="C61" s="53"/>
      <c r="D61" s="53"/>
      <c r="E61" s="55">
        <v>1122</v>
      </c>
      <c r="F61" s="55"/>
      <c r="G61" s="20">
        <v>110.97</v>
      </c>
      <c r="H61" s="21">
        <v>99.27</v>
      </c>
      <c r="I61" s="17">
        <v>1.71</v>
      </c>
      <c r="J61" s="13">
        <f t="shared" si="1"/>
        <v>11.700000000000003</v>
      </c>
    </row>
    <row r="62" spans="1:11" ht="11.25" hidden="1" customHeight="1" outlineLevel="3" x14ac:dyDescent="0.2">
      <c r="A62" s="53" t="s">
        <v>58</v>
      </c>
      <c r="B62" s="53"/>
      <c r="C62" s="53"/>
      <c r="D62" s="53"/>
      <c r="E62" s="54">
        <v>180</v>
      </c>
      <c r="F62" s="54"/>
      <c r="G62" s="16">
        <v>12.33</v>
      </c>
      <c r="H62" s="15">
        <v>12.33</v>
      </c>
      <c r="I62" s="17">
        <v>3.87</v>
      </c>
      <c r="J62" s="12"/>
    </row>
    <row r="63" spans="1:11" ht="11.25" hidden="1" customHeight="1" outlineLevel="3" x14ac:dyDescent="0.2">
      <c r="A63" s="53" t="s">
        <v>59</v>
      </c>
      <c r="B63" s="53"/>
      <c r="C63" s="53"/>
      <c r="D63" s="53"/>
      <c r="E63" s="54">
        <v>18.504000000000001</v>
      </c>
      <c r="F63" s="54"/>
      <c r="G63" s="16">
        <v>18.504000000000001</v>
      </c>
      <c r="H63" s="15">
        <v>18.504000000000001</v>
      </c>
      <c r="I63" s="23"/>
      <c r="J63" s="12"/>
    </row>
    <row r="64" spans="1:11" ht="11.25" hidden="1" customHeight="1" outlineLevel="3" x14ac:dyDescent="0.2">
      <c r="A64" s="53" t="s">
        <v>60</v>
      </c>
      <c r="B64" s="53"/>
      <c r="C64" s="53"/>
      <c r="D64" s="53"/>
      <c r="E64" s="54">
        <v>106</v>
      </c>
      <c r="F64" s="54"/>
      <c r="G64" s="16">
        <v>12.3</v>
      </c>
      <c r="H64" s="15">
        <v>12.3</v>
      </c>
      <c r="I64" s="17">
        <v>3.75</v>
      </c>
      <c r="J64" s="12"/>
    </row>
    <row r="65" spans="1:10" ht="11.25" hidden="1" customHeight="1" outlineLevel="3" x14ac:dyDescent="0.2">
      <c r="A65" s="53" t="s">
        <v>61</v>
      </c>
      <c r="B65" s="53"/>
      <c r="C65" s="53"/>
      <c r="D65" s="53"/>
      <c r="E65" s="54">
        <v>105</v>
      </c>
      <c r="F65" s="54"/>
      <c r="G65" s="16">
        <v>0.8</v>
      </c>
      <c r="H65" s="15">
        <v>0.8</v>
      </c>
      <c r="I65" s="17">
        <v>41.6</v>
      </c>
      <c r="J65" s="12"/>
    </row>
    <row r="66" spans="1:10" ht="11.25" hidden="1" customHeight="1" outlineLevel="3" x14ac:dyDescent="0.2">
      <c r="A66" s="53" t="s">
        <v>62</v>
      </c>
      <c r="B66" s="53"/>
      <c r="C66" s="53"/>
      <c r="D66" s="53"/>
      <c r="E66" s="54">
        <v>290</v>
      </c>
      <c r="F66" s="54"/>
      <c r="G66" s="16">
        <v>66.400000000000006</v>
      </c>
      <c r="H66" s="15">
        <v>66.400000000000006</v>
      </c>
      <c r="I66" s="17">
        <v>52</v>
      </c>
      <c r="J66" s="12"/>
    </row>
    <row r="67" spans="1:10" ht="11.25" hidden="1" customHeight="1" outlineLevel="3" x14ac:dyDescent="0.2">
      <c r="A67" s="53" t="s">
        <v>63</v>
      </c>
      <c r="B67" s="53"/>
      <c r="C67" s="53"/>
      <c r="D67" s="53"/>
      <c r="E67" s="54">
        <v>947</v>
      </c>
      <c r="F67" s="54"/>
      <c r="G67" s="16">
        <v>86.8</v>
      </c>
      <c r="H67" s="15">
        <v>86.8</v>
      </c>
      <c r="I67" s="17">
        <v>293.60000000000002</v>
      </c>
      <c r="J67" s="12"/>
    </row>
    <row r="68" spans="1:10" ht="11.25" customHeight="1" outlineLevel="3" x14ac:dyDescent="0.2">
      <c r="A68" s="49" t="s">
        <v>146</v>
      </c>
      <c r="B68" s="50"/>
      <c r="C68" s="50"/>
      <c r="D68" s="51"/>
      <c r="E68" s="47"/>
      <c r="F68" s="48"/>
      <c r="G68" s="20">
        <v>0.4</v>
      </c>
      <c r="H68" s="21"/>
      <c r="I68" s="17"/>
      <c r="J68" s="13">
        <f t="shared" si="1"/>
        <v>0.4</v>
      </c>
    </row>
    <row r="69" spans="1:10" ht="11.25" customHeight="1" outlineLevel="3" x14ac:dyDescent="0.2">
      <c r="A69" s="49" t="s">
        <v>147</v>
      </c>
      <c r="B69" s="50"/>
      <c r="C69" s="50"/>
      <c r="D69" s="51"/>
      <c r="E69" s="47"/>
      <c r="F69" s="48"/>
      <c r="G69" s="20">
        <v>1.4</v>
      </c>
      <c r="H69" s="21"/>
      <c r="I69" s="17"/>
      <c r="J69" s="13">
        <f t="shared" si="1"/>
        <v>1.4</v>
      </c>
    </row>
    <row r="70" spans="1:10" ht="11.25" hidden="1" customHeight="1" outlineLevel="3" x14ac:dyDescent="0.2">
      <c r="A70" s="58" t="s">
        <v>64</v>
      </c>
      <c r="B70" s="59"/>
      <c r="C70" s="59"/>
      <c r="D70" s="60"/>
      <c r="E70" s="54">
        <v>512</v>
      </c>
      <c r="F70" s="54"/>
      <c r="G70" s="16">
        <v>37.799999999999997</v>
      </c>
      <c r="H70" s="15">
        <v>37.799999999999997</v>
      </c>
      <c r="I70" s="17">
        <v>117</v>
      </c>
      <c r="J70" s="12"/>
    </row>
    <row r="71" spans="1:10" ht="11.25" hidden="1" customHeight="1" outlineLevel="3" x14ac:dyDescent="0.2">
      <c r="A71" s="53" t="s">
        <v>65</v>
      </c>
      <c r="B71" s="53"/>
      <c r="C71" s="53"/>
      <c r="D71" s="53"/>
      <c r="E71" s="55">
        <v>1149</v>
      </c>
      <c r="F71" s="55"/>
      <c r="G71" s="16">
        <v>137.9</v>
      </c>
      <c r="H71" s="15">
        <v>137.9</v>
      </c>
      <c r="I71" s="17">
        <v>268.10000000000002</v>
      </c>
      <c r="J71" s="12"/>
    </row>
    <row r="72" spans="1:10" ht="11.25" customHeight="1" outlineLevel="3" x14ac:dyDescent="0.2">
      <c r="A72" s="49" t="s">
        <v>148</v>
      </c>
      <c r="B72" s="50"/>
      <c r="C72" s="50"/>
      <c r="D72" s="51"/>
      <c r="E72" s="61"/>
      <c r="F72" s="62"/>
      <c r="G72" s="20">
        <v>2.87</v>
      </c>
      <c r="H72" s="21"/>
      <c r="I72" s="17"/>
      <c r="J72" s="13">
        <f t="shared" si="1"/>
        <v>2.87</v>
      </c>
    </row>
    <row r="73" spans="1:10" ht="11.25" hidden="1" customHeight="1" outlineLevel="3" x14ac:dyDescent="0.2">
      <c r="A73" s="53" t="s">
        <v>66</v>
      </c>
      <c r="B73" s="53"/>
      <c r="C73" s="53"/>
      <c r="D73" s="53"/>
      <c r="E73" s="54">
        <v>59</v>
      </c>
      <c r="F73" s="54"/>
      <c r="G73" s="16">
        <v>5.74</v>
      </c>
      <c r="H73" s="15">
        <v>5.74</v>
      </c>
      <c r="I73" s="17">
        <v>18.86</v>
      </c>
      <c r="J73" s="12"/>
    </row>
    <row r="74" spans="1:10" ht="11.25" hidden="1" customHeight="1" outlineLevel="3" x14ac:dyDescent="0.2">
      <c r="A74" s="53" t="s">
        <v>67</v>
      </c>
      <c r="B74" s="53"/>
      <c r="C74" s="53"/>
      <c r="D74" s="53"/>
      <c r="E74" s="54">
        <v>24</v>
      </c>
      <c r="F74" s="54"/>
      <c r="G74" s="16">
        <v>2.16</v>
      </c>
      <c r="H74" s="15">
        <v>2.16</v>
      </c>
      <c r="I74" s="23"/>
      <c r="J74" s="12"/>
    </row>
    <row r="75" spans="1:10" ht="11.25" customHeight="1" outlineLevel="3" x14ac:dyDescent="0.2">
      <c r="A75" s="53" t="s">
        <v>68</v>
      </c>
      <c r="B75" s="53"/>
      <c r="C75" s="53"/>
      <c r="D75" s="53"/>
      <c r="E75" s="54">
        <v>61</v>
      </c>
      <c r="F75" s="54"/>
      <c r="G75" s="20">
        <v>64.8</v>
      </c>
      <c r="H75" s="21">
        <v>21.6</v>
      </c>
      <c r="I75" s="17">
        <v>2.16</v>
      </c>
      <c r="J75" s="13">
        <f t="shared" si="1"/>
        <v>43.199999999999996</v>
      </c>
    </row>
    <row r="76" spans="1:10" ht="11.25" hidden="1" customHeight="1" outlineLevel="3" x14ac:dyDescent="0.2">
      <c r="A76" s="53" t="s">
        <v>69</v>
      </c>
      <c r="B76" s="53"/>
      <c r="C76" s="53"/>
      <c r="D76" s="53"/>
      <c r="E76" s="54">
        <v>312</v>
      </c>
      <c r="F76" s="54"/>
      <c r="G76" s="16">
        <v>35.97</v>
      </c>
      <c r="H76" s="15">
        <v>35.97</v>
      </c>
      <c r="I76" s="17">
        <v>66.989999999999995</v>
      </c>
      <c r="J76" s="12"/>
    </row>
    <row r="77" spans="1:10" ht="11.25" hidden="1" customHeight="1" outlineLevel="3" x14ac:dyDescent="0.2">
      <c r="A77" s="53" t="s">
        <v>70</v>
      </c>
      <c r="B77" s="53"/>
      <c r="C77" s="53"/>
      <c r="D77" s="53"/>
      <c r="E77" s="54">
        <v>347</v>
      </c>
      <c r="F77" s="54"/>
      <c r="G77" s="16">
        <v>54.8</v>
      </c>
      <c r="H77" s="15">
        <v>54.8</v>
      </c>
      <c r="I77" s="17">
        <v>84.4</v>
      </c>
      <c r="J77" s="12"/>
    </row>
    <row r="78" spans="1:10" ht="11.25" hidden="1" customHeight="1" outlineLevel="3" x14ac:dyDescent="0.2">
      <c r="A78" s="53" t="s">
        <v>71</v>
      </c>
      <c r="B78" s="53"/>
      <c r="C78" s="53"/>
      <c r="D78" s="53"/>
      <c r="E78" s="54">
        <v>9</v>
      </c>
      <c r="F78" s="54"/>
      <c r="G78" s="16">
        <v>1.32</v>
      </c>
      <c r="H78" s="15">
        <v>1.32</v>
      </c>
      <c r="I78" s="17">
        <v>1.65</v>
      </c>
      <c r="J78" s="12"/>
    </row>
    <row r="79" spans="1:10" ht="11.25" customHeight="1" outlineLevel="3" x14ac:dyDescent="0.2">
      <c r="A79" s="49" t="s">
        <v>149</v>
      </c>
      <c r="B79" s="50"/>
      <c r="C79" s="50"/>
      <c r="D79" s="51"/>
      <c r="E79" s="47"/>
      <c r="F79" s="48"/>
      <c r="G79" s="20">
        <v>0.1</v>
      </c>
      <c r="H79" s="21"/>
      <c r="I79" s="17"/>
      <c r="J79" s="13">
        <f t="shared" si="1"/>
        <v>0.1</v>
      </c>
    </row>
    <row r="80" spans="1:10" ht="11.25" hidden="1" customHeight="1" outlineLevel="3" x14ac:dyDescent="0.2">
      <c r="A80" s="53" t="s">
        <v>72</v>
      </c>
      <c r="B80" s="53"/>
      <c r="C80" s="53"/>
      <c r="D80" s="53"/>
      <c r="E80" s="54">
        <v>80</v>
      </c>
      <c r="F80" s="54"/>
      <c r="G80" s="16">
        <v>4</v>
      </c>
      <c r="H80" s="15">
        <v>4</v>
      </c>
      <c r="I80" s="17">
        <v>28.4</v>
      </c>
      <c r="J80" s="12"/>
    </row>
    <row r="81" spans="1:10" ht="11.25" hidden="1" customHeight="1" outlineLevel="3" x14ac:dyDescent="0.2">
      <c r="A81" s="53" t="s">
        <v>73</v>
      </c>
      <c r="B81" s="53"/>
      <c r="C81" s="53"/>
      <c r="D81" s="53"/>
      <c r="E81" s="54">
        <v>152</v>
      </c>
      <c r="F81" s="54"/>
      <c r="G81" s="16">
        <v>11</v>
      </c>
      <c r="H81" s="15">
        <v>11</v>
      </c>
      <c r="I81" s="17">
        <v>27</v>
      </c>
      <c r="J81" s="12"/>
    </row>
    <row r="82" spans="1:10" ht="11.25" hidden="1" customHeight="1" outlineLevel="3" x14ac:dyDescent="0.2">
      <c r="A82" s="53" t="s">
        <v>74</v>
      </c>
      <c r="B82" s="53"/>
      <c r="C82" s="53"/>
      <c r="D82" s="53"/>
      <c r="E82" s="54">
        <v>20</v>
      </c>
      <c r="F82" s="54"/>
      <c r="G82" s="16">
        <v>0.27</v>
      </c>
      <c r="H82" s="15">
        <v>0.27</v>
      </c>
      <c r="I82" s="17">
        <v>5.13</v>
      </c>
      <c r="J82" s="12"/>
    </row>
    <row r="83" spans="1:10" ht="11.25" hidden="1" customHeight="1" outlineLevel="3" x14ac:dyDescent="0.2">
      <c r="A83" s="53" t="s">
        <v>75</v>
      </c>
      <c r="B83" s="53"/>
      <c r="C83" s="53"/>
      <c r="D83" s="53"/>
      <c r="E83" s="54">
        <v>104</v>
      </c>
      <c r="F83" s="54"/>
      <c r="G83" s="16">
        <v>2.4</v>
      </c>
      <c r="H83" s="15">
        <v>2.4</v>
      </c>
      <c r="I83" s="17">
        <v>29.4</v>
      </c>
      <c r="J83" s="12"/>
    </row>
    <row r="84" spans="1:10" ht="11.25" customHeight="1" outlineLevel="3" x14ac:dyDescent="0.2">
      <c r="A84" s="53" t="s">
        <v>76</v>
      </c>
      <c r="B84" s="53"/>
      <c r="C84" s="53"/>
      <c r="D84" s="53"/>
      <c r="E84" s="55">
        <v>2250</v>
      </c>
      <c r="F84" s="55"/>
      <c r="G84" s="20">
        <v>957.35</v>
      </c>
      <c r="H84" s="21">
        <v>895.85</v>
      </c>
      <c r="I84" s="17">
        <v>30.34</v>
      </c>
      <c r="J84" s="13">
        <f t="shared" si="1"/>
        <v>61.5</v>
      </c>
    </row>
    <row r="85" spans="1:10" ht="11.25" hidden="1" customHeight="1" outlineLevel="3" x14ac:dyDescent="0.2">
      <c r="A85" s="53" t="s">
        <v>77</v>
      </c>
      <c r="B85" s="53"/>
      <c r="C85" s="53"/>
      <c r="D85" s="53"/>
      <c r="E85" s="54">
        <v>107</v>
      </c>
      <c r="F85" s="54"/>
      <c r="G85" s="16">
        <v>0.35</v>
      </c>
      <c r="H85" s="15">
        <v>0.35</v>
      </c>
      <c r="I85" s="17">
        <v>37.1</v>
      </c>
      <c r="J85" s="12"/>
    </row>
    <row r="86" spans="1:10" ht="11.25" hidden="1" customHeight="1" outlineLevel="3" x14ac:dyDescent="0.2">
      <c r="A86" s="53" t="s">
        <v>78</v>
      </c>
      <c r="B86" s="53"/>
      <c r="C86" s="53"/>
      <c r="D86" s="53"/>
      <c r="E86" s="54">
        <v>769</v>
      </c>
      <c r="F86" s="54"/>
      <c r="G86" s="16">
        <v>88.56</v>
      </c>
      <c r="H86" s="15">
        <v>88.56</v>
      </c>
      <c r="I86" s="17">
        <v>231.65</v>
      </c>
      <c r="J86" s="12"/>
    </row>
    <row r="87" spans="1:10" ht="11.25" hidden="1" customHeight="1" outlineLevel="3" x14ac:dyDescent="0.2">
      <c r="A87" s="53" t="s">
        <v>79</v>
      </c>
      <c r="B87" s="53"/>
      <c r="C87" s="53"/>
      <c r="D87" s="53"/>
      <c r="E87" s="54">
        <v>157</v>
      </c>
      <c r="F87" s="54"/>
      <c r="G87" s="16">
        <v>33.6</v>
      </c>
      <c r="H87" s="15">
        <v>33.6</v>
      </c>
      <c r="I87" s="17">
        <v>13.8</v>
      </c>
      <c r="J87" s="12"/>
    </row>
    <row r="88" spans="1:10" ht="11.25" hidden="1" customHeight="1" outlineLevel="3" x14ac:dyDescent="0.2">
      <c r="A88" s="53" t="s">
        <v>80</v>
      </c>
      <c r="B88" s="53"/>
      <c r="C88" s="53"/>
      <c r="D88" s="53"/>
      <c r="E88" s="54">
        <v>175</v>
      </c>
      <c r="F88" s="54"/>
      <c r="G88" s="16">
        <v>15.66</v>
      </c>
      <c r="H88" s="15">
        <v>15.66</v>
      </c>
      <c r="I88" s="17">
        <v>15.84</v>
      </c>
      <c r="J88" s="12"/>
    </row>
    <row r="89" spans="1:10" ht="11.25" hidden="1" customHeight="1" outlineLevel="3" x14ac:dyDescent="0.2">
      <c r="A89" s="53" t="s">
        <v>81</v>
      </c>
      <c r="B89" s="53"/>
      <c r="C89" s="53"/>
      <c r="D89" s="53"/>
      <c r="E89" s="54">
        <v>32</v>
      </c>
      <c r="F89" s="54"/>
      <c r="G89" s="16">
        <v>0.22</v>
      </c>
      <c r="H89" s="15">
        <v>0.22</v>
      </c>
      <c r="I89" s="17">
        <v>6.82</v>
      </c>
      <c r="J89" s="12"/>
    </row>
    <row r="90" spans="1:10" ht="11.25" customHeight="1" outlineLevel="3" x14ac:dyDescent="0.2">
      <c r="A90" s="49" t="s">
        <v>150</v>
      </c>
      <c r="B90" s="50"/>
      <c r="C90" s="50"/>
      <c r="D90" s="51"/>
      <c r="E90" s="47"/>
      <c r="F90" s="68"/>
      <c r="G90" s="20">
        <v>0.22</v>
      </c>
      <c r="H90" s="21"/>
      <c r="I90" s="17"/>
      <c r="J90" s="13">
        <f>G90-H90</f>
        <v>0.22</v>
      </c>
    </row>
    <row r="91" spans="1:10" ht="11.25" hidden="1" customHeight="1" outlineLevel="3" x14ac:dyDescent="0.2">
      <c r="A91" s="53" t="s">
        <v>82</v>
      </c>
      <c r="B91" s="53"/>
      <c r="C91" s="53"/>
      <c r="D91" s="53"/>
      <c r="E91" s="54">
        <v>994</v>
      </c>
      <c r="F91" s="54"/>
      <c r="G91" s="16">
        <v>86.8</v>
      </c>
      <c r="H91" s="15">
        <v>86.8</v>
      </c>
      <c r="I91" s="17">
        <v>263.89999999999998</v>
      </c>
      <c r="J91" s="12"/>
    </row>
    <row r="92" spans="1:10" ht="11.25" hidden="1" customHeight="1" outlineLevel="3" x14ac:dyDescent="0.2">
      <c r="A92" s="53" t="s">
        <v>83</v>
      </c>
      <c r="B92" s="53"/>
      <c r="C92" s="53"/>
      <c r="D92" s="53"/>
      <c r="E92" s="54">
        <v>8</v>
      </c>
      <c r="F92" s="54"/>
      <c r="G92" s="16">
        <v>1.4</v>
      </c>
      <c r="H92" s="15">
        <v>1.4</v>
      </c>
      <c r="I92" s="17">
        <v>1.4</v>
      </c>
      <c r="J92" s="12"/>
    </row>
    <row r="93" spans="1:10" ht="11.25" hidden="1" customHeight="1" outlineLevel="3" x14ac:dyDescent="0.2">
      <c r="A93" s="53" t="s">
        <v>84</v>
      </c>
      <c r="B93" s="53"/>
      <c r="C93" s="53"/>
      <c r="D93" s="53"/>
      <c r="E93" s="54">
        <v>14</v>
      </c>
      <c r="F93" s="54"/>
      <c r="G93" s="16"/>
      <c r="H93" s="18"/>
      <c r="I93" s="17">
        <v>8.68</v>
      </c>
      <c r="J93" s="12"/>
    </row>
    <row r="94" spans="1:10" ht="11.25" hidden="1" customHeight="1" outlineLevel="3" x14ac:dyDescent="0.2">
      <c r="A94" s="53" t="s">
        <v>85</v>
      </c>
      <c r="B94" s="53"/>
      <c r="C94" s="53"/>
      <c r="D94" s="53"/>
      <c r="E94" s="55">
        <v>1007</v>
      </c>
      <c r="F94" s="55"/>
      <c r="G94" s="16">
        <v>155.05000000000001</v>
      </c>
      <c r="H94" s="15">
        <v>155.05000000000001</v>
      </c>
      <c r="I94" s="17">
        <v>201.6</v>
      </c>
      <c r="J94" s="12"/>
    </row>
    <row r="95" spans="1:10" ht="11.25" hidden="1" customHeight="1" outlineLevel="3" x14ac:dyDescent="0.2">
      <c r="A95" s="53" t="s">
        <v>86</v>
      </c>
      <c r="B95" s="53"/>
      <c r="C95" s="53"/>
      <c r="D95" s="53"/>
      <c r="E95" s="54">
        <v>162</v>
      </c>
      <c r="F95" s="54"/>
      <c r="G95" s="16">
        <v>5.7</v>
      </c>
      <c r="H95" s="15">
        <v>5.7</v>
      </c>
      <c r="I95" s="17">
        <v>43.8</v>
      </c>
      <c r="J95" s="12"/>
    </row>
    <row r="96" spans="1:10" ht="11.25" hidden="1" customHeight="1" outlineLevel="3" x14ac:dyDescent="0.2">
      <c r="A96" s="53" t="s">
        <v>87</v>
      </c>
      <c r="B96" s="53"/>
      <c r="C96" s="53"/>
      <c r="D96" s="53"/>
      <c r="E96" s="54">
        <v>71</v>
      </c>
      <c r="F96" s="54"/>
      <c r="G96" s="16">
        <v>10.199999999999999</v>
      </c>
      <c r="H96" s="15">
        <v>10.199999999999999</v>
      </c>
      <c r="I96" s="17">
        <v>11.4</v>
      </c>
      <c r="J96" s="12"/>
    </row>
    <row r="97" spans="1:10" ht="11.25" hidden="1" customHeight="1" outlineLevel="3" x14ac:dyDescent="0.2">
      <c r="A97" s="53" t="s">
        <v>88</v>
      </c>
      <c r="B97" s="53"/>
      <c r="C97" s="53"/>
      <c r="D97" s="53"/>
      <c r="E97" s="54">
        <v>130</v>
      </c>
      <c r="F97" s="54"/>
      <c r="G97" s="16">
        <v>13.44</v>
      </c>
      <c r="H97" s="15">
        <v>13.44</v>
      </c>
      <c r="I97" s="17">
        <v>22.96</v>
      </c>
      <c r="J97" s="12"/>
    </row>
    <row r="98" spans="1:10" ht="11.25" hidden="1" customHeight="1" outlineLevel="3" x14ac:dyDescent="0.2">
      <c r="A98" s="53" t="s">
        <v>89</v>
      </c>
      <c r="B98" s="53"/>
      <c r="C98" s="53"/>
      <c r="D98" s="53"/>
      <c r="E98" s="54">
        <v>476</v>
      </c>
      <c r="F98" s="54"/>
      <c r="G98" s="16">
        <v>39.479999999999997</v>
      </c>
      <c r="H98" s="15">
        <v>39.479999999999997</v>
      </c>
      <c r="I98" s="17">
        <v>95.48</v>
      </c>
      <c r="J98" s="12"/>
    </row>
    <row r="99" spans="1:10" ht="11.25" hidden="1" customHeight="1" outlineLevel="3" x14ac:dyDescent="0.2">
      <c r="A99" s="53" t="s">
        <v>90</v>
      </c>
      <c r="B99" s="53"/>
      <c r="C99" s="53"/>
      <c r="D99" s="53"/>
      <c r="E99" s="54">
        <v>505</v>
      </c>
      <c r="F99" s="54"/>
      <c r="G99" s="16">
        <v>82.6</v>
      </c>
      <c r="H99" s="15">
        <v>82.6</v>
      </c>
      <c r="I99" s="17">
        <v>59.92</v>
      </c>
      <c r="J99" s="12"/>
    </row>
    <row r="100" spans="1:10" ht="11.25" hidden="1" customHeight="1" outlineLevel="3" x14ac:dyDescent="0.2">
      <c r="A100" s="53" t="s">
        <v>91</v>
      </c>
      <c r="B100" s="53"/>
      <c r="C100" s="53"/>
      <c r="D100" s="53"/>
      <c r="E100" s="54">
        <v>666</v>
      </c>
      <c r="F100" s="54"/>
      <c r="G100" s="16">
        <v>74.8</v>
      </c>
      <c r="H100" s="15">
        <v>74.8</v>
      </c>
      <c r="I100" s="17">
        <v>193.6</v>
      </c>
      <c r="J100" s="12"/>
    </row>
    <row r="101" spans="1:10" ht="11.25" hidden="1" customHeight="1" outlineLevel="3" x14ac:dyDescent="0.2">
      <c r="A101" s="53" t="s">
        <v>92</v>
      </c>
      <c r="B101" s="53"/>
      <c r="C101" s="53"/>
      <c r="D101" s="53"/>
      <c r="E101" s="54">
        <v>30.702000000000002</v>
      </c>
      <c r="F101" s="54"/>
      <c r="G101" s="16">
        <v>30.702000000000002</v>
      </c>
      <c r="H101" s="15">
        <v>30.702000000000002</v>
      </c>
      <c r="I101" s="23"/>
      <c r="J101" s="12"/>
    </row>
    <row r="102" spans="1:10" ht="11.25" hidden="1" customHeight="1" outlineLevel="3" x14ac:dyDescent="0.2">
      <c r="A102" s="53" t="s">
        <v>93</v>
      </c>
      <c r="B102" s="53"/>
      <c r="C102" s="53"/>
      <c r="D102" s="53"/>
      <c r="E102" s="54">
        <v>92</v>
      </c>
      <c r="F102" s="54"/>
      <c r="G102" s="16">
        <v>0.28000000000000003</v>
      </c>
      <c r="H102" s="15">
        <v>0</v>
      </c>
      <c r="I102" s="17">
        <v>30.42</v>
      </c>
      <c r="J102" s="12"/>
    </row>
    <row r="103" spans="1:10" ht="11.25" hidden="1" customHeight="1" outlineLevel="3" x14ac:dyDescent="0.2">
      <c r="A103" s="53" t="s">
        <v>94</v>
      </c>
      <c r="B103" s="53"/>
      <c r="C103" s="53"/>
      <c r="D103" s="53"/>
      <c r="E103" s="54">
        <v>10</v>
      </c>
      <c r="F103" s="54"/>
      <c r="G103" s="34">
        <v>0.67600000000000005</v>
      </c>
      <c r="H103" s="15">
        <v>0.67600000000000005</v>
      </c>
      <c r="I103" s="17">
        <v>3.25</v>
      </c>
      <c r="J103" s="12"/>
    </row>
    <row r="104" spans="1:10" ht="11.25" hidden="1" customHeight="1" outlineLevel="3" x14ac:dyDescent="0.2">
      <c r="A104" s="53" t="s">
        <v>95</v>
      </c>
      <c r="B104" s="53"/>
      <c r="C104" s="53"/>
      <c r="D104" s="53"/>
      <c r="E104" s="54">
        <v>32</v>
      </c>
      <c r="F104" s="54"/>
      <c r="G104" s="16">
        <v>7.04</v>
      </c>
      <c r="H104" s="15">
        <v>7.04</v>
      </c>
      <c r="I104" s="23"/>
      <c r="J104" s="12"/>
    </row>
    <row r="105" spans="1:10" ht="11.25" hidden="1" customHeight="1" outlineLevel="3" x14ac:dyDescent="0.2">
      <c r="A105" s="53" t="s">
        <v>96</v>
      </c>
      <c r="B105" s="53"/>
      <c r="C105" s="53"/>
      <c r="D105" s="53"/>
      <c r="E105" s="54">
        <v>258</v>
      </c>
      <c r="F105" s="54"/>
      <c r="G105" s="16">
        <v>13.56</v>
      </c>
      <c r="H105" s="15">
        <v>13.56</v>
      </c>
      <c r="I105" s="17">
        <v>17.760000000000002</v>
      </c>
      <c r="J105" s="12"/>
    </row>
    <row r="106" spans="1:10" ht="11.25" hidden="1" customHeight="1" outlineLevel="3" x14ac:dyDescent="0.2">
      <c r="A106" s="53" t="s">
        <v>97</v>
      </c>
      <c r="B106" s="53"/>
      <c r="C106" s="53"/>
      <c r="D106" s="53"/>
      <c r="E106" s="54">
        <v>87</v>
      </c>
      <c r="F106" s="54"/>
      <c r="G106" s="16">
        <v>3</v>
      </c>
      <c r="H106" s="15">
        <v>3</v>
      </c>
      <c r="I106" s="17">
        <v>10.050000000000001</v>
      </c>
      <c r="J106" s="12"/>
    </row>
    <row r="107" spans="1:10" ht="11.25" hidden="1" customHeight="1" outlineLevel="3" x14ac:dyDescent="0.2">
      <c r="A107" s="53" t="s">
        <v>98</v>
      </c>
      <c r="B107" s="53"/>
      <c r="C107" s="53"/>
      <c r="D107" s="53"/>
      <c r="E107" s="54">
        <v>75</v>
      </c>
      <c r="F107" s="54"/>
      <c r="G107" s="16">
        <v>3.3</v>
      </c>
      <c r="H107" s="15">
        <v>3.3</v>
      </c>
      <c r="I107" s="17">
        <v>7.95</v>
      </c>
      <c r="J107" s="12"/>
    </row>
    <row r="108" spans="1:10" ht="11.25" hidden="1" customHeight="1" outlineLevel="3" x14ac:dyDescent="0.2">
      <c r="A108" s="53" t="s">
        <v>99</v>
      </c>
      <c r="B108" s="53"/>
      <c r="C108" s="53"/>
      <c r="D108" s="53"/>
      <c r="E108" s="54">
        <v>407</v>
      </c>
      <c r="F108" s="54"/>
      <c r="G108" s="16">
        <v>50.49</v>
      </c>
      <c r="H108" s="15">
        <v>50.49</v>
      </c>
      <c r="I108" s="17">
        <v>86.13</v>
      </c>
      <c r="J108" s="12"/>
    </row>
    <row r="109" spans="1:10" ht="11.25" hidden="1" customHeight="1" outlineLevel="3" x14ac:dyDescent="0.2">
      <c r="A109" s="53" t="s">
        <v>100</v>
      </c>
      <c r="B109" s="53"/>
      <c r="C109" s="53"/>
      <c r="D109" s="53"/>
      <c r="E109" s="54">
        <v>624</v>
      </c>
      <c r="F109" s="54"/>
      <c r="G109" s="16">
        <v>10.8</v>
      </c>
      <c r="H109" s="15">
        <v>10.8</v>
      </c>
      <c r="I109" s="17">
        <v>84</v>
      </c>
      <c r="J109" s="12"/>
    </row>
    <row r="110" spans="1:10" ht="11.25" customHeight="1" outlineLevel="3" x14ac:dyDescent="0.2">
      <c r="A110" s="49" t="s">
        <v>151</v>
      </c>
      <c r="B110" s="50"/>
      <c r="C110" s="50"/>
      <c r="D110" s="51"/>
      <c r="E110" s="47"/>
      <c r="F110" s="48"/>
      <c r="G110" s="20">
        <v>0.28000000000000003</v>
      </c>
      <c r="H110" s="21"/>
      <c r="I110" s="17"/>
      <c r="J110" s="13">
        <f t="shared" ref="J110:J122" si="2">G110-H110</f>
        <v>0.28000000000000003</v>
      </c>
    </row>
    <row r="111" spans="1:10" ht="11.25" hidden="1" customHeight="1" outlineLevel="3" x14ac:dyDescent="0.2">
      <c r="A111" s="53" t="s">
        <v>101</v>
      </c>
      <c r="B111" s="53"/>
      <c r="C111" s="53"/>
      <c r="D111" s="53"/>
      <c r="E111" s="54">
        <v>581</v>
      </c>
      <c r="F111" s="54"/>
      <c r="G111" s="16">
        <v>10.66</v>
      </c>
      <c r="H111" s="15">
        <v>10.66</v>
      </c>
      <c r="I111" s="17">
        <v>227.55</v>
      </c>
      <c r="J111" s="12"/>
    </row>
    <row r="112" spans="1:10" ht="11.25" hidden="1" customHeight="1" outlineLevel="3" x14ac:dyDescent="0.2">
      <c r="A112" s="53" t="s">
        <v>102</v>
      </c>
      <c r="B112" s="53"/>
      <c r="C112" s="53"/>
      <c r="D112" s="53"/>
      <c r="E112" s="54">
        <v>159</v>
      </c>
      <c r="F112" s="54"/>
      <c r="G112" s="16">
        <v>6.5</v>
      </c>
      <c r="H112" s="15">
        <v>6.5</v>
      </c>
      <c r="I112" s="17">
        <v>35.880000000000003</v>
      </c>
      <c r="J112" s="12"/>
    </row>
    <row r="113" spans="1:10" ht="11.25" hidden="1" customHeight="1" outlineLevel="3" x14ac:dyDescent="0.2">
      <c r="A113" s="53" t="s">
        <v>103</v>
      </c>
      <c r="B113" s="53"/>
      <c r="C113" s="53"/>
      <c r="D113" s="53"/>
      <c r="E113" s="54">
        <v>149</v>
      </c>
      <c r="F113" s="54"/>
      <c r="G113" s="16">
        <v>5.89</v>
      </c>
      <c r="H113" s="15">
        <v>5.89</v>
      </c>
      <c r="I113" s="17">
        <v>41.23</v>
      </c>
      <c r="J113" s="12"/>
    </row>
    <row r="114" spans="1:10" ht="11.25" hidden="1" customHeight="1" outlineLevel="3" x14ac:dyDescent="0.2">
      <c r="A114" s="53" t="s">
        <v>104</v>
      </c>
      <c r="B114" s="53"/>
      <c r="C114" s="53"/>
      <c r="D114" s="53"/>
      <c r="E114" s="54">
        <v>275</v>
      </c>
      <c r="F114" s="54"/>
      <c r="G114" s="16">
        <v>8.8000000000000007</v>
      </c>
      <c r="H114" s="15">
        <v>8.8000000000000007</v>
      </c>
      <c r="I114" s="17">
        <v>102.8</v>
      </c>
      <c r="J114" s="12"/>
    </row>
    <row r="115" spans="1:10" ht="11.25" hidden="1" customHeight="1" outlineLevel="3" x14ac:dyDescent="0.2">
      <c r="A115" s="53" t="s">
        <v>105</v>
      </c>
      <c r="B115" s="53"/>
      <c r="C115" s="53"/>
      <c r="D115" s="53"/>
      <c r="E115" s="54">
        <v>211</v>
      </c>
      <c r="F115" s="54"/>
      <c r="G115" s="16">
        <v>32.200000000000003</v>
      </c>
      <c r="H115" s="15">
        <v>32.200000000000003</v>
      </c>
      <c r="I115" s="17">
        <v>42.7</v>
      </c>
      <c r="J115" s="12"/>
    </row>
    <row r="116" spans="1:10" ht="11.25" hidden="1" customHeight="1" outlineLevel="2" x14ac:dyDescent="0.2">
      <c r="A116" s="53" t="s">
        <v>106</v>
      </c>
      <c r="B116" s="53"/>
      <c r="C116" s="53"/>
      <c r="D116" s="53"/>
      <c r="E116" s="54">
        <v>168</v>
      </c>
      <c r="F116" s="54"/>
      <c r="G116" s="16">
        <v>15.18</v>
      </c>
      <c r="H116" s="15">
        <v>15.18</v>
      </c>
      <c r="I116" s="17">
        <v>40.26</v>
      </c>
      <c r="J116" s="12"/>
    </row>
    <row r="117" spans="1:10" ht="11.25" customHeight="1" outlineLevel="3" x14ac:dyDescent="0.2">
      <c r="A117" s="49" t="s">
        <v>152</v>
      </c>
      <c r="B117" s="50"/>
      <c r="C117" s="50"/>
      <c r="D117" s="51"/>
      <c r="E117" s="47"/>
      <c r="F117" s="48"/>
      <c r="G117" s="20">
        <v>0.3</v>
      </c>
      <c r="H117" s="21"/>
      <c r="I117" s="17"/>
      <c r="J117" s="13">
        <f t="shared" si="2"/>
        <v>0.3</v>
      </c>
    </row>
    <row r="118" spans="1:10" ht="11.25" hidden="1" customHeight="1" outlineLevel="3" x14ac:dyDescent="0.2">
      <c r="A118" s="53" t="s">
        <v>107</v>
      </c>
      <c r="B118" s="53"/>
      <c r="C118" s="53"/>
      <c r="D118" s="53"/>
      <c r="E118" s="54">
        <v>229</v>
      </c>
      <c r="F118" s="54"/>
      <c r="G118" s="16">
        <v>15.2</v>
      </c>
      <c r="H118" s="15">
        <v>15.2</v>
      </c>
      <c r="I118" s="17">
        <v>7.9</v>
      </c>
      <c r="J118" s="12"/>
    </row>
    <row r="119" spans="1:10" ht="11.25" hidden="1" customHeight="1" outlineLevel="3" x14ac:dyDescent="0.2">
      <c r="A119" s="53" t="s">
        <v>108</v>
      </c>
      <c r="B119" s="53"/>
      <c r="C119" s="53"/>
      <c r="D119" s="53"/>
      <c r="E119" s="54">
        <v>282</v>
      </c>
      <c r="F119" s="54"/>
      <c r="G119" s="16">
        <v>19.600000000000001</v>
      </c>
      <c r="H119" s="15">
        <v>20.2</v>
      </c>
      <c r="I119" s="17">
        <v>8.5</v>
      </c>
      <c r="J119" s="12"/>
    </row>
    <row r="120" spans="1:10" ht="11.25" customHeight="1" outlineLevel="3" x14ac:dyDescent="0.2">
      <c r="A120" s="53" t="s">
        <v>109</v>
      </c>
      <c r="B120" s="53"/>
      <c r="C120" s="53"/>
      <c r="D120" s="53"/>
      <c r="E120" s="54">
        <v>10</v>
      </c>
      <c r="F120" s="54"/>
      <c r="G120" s="20">
        <v>1.3</v>
      </c>
      <c r="H120" s="21">
        <v>1</v>
      </c>
      <c r="I120" s="23"/>
      <c r="J120" s="13">
        <f t="shared" si="2"/>
        <v>0.30000000000000004</v>
      </c>
    </row>
    <row r="121" spans="1:10" ht="11.25" hidden="1" customHeight="1" outlineLevel="3" x14ac:dyDescent="0.2">
      <c r="A121" s="53" t="s">
        <v>110</v>
      </c>
      <c r="B121" s="53"/>
      <c r="C121" s="53"/>
      <c r="D121" s="53"/>
      <c r="E121" s="54">
        <v>482</v>
      </c>
      <c r="F121" s="54"/>
      <c r="G121" s="16">
        <v>65.599999999999994</v>
      </c>
      <c r="H121" s="15">
        <v>65.599999999999994</v>
      </c>
      <c r="I121" s="17">
        <v>128.4</v>
      </c>
      <c r="J121" s="12"/>
    </row>
    <row r="122" spans="1:10" ht="11.25" customHeight="1" outlineLevel="3" x14ac:dyDescent="0.2">
      <c r="A122" s="53" t="s">
        <v>111</v>
      </c>
      <c r="B122" s="53"/>
      <c r="C122" s="53"/>
      <c r="D122" s="53"/>
      <c r="E122" s="54">
        <v>13</v>
      </c>
      <c r="F122" s="54"/>
      <c r="G122" s="20">
        <v>5.0999999999999996</v>
      </c>
      <c r="H122" s="21">
        <v>3.6</v>
      </c>
      <c r="I122" s="17">
        <v>0.3</v>
      </c>
      <c r="J122" s="13">
        <f t="shared" si="2"/>
        <v>1.4999999999999996</v>
      </c>
    </row>
    <row r="123" spans="1:10" ht="11.25" hidden="1" customHeight="1" outlineLevel="3" x14ac:dyDescent="0.2">
      <c r="A123" s="53" t="s">
        <v>112</v>
      </c>
      <c r="B123" s="53"/>
      <c r="C123" s="53"/>
      <c r="D123" s="53"/>
      <c r="E123" s="54">
        <v>123</v>
      </c>
      <c r="F123" s="54"/>
      <c r="G123" s="16">
        <v>28.8</v>
      </c>
      <c r="H123" s="15">
        <v>28.8</v>
      </c>
      <c r="I123" s="17">
        <v>8.1</v>
      </c>
      <c r="J123" s="12"/>
    </row>
    <row r="124" spans="1:10" ht="11.25" hidden="1" customHeight="1" outlineLevel="3" x14ac:dyDescent="0.2">
      <c r="A124" s="53" t="s">
        <v>113</v>
      </c>
      <c r="B124" s="53"/>
      <c r="C124" s="53"/>
      <c r="D124" s="53"/>
      <c r="E124" s="54">
        <v>103</v>
      </c>
      <c r="F124" s="54"/>
      <c r="G124" s="16">
        <v>1.6</v>
      </c>
      <c r="H124" s="15">
        <v>1.6</v>
      </c>
      <c r="I124" s="17">
        <v>8.6999999999999993</v>
      </c>
      <c r="J124" s="12"/>
    </row>
    <row r="125" spans="1:10" ht="11.25" hidden="1" customHeight="1" outlineLevel="3" x14ac:dyDescent="0.2">
      <c r="A125" s="53" t="s">
        <v>114</v>
      </c>
      <c r="B125" s="53"/>
      <c r="C125" s="53"/>
      <c r="D125" s="53"/>
      <c r="E125" s="54">
        <v>108</v>
      </c>
      <c r="F125" s="54"/>
      <c r="G125" s="16">
        <v>1.4</v>
      </c>
      <c r="H125" s="15">
        <v>1.4</v>
      </c>
      <c r="I125" s="17">
        <v>9.4</v>
      </c>
      <c r="J125" s="12"/>
    </row>
    <row r="126" spans="1:10" ht="11.25" hidden="1" customHeight="1" outlineLevel="3" x14ac:dyDescent="0.2">
      <c r="A126" s="56" t="s">
        <v>115</v>
      </c>
      <c r="B126" s="56"/>
      <c r="C126" s="56"/>
      <c r="D126" s="56"/>
      <c r="E126" s="63">
        <v>399.596</v>
      </c>
      <c r="F126" s="63"/>
      <c r="G126" s="35"/>
      <c r="H126" s="25">
        <v>22.047999999999998</v>
      </c>
      <c r="I126" s="28">
        <v>208.83799999999999</v>
      </c>
      <c r="J126" s="27"/>
    </row>
    <row r="127" spans="1:10" ht="11.25" hidden="1" customHeight="1" outlineLevel="3" x14ac:dyDescent="0.2">
      <c r="A127" s="53" t="s">
        <v>116</v>
      </c>
      <c r="B127" s="53"/>
      <c r="C127" s="53"/>
      <c r="D127" s="53"/>
      <c r="E127" s="54">
        <v>27.398</v>
      </c>
      <c r="F127" s="54"/>
      <c r="G127" s="36"/>
      <c r="H127" s="15">
        <v>9.1080000000000005</v>
      </c>
      <c r="I127" s="17">
        <v>18.29</v>
      </c>
      <c r="J127" s="12"/>
    </row>
    <row r="128" spans="1:10" ht="11.25" hidden="1" customHeight="1" outlineLevel="3" x14ac:dyDescent="0.2">
      <c r="A128" s="53" t="s">
        <v>117</v>
      </c>
      <c r="B128" s="53"/>
      <c r="C128" s="53"/>
      <c r="D128" s="53"/>
      <c r="E128" s="54">
        <v>4.5739999999999998</v>
      </c>
      <c r="F128" s="54"/>
      <c r="G128" s="36"/>
      <c r="H128" s="18"/>
      <c r="I128" s="17">
        <v>4.5739999999999998</v>
      </c>
      <c r="J128" s="12"/>
    </row>
    <row r="129" spans="1:10" ht="11.25" hidden="1" customHeight="1" outlineLevel="3" x14ac:dyDescent="0.2">
      <c r="A129" s="53" t="s">
        <v>118</v>
      </c>
      <c r="B129" s="53"/>
      <c r="C129" s="53"/>
      <c r="D129" s="53"/>
      <c r="E129" s="54">
        <v>5</v>
      </c>
      <c r="F129" s="54"/>
      <c r="G129" s="36"/>
      <c r="H129" s="18"/>
      <c r="I129" s="17">
        <v>2.1</v>
      </c>
      <c r="J129" s="12"/>
    </row>
    <row r="130" spans="1:10" ht="11.25" hidden="1" customHeight="1" outlineLevel="3" x14ac:dyDescent="0.2">
      <c r="A130" s="49" t="s">
        <v>153</v>
      </c>
      <c r="B130" s="50"/>
      <c r="C130" s="50"/>
      <c r="D130" s="51"/>
      <c r="E130" s="47"/>
      <c r="F130" s="48"/>
      <c r="G130" s="36"/>
      <c r="H130" s="18"/>
      <c r="I130" s="17"/>
      <c r="J130" s="12"/>
    </row>
    <row r="131" spans="1:10" ht="11.25" hidden="1" customHeight="1" outlineLevel="3" x14ac:dyDescent="0.2">
      <c r="A131" s="53" t="s">
        <v>119</v>
      </c>
      <c r="B131" s="53"/>
      <c r="C131" s="53"/>
      <c r="D131" s="53"/>
      <c r="E131" s="54">
        <v>16</v>
      </c>
      <c r="F131" s="54"/>
      <c r="G131" s="36"/>
      <c r="H131" s="18"/>
      <c r="I131" s="17">
        <v>4.8</v>
      </c>
      <c r="J131" s="12"/>
    </row>
    <row r="132" spans="1:10" ht="11.25" hidden="1" customHeight="1" outlineLevel="3" x14ac:dyDescent="0.2">
      <c r="A132" s="53" t="s">
        <v>120</v>
      </c>
      <c r="B132" s="53"/>
      <c r="C132" s="53"/>
      <c r="D132" s="53"/>
      <c r="E132" s="54">
        <v>8</v>
      </c>
      <c r="F132" s="54"/>
      <c r="G132" s="36"/>
      <c r="H132" s="18"/>
      <c r="I132" s="17">
        <v>2.8</v>
      </c>
      <c r="J132" s="12"/>
    </row>
    <row r="133" spans="1:10" ht="11.25" hidden="1" customHeight="1" outlineLevel="2" collapsed="1" x14ac:dyDescent="0.2">
      <c r="A133" s="53" t="s">
        <v>121</v>
      </c>
      <c r="B133" s="53"/>
      <c r="C133" s="53"/>
      <c r="D133" s="53"/>
      <c r="E133" s="54">
        <v>13</v>
      </c>
      <c r="F133" s="54"/>
      <c r="G133" s="36"/>
      <c r="H133" s="18"/>
      <c r="I133" s="17">
        <v>3.9</v>
      </c>
      <c r="J133" s="12"/>
    </row>
    <row r="134" spans="1:10" ht="11.25" hidden="1" customHeight="1" outlineLevel="3" x14ac:dyDescent="0.2">
      <c r="A134" s="53" t="s">
        <v>122</v>
      </c>
      <c r="B134" s="53"/>
      <c r="C134" s="53"/>
      <c r="D134" s="53"/>
      <c r="E134" s="54">
        <v>3</v>
      </c>
      <c r="F134" s="54"/>
      <c r="G134" s="36"/>
      <c r="H134" s="18"/>
      <c r="I134" s="17">
        <v>1.05</v>
      </c>
      <c r="J134" s="12"/>
    </row>
    <row r="135" spans="1:10" ht="11.25" hidden="1" customHeight="1" outlineLevel="3" x14ac:dyDescent="0.2">
      <c r="A135" s="53" t="s">
        <v>123</v>
      </c>
      <c r="B135" s="53"/>
      <c r="C135" s="53"/>
      <c r="D135" s="53"/>
      <c r="E135" s="54">
        <v>2</v>
      </c>
      <c r="F135" s="54"/>
      <c r="G135" s="36"/>
      <c r="H135" s="18"/>
      <c r="I135" s="17">
        <v>0.6</v>
      </c>
      <c r="J135" s="12"/>
    </row>
    <row r="136" spans="1:10" ht="11.25" hidden="1" customHeight="1" outlineLevel="2" collapsed="1" x14ac:dyDescent="0.2">
      <c r="A136" s="53" t="s">
        <v>124</v>
      </c>
      <c r="B136" s="53"/>
      <c r="C136" s="53"/>
      <c r="D136" s="53"/>
      <c r="E136" s="54">
        <v>53</v>
      </c>
      <c r="F136" s="54"/>
      <c r="G136" s="36"/>
      <c r="H136" s="15">
        <v>1.5</v>
      </c>
      <c r="I136" s="17">
        <v>25</v>
      </c>
      <c r="J136" s="12"/>
    </row>
    <row r="137" spans="1:10" ht="11.25" hidden="1" customHeight="1" outlineLevel="3" x14ac:dyDescent="0.2">
      <c r="A137" s="53" t="s">
        <v>125</v>
      </c>
      <c r="B137" s="53"/>
      <c r="C137" s="53"/>
      <c r="D137" s="53"/>
      <c r="E137" s="54">
        <v>46</v>
      </c>
      <c r="F137" s="54"/>
      <c r="G137" s="36"/>
      <c r="H137" s="15">
        <v>2.1</v>
      </c>
      <c r="I137" s="17">
        <v>17.22</v>
      </c>
      <c r="J137" s="12"/>
    </row>
    <row r="138" spans="1:10" ht="11.25" hidden="1" customHeight="1" outlineLevel="1" x14ac:dyDescent="0.2">
      <c r="A138" s="53" t="s">
        <v>126</v>
      </c>
      <c r="B138" s="53"/>
      <c r="C138" s="53"/>
      <c r="D138" s="53"/>
      <c r="E138" s="54">
        <v>3</v>
      </c>
      <c r="F138" s="54"/>
      <c r="G138" s="36"/>
      <c r="H138" s="18"/>
      <c r="I138" s="17">
        <v>2.1</v>
      </c>
      <c r="J138" s="12"/>
    </row>
    <row r="139" spans="1:10" ht="12.75" hidden="1" customHeight="1" x14ac:dyDescent="0.2">
      <c r="A139" s="53" t="s">
        <v>127</v>
      </c>
      <c r="B139" s="53"/>
      <c r="C139" s="53"/>
      <c r="D139" s="53"/>
      <c r="E139" s="54">
        <v>56</v>
      </c>
      <c r="F139" s="54"/>
      <c r="G139" s="36"/>
      <c r="H139" s="15">
        <v>0.84</v>
      </c>
      <c r="I139" s="17">
        <v>22.68</v>
      </c>
      <c r="J139" s="12"/>
    </row>
    <row r="140" spans="1:10" hidden="1" x14ac:dyDescent="0.2">
      <c r="A140" s="53" t="s">
        <v>128</v>
      </c>
      <c r="B140" s="53"/>
      <c r="C140" s="53"/>
      <c r="D140" s="53"/>
      <c r="E140" s="54">
        <v>50</v>
      </c>
      <c r="F140" s="54"/>
      <c r="G140" s="36"/>
      <c r="H140" s="18"/>
      <c r="I140" s="17">
        <v>35</v>
      </c>
      <c r="J140" s="12"/>
    </row>
    <row r="141" spans="1:10" hidden="1" x14ac:dyDescent="0.2">
      <c r="A141" s="53" t="s">
        <v>129</v>
      </c>
      <c r="B141" s="53"/>
      <c r="C141" s="53"/>
      <c r="D141" s="53"/>
      <c r="E141" s="54">
        <v>26</v>
      </c>
      <c r="F141" s="54"/>
      <c r="G141" s="36"/>
      <c r="H141" s="15">
        <v>7.7</v>
      </c>
      <c r="I141" s="17">
        <v>10.5</v>
      </c>
      <c r="J141" s="12"/>
    </row>
    <row r="142" spans="1:10" hidden="1" x14ac:dyDescent="0.2">
      <c r="A142" s="53" t="s">
        <v>130</v>
      </c>
      <c r="B142" s="53"/>
      <c r="C142" s="53"/>
      <c r="D142" s="53"/>
      <c r="E142" s="54">
        <v>46</v>
      </c>
      <c r="F142" s="54"/>
      <c r="G142" s="36"/>
      <c r="H142" s="15">
        <v>0.8</v>
      </c>
      <c r="I142" s="17">
        <v>17.600000000000001</v>
      </c>
      <c r="J142" s="12"/>
    </row>
    <row r="143" spans="1:10" hidden="1" x14ac:dyDescent="0.2">
      <c r="A143" s="53" t="s">
        <v>131</v>
      </c>
      <c r="B143" s="53"/>
      <c r="C143" s="53"/>
      <c r="D143" s="53"/>
      <c r="E143" s="54">
        <v>40.624000000000002</v>
      </c>
      <c r="F143" s="54"/>
      <c r="G143" s="36"/>
      <c r="H143" s="18"/>
      <c r="I143" s="17">
        <v>40.624000000000002</v>
      </c>
      <c r="J143" s="12"/>
    </row>
    <row r="144" spans="1:10" hidden="1" x14ac:dyDescent="0.2">
      <c r="A144" s="56" t="s">
        <v>132</v>
      </c>
      <c r="B144" s="56"/>
      <c r="C144" s="56"/>
      <c r="D144" s="56"/>
      <c r="E144" s="63">
        <v>1.6919999999999999</v>
      </c>
      <c r="F144" s="63"/>
      <c r="G144" s="35"/>
      <c r="H144" s="25">
        <v>4.5149999999999997</v>
      </c>
      <c r="I144" s="28">
        <v>-2.823</v>
      </c>
      <c r="J144" s="27"/>
    </row>
    <row r="145" spans="1:10" x14ac:dyDescent="0.2">
      <c r="A145" s="53" t="s">
        <v>133</v>
      </c>
      <c r="B145" s="53"/>
      <c r="C145" s="53"/>
      <c r="D145" s="53"/>
      <c r="E145" s="54">
        <v>-3.9630000000000001</v>
      </c>
      <c r="F145" s="54"/>
      <c r="G145" s="20">
        <v>1.5</v>
      </c>
      <c r="H145" s="22"/>
      <c r="I145" s="17">
        <v>-3.9630000000000001</v>
      </c>
      <c r="J145" s="13">
        <f>G145-H145</f>
        <v>1.5</v>
      </c>
    </row>
    <row r="146" spans="1:10" hidden="1" x14ac:dyDescent="0.2">
      <c r="A146" s="53" t="s">
        <v>134</v>
      </c>
      <c r="B146" s="53"/>
      <c r="C146" s="53"/>
      <c r="D146" s="53"/>
      <c r="E146" s="54">
        <v>5.6550000000000002</v>
      </c>
      <c r="F146" s="54"/>
      <c r="G146" s="16">
        <v>4.3</v>
      </c>
      <c r="H146" s="15">
        <v>4.5149999999999997</v>
      </c>
      <c r="I146" s="17">
        <v>1.1399999999999999</v>
      </c>
      <c r="J146" s="12"/>
    </row>
    <row r="147" spans="1:10" hidden="1" x14ac:dyDescent="0.2">
      <c r="A147" s="56" t="s">
        <v>135</v>
      </c>
      <c r="B147" s="56"/>
      <c r="C147" s="56"/>
      <c r="D147" s="56"/>
      <c r="E147" s="63">
        <v>30</v>
      </c>
      <c r="F147" s="63"/>
      <c r="G147" s="35"/>
      <c r="H147" s="25">
        <v>25.2</v>
      </c>
      <c r="I147" s="29"/>
      <c r="J147" s="27"/>
    </row>
    <row r="148" spans="1:10" hidden="1" x14ac:dyDescent="0.2">
      <c r="A148" s="53" t="s">
        <v>136</v>
      </c>
      <c r="B148" s="53"/>
      <c r="C148" s="53"/>
      <c r="D148" s="53"/>
      <c r="E148" s="54">
        <v>30</v>
      </c>
      <c r="F148" s="54"/>
      <c r="G148" s="16">
        <v>25.2</v>
      </c>
      <c r="H148" s="15">
        <v>25.2</v>
      </c>
      <c r="I148" s="23"/>
      <c r="J148" s="12"/>
    </row>
    <row r="149" spans="1:10" ht="12.75" x14ac:dyDescent="0.2">
      <c r="A149" s="64" t="s">
        <v>137</v>
      </c>
      <c r="B149" s="64"/>
      <c r="C149" s="64"/>
      <c r="D149" s="64"/>
      <c r="E149" s="65">
        <v>30214.675999999999</v>
      </c>
      <c r="F149" s="65"/>
      <c r="G149" s="37"/>
      <c r="H149" s="30">
        <v>3944.951</v>
      </c>
      <c r="I149" s="31">
        <v>29217.75</v>
      </c>
      <c r="J149" s="32">
        <f>SUM(J10:J148)</f>
        <v>159.52000000000001</v>
      </c>
    </row>
  </sheetData>
  <autoFilter ref="A8:J149" xr:uid="{00000000-0001-0000-0000-000000000000}">
    <filterColumn colId="0" showButton="0"/>
    <filterColumn colId="1" showButton="0"/>
    <filterColumn colId="2" showButton="0"/>
    <filterColumn colId="4" showButton="0"/>
    <filterColumn colId="5" showButton="0"/>
    <filterColumn colId="6" showButton="0"/>
    <filterColumn colId="9">
      <customFilters>
        <customFilter operator="notEqual" val=" "/>
      </customFilters>
    </filterColumn>
  </autoFilter>
  <mergeCells count="287">
    <mergeCell ref="A149:D149"/>
    <mergeCell ref="E149:F149"/>
    <mergeCell ref="J8:J9"/>
    <mergeCell ref="A21:C21"/>
    <mergeCell ref="A38:C38"/>
    <mergeCell ref="E38:F38"/>
    <mergeCell ref="E21:F21"/>
    <mergeCell ref="A47:C47"/>
    <mergeCell ref="A146:D146"/>
    <mergeCell ref="E146:F146"/>
    <mergeCell ref="A117:D117"/>
    <mergeCell ref="E117:F117"/>
    <mergeCell ref="A130:D130"/>
    <mergeCell ref="E130:F130"/>
    <mergeCell ref="A90:D90"/>
    <mergeCell ref="E90:F90"/>
    <mergeCell ref="A127:D127"/>
    <mergeCell ref="E127:F127"/>
    <mergeCell ref="A128:D128"/>
    <mergeCell ref="E128:F128"/>
    <mergeCell ref="A141:D141"/>
    <mergeCell ref="E141:F141"/>
    <mergeCell ref="A142:D142"/>
    <mergeCell ref="E142:F142"/>
    <mergeCell ref="A147:D147"/>
    <mergeCell ref="E147:F147"/>
    <mergeCell ref="A148:D148"/>
    <mergeCell ref="E148:F148"/>
    <mergeCell ref="A143:D143"/>
    <mergeCell ref="E143:F143"/>
    <mergeCell ref="A144:D144"/>
    <mergeCell ref="E144:F144"/>
    <mergeCell ref="A145:D145"/>
    <mergeCell ref="E145:F14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9:D129"/>
    <mergeCell ref="E129:F129"/>
    <mergeCell ref="A124:D124"/>
    <mergeCell ref="E124:F124"/>
    <mergeCell ref="A125:D125"/>
    <mergeCell ref="E125:F125"/>
    <mergeCell ref="A126:D126"/>
    <mergeCell ref="E126:F126"/>
    <mergeCell ref="A114:D114"/>
    <mergeCell ref="E114:F114"/>
    <mergeCell ref="A115:D115"/>
    <mergeCell ref="E115:F115"/>
    <mergeCell ref="A116:D116"/>
    <mergeCell ref="E116:F116"/>
    <mergeCell ref="A118:D118"/>
    <mergeCell ref="E118:F118"/>
    <mergeCell ref="A119:D119"/>
    <mergeCell ref="E119:F119"/>
    <mergeCell ref="A108:D108"/>
    <mergeCell ref="E108:F108"/>
    <mergeCell ref="A109:D109"/>
    <mergeCell ref="E109:F109"/>
    <mergeCell ref="A111:D111"/>
    <mergeCell ref="E111:F111"/>
    <mergeCell ref="A112:D112"/>
    <mergeCell ref="E112:F112"/>
    <mergeCell ref="A113:D113"/>
    <mergeCell ref="E113:F113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87:D87"/>
    <mergeCell ref="E87:F87"/>
    <mergeCell ref="A88:D88"/>
    <mergeCell ref="E88:F88"/>
    <mergeCell ref="A89:D89"/>
    <mergeCell ref="E89:F89"/>
    <mergeCell ref="A91:D91"/>
    <mergeCell ref="E91:F91"/>
    <mergeCell ref="A92:D92"/>
    <mergeCell ref="E92:F92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76:D76"/>
    <mergeCell ref="E76:F76"/>
    <mergeCell ref="A77:D77"/>
    <mergeCell ref="E77:F77"/>
    <mergeCell ref="A78:D78"/>
    <mergeCell ref="E78:F78"/>
    <mergeCell ref="A80:D80"/>
    <mergeCell ref="E80:F80"/>
    <mergeCell ref="A81:D81"/>
    <mergeCell ref="E81:F81"/>
    <mergeCell ref="A79:D79"/>
    <mergeCell ref="E79:F79"/>
    <mergeCell ref="A71:D71"/>
    <mergeCell ref="E71:F71"/>
    <mergeCell ref="A73:D73"/>
    <mergeCell ref="E73:F73"/>
    <mergeCell ref="A74:D74"/>
    <mergeCell ref="E74:F74"/>
    <mergeCell ref="A72:D72"/>
    <mergeCell ref="E72:F72"/>
    <mergeCell ref="A75:D75"/>
    <mergeCell ref="E75:F75"/>
    <mergeCell ref="A65:D65"/>
    <mergeCell ref="E65:F65"/>
    <mergeCell ref="A66:D66"/>
    <mergeCell ref="E66:F66"/>
    <mergeCell ref="A67:D67"/>
    <mergeCell ref="E67:F67"/>
    <mergeCell ref="A70:D70"/>
    <mergeCell ref="E70:F70"/>
    <mergeCell ref="A68:D68"/>
    <mergeCell ref="A69:D69"/>
    <mergeCell ref="E68:F68"/>
    <mergeCell ref="E69:F6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44:D44"/>
    <mergeCell ref="E44:F44"/>
    <mergeCell ref="A45:D45"/>
    <mergeCell ref="E45:F45"/>
    <mergeCell ref="A46:D46"/>
    <mergeCell ref="E46:F46"/>
    <mergeCell ref="A48:D48"/>
    <mergeCell ref="E48:F48"/>
    <mergeCell ref="A49:D49"/>
    <mergeCell ref="E49:F49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E23:F23"/>
    <mergeCell ref="A24:D24"/>
    <mergeCell ref="E24:F24"/>
    <mergeCell ref="A25:D25"/>
    <mergeCell ref="E25:F25"/>
    <mergeCell ref="A26:D26"/>
    <mergeCell ref="E26:F26"/>
    <mergeCell ref="A27:D27"/>
    <mergeCell ref="E27:F27"/>
    <mergeCell ref="E47:F47"/>
    <mergeCell ref="A110:D110"/>
    <mergeCell ref="E110:F110"/>
    <mergeCell ref="A12:D12"/>
    <mergeCell ref="E12:F12"/>
    <mergeCell ref="A13:D13"/>
    <mergeCell ref="E13:F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2:D22"/>
    <mergeCell ref="E22:F22"/>
    <mergeCell ref="A23:D23"/>
    <mergeCell ref="C6:J6"/>
    <mergeCell ref="A8:D8"/>
    <mergeCell ref="E8:H8"/>
    <mergeCell ref="I8:I9"/>
    <mergeCell ref="A9:D9"/>
    <mergeCell ref="E9:F9"/>
    <mergeCell ref="A10:D10"/>
    <mergeCell ref="E10:F10"/>
    <mergeCell ref="A11:D11"/>
    <mergeCell ref="E11:F11"/>
  </mergeCells>
  <phoneticPr fontId="0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25EC1-1F44-4DC5-AA50-D7BEC8BE68B1}">
  <dimension ref="A1:E21"/>
  <sheetViews>
    <sheetView tabSelected="1" zoomScale="115" zoomScaleNormal="115" workbookViewId="0">
      <selection activeCell="G28" sqref="G28"/>
    </sheetView>
  </sheetViews>
  <sheetFormatPr defaultRowHeight="11.25" x14ac:dyDescent="0.2"/>
  <cols>
    <col min="1" max="1" width="69.83203125" bestFit="1" customWidth="1"/>
    <col min="3" max="3" width="26.1640625" customWidth="1"/>
    <col min="4" max="4" width="10.33203125" customWidth="1"/>
    <col min="5" max="5" width="21.1640625" customWidth="1"/>
  </cols>
  <sheetData>
    <row r="1" spans="1:5" x14ac:dyDescent="0.2">
      <c r="A1" s="11" t="s">
        <v>168</v>
      </c>
      <c r="B1" s="11" t="s">
        <v>169</v>
      </c>
      <c r="C1" s="11"/>
      <c r="D1" s="11" t="s">
        <v>170</v>
      </c>
      <c r="E1" s="11"/>
    </row>
    <row r="2" spans="1:5" x14ac:dyDescent="0.2">
      <c r="A2" s="11" t="s">
        <v>143</v>
      </c>
      <c r="B2" s="11">
        <v>0.5</v>
      </c>
      <c r="C2" s="69" t="s">
        <v>164</v>
      </c>
      <c r="D2" s="11"/>
      <c r="E2" s="11"/>
    </row>
    <row r="3" spans="1:5" x14ac:dyDescent="0.2">
      <c r="A3" s="11" t="s">
        <v>155</v>
      </c>
      <c r="B3" s="11">
        <v>7.6</v>
      </c>
      <c r="C3" s="11" t="str">
        <f>VLOOKUP(A3,[1]Sheet!$A:$I,9,0)</f>
        <v>матрица</v>
      </c>
      <c r="D3" s="11">
        <f>VLOOKUP(A3,[2]TDSheet!$A:$N,14,0)</f>
        <v>3.6920000000000002</v>
      </c>
      <c r="E3" s="11" t="s">
        <v>166</v>
      </c>
    </row>
    <row r="4" spans="1:5" x14ac:dyDescent="0.2">
      <c r="A4" s="11" t="s">
        <v>144</v>
      </c>
      <c r="B4" s="11">
        <v>2.5</v>
      </c>
      <c r="C4" s="69" t="s">
        <v>165</v>
      </c>
      <c r="D4" s="11"/>
      <c r="E4" s="11"/>
    </row>
    <row r="5" spans="1:5" x14ac:dyDescent="0.2">
      <c r="A5" s="11" t="s">
        <v>156</v>
      </c>
      <c r="B5" s="11">
        <v>6.45</v>
      </c>
      <c r="C5" s="11" t="str">
        <f>VLOOKUP(A5,[1]Sheet!$A:$I,9,0)</f>
        <v>матрица</v>
      </c>
      <c r="D5" s="11">
        <f>VLOOKUP(A5,[2]TDSheet!$A:$N,14,0)</f>
        <v>55.741999999999997</v>
      </c>
      <c r="E5" s="11"/>
    </row>
    <row r="6" spans="1:5" x14ac:dyDescent="0.2">
      <c r="A6" s="11" t="s">
        <v>145</v>
      </c>
      <c r="B6" s="11">
        <v>2.8</v>
      </c>
      <c r="C6" s="69" t="s">
        <v>164</v>
      </c>
      <c r="D6" s="11"/>
      <c r="E6" s="11"/>
    </row>
    <row r="7" spans="1:5" x14ac:dyDescent="0.2">
      <c r="A7" s="11" t="s">
        <v>157</v>
      </c>
      <c r="B7" s="11">
        <v>14.399999999999999</v>
      </c>
      <c r="C7" s="11" t="str">
        <f>VLOOKUP(A7,[1]Sheet!$A:$I,9,0)</f>
        <v>матрица</v>
      </c>
      <c r="D7" s="11">
        <f>VLOOKUP(A7,[2]TDSheet!$A:$N,14,0)</f>
        <v>112.4</v>
      </c>
      <c r="E7" s="11" t="s">
        <v>154</v>
      </c>
    </row>
    <row r="8" spans="1:5" x14ac:dyDescent="0.2">
      <c r="A8" s="11" t="s">
        <v>158</v>
      </c>
      <c r="B8" s="11">
        <v>11.700000000000003</v>
      </c>
      <c r="C8" s="11" t="str">
        <f>VLOOKUP(A8,[1]Sheet!$A:$I,9,0)</f>
        <v>ВНИМАНИЕ / матрица</v>
      </c>
      <c r="D8" s="11">
        <f>VLOOKUP(A8,[2]TDSheet!$A:$N,14,0)</f>
        <v>5.94</v>
      </c>
      <c r="E8" s="11"/>
    </row>
    <row r="9" spans="1:5" x14ac:dyDescent="0.2">
      <c r="A9" s="11" t="s">
        <v>146</v>
      </c>
      <c r="B9" s="11">
        <v>0.4</v>
      </c>
      <c r="C9" s="69" t="s">
        <v>164</v>
      </c>
      <c r="D9" s="11"/>
      <c r="E9" s="11"/>
    </row>
    <row r="10" spans="1:5" x14ac:dyDescent="0.2">
      <c r="A10" s="11" t="s">
        <v>147</v>
      </c>
      <c r="B10" s="11">
        <v>1.4</v>
      </c>
      <c r="C10" s="69" t="str">
        <f>VLOOKUP(A10,[1]Sheet!$A:$I,9,0)</f>
        <v>не в матрице</v>
      </c>
      <c r="D10" s="11"/>
      <c r="E10" s="11"/>
    </row>
    <row r="11" spans="1:5" x14ac:dyDescent="0.2">
      <c r="A11" s="11" t="s">
        <v>148</v>
      </c>
      <c r="B11" s="11">
        <v>2.87</v>
      </c>
      <c r="C11" s="69" t="str">
        <f>VLOOKUP(A11,[1]Sheet!$A:$I,9,0)</f>
        <v>вывод</v>
      </c>
      <c r="D11" s="11"/>
      <c r="E11" s="11"/>
    </row>
    <row r="12" spans="1:5" x14ac:dyDescent="0.2">
      <c r="A12" s="11" t="s">
        <v>159</v>
      </c>
      <c r="B12" s="11">
        <v>43.199999999999996</v>
      </c>
      <c r="C12" s="69" t="str">
        <f>VLOOKUP(A12,[1]Sheet!$A:$I,9,0)</f>
        <v>ротация на 7520</v>
      </c>
      <c r="D12" s="11"/>
      <c r="E12" s="11"/>
    </row>
    <row r="13" spans="1:5" x14ac:dyDescent="0.2">
      <c r="A13" s="11" t="s">
        <v>149</v>
      </c>
      <c r="B13" s="11">
        <v>0.1</v>
      </c>
      <c r="C13" s="69" t="s">
        <v>164</v>
      </c>
      <c r="D13" s="11"/>
      <c r="E13" s="11"/>
    </row>
    <row r="14" spans="1:5" x14ac:dyDescent="0.2">
      <c r="A14" s="11" t="s">
        <v>160</v>
      </c>
      <c r="B14" s="11">
        <v>61.5</v>
      </c>
      <c r="C14" s="11" t="str">
        <f>VLOOKUP(A14,[1]Sheet!$A:$I,9,0)</f>
        <v>ВНИМАНИЕ / матрица</v>
      </c>
      <c r="D14" s="11">
        <f>VLOOKUP(A14,[2]TDSheet!$A:$N,14,0)</f>
        <v>241.49</v>
      </c>
      <c r="E14" s="11"/>
    </row>
    <row r="15" spans="1:5" x14ac:dyDescent="0.2">
      <c r="A15" s="11" t="s">
        <v>150</v>
      </c>
      <c r="B15" s="11">
        <v>0.22</v>
      </c>
      <c r="C15" s="69" t="s">
        <v>164</v>
      </c>
      <c r="D15" s="11"/>
      <c r="E15" s="11"/>
    </row>
    <row r="16" spans="1:5" x14ac:dyDescent="0.2">
      <c r="A16" s="11" t="s">
        <v>151</v>
      </c>
      <c r="B16" s="11">
        <v>0.28000000000000003</v>
      </c>
      <c r="C16" s="69" t="s">
        <v>164</v>
      </c>
      <c r="D16" s="11"/>
      <c r="E16" s="11"/>
    </row>
    <row r="17" spans="1:5" x14ac:dyDescent="0.2">
      <c r="A17" s="11" t="s">
        <v>152</v>
      </c>
      <c r="B17" s="11">
        <v>0.3</v>
      </c>
      <c r="C17" s="69" t="s">
        <v>164</v>
      </c>
      <c r="D17" s="11"/>
      <c r="E17" s="11"/>
    </row>
    <row r="18" spans="1:5" x14ac:dyDescent="0.2">
      <c r="A18" s="11" t="s">
        <v>161</v>
      </c>
      <c r="B18" s="11">
        <v>0.30000000000000004</v>
      </c>
      <c r="C18" s="69" t="s">
        <v>164</v>
      </c>
      <c r="D18" s="11"/>
      <c r="E18" s="11"/>
    </row>
    <row r="19" spans="1:5" x14ac:dyDescent="0.2">
      <c r="A19" s="11" t="s">
        <v>162</v>
      </c>
      <c r="B19" s="11">
        <v>1.4999999999999996</v>
      </c>
      <c r="C19" s="11" t="str">
        <f>VLOOKUP(A19,[1]Sheet!$A:$I,9,0)</f>
        <v>матрица</v>
      </c>
      <c r="D19" s="11">
        <f>VLOOKUP(A19,[2]TDSheet!$A:$N,14,0)</f>
        <v>0.3</v>
      </c>
      <c r="E19" s="11" t="s">
        <v>167</v>
      </c>
    </row>
    <row r="20" spans="1:5" x14ac:dyDescent="0.2">
      <c r="A20" s="11" t="s">
        <v>163</v>
      </c>
      <c r="B20" s="11">
        <v>1.5</v>
      </c>
      <c r="C20" s="69" t="str">
        <f>VLOOKUP(A20,[1]Sheet!$A:$I,9,0)</f>
        <v>вывод</v>
      </c>
      <c r="D20" s="11"/>
      <c r="E20" s="11"/>
    </row>
    <row r="21" spans="1:5" x14ac:dyDescent="0.2">
      <c r="B21">
        <f>SUM(B2:B20)</f>
        <v>159.52000000000001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TDSheet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Uaer4</dc:creator>
  <cp:keywords/>
  <dc:description/>
  <cp:lastModifiedBy>User</cp:lastModifiedBy>
  <cp:revision>1</cp:revision>
  <cp:lastPrinted>2026-10-29T08:46:42Z</cp:lastPrinted>
  <dcterms:created xsi:type="dcterms:W3CDTF">2026-10-29T08:46:42Z</dcterms:created>
  <dcterms:modified xsi:type="dcterms:W3CDTF">2026-10-29T15:38:01Z</dcterms:modified>
</cp:coreProperties>
</file>