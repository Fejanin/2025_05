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her\Work\2025_05\графики\отчеты для СН\дефицит\"/>
    </mc:Choice>
  </mc:AlternateContent>
  <xr:revisionPtr revIDLastSave="0" documentId="13_ncr:1_{BEF2714B-6F39-4A35-852D-938672456FD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DSheet" sheetId="1" r:id="rId1"/>
    <sheet name="дефицит" sheetId="2" r:id="rId2"/>
  </sheets>
  <definedNames>
    <definedName name="_xlnm._FilterDatabase" localSheetId="0" hidden="1">TDSheet!$A$8:$J$124</definedName>
  </definedNames>
  <calcPr calcId="191029" refMode="R1C1"/>
</workbook>
</file>

<file path=xl/calcChain.xml><?xml version="1.0" encoding="utf-8"?>
<calcChain xmlns="http://schemas.openxmlformats.org/spreadsheetml/2006/main">
  <c r="J24" i="1" l="1"/>
  <c r="J32" i="1"/>
  <c r="J124" i="1" s="1"/>
  <c r="J31" i="1"/>
  <c r="J67" i="1"/>
  <c r="J94" i="1"/>
  <c r="J114" i="1"/>
</calcChain>
</file>

<file path=xl/sharedStrings.xml><?xml version="1.0" encoding="utf-8"?>
<sst xmlns="http://schemas.openxmlformats.org/spreadsheetml/2006/main" count="149" uniqueCount="144">
  <si>
    <t>Ведомость по товарам на складах</t>
  </si>
  <si>
    <t>Параметры:</t>
  </si>
  <si>
    <t>Период: 28.10.2026 - 28.10.2026</t>
  </si>
  <si>
    <t>Количество товаров: В единицах хранения</t>
  </si>
  <si>
    <t>Отбор:</t>
  </si>
  <si>
    <t>Склад Равно "АСП Донецк ПОКОМ" И
Номенклатура В группе из списка "Авида; АО "КОНТИ-РУС"; Апрель ООО (Яшкино) ; Артеменко Т.С. ИП (Макаро...; Атяшево МК (11000); Байсад ЗАО; Белокаменка-Фиш ООО; Бизнес логистика ТК ООО; Бондюэль-кубань ООО; Варвикс МК;..."</t>
  </si>
  <si>
    <t>Склад</t>
  </si>
  <si>
    <t>Количество</t>
  </si>
  <si>
    <t>Номенклатура, Артикул</t>
  </si>
  <si>
    <t>АСП Донецк ПОКОМ</t>
  </si>
  <si>
    <t>Европоддон (невозвратный), 1004000403</t>
  </si>
  <si>
    <t xml:space="preserve">ПОКОМ Логистический Партнер , </t>
  </si>
  <si>
    <t xml:space="preserve">Вязанка Логистический Партнер(Кг), </t>
  </si>
  <si>
    <t xml:space="preserve"> 005  Колбаса Докторская ГОСТ, Вязанка вектор,ВЕС. ПОКОМ, SU000722</t>
  </si>
  <si>
    <t xml:space="preserve"> 016  Сосиски Вязанка Молочные, Вязанка вискофан  ВЕС.ПОКОМ, SU001523</t>
  </si>
  <si>
    <t xml:space="preserve"> 017  Сосиски Вязанка Сливочные, Вязанка амицел ВЕС.ПОКОМ, SU001721</t>
  </si>
  <si>
    <t xml:space="preserve"> 312  Ветчина Филейская ВЕС ТМ  Вязанка ТС Столичная  ПОКОМ, SU002828</t>
  </si>
  <si>
    <t xml:space="preserve"> 315  Колбаса вареная Молокуша ТМ Вязанка ВЕС, ПОКОМ, SU002830</t>
  </si>
  <si>
    <t xml:space="preserve"> 330  Колбаса вареная Филейская ТМ Вязанка ТС Классическая ВЕС  ПОКОМ, SU002829</t>
  </si>
  <si>
    <t xml:space="preserve"> 335  Колбаса Сливушка ТМ Вязанка. ВЕС.  ПОКОМ , SU002928</t>
  </si>
  <si>
    <t xml:space="preserve"> 336  Ветчина Сливушка с индейкой ТМ Вязанка. ВЕС  ПОКОМ, 4301020235</t>
  </si>
  <si>
    <t xml:space="preserve"> 364  Сардельки Филейские Вязанка ВЕС NDX ТМ Вязанка  ПОКОМ, SU002835</t>
  </si>
  <si>
    <t xml:space="preserve"> 556  Колбаса Сервелат Ореховый ТМ Вязанка в оболочке фиброуз в вакуумной упаковке, ВЕС  ПОКОМ, SU004044</t>
  </si>
  <si>
    <t xml:space="preserve"> 558  Колбаса Балыковая НОВАЯ ВЕС Вязанка фиброуз в/у ПОКОМ, SU004041</t>
  </si>
  <si>
    <t xml:space="preserve"> 633  Колбаса Мясная Классическая ТМ Вязанка в оболочке полиамид УМВ.ВЕС.  ПОКОМ, SU004157</t>
  </si>
  <si>
    <t>503 Колбаса Филейская со шпиком ТМ Вязанка в оболочке полиамид.ПОКОМ, SU003642</t>
  </si>
  <si>
    <t xml:space="preserve">Вязанка Логистический Партнер(Шт), </t>
  </si>
  <si>
    <t xml:space="preserve"> 023  Колбаса Докторская ГОСТ, Вязанка вектор, 0,4 кг, ПОКОМ, SU001485</t>
  </si>
  <si>
    <t xml:space="preserve"> 030  Сосиски Вязанка Молочные, Вязанка вискофан МГС, 0.45кг, ПОКОМ, 4301050979</t>
  </si>
  <si>
    <t xml:space="preserve"> 032  Сосиски Вязанка Сливочные, Вязанка амицел МГС, 0.45кг, ПОКОМ, 4301050983</t>
  </si>
  <si>
    <t xml:space="preserve"> 276  Колбаса Сливушка ТМ Вязанка в оболочке полиамид 0,45 кг  ПОКОМ, SU002734</t>
  </si>
  <si>
    <t xml:space="preserve"> 319  Колбаса вареная Филейская ТМ Вязанка ТС Классическая, 0,45 кг. ПОКОМ, SU002815</t>
  </si>
  <si>
    <t xml:space="preserve"> 322  Колбаса вареная Молокуша 0,45кг ТМ Вязанка  ПОКОМ, SU002816</t>
  </si>
  <si>
    <t xml:space="preserve"> 339  Колбаса вареная Филейская ТМ Вязанка ТС Классическая, 0,40 кг.  ПОКОМ, SU003585</t>
  </si>
  <si>
    <t xml:space="preserve"> 355  Колбаса Сервелат запеченный ТМ Стародворье ТС Дугушка. 0,6 кг. ПОКОМ, SU002918</t>
  </si>
  <si>
    <t xml:space="preserve"> 387  Колбаса вареная Мусульманская Халяль ТМ Вязанка, 0,4 кг ПОКОМ, SU002983</t>
  </si>
  <si>
    <t xml:space="preserve"> 395  Колбаса Докторская ГОСТ ТМ Вязанка в оболочке полиамид 0,37 кг. ПОКОМ, 4680115881525</t>
  </si>
  <si>
    <t xml:space="preserve"> 405  Сардельки Сливушки ТМ Вязанка в оболочке айпил 0,33 кг. ПОКОМ, SU002367</t>
  </si>
  <si>
    <t xml:space="preserve"> 408  Ветчина Сливушка с индейкой ТМ Вязанка, 0,4кг  ПОКОМ, SU002735</t>
  </si>
  <si>
    <t xml:space="preserve"> 551  Колбаса Сливушка ТМ Вязанка в модифицированной газовой среде 0,11 кг нарезка  ПОКОМ, SU003745</t>
  </si>
  <si>
    <t xml:space="preserve"> 555  Колбаса Молокуша ТМ Вязанка в модифицированной газовой среде 0,17 кг нарезка  ПОКОМ, SU002354</t>
  </si>
  <si>
    <t xml:space="preserve"> 569  Колбаса Балыковая ТМ Вязанка в оболочке фиброуз в вакуумной упаковке 0,28 кг срез.  ПОКОМ, SU004039</t>
  </si>
  <si>
    <t xml:space="preserve"> 570  Колбаса Сервелат Финский ТМ Вязанка в оболочке фиброуз в вак. упаковке 0,28 кг срез  ПОКОМ, SU004045</t>
  </si>
  <si>
    <t xml:space="preserve"> 571  Колбаса Сервелат Ореховый ТМ Вязанка в оболочке фиброуз в вак. упаковке 0,28 кг срез  ПОКОМ, SU004042</t>
  </si>
  <si>
    <t xml:space="preserve"> 574  Колбаса Сервелат Финский ТМ Вязанка в упаковке скин 0,09 кг нарезка  ПОКОМ, SU003751</t>
  </si>
  <si>
    <t xml:space="preserve"> 584  Колбаса Сервелат Ореховый ТМ Вязанка в упаковке скин 0,09 кг нарезка  ПОКОМ, SU003988</t>
  </si>
  <si>
    <t xml:space="preserve">Логистический Партнер Кг, </t>
  </si>
  <si>
    <t xml:space="preserve"> 200  Ветчина Дугушка ТМ Стародворье, вектор в/у    ПОКОМ, SU002035</t>
  </si>
  <si>
    <t xml:space="preserve"> 201  Ветчина Нежная ТМ Особый рецепт, (2,5кг), ПОКОМ, SU000126</t>
  </si>
  <si>
    <t xml:space="preserve"> 215  Колбаса Докторская ГОСТ Дугушка, ВЕС, ТМ Стародворье ПОКОМ, SU002011</t>
  </si>
  <si>
    <t xml:space="preserve"> 226  Колбаса Княжеская, с/к белков.обол в термоусад. пакете, ВЕС, ТМ Стародворье ПОКОМ, 4301030232</t>
  </si>
  <si>
    <t xml:space="preserve"> 229  Колбаса Молочная Дугушка, в/у, ВЕС, ТМ Стародворье   ПОКОМ, SU002010</t>
  </si>
  <si>
    <t xml:space="preserve"> 236  Колбаса Рубленая ЗАПЕЧ. Дугушка ТМ Стародворье, вектор, в/к    ПОКОМ, SU002150</t>
  </si>
  <si>
    <t xml:space="preserve"> 239  Колбаса Салями запеч Дугушка, оболочка вектор, ВЕС, ТМ Стародворье  ПОКОМ, SU002158</t>
  </si>
  <si>
    <t xml:space="preserve"> 242  Колбаса Сервелат ЗАПЕЧ.Дугушка ТМ Стародворье, вектор, в/к     ПОКОМ, SU002151</t>
  </si>
  <si>
    <t xml:space="preserve"> 243  Колбаса Сервелат Зернистый, ВЕС.  ПОКОМ, SU001820</t>
  </si>
  <si>
    <t xml:space="preserve"> 244  Колбаса Сервелат Кремлевский, ВЕС. ПОКОМ, SU001822</t>
  </si>
  <si>
    <t xml:space="preserve"> 250  Сардельки стародворские с говядиной в обол. NDX, ВЕС. ПОКОМ, SU000227</t>
  </si>
  <si>
    <t xml:space="preserve"> 255  Сосиски Молочные для завтрака ТМ Особый рецепт, п/а МГС, ВЕС, ТМ Стародворье  ПОКОМ, SU002074</t>
  </si>
  <si>
    <t xml:space="preserve"> 283  Сосиски Сочинки, ВЕС, ТМ Стародворье ПОКОМ, SU002725</t>
  </si>
  <si>
    <t xml:space="preserve"> 297  Колбаса Мясорубская с рубленой грудинкой ВЕС ТМ Стародворье  ПОКОМ, SU002756</t>
  </si>
  <si>
    <t xml:space="preserve"> 305  Колбаса Сервелат Мясорубский с мелкорубленным окороком в/у  ТМ Стародворье ВЕС   ПОКОМ, SU002847</t>
  </si>
  <si>
    <t xml:space="preserve"> 340  Сосиски Сочинки Молочные ТМ Стародворье, ВЕС ПОКОМ, SU002843</t>
  </si>
  <si>
    <t xml:space="preserve"> 341 Сосиски Сочинки Сливочные ТМ Стародворье ВЕС ПОКОМ, SU002845</t>
  </si>
  <si>
    <t xml:space="preserve"> 344  Колбаса Сочинка по-европейски с сочной грудинкой ТМ Стародворье, ВЕС ПОКОМ, SU002941</t>
  </si>
  <si>
    <t xml:space="preserve"> 345  Колбаса Сочинка по-фински с сочным окроком ТМ Стародворье ВЕС ПОКОМ, SU002943</t>
  </si>
  <si>
    <t xml:space="preserve"> 346  Колбаса Сочинка зернистая с сочной грудинкой ТМ Стародворье.ВЕС ПОКОМ, SU002945</t>
  </si>
  <si>
    <t xml:space="preserve"> 347  Колбаса Сочинка рубленая с сочным окороком ТМ Стародворье ВЕС ПОКОМ, SU002947</t>
  </si>
  <si>
    <t xml:space="preserve"> 433 Колбаса Стародворская со шпиком  в оболочке полиамид. ТМ Стародворье ВЕС ПОКОМ, SU003275</t>
  </si>
  <si>
    <t xml:space="preserve"> 449  Колбаса Дугушка Стародворская ВЕС ТС Дугушка ПОКОМ, SU002634</t>
  </si>
  <si>
    <t xml:space="preserve"> 452  Колбаса Со шпиком ВЕС большой батон ТМ Особый рецепт  ПОКОМ, SU003423</t>
  </si>
  <si>
    <t xml:space="preserve"> 456  Колбаса Филейная ТМ Особый рецепт ВЕС большой батон  ПОКОМ, SU003420</t>
  </si>
  <si>
    <t xml:space="preserve"> 457  Колбаса Молочная ТМ Особый рецепт ВЕС большой батон  ПОКОМ, SU003422</t>
  </si>
  <si>
    <t xml:space="preserve"> 460  Колбаса Стародворская Традиционная ВЕС ТМ Стародворье в оболочке полиамид. ПОКОМ, SU003392</t>
  </si>
  <si>
    <t xml:space="preserve"> 557  Колбаса Сервелат Финский ТМ Вязанка в оболочке фиброуз в вакуумной упаковке, ВЕС  ПОКОМ, SU004047</t>
  </si>
  <si>
    <t xml:space="preserve"> 567 Колбаса Со шпиком Стародворская ТМ Стародворье в оболочке полиамид ВЕС  ПОКОМ, SU004007</t>
  </si>
  <si>
    <t xml:space="preserve"> 579  Колбаса Ветчинно-рубленая ТМ Особый рецепт в оболочке полиамид.ВЕС  ПОКОМ, SU004131</t>
  </si>
  <si>
    <t xml:space="preserve"> 580  Ветчина Нежная с индейкой ТМ Особый рецепт в оболочке полиамид.ВЕС  ПОКОМ, SU003686</t>
  </si>
  <si>
    <t xml:space="preserve"> 585  Колбаса Молочная ТМ Стародворье в оболочке вектор НД ВЕС.  ПОКОМ, SU004103</t>
  </si>
  <si>
    <t xml:space="preserve"> 586  Колбаса Мясная ТМ Стародворье в оболочке вектор НД ВЕС.  ПОКОМ, SU004104</t>
  </si>
  <si>
    <t xml:space="preserve"> 588 Колбаса Со шпиком ТМ Стародворье в оболочке вектор ВЕС  ПОКОМ, SU004106</t>
  </si>
  <si>
    <t xml:space="preserve"> 597  Колбаса Классическая ТМ Особый рецепт в оболочке полиамид ВЕС. ПОКОМ, SU004238</t>
  </si>
  <si>
    <t xml:space="preserve">Логистический Партнер Шт, </t>
  </si>
  <si>
    <t xml:space="preserve"> 047  Кол Баварская, белков.обол. в термоусад. пакете 0.17 кг, ТМ Стародворье  ПОКОМ, SU002092</t>
  </si>
  <si>
    <t xml:space="preserve"> 062  Колбаса Кракушка пряная с сальцем, 0.3кг в/у п/к, БАВАРУШКА ПОКОМ, SU002252</t>
  </si>
  <si>
    <t xml:space="preserve"> 083  Колбаса Швейцарская 0,17 кг., ШТ., сырокопченая   ПОКОМ, SU001869</t>
  </si>
  <si>
    <t xml:space="preserve"> 273  Сосиски Сочинки с сочной грудинкой, МГС 0.4кг,   ПОКОМ, SU002618</t>
  </si>
  <si>
    <t xml:space="preserve"> 278  Сосиски Сочинки с сочным окороком, МГС 0.4кг,   ПОКОМ, SU002621</t>
  </si>
  <si>
    <t xml:space="preserve"> 281  Сосиски Молочные для завтрака ТМ Особый рецепт, 0,4кг  ПОКОМ, SU002205</t>
  </si>
  <si>
    <t xml:space="preserve"> 285  Паштет печеночный со слив.маслом ТМ Стародворье ламистер 0,1 кг  ПОКОМ, 4301180001</t>
  </si>
  <si>
    <t xml:space="preserve"> 296  Колбаса Мясорубская с рубленой грудинкой 0,35кг срез ТМ Стародворье  ПОКОМ, SU002660</t>
  </si>
  <si>
    <t xml:space="preserve"> 301  Сосиски Сочинки по-баварски с сыром,  0.4кг, ТМ Стародворье  ПОКОМ, SU002801</t>
  </si>
  <si>
    <t xml:space="preserve"> 302  Сосиски Сочинки по-баварски,  0.4кг, ТМ Стародворье  ПОКОМ, SU002799</t>
  </si>
  <si>
    <t xml:space="preserve"> 307  Колбаса Сервелат Мясорубский с мелкорубленным окороком 0,35 кг срез ТМ Стародворье   Поком, SU002848</t>
  </si>
  <si>
    <t xml:space="preserve"> 309  Сосиски Сочинки с сыром 0,4 кг ТМ Стародворье  ПОКОМ, SU002686</t>
  </si>
  <si>
    <t xml:space="preserve"> 329  Сардельки Сочинки с сыром Стародворье ТМ, 0,4 кг. ПОКОМ, SU002759</t>
  </si>
  <si>
    <t xml:space="preserve"> 334  Паштет Любительский ТМ Стародворье ламистер 0,1 кг  ПОКОМ, SU002841</t>
  </si>
  <si>
    <t xml:space="preserve"> 338  Паштет печеночный с морковью ТМ Стародворье ламистер 0,1 кг.  ПОКОМ, 4301180006</t>
  </si>
  <si>
    <t xml:space="preserve"> 342 Сосиски Сочинки Молочные ТМ Стародворье 0,4 кг ПОКОМ, SU002842</t>
  </si>
  <si>
    <t xml:space="preserve"> 343 Сосиски Сочинки Сливочные ТМ Стародворье  0,4 кг ПОКОМ, SU002844</t>
  </si>
  <si>
    <t xml:space="preserve"> 376  Колбаса Докторская Дугушка 0,6кг ГОСТ ТМ Стародворье  ПОКОМ , SU002632</t>
  </si>
  <si>
    <t xml:space="preserve"> 377  Колбаса Молочная Дугушка 0,6кг ТМ Стародворье  ПОКОМ, SU002631</t>
  </si>
  <si>
    <t xml:space="preserve"> 394 Колбаса полукопченая Аль-Ислами халяль ТМ Вязанка оболочка фиброуз в в/у 0,35 кг  ПОКОМ, SU002985</t>
  </si>
  <si>
    <t xml:space="preserve"> 397  Ветчина Дугушка ТМ Стародворье ТС Дугушка в полиамидной оболочке 0,6 кг. ПОКОМ, SU002643</t>
  </si>
  <si>
    <t xml:space="preserve"> 410  Сосиски Баварские с сыром ТМ Стародворье 0,35 кг. ПОКОМ, SU003168</t>
  </si>
  <si>
    <t xml:space="preserve"> 412  Сосиски Баварские ТМ Стародворье 0,35 кг ПОКОМ, SU003167</t>
  </si>
  <si>
    <t xml:space="preserve"> 430  Колбаса Стародворская с окороком 0,4 кг. ТМ Стародворье в оболочке полиамид  ПОКОМ, SU003272</t>
  </si>
  <si>
    <t xml:space="preserve"> 498  Колбаса Сочинка рубленая с сочным окороком 0,3кг ТМ Стародворье  ПОКОМ, SU002948</t>
  </si>
  <si>
    <t xml:space="preserve"> 523  Колбаса Сальчичон нарезка 0,07кг ТМ Стародворье  ПОКОМ , SU003893</t>
  </si>
  <si>
    <t xml:space="preserve"> 524  Колбаса Сервелат Ореховый нарезка 0,07кг ТМ Стародворье  ПОКОМ, SU003894</t>
  </si>
  <si>
    <t xml:space="preserve"> 525  Колбаса Фуэт нарезка 0,07кг ТМ Стародворье  ПОКОМ, SU003896</t>
  </si>
  <si>
    <t xml:space="preserve"> 544  Сосиски Мясные для гриля ТС Ядрена копоть 0,3 кг  ПОКОМ, SU004016</t>
  </si>
  <si>
    <t xml:space="preserve"> 553  Ассорти колбас Мясорубская коллекция: Сервелат Делюкс, С балыком 0,08 кг нарезка  ПОКОМ, SU004026</t>
  </si>
  <si>
    <t xml:space="preserve"> 554  Колбаса Сервелат Мясорубский ТМ Стародворье в упаковке скин 0,08 кг нарезка  ПОКОМ, SU003178</t>
  </si>
  <si>
    <t xml:space="preserve"> 614  Буженина в пряном маринаде 0,25 кг консервы из мяса индейки ТМ Стародворье  ПОКОМ, SU004146</t>
  </si>
  <si>
    <t xml:space="preserve"> 615  Гречка по-купечески с говядиной и овощами 0,325кг ТМ Стародворье  ПОКОМ, SU004144</t>
  </si>
  <si>
    <t xml:space="preserve"> 616  Индейка томлёная в собственном соку 0,25кг ТМ Стародлворье Консервый из мяс.птицы  ПОКОМ, SU004145</t>
  </si>
  <si>
    <t>495  Колбаса Сочинка по-европейски с сочной грудинкой 0,3кг ТМ Стародворье  ПОКОМ, SU002944</t>
  </si>
  <si>
    <t>496  Колбаса Сочинка по-фински с сочным окроком 0,3кг ТМ Стародворье  ПОКОМ, SU002942</t>
  </si>
  <si>
    <t>515  Колбаса Сервелат Мясорубский Делюкс 0,3кг ТМ Стародворье  ПОКОМ, SU003829</t>
  </si>
  <si>
    <t>519  Грудинка 0,12 кг нарезка ТМ Стародворье  ПОКОМ, SU003921</t>
  </si>
  <si>
    <t>БОНУС_ 334  Паштет Любительский ТМ Стародворье ламистер 0,1 кг  ПОКОМ, Б_SU002841</t>
  </si>
  <si>
    <t>БОНУС_615  Гречка по-купечески с говядиной и овощами 0,325кг ТМ Стародворье  ПОКОМ, Б_SU004144</t>
  </si>
  <si>
    <t>Итого</t>
  </si>
  <si>
    <t>Конечный остаток на 29.10.26</t>
  </si>
  <si>
    <t>Нач.остаток на кг/шт 28.10.26</t>
  </si>
  <si>
    <t>Заказано кг на 29.10.26</t>
  </si>
  <si>
    <t>Расход кг на 29.10.26</t>
  </si>
  <si>
    <t>Дефицит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</si>
  <si>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</si>
  <si>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</si>
  <si>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</si>
  <si>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346  Колбаса Сочинка зернистая с сочной грудинкой ТМ Стародворье.ВЕС ПОКОМ</t>
  </si>
  <si>
    <t xml:space="preserve"> 307  Колбаса Сервелат Мясорубский с мелкорубленным окороком 0,35 кг срез ТМ Стародворье   Поком</t>
  </si>
  <si>
    <t xml:space="preserve"> 554  Колбаса Сервелат Мясорубский ТМ Стародворье в упаковке скин 0,08 кг нарезка  ПОКОМ</t>
  </si>
  <si>
    <t>Номенклатура</t>
  </si>
  <si>
    <t>дефицит, кг</t>
  </si>
  <si>
    <t>347шт в уценку (20,10,26)</t>
  </si>
  <si>
    <t>завод не отгружает</t>
  </si>
  <si>
    <t>матрица</t>
  </si>
  <si>
    <t>270кг заказано под ЮТЛ (по просьбе ТК 21,10,26) / отгружено на ЮТЛ 752кг / заказ 28,10,26 от ТК на ЮТЛ 900кг</t>
  </si>
  <si>
    <t>245кг заказано под ЮТЛ ((по просьбе ТК 21,10,26) / отгружено на ЮТЛ 582кг / заказ 28,10,26 от ТК на ЮТЛ 771кг</t>
  </si>
  <si>
    <t>рост продаж в 4,18 раза</t>
  </si>
  <si>
    <t>рост продаж в 2,01 раза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</si>
</sst>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0.000;[Red]\-0.000"/>
    <numFmt numFmtId="166" formatCode="0.000"/>
  </numFmts>
  <fonts count="5" x14ac:knownFonts="1">
    <font>
      <sz val="8"/>
      <name val="Arial"/>
      <family val="2"/>
    </font>
    <font>
      <b/>
      <sz val="18"/>
      <name val="Arial"/>
    </font>
    <font>
      <sz val="10"/>
      <name val="Arial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5" borderId="1" xfId="0" applyFont="1" applyFill="1" applyBorder="1"/>
    <xf numFmtId="0" fontId="4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right" vertical="top"/>
    </xf>
    <xf numFmtId="165" fontId="3" fillId="3" borderId="2" xfId="0" applyNumberFormat="1" applyFont="1" applyFill="1" applyBorder="1" applyAlignment="1">
      <alignment horizontal="right" vertical="top"/>
    </xf>
    <xf numFmtId="164" fontId="3" fillId="3" borderId="5" xfId="0" applyNumberFormat="1" applyFont="1" applyFill="1" applyBorder="1" applyAlignment="1">
      <alignment horizontal="right" vertical="top"/>
    </xf>
    <xf numFmtId="0" fontId="3" fillId="0" borderId="1" xfId="0" applyFont="1" applyBorder="1"/>
    <xf numFmtId="165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4" borderId="2" xfId="0" applyNumberFormat="1" applyFont="1" applyFill="1" applyBorder="1" applyAlignment="1">
      <alignment horizontal="right" vertical="top"/>
    </xf>
    <xf numFmtId="165" fontId="3" fillId="4" borderId="2" xfId="0" applyNumberFormat="1" applyFont="1" applyFill="1" applyBorder="1" applyAlignment="1">
      <alignment horizontal="right" vertical="top"/>
    </xf>
    <xf numFmtId="164" fontId="3" fillId="4" borderId="5" xfId="0" applyNumberFormat="1" applyFont="1" applyFill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5" borderId="6" xfId="0" applyNumberFormat="1" applyFont="1" applyFill="1" applyBorder="1" applyAlignment="1">
      <alignment horizontal="right" vertical="top"/>
    </xf>
    <xf numFmtId="166" fontId="3" fillId="5" borderId="1" xfId="0" applyNumberFormat="1" applyFont="1" applyFill="1" applyBorder="1"/>
    <xf numFmtId="165" fontId="3" fillId="5" borderId="2" xfId="0" applyNumberFormat="1" applyFont="1" applyFill="1" applyBorder="1" applyAlignment="1">
      <alignment horizontal="right" vertical="top"/>
    </xf>
    <xf numFmtId="0" fontId="3" fillId="5" borderId="2" xfId="0" applyFont="1" applyFill="1" applyBorder="1" applyAlignment="1">
      <alignment horizontal="right" vertical="top"/>
    </xf>
    <xf numFmtId="164" fontId="4" fillId="2" borderId="2" xfId="0" applyNumberFormat="1" applyFont="1" applyFill="1" applyBorder="1" applyAlignment="1">
      <alignment horizontal="right" vertical="top"/>
    </xf>
    <xf numFmtId="165" fontId="4" fillId="2" borderId="2" xfId="0" applyNumberFormat="1" applyFont="1" applyFill="1" applyBorder="1" applyAlignment="1">
      <alignment horizontal="right" vertical="top"/>
    </xf>
    <xf numFmtId="164" fontId="4" fillId="2" borderId="5" xfId="0" applyNumberFormat="1" applyFont="1" applyFill="1" applyBorder="1" applyAlignment="1">
      <alignment horizontal="right" vertical="top"/>
    </xf>
    <xf numFmtId="0" fontId="0" fillId="0" borderId="1" xfId="0" applyBorder="1"/>
    <xf numFmtId="0" fontId="3" fillId="0" borderId="2" xfId="0" applyFont="1" applyBorder="1" applyAlignment="1">
      <alignment vertical="top" wrapText="1" indent="6"/>
    </xf>
    <xf numFmtId="165" fontId="3" fillId="0" borderId="2" xfId="0" applyNumberFormat="1" applyFont="1" applyBorder="1" applyAlignment="1">
      <alignment horizontal="right" vertical="top"/>
    </xf>
    <xf numFmtId="0" fontId="4" fillId="2" borderId="2" xfId="0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0" fontId="3" fillId="0" borderId="5" xfId="0" applyFont="1" applyBorder="1" applyAlignment="1">
      <alignment vertical="top" wrapText="1" indent="6"/>
    </xf>
    <xf numFmtId="0" fontId="3" fillId="0" borderId="7" xfId="0" applyFont="1" applyBorder="1" applyAlignment="1">
      <alignment vertical="top" wrapText="1" indent="6"/>
    </xf>
    <xf numFmtId="0" fontId="3" fillId="0" borderId="8" xfId="0" applyFont="1" applyBorder="1" applyAlignment="1">
      <alignment vertical="top" wrapText="1" indent="6"/>
    </xf>
    <xf numFmtId="164" fontId="3" fillId="0" borderId="2" xfId="0" applyNumberFormat="1" applyFont="1" applyBorder="1" applyAlignment="1">
      <alignment horizontal="right" vertical="top"/>
    </xf>
    <xf numFmtId="0" fontId="3" fillId="4" borderId="2" xfId="0" applyFont="1" applyFill="1" applyBorder="1" applyAlignment="1">
      <alignment vertical="top" wrapText="1" indent="4"/>
    </xf>
    <xf numFmtId="164" fontId="3" fillId="4" borderId="2" xfId="0" applyNumberFormat="1" applyFont="1" applyFill="1" applyBorder="1" applyAlignment="1">
      <alignment horizontal="right" vertical="top"/>
    </xf>
    <xf numFmtId="0" fontId="3" fillId="4" borderId="2" xfId="0" applyFont="1" applyFill="1" applyBorder="1" applyAlignment="1">
      <alignment vertical="top" wrapText="1" indent="2"/>
    </xf>
    <xf numFmtId="0" fontId="2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164" fontId="3" fillId="3" borderId="2" xfId="0" applyNumberFormat="1" applyFont="1" applyFill="1" applyBorder="1" applyAlignment="1">
      <alignment horizontal="right" vertical="top"/>
    </xf>
    <xf numFmtId="0" fontId="3" fillId="0" borderId="2" xfId="0" applyFont="1" applyBorder="1" applyAlignment="1">
      <alignment vertical="top" wrapText="1" indent="2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BF9E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P124"/>
  <sheetViews>
    <sheetView zoomScale="115" zoomScaleNormal="115" workbookViewId="0">
      <selection activeCell="M137" sqref="M137"/>
    </sheetView>
  </sheetViews>
  <sheetFormatPr defaultColWidth="10.6640625" defaultRowHeight="11.25" outlineLevelRow="3" x14ac:dyDescent="0.2"/>
  <cols>
    <col min="1" max="1" width="10.5" customWidth="1"/>
    <col min="2" max="2" width="4.1640625" customWidth="1"/>
    <col min="3" max="3" width="55.5" customWidth="1"/>
    <col min="4" max="4" width="11.6640625" customWidth="1"/>
    <col min="5" max="5" width="3" hidden="1" customWidth="1"/>
    <col min="6" max="6" width="16.5" hidden="1" customWidth="1"/>
    <col min="7" max="7" width="21" hidden="1" customWidth="1"/>
    <col min="8" max="8" width="16.6640625" hidden="1" customWidth="1"/>
    <col min="9" max="9" width="17.33203125" hidden="1" customWidth="1"/>
    <col min="10" max="10" width="24.33203125" customWidth="1"/>
  </cols>
  <sheetData>
    <row r="1" spans="1:16" ht="9.9499999999999993" customHeight="1" x14ac:dyDescent="0.2"/>
    <row r="2" spans="1:16" ht="24" customHeight="1" x14ac:dyDescent="0.2">
      <c r="A2" s="1" t="s">
        <v>0</v>
      </c>
      <c r="B2" s="1"/>
      <c r="C2" s="1"/>
    </row>
    <row r="3" spans="1:16" ht="9.9499999999999993" customHeight="1" x14ac:dyDescent="0.2"/>
    <row r="4" spans="1:16" ht="12.75" customHeight="1" outlineLevel="1" x14ac:dyDescent="0.2">
      <c r="A4" s="2" t="s">
        <v>1</v>
      </c>
      <c r="B4" s="2"/>
      <c r="C4" s="2" t="s">
        <v>2</v>
      </c>
      <c r="D4" s="2"/>
      <c r="E4" s="2"/>
    </row>
    <row r="5" spans="1:16" ht="12.75" customHeight="1" outlineLevel="1" x14ac:dyDescent="0.2">
      <c r="C5" s="2" t="s">
        <v>3</v>
      </c>
      <c r="D5" s="2"/>
      <c r="E5" s="2"/>
    </row>
    <row r="6" spans="1:16" ht="24.75" customHeight="1" outlineLevel="1" x14ac:dyDescent="0.2">
      <c r="A6" s="2" t="s">
        <v>4</v>
      </c>
      <c r="B6" s="2"/>
      <c r="C6" s="39" t="s">
        <v>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6" ht="9.9499999999999993" customHeight="1" x14ac:dyDescent="0.2"/>
    <row r="8" spans="1:16" ht="12.75" customHeight="1" x14ac:dyDescent="0.2">
      <c r="A8" s="40" t="s">
        <v>6</v>
      </c>
      <c r="B8" s="40"/>
      <c r="C8" s="40"/>
      <c r="D8" s="40"/>
      <c r="E8" s="40" t="s">
        <v>7</v>
      </c>
      <c r="F8" s="40"/>
      <c r="G8" s="40"/>
      <c r="H8" s="40"/>
      <c r="I8" s="41" t="s">
        <v>124</v>
      </c>
      <c r="J8" s="46" t="s">
        <v>128</v>
      </c>
    </row>
    <row r="9" spans="1:16" ht="24.75" hidden="1" customHeight="1" x14ac:dyDescent="0.2">
      <c r="A9" s="40" t="s">
        <v>8</v>
      </c>
      <c r="B9" s="40"/>
      <c r="C9" s="40"/>
      <c r="D9" s="40"/>
      <c r="E9" s="40" t="s">
        <v>125</v>
      </c>
      <c r="F9" s="40"/>
      <c r="G9" s="5" t="s">
        <v>126</v>
      </c>
      <c r="H9" s="4" t="s">
        <v>127</v>
      </c>
      <c r="I9" s="42"/>
      <c r="J9" s="47"/>
    </row>
    <row r="10" spans="1:16" ht="11.25" hidden="1" customHeight="1" x14ac:dyDescent="0.2">
      <c r="A10" s="43" t="s">
        <v>9</v>
      </c>
      <c r="B10" s="43"/>
      <c r="C10" s="43"/>
      <c r="D10" s="43"/>
      <c r="E10" s="44">
        <v>69951.896999999997</v>
      </c>
      <c r="F10" s="44"/>
      <c r="G10" s="7"/>
      <c r="H10" s="6">
        <v>11723.857</v>
      </c>
      <c r="I10" s="8">
        <v>57310.800999999999</v>
      </c>
      <c r="J10" s="9"/>
    </row>
    <row r="11" spans="1:16" ht="11.25" hidden="1" customHeight="1" outlineLevel="1" x14ac:dyDescent="0.2">
      <c r="A11" s="45" t="s">
        <v>10</v>
      </c>
      <c r="B11" s="45"/>
      <c r="C11" s="45"/>
      <c r="D11" s="45"/>
      <c r="E11" s="27">
        <v>873</v>
      </c>
      <c r="F11" s="27"/>
      <c r="G11" s="11"/>
      <c r="H11" s="11"/>
      <c r="I11" s="12">
        <v>14841</v>
      </c>
      <c r="J11" s="9"/>
    </row>
    <row r="12" spans="1:16" ht="11.25" hidden="1" customHeight="1" outlineLevel="1" x14ac:dyDescent="0.2">
      <c r="A12" s="38" t="s">
        <v>11</v>
      </c>
      <c r="B12" s="38"/>
      <c r="C12" s="38"/>
      <c r="D12" s="38"/>
      <c r="E12" s="37">
        <v>69078.896999999997</v>
      </c>
      <c r="F12" s="37"/>
      <c r="G12" s="14"/>
      <c r="H12" s="13">
        <v>11723.857</v>
      </c>
      <c r="I12" s="15">
        <v>42469.800999999999</v>
      </c>
      <c r="J12" s="9"/>
    </row>
    <row r="13" spans="1:16" ht="11.25" hidden="1" customHeight="1" outlineLevel="2" x14ac:dyDescent="0.2">
      <c r="A13" s="36" t="s">
        <v>12</v>
      </c>
      <c r="B13" s="36"/>
      <c r="C13" s="36"/>
      <c r="D13" s="36"/>
      <c r="E13" s="37">
        <v>5893.2839999999997</v>
      </c>
      <c r="F13" s="37"/>
      <c r="G13" s="14"/>
      <c r="H13" s="13">
        <v>1837.3679999999999</v>
      </c>
      <c r="I13" s="15">
        <v>4091.4490000000001</v>
      </c>
      <c r="J13" s="9"/>
    </row>
    <row r="14" spans="1:16" ht="11.25" hidden="1" customHeight="1" outlineLevel="3" x14ac:dyDescent="0.2">
      <c r="A14" s="26" t="s">
        <v>13</v>
      </c>
      <c r="B14" s="26"/>
      <c r="C14" s="26"/>
      <c r="D14" s="26"/>
      <c r="E14" s="27">
        <v>407.74299999999999</v>
      </c>
      <c r="F14" s="27"/>
      <c r="G14" s="16">
        <v>158.5</v>
      </c>
      <c r="H14" s="10">
        <v>163.00700000000001</v>
      </c>
      <c r="I14" s="17">
        <v>252.767</v>
      </c>
      <c r="J14" s="9"/>
    </row>
    <row r="15" spans="1:16" ht="11.25" hidden="1" customHeight="1" outlineLevel="3" x14ac:dyDescent="0.2">
      <c r="A15" s="26" t="s">
        <v>14</v>
      </c>
      <c r="B15" s="26"/>
      <c r="C15" s="26"/>
      <c r="D15" s="26"/>
      <c r="E15" s="27">
        <v>440.142</v>
      </c>
      <c r="F15" s="27"/>
      <c r="G15" s="16">
        <v>178.9</v>
      </c>
      <c r="H15" s="10">
        <v>196.98699999999999</v>
      </c>
      <c r="I15" s="17">
        <v>248.49799999999999</v>
      </c>
      <c r="J15" s="9"/>
    </row>
    <row r="16" spans="1:16" ht="11.25" hidden="1" customHeight="1" outlineLevel="3" x14ac:dyDescent="0.2">
      <c r="A16" s="26" t="s">
        <v>15</v>
      </c>
      <c r="B16" s="26"/>
      <c r="C16" s="26"/>
      <c r="D16" s="26"/>
      <c r="E16" s="35">
        <v>1980.704</v>
      </c>
      <c r="F16" s="35"/>
      <c r="G16" s="16">
        <v>456.5</v>
      </c>
      <c r="H16" s="10">
        <v>475.00599999999997</v>
      </c>
      <c r="I16" s="12">
        <v>1513.6769999999999</v>
      </c>
      <c r="J16" s="9"/>
    </row>
    <row r="17" spans="1:10" ht="11.25" hidden="1" customHeight="1" outlineLevel="3" x14ac:dyDescent="0.2">
      <c r="A17" s="26" t="s">
        <v>16</v>
      </c>
      <c r="B17" s="26"/>
      <c r="C17" s="26"/>
      <c r="D17" s="26"/>
      <c r="E17" s="27">
        <v>143.98599999999999</v>
      </c>
      <c r="F17" s="27"/>
      <c r="G17" s="16">
        <v>11.7</v>
      </c>
      <c r="H17" s="10">
        <v>12.429</v>
      </c>
      <c r="I17" s="17">
        <v>132.90199999999999</v>
      </c>
      <c r="J17" s="9"/>
    </row>
    <row r="18" spans="1:10" ht="11.25" hidden="1" customHeight="1" outlineLevel="3" x14ac:dyDescent="0.2">
      <c r="A18" s="26" t="s">
        <v>17</v>
      </c>
      <c r="B18" s="26"/>
      <c r="C18" s="26"/>
      <c r="D18" s="26"/>
      <c r="E18" s="35">
        <v>1019.022</v>
      </c>
      <c r="F18" s="35"/>
      <c r="G18" s="16">
        <v>317.2</v>
      </c>
      <c r="H18" s="10">
        <v>334.40600000000001</v>
      </c>
      <c r="I18" s="17">
        <v>687.226</v>
      </c>
      <c r="J18" s="9"/>
    </row>
    <row r="19" spans="1:10" ht="21.75" hidden="1" customHeight="1" outlineLevel="3" x14ac:dyDescent="0.2">
      <c r="A19" s="26" t="s">
        <v>18</v>
      </c>
      <c r="B19" s="26"/>
      <c r="C19" s="26"/>
      <c r="D19" s="26"/>
      <c r="E19" s="27">
        <v>433.74</v>
      </c>
      <c r="F19" s="27"/>
      <c r="G19" s="16">
        <v>304.39999999999998</v>
      </c>
      <c r="H19" s="10">
        <v>329.53199999999998</v>
      </c>
      <c r="I19" s="17">
        <v>106.926</v>
      </c>
      <c r="J19" s="9"/>
    </row>
    <row r="20" spans="1:10" ht="11.25" hidden="1" customHeight="1" outlineLevel="3" x14ac:dyDescent="0.2">
      <c r="A20" s="26" t="s">
        <v>19</v>
      </c>
      <c r="B20" s="26"/>
      <c r="C20" s="26"/>
      <c r="D20" s="26"/>
      <c r="E20" s="27">
        <v>547.65899999999999</v>
      </c>
      <c r="F20" s="27"/>
      <c r="G20" s="16">
        <v>174.7</v>
      </c>
      <c r="H20" s="10">
        <v>184.905</v>
      </c>
      <c r="I20" s="17">
        <v>368.09800000000001</v>
      </c>
      <c r="J20" s="9"/>
    </row>
    <row r="21" spans="1:10" ht="11.25" hidden="1" customHeight="1" outlineLevel="3" x14ac:dyDescent="0.2">
      <c r="A21" s="26" t="s">
        <v>20</v>
      </c>
      <c r="B21" s="26"/>
      <c r="C21" s="26"/>
      <c r="D21" s="26"/>
      <c r="E21" s="27">
        <v>54.052999999999997</v>
      </c>
      <c r="F21" s="27"/>
      <c r="G21" s="16">
        <v>9.1</v>
      </c>
      <c r="H21" s="10">
        <v>9.4489999999999998</v>
      </c>
      <c r="I21" s="17">
        <v>44.603999999999999</v>
      </c>
      <c r="J21" s="9"/>
    </row>
    <row r="22" spans="1:10" ht="11.25" hidden="1" customHeight="1" outlineLevel="3" x14ac:dyDescent="0.2">
      <c r="A22" s="26" t="s">
        <v>21</v>
      </c>
      <c r="B22" s="26"/>
      <c r="C22" s="26"/>
      <c r="D22" s="26"/>
      <c r="E22" s="27">
        <v>103.374</v>
      </c>
      <c r="F22" s="27"/>
      <c r="G22" s="16">
        <v>22.2</v>
      </c>
      <c r="H22" s="10">
        <v>21.849</v>
      </c>
      <c r="I22" s="17">
        <v>81.525000000000006</v>
      </c>
      <c r="J22" s="9"/>
    </row>
    <row r="23" spans="1:10" ht="21.75" hidden="1" customHeight="1" outlineLevel="3" x14ac:dyDescent="0.2">
      <c r="A23" s="26" t="s">
        <v>22</v>
      </c>
      <c r="B23" s="26"/>
      <c r="C23" s="26"/>
      <c r="D23" s="26"/>
      <c r="E23" s="27">
        <v>632.16600000000005</v>
      </c>
      <c r="F23" s="27"/>
      <c r="G23" s="16">
        <v>84.8</v>
      </c>
      <c r="H23" s="10">
        <v>89.552000000000007</v>
      </c>
      <c r="I23" s="17">
        <v>544.07600000000002</v>
      </c>
      <c r="J23" s="9"/>
    </row>
    <row r="24" spans="1:10" ht="11.25" customHeight="1" outlineLevel="3" x14ac:dyDescent="0.2">
      <c r="A24" s="26" t="s">
        <v>23</v>
      </c>
      <c r="B24" s="26"/>
      <c r="C24" s="26"/>
      <c r="D24" s="26"/>
      <c r="E24" s="27">
        <v>7.7130000000000001</v>
      </c>
      <c r="F24" s="27"/>
      <c r="G24" s="18">
        <v>26.4</v>
      </c>
      <c r="H24" s="10">
        <v>6.3390000000000004</v>
      </c>
      <c r="I24" s="17">
        <v>2.0750000000000002</v>
      </c>
      <c r="J24" s="19">
        <f>G24-H24</f>
        <v>20.061</v>
      </c>
    </row>
    <row r="25" spans="1:10" ht="21.75" hidden="1" customHeight="1" outlineLevel="3" x14ac:dyDescent="0.2">
      <c r="A25" s="26" t="s">
        <v>24</v>
      </c>
      <c r="B25" s="26"/>
      <c r="C25" s="26"/>
      <c r="D25" s="26"/>
      <c r="E25" s="27">
        <v>3</v>
      </c>
      <c r="F25" s="27"/>
      <c r="G25" s="16">
        <v>0</v>
      </c>
      <c r="H25" s="11"/>
      <c r="I25" s="17">
        <v>3</v>
      </c>
      <c r="J25" s="9"/>
    </row>
    <row r="26" spans="1:10" ht="21.75" hidden="1" customHeight="1" outlineLevel="3" x14ac:dyDescent="0.2">
      <c r="A26" s="26" t="s">
        <v>25</v>
      </c>
      <c r="B26" s="26"/>
      <c r="C26" s="26"/>
      <c r="D26" s="26"/>
      <c r="E26" s="27">
        <v>119.982</v>
      </c>
      <c r="F26" s="27"/>
      <c r="G26" s="16">
        <v>13</v>
      </c>
      <c r="H26" s="10">
        <v>13.907</v>
      </c>
      <c r="I26" s="17">
        <v>106.075</v>
      </c>
      <c r="J26" s="9"/>
    </row>
    <row r="27" spans="1:10" ht="11.25" hidden="1" customHeight="1" outlineLevel="2" x14ac:dyDescent="0.2">
      <c r="A27" s="36" t="s">
        <v>26</v>
      </c>
      <c r="B27" s="36"/>
      <c r="C27" s="36"/>
      <c r="D27" s="36"/>
      <c r="E27" s="37">
        <v>8782</v>
      </c>
      <c r="F27" s="37"/>
      <c r="G27" s="16"/>
      <c r="H27" s="13">
        <v>1591.451</v>
      </c>
      <c r="I27" s="15">
        <v>1908.029</v>
      </c>
      <c r="J27" s="9"/>
    </row>
    <row r="28" spans="1:10" ht="11.25" hidden="1" customHeight="1" outlineLevel="3" x14ac:dyDescent="0.2">
      <c r="A28" s="26" t="s">
        <v>27</v>
      </c>
      <c r="B28" s="26"/>
      <c r="C28" s="26"/>
      <c r="D28" s="26"/>
      <c r="E28" s="27">
        <v>17</v>
      </c>
      <c r="F28" s="27"/>
      <c r="G28" s="16">
        <v>0.4</v>
      </c>
      <c r="H28" s="10">
        <v>0.4</v>
      </c>
      <c r="I28" s="17">
        <v>6.4</v>
      </c>
      <c r="J28" s="9"/>
    </row>
    <row r="29" spans="1:10" ht="11.25" hidden="1" customHeight="1" outlineLevel="3" x14ac:dyDescent="0.2">
      <c r="A29" s="26" t="s">
        <v>28</v>
      </c>
      <c r="B29" s="26"/>
      <c r="C29" s="26"/>
      <c r="D29" s="26"/>
      <c r="E29" s="35">
        <v>1682</v>
      </c>
      <c r="F29" s="35"/>
      <c r="G29" s="16">
        <v>231.75</v>
      </c>
      <c r="H29" s="10">
        <v>230.85</v>
      </c>
      <c r="I29" s="17">
        <v>533.70000000000005</v>
      </c>
      <c r="J29" s="9"/>
    </row>
    <row r="30" spans="1:10" ht="11.25" hidden="1" customHeight="1" outlineLevel="3" x14ac:dyDescent="0.2">
      <c r="A30" s="26" t="s">
        <v>29</v>
      </c>
      <c r="B30" s="26"/>
      <c r="C30" s="26"/>
      <c r="D30" s="26"/>
      <c r="E30" s="35">
        <v>1857</v>
      </c>
      <c r="F30" s="35"/>
      <c r="G30" s="16">
        <v>258.75</v>
      </c>
      <c r="H30" s="10">
        <v>258.94099999999997</v>
      </c>
      <c r="I30" s="17">
        <v>580.75900000000001</v>
      </c>
      <c r="J30" s="9"/>
    </row>
    <row r="31" spans="1:10" ht="11.25" customHeight="1" outlineLevel="3" x14ac:dyDescent="0.2">
      <c r="A31" s="26" t="s">
        <v>30</v>
      </c>
      <c r="B31" s="26"/>
      <c r="C31" s="26"/>
      <c r="D31" s="26"/>
      <c r="E31" s="35">
        <v>1829</v>
      </c>
      <c r="F31" s="35"/>
      <c r="G31" s="18">
        <v>1075.95</v>
      </c>
      <c r="H31" s="20">
        <v>814.95</v>
      </c>
      <c r="I31" s="17">
        <v>9.4499999999999993</v>
      </c>
      <c r="J31" s="19">
        <f>G31-H31</f>
        <v>261</v>
      </c>
    </row>
    <row r="32" spans="1:10" ht="21.75" customHeight="1" outlineLevel="3" x14ac:dyDescent="0.2">
      <c r="A32" s="26" t="s">
        <v>31</v>
      </c>
      <c r="B32" s="26"/>
      <c r="C32" s="26"/>
      <c r="D32" s="26"/>
      <c r="E32" s="27">
        <v>2</v>
      </c>
      <c r="F32" s="27"/>
      <c r="G32" s="18">
        <v>3.15</v>
      </c>
      <c r="H32" s="20">
        <v>1.35</v>
      </c>
      <c r="I32" s="17">
        <v>0.9</v>
      </c>
      <c r="J32" s="19">
        <f>G32-H32</f>
        <v>1.7999999999999998</v>
      </c>
    </row>
    <row r="33" spans="1:10" ht="11.25" hidden="1" customHeight="1" outlineLevel="3" x14ac:dyDescent="0.2">
      <c r="A33" s="26" t="s">
        <v>32</v>
      </c>
      <c r="B33" s="26"/>
      <c r="C33" s="26"/>
      <c r="D33" s="26"/>
      <c r="E33" s="27">
        <v>277</v>
      </c>
      <c r="F33" s="27"/>
      <c r="G33" s="16">
        <v>43.65</v>
      </c>
      <c r="H33" s="10">
        <v>43.65</v>
      </c>
      <c r="I33" s="17">
        <v>82.35</v>
      </c>
      <c r="J33" s="9"/>
    </row>
    <row r="34" spans="1:10" ht="21.75" hidden="1" customHeight="1" outlineLevel="3" x14ac:dyDescent="0.2">
      <c r="A34" s="26" t="s">
        <v>33</v>
      </c>
      <c r="B34" s="26"/>
      <c r="C34" s="26"/>
      <c r="D34" s="26"/>
      <c r="E34" s="27">
        <v>13</v>
      </c>
      <c r="F34" s="27"/>
      <c r="G34" s="16">
        <v>1.6</v>
      </c>
      <c r="H34" s="10">
        <v>1.6</v>
      </c>
      <c r="I34" s="17">
        <v>3.6</v>
      </c>
      <c r="J34" s="9"/>
    </row>
    <row r="35" spans="1:10" ht="21.75" hidden="1" customHeight="1" outlineLevel="3" x14ac:dyDescent="0.2">
      <c r="A35" s="26" t="s">
        <v>34</v>
      </c>
      <c r="B35" s="26"/>
      <c r="C35" s="26"/>
      <c r="D35" s="26"/>
      <c r="E35" s="27">
        <v>12</v>
      </c>
      <c r="F35" s="27"/>
      <c r="G35" s="16">
        <v>0</v>
      </c>
      <c r="H35" s="11"/>
      <c r="I35" s="17">
        <v>7.2</v>
      </c>
      <c r="J35" s="9"/>
    </row>
    <row r="36" spans="1:10" ht="11.25" hidden="1" customHeight="1" outlineLevel="3" x14ac:dyDescent="0.2">
      <c r="A36" s="26" t="s">
        <v>35</v>
      </c>
      <c r="B36" s="26"/>
      <c r="C36" s="26"/>
      <c r="D36" s="26"/>
      <c r="E36" s="27">
        <v>103</v>
      </c>
      <c r="F36" s="27"/>
      <c r="G36" s="16">
        <v>2.4</v>
      </c>
      <c r="H36" s="10">
        <v>2.4</v>
      </c>
      <c r="I36" s="17">
        <v>40</v>
      </c>
      <c r="J36" s="9"/>
    </row>
    <row r="37" spans="1:10" ht="21.75" hidden="1" customHeight="1" outlineLevel="3" x14ac:dyDescent="0.2">
      <c r="A37" s="26" t="s">
        <v>36</v>
      </c>
      <c r="B37" s="26"/>
      <c r="C37" s="26"/>
      <c r="D37" s="26"/>
      <c r="E37" s="27">
        <v>189</v>
      </c>
      <c r="F37" s="27"/>
      <c r="G37" s="16">
        <v>28.86</v>
      </c>
      <c r="H37" s="10">
        <v>28.86</v>
      </c>
      <c r="I37" s="17">
        <v>41.44</v>
      </c>
      <c r="J37" s="9"/>
    </row>
    <row r="38" spans="1:10" ht="11.25" hidden="1" customHeight="1" outlineLevel="3" x14ac:dyDescent="0.2">
      <c r="A38" s="26" t="s">
        <v>37</v>
      </c>
      <c r="B38" s="26"/>
      <c r="C38" s="26"/>
      <c r="D38" s="26"/>
      <c r="E38" s="27">
        <v>379</v>
      </c>
      <c r="F38" s="27"/>
      <c r="G38" s="16">
        <v>66.66</v>
      </c>
      <c r="H38" s="10">
        <v>66.66</v>
      </c>
      <c r="I38" s="17">
        <v>58.41</v>
      </c>
      <c r="J38" s="9"/>
    </row>
    <row r="39" spans="1:10" ht="11.25" hidden="1" customHeight="1" outlineLevel="3" x14ac:dyDescent="0.2">
      <c r="A39" s="26" t="s">
        <v>38</v>
      </c>
      <c r="B39" s="26"/>
      <c r="C39" s="26"/>
      <c r="D39" s="26"/>
      <c r="E39" s="27">
        <v>75</v>
      </c>
      <c r="F39" s="27"/>
      <c r="G39" s="16">
        <v>2.4</v>
      </c>
      <c r="H39" s="10">
        <v>2.4</v>
      </c>
      <c r="I39" s="17">
        <v>27.6</v>
      </c>
      <c r="J39" s="9"/>
    </row>
    <row r="40" spans="1:10" ht="21.75" hidden="1" customHeight="1" outlineLevel="3" x14ac:dyDescent="0.2">
      <c r="A40" s="26" t="s">
        <v>39</v>
      </c>
      <c r="B40" s="26"/>
      <c r="C40" s="26"/>
      <c r="D40" s="26"/>
      <c r="E40" s="27">
        <v>40</v>
      </c>
      <c r="F40" s="27"/>
      <c r="G40" s="16">
        <v>2.2000000000000002</v>
      </c>
      <c r="H40" s="10">
        <v>2.2000000000000002</v>
      </c>
      <c r="I40" s="17">
        <v>2.2000000000000002</v>
      </c>
      <c r="J40" s="9"/>
    </row>
    <row r="41" spans="1:10" ht="21.75" hidden="1" customHeight="1" outlineLevel="3" x14ac:dyDescent="0.2">
      <c r="A41" s="26" t="s">
        <v>40</v>
      </c>
      <c r="B41" s="26"/>
      <c r="C41" s="26"/>
      <c r="D41" s="26"/>
      <c r="E41" s="27">
        <v>2</v>
      </c>
      <c r="F41" s="27"/>
      <c r="G41" s="16">
        <v>1.7</v>
      </c>
      <c r="H41" s="11"/>
      <c r="I41" s="17">
        <v>2.04</v>
      </c>
      <c r="J41" s="9"/>
    </row>
    <row r="42" spans="1:10" ht="21.75" hidden="1" customHeight="1" outlineLevel="3" x14ac:dyDescent="0.2">
      <c r="A42" s="26" t="s">
        <v>41</v>
      </c>
      <c r="B42" s="26"/>
      <c r="C42" s="26"/>
      <c r="D42" s="26"/>
      <c r="E42" s="27">
        <v>534</v>
      </c>
      <c r="F42" s="27"/>
      <c r="G42" s="16">
        <v>38.36</v>
      </c>
      <c r="H42" s="10">
        <v>38.36</v>
      </c>
      <c r="I42" s="17">
        <v>112</v>
      </c>
      <c r="J42" s="9"/>
    </row>
    <row r="43" spans="1:10" ht="21.75" hidden="1" customHeight="1" outlineLevel="3" x14ac:dyDescent="0.2">
      <c r="A43" s="26" t="s">
        <v>42</v>
      </c>
      <c r="B43" s="26"/>
      <c r="C43" s="26"/>
      <c r="D43" s="26"/>
      <c r="E43" s="35">
        <v>1272</v>
      </c>
      <c r="F43" s="35"/>
      <c r="G43" s="16">
        <v>51.8</v>
      </c>
      <c r="H43" s="10">
        <v>51.8</v>
      </c>
      <c r="I43" s="17">
        <v>305.76</v>
      </c>
      <c r="J43" s="9"/>
    </row>
    <row r="44" spans="1:10" ht="21.75" hidden="1" customHeight="1" outlineLevel="3" x14ac:dyDescent="0.2">
      <c r="A44" s="26" t="s">
        <v>43</v>
      </c>
      <c r="B44" s="26"/>
      <c r="C44" s="26"/>
      <c r="D44" s="26"/>
      <c r="E44" s="27">
        <v>492</v>
      </c>
      <c r="F44" s="27"/>
      <c r="G44" s="16">
        <v>46.76</v>
      </c>
      <c r="H44" s="10">
        <v>46.76</v>
      </c>
      <c r="I44" s="17">
        <v>92.96</v>
      </c>
      <c r="J44" s="9"/>
    </row>
    <row r="45" spans="1:10" ht="21.75" hidden="1" customHeight="1" outlineLevel="3" x14ac:dyDescent="0.2">
      <c r="A45" s="26" t="s">
        <v>44</v>
      </c>
      <c r="B45" s="26"/>
      <c r="C45" s="26"/>
      <c r="D45" s="26"/>
      <c r="E45" s="27">
        <v>4</v>
      </c>
      <c r="F45" s="27"/>
      <c r="G45" s="16">
        <v>7.47</v>
      </c>
      <c r="H45" s="11"/>
      <c r="I45" s="17">
        <v>0.36</v>
      </c>
      <c r="J45" s="9"/>
    </row>
    <row r="46" spans="1:10" ht="21.75" hidden="1" customHeight="1" outlineLevel="3" x14ac:dyDescent="0.2">
      <c r="A46" s="26" t="s">
        <v>45</v>
      </c>
      <c r="B46" s="26"/>
      <c r="C46" s="26"/>
      <c r="D46" s="26"/>
      <c r="E46" s="27">
        <v>3</v>
      </c>
      <c r="F46" s="27"/>
      <c r="G46" s="16">
        <v>7.47</v>
      </c>
      <c r="H46" s="10">
        <v>0.27</v>
      </c>
      <c r="I46" s="17">
        <v>0.9</v>
      </c>
      <c r="J46" s="9"/>
    </row>
    <row r="47" spans="1:10" ht="11.25" hidden="1" customHeight="1" outlineLevel="2" x14ac:dyDescent="0.2">
      <c r="A47" s="36" t="s">
        <v>46</v>
      </c>
      <c r="B47" s="36"/>
      <c r="C47" s="36"/>
      <c r="D47" s="36"/>
      <c r="E47" s="37">
        <v>37907.612999999998</v>
      </c>
      <c r="F47" s="37"/>
      <c r="G47" s="16"/>
      <c r="H47" s="13">
        <v>6413.4719999999998</v>
      </c>
      <c r="I47" s="15">
        <v>31873.353999999999</v>
      </c>
      <c r="J47" s="9"/>
    </row>
    <row r="48" spans="1:10" ht="11.25" hidden="1" customHeight="1" outlineLevel="3" x14ac:dyDescent="0.2">
      <c r="A48" s="26" t="s">
        <v>47</v>
      </c>
      <c r="B48" s="26"/>
      <c r="C48" s="26"/>
      <c r="D48" s="26"/>
      <c r="E48" s="35">
        <v>2832.8440000000001</v>
      </c>
      <c r="F48" s="35"/>
      <c r="G48" s="16">
        <v>532.85</v>
      </c>
      <c r="H48" s="10">
        <v>559.23500000000001</v>
      </c>
      <c r="I48" s="12">
        <v>2308.1129999999998</v>
      </c>
      <c r="J48" s="9"/>
    </row>
    <row r="49" spans="1:10" ht="11.25" hidden="1" customHeight="1" outlineLevel="3" x14ac:dyDescent="0.2">
      <c r="A49" s="26" t="s">
        <v>48</v>
      </c>
      <c r="B49" s="26"/>
      <c r="C49" s="26"/>
      <c r="D49" s="26"/>
      <c r="E49" s="35">
        <v>2559.4989999999998</v>
      </c>
      <c r="F49" s="35"/>
      <c r="G49" s="16">
        <v>712.5</v>
      </c>
      <c r="H49" s="10">
        <v>720.88499999999999</v>
      </c>
      <c r="I49" s="12">
        <v>1901.249</v>
      </c>
      <c r="J49" s="9"/>
    </row>
    <row r="50" spans="1:10" ht="11.25" hidden="1" customHeight="1" outlineLevel="3" x14ac:dyDescent="0.2">
      <c r="A50" s="26" t="s">
        <v>49</v>
      </c>
      <c r="B50" s="26"/>
      <c r="C50" s="26"/>
      <c r="D50" s="26"/>
      <c r="E50" s="27">
        <v>75.585999999999999</v>
      </c>
      <c r="F50" s="27"/>
      <c r="G50" s="16">
        <v>23.8</v>
      </c>
      <c r="H50" s="10">
        <v>25.443999999999999</v>
      </c>
      <c r="I50" s="17">
        <v>53.673000000000002</v>
      </c>
      <c r="J50" s="9"/>
    </row>
    <row r="51" spans="1:10" ht="21.75" hidden="1" customHeight="1" outlineLevel="3" x14ac:dyDescent="0.2">
      <c r="A51" s="26" t="s">
        <v>50</v>
      </c>
      <c r="B51" s="26"/>
      <c r="C51" s="26"/>
      <c r="D51" s="26"/>
      <c r="E51" s="27">
        <v>11.113</v>
      </c>
      <c r="F51" s="27"/>
      <c r="G51" s="16">
        <v>1.35</v>
      </c>
      <c r="H51" s="10">
        <v>1.48</v>
      </c>
      <c r="I51" s="17">
        <v>9.6329999999999991</v>
      </c>
      <c r="J51" s="9"/>
    </row>
    <row r="52" spans="1:10" ht="11.25" hidden="1" customHeight="1" outlineLevel="3" x14ac:dyDescent="0.2">
      <c r="A52" s="26" t="s">
        <v>51</v>
      </c>
      <c r="B52" s="26"/>
      <c r="C52" s="26"/>
      <c r="D52" s="26"/>
      <c r="E52" s="35">
        <v>5491.0140000000001</v>
      </c>
      <c r="F52" s="35"/>
      <c r="G52" s="16">
        <v>691.8</v>
      </c>
      <c r="H52" s="10">
        <v>728.41</v>
      </c>
      <c r="I52" s="12">
        <v>4799.63</v>
      </c>
      <c r="J52" s="9"/>
    </row>
    <row r="53" spans="1:10" ht="21.75" hidden="1" customHeight="1" outlineLevel="3" x14ac:dyDescent="0.2">
      <c r="A53" s="26" t="s">
        <v>52</v>
      </c>
      <c r="B53" s="26"/>
      <c r="C53" s="26"/>
      <c r="D53" s="26"/>
      <c r="E53" s="27">
        <v>677.41099999999994</v>
      </c>
      <c r="F53" s="27"/>
      <c r="G53" s="16">
        <v>68.150000000000006</v>
      </c>
      <c r="H53" s="10">
        <v>71.869</v>
      </c>
      <c r="I53" s="17">
        <v>609.92899999999997</v>
      </c>
      <c r="J53" s="9"/>
    </row>
    <row r="54" spans="1:10" ht="21.75" hidden="1" customHeight="1" outlineLevel="3" x14ac:dyDescent="0.2">
      <c r="A54" s="26" t="s">
        <v>53</v>
      </c>
      <c r="B54" s="26"/>
      <c r="C54" s="26"/>
      <c r="D54" s="26"/>
      <c r="E54" s="35">
        <v>1499.7070000000001</v>
      </c>
      <c r="F54" s="35"/>
      <c r="G54" s="16">
        <v>246.1</v>
      </c>
      <c r="H54" s="10">
        <v>260.52100000000002</v>
      </c>
      <c r="I54" s="12">
        <v>1254.9949999999999</v>
      </c>
      <c r="J54" s="9"/>
    </row>
    <row r="55" spans="1:10" ht="21.75" hidden="1" customHeight="1" outlineLevel="3" x14ac:dyDescent="0.2">
      <c r="A55" s="26" t="s">
        <v>54</v>
      </c>
      <c r="B55" s="26"/>
      <c r="C55" s="26"/>
      <c r="D55" s="26"/>
      <c r="E55" s="27">
        <v>943.71100000000001</v>
      </c>
      <c r="F55" s="27"/>
      <c r="G55" s="16">
        <v>314.75</v>
      </c>
      <c r="H55" s="10">
        <v>330.37700000000001</v>
      </c>
      <c r="I55" s="17">
        <v>632.65</v>
      </c>
      <c r="J55" s="9"/>
    </row>
    <row r="56" spans="1:10" ht="11.25" hidden="1" customHeight="1" outlineLevel="3" x14ac:dyDescent="0.2">
      <c r="A56" s="26" t="s">
        <v>55</v>
      </c>
      <c r="B56" s="26"/>
      <c r="C56" s="26"/>
      <c r="D56" s="26"/>
      <c r="E56" s="27">
        <v>-0.91800000000000004</v>
      </c>
      <c r="F56" s="27"/>
      <c r="G56" s="16">
        <v>0</v>
      </c>
      <c r="H56" s="11"/>
      <c r="I56" s="17">
        <v>-0.91800000000000004</v>
      </c>
      <c r="J56" s="9"/>
    </row>
    <row r="57" spans="1:10" ht="11.25" hidden="1" customHeight="1" outlineLevel="3" x14ac:dyDescent="0.2">
      <c r="A57" s="26" t="s">
        <v>56</v>
      </c>
      <c r="B57" s="26"/>
      <c r="C57" s="26"/>
      <c r="D57" s="26"/>
      <c r="E57" s="27">
        <v>34.438000000000002</v>
      </c>
      <c r="F57" s="27"/>
      <c r="G57" s="16">
        <v>0</v>
      </c>
      <c r="H57" s="11"/>
      <c r="I57" s="17">
        <v>35.881999999999998</v>
      </c>
      <c r="J57" s="9"/>
    </row>
    <row r="58" spans="1:10" ht="11.25" hidden="1" customHeight="1" outlineLevel="3" x14ac:dyDescent="0.2">
      <c r="A58" s="26" t="s">
        <v>57</v>
      </c>
      <c r="B58" s="26"/>
      <c r="C58" s="26"/>
      <c r="D58" s="26"/>
      <c r="E58" s="27">
        <v>821.62</v>
      </c>
      <c r="F58" s="27"/>
      <c r="G58" s="16">
        <v>253.1</v>
      </c>
      <c r="H58" s="10">
        <v>273.54599999999999</v>
      </c>
      <c r="I58" s="17">
        <v>558.85500000000002</v>
      </c>
      <c r="J58" s="9"/>
    </row>
    <row r="59" spans="1:10" ht="21.75" hidden="1" customHeight="1" outlineLevel="3" x14ac:dyDescent="0.2">
      <c r="A59" s="26" t="s">
        <v>58</v>
      </c>
      <c r="B59" s="26"/>
      <c r="C59" s="26"/>
      <c r="D59" s="26"/>
      <c r="E59" s="35">
        <v>2107.846</v>
      </c>
      <c r="F59" s="35"/>
      <c r="G59" s="16">
        <v>618.70000000000005</v>
      </c>
      <c r="H59" s="10">
        <v>673.79300000000001</v>
      </c>
      <c r="I59" s="12">
        <v>1449.932</v>
      </c>
      <c r="J59" s="9"/>
    </row>
    <row r="60" spans="1:10" ht="11.25" hidden="1" customHeight="1" outlineLevel="3" x14ac:dyDescent="0.2">
      <c r="A60" s="26" t="s">
        <v>59</v>
      </c>
      <c r="B60" s="26"/>
      <c r="C60" s="26"/>
      <c r="D60" s="26"/>
      <c r="E60" s="27">
        <v>335.298</v>
      </c>
      <c r="F60" s="27"/>
      <c r="G60" s="16">
        <v>2.7</v>
      </c>
      <c r="H60" s="10">
        <v>2.762</v>
      </c>
      <c r="I60" s="17">
        <v>336.71800000000002</v>
      </c>
      <c r="J60" s="9"/>
    </row>
    <row r="61" spans="1:10" ht="21.75" hidden="1" customHeight="1" outlineLevel="3" x14ac:dyDescent="0.2">
      <c r="A61" s="26" t="s">
        <v>60</v>
      </c>
      <c r="B61" s="26"/>
      <c r="C61" s="26"/>
      <c r="D61" s="26"/>
      <c r="E61" s="27">
        <v>14.635999999999999</v>
      </c>
      <c r="F61" s="27"/>
      <c r="G61" s="16">
        <v>0</v>
      </c>
      <c r="H61" s="11"/>
      <c r="I61" s="17">
        <v>14.635999999999999</v>
      </c>
      <c r="J61" s="9"/>
    </row>
    <row r="62" spans="1:10" ht="21.75" hidden="1" customHeight="1" outlineLevel="3" x14ac:dyDescent="0.2">
      <c r="A62" s="26" t="s">
        <v>61</v>
      </c>
      <c r="B62" s="26"/>
      <c r="C62" s="26"/>
      <c r="D62" s="26"/>
      <c r="E62" s="27">
        <v>240.637</v>
      </c>
      <c r="F62" s="27"/>
      <c r="G62" s="16">
        <v>15.9</v>
      </c>
      <c r="H62" s="10">
        <v>15.257999999999999</v>
      </c>
      <c r="I62" s="17">
        <v>227.571</v>
      </c>
      <c r="J62" s="9"/>
    </row>
    <row r="63" spans="1:10" ht="11.25" hidden="1" customHeight="1" outlineLevel="3" x14ac:dyDescent="0.2">
      <c r="A63" s="26" t="s">
        <v>62</v>
      </c>
      <c r="B63" s="26"/>
      <c r="C63" s="26"/>
      <c r="D63" s="26"/>
      <c r="E63" s="35">
        <v>1738.6379999999999</v>
      </c>
      <c r="F63" s="35"/>
      <c r="G63" s="16">
        <v>246.9</v>
      </c>
      <c r="H63" s="10">
        <v>243.51300000000001</v>
      </c>
      <c r="I63" s="12">
        <v>1496.4649999999999</v>
      </c>
      <c r="J63" s="9"/>
    </row>
    <row r="64" spans="1:10" ht="11.25" hidden="1" customHeight="1" outlineLevel="3" x14ac:dyDescent="0.2">
      <c r="A64" s="26" t="s">
        <v>63</v>
      </c>
      <c r="B64" s="26"/>
      <c r="C64" s="26"/>
      <c r="D64" s="26"/>
      <c r="E64" s="27">
        <v>203.333</v>
      </c>
      <c r="F64" s="27"/>
      <c r="G64" s="16">
        <v>121.2</v>
      </c>
      <c r="H64" s="10">
        <v>127.669</v>
      </c>
      <c r="I64" s="17">
        <v>75.664000000000001</v>
      </c>
      <c r="J64" s="9"/>
    </row>
    <row r="65" spans="1:10" ht="21.75" hidden="1" customHeight="1" outlineLevel="3" x14ac:dyDescent="0.2">
      <c r="A65" s="26" t="s">
        <v>64</v>
      </c>
      <c r="B65" s="26"/>
      <c r="C65" s="26"/>
      <c r="D65" s="26"/>
      <c r="E65" s="27">
        <v>159.57300000000001</v>
      </c>
      <c r="F65" s="27"/>
      <c r="G65" s="16">
        <v>10.6</v>
      </c>
      <c r="H65" s="10">
        <v>11.849</v>
      </c>
      <c r="I65" s="17">
        <v>150.45599999999999</v>
      </c>
      <c r="J65" s="9"/>
    </row>
    <row r="66" spans="1:10" ht="21.75" hidden="1" customHeight="1" outlineLevel="3" x14ac:dyDescent="0.2">
      <c r="A66" s="26" t="s">
        <v>65</v>
      </c>
      <c r="B66" s="26"/>
      <c r="C66" s="26"/>
      <c r="D66" s="26"/>
      <c r="E66" s="27">
        <v>287.01799999999997</v>
      </c>
      <c r="F66" s="27"/>
      <c r="G66" s="16">
        <v>10.5</v>
      </c>
      <c r="H66" s="10">
        <v>11.78</v>
      </c>
      <c r="I66" s="17">
        <v>276.13900000000001</v>
      </c>
      <c r="J66" s="9"/>
    </row>
    <row r="67" spans="1:10" ht="21.75" customHeight="1" outlineLevel="3" x14ac:dyDescent="0.2">
      <c r="A67" s="26" t="s">
        <v>66</v>
      </c>
      <c r="B67" s="26"/>
      <c r="C67" s="26"/>
      <c r="D67" s="26"/>
      <c r="E67" s="27">
        <v>-2.8029999999999999</v>
      </c>
      <c r="F67" s="27"/>
      <c r="G67" s="18">
        <v>60.2</v>
      </c>
      <c r="H67" s="20">
        <v>1.8089999999999999</v>
      </c>
      <c r="I67" s="17">
        <v>-1.004</v>
      </c>
      <c r="J67" s="19">
        <f>G67-H67</f>
        <v>58.391000000000005</v>
      </c>
    </row>
    <row r="68" spans="1:10" ht="21.75" hidden="1" customHeight="1" outlineLevel="3" x14ac:dyDescent="0.2">
      <c r="A68" s="26" t="s">
        <v>67</v>
      </c>
      <c r="B68" s="26"/>
      <c r="C68" s="26"/>
      <c r="D68" s="26"/>
      <c r="E68" s="27">
        <v>139.84399999999999</v>
      </c>
      <c r="F68" s="27"/>
      <c r="G68" s="16">
        <v>14</v>
      </c>
      <c r="H68" s="10">
        <v>15.407</v>
      </c>
      <c r="I68" s="17">
        <v>124.437</v>
      </c>
      <c r="J68" s="9"/>
    </row>
    <row r="69" spans="1:10" ht="21.75" hidden="1" customHeight="1" outlineLevel="3" x14ac:dyDescent="0.2">
      <c r="A69" s="26" t="s">
        <v>68</v>
      </c>
      <c r="B69" s="26"/>
      <c r="C69" s="26"/>
      <c r="D69" s="26"/>
      <c r="E69" s="27">
        <v>27.337</v>
      </c>
      <c r="F69" s="27"/>
      <c r="G69" s="16">
        <v>1.3</v>
      </c>
      <c r="H69" s="10">
        <v>1.474</v>
      </c>
      <c r="I69" s="17">
        <v>25.863</v>
      </c>
      <c r="J69" s="9"/>
    </row>
    <row r="70" spans="1:10" ht="11.25" hidden="1" customHeight="1" outlineLevel="3" x14ac:dyDescent="0.2">
      <c r="A70" s="26" t="s">
        <v>69</v>
      </c>
      <c r="B70" s="26"/>
      <c r="C70" s="26"/>
      <c r="D70" s="26"/>
      <c r="E70" s="35">
        <v>3856.4740000000002</v>
      </c>
      <c r="F70" s="35"/>
      <c r="G70" s="16">
        <v>441.6</v>
      </c>
      <c r="H70" s="10">
        <v>461.30500000000001</v>
      </c>
      <c r="I70" s="12">
        <v>3407.9459999999999</v>
      </c>
      <c r="J70" s="9"/>
    </row>
    <row r="71" spans="1:10" ht="11.25" hidden="1" customHeight="1" outlineLevel="3" x14ac:dyDescent="0.2">
      <c r="A71" s="26" t="s">
        <v>70</v>
      </c>
      <c r="B71" s="26"/>
      <c r="C71" s="26"/>
      <c r="D71" s="26"/>
      <c r="E71" s="35">
        <v>2201.0709999999999</v>
      </c>
      <c r="F71" s="35"/>
      <c r="G71" s="16">
        <v>277.5</v>
      </c>
      <c r="H71" s="10">
        <v>272.26</v>
      </c>
      <c r="I71" s="12">
        <v>1963.3630000000001</v>
      </c>
      <c r="J71" s="9"/>
    </row>
    <row r="72" spans="1:10" ht="11.25" hidden="1" customHeight="1" outlineLevel="3" x14ac:dyDescent="0.2">
      <c r="A72" s="26" t="s">
        <v>71</v>
      </c>
      <c r="B72" s="26"/>
      <c r="C72" s="26"/>
      <c r="D72" s="26"/>
      <c r="E72" s="35">
        <v>3066.473</v>
      </c>
      <c r="F72" s="35"/>
      <c r="G72" s="16">
        <v>415</v>
      </c>
      <c r="H72" s="10">
        <v>409.19099999999997</v>
      </c>
      <c r="I72" s="12">
        <v>2687.3339999999998</v>
      </c>
      <c r="J72" s="9"/>
    </row>
    <row r="73" spans="1:10" ht="11.25" hidden="1" customHeight="1" outlineLevel="3" x14ac:dyDescent="0.2">
      <c r="A73" s="26" t="s">
        <v>72</v>
      </c>
      <c r="B73" s="26"/>
      <c r="C73" s="26"/>
      <c r="D73" s="26"/>
      <c r="E73" s="35">
        <v>4929.8980000000001</v>
      </c>
      <c r="F73" s="35"/>
      <c r="G73" s="16">
        <v>670</v>
      </c>
      <c r="H73" s="10">
        <v>674.024</v>
      </c>
      <c r="I73" s="12">
        <v>4301.3680000000004</v>
      </c>
      <c r="J73" s="9"/>
    </row>
    <row r="74" spans="1:10" ht="21.75" hidden="1" customHeight="1" outlineLevel="3" x14ac:dyDescent="0.2">
      <c r="A74" s="26" t="s">
        <v>73</v>
      </c>
      <c r="B74" s="26"/>
      <c r="C74" s="26"/>
      <c r="D74" s="26"/>
      <c r="E74" s="27">
        <v>13.433999999999999</v>
      </c>
      <c r="F74" s="27"/>
      <c r="G74" s="16">
        <v>1.3</v>
      </c>
      <c r="H74" s="10">
        <v>1.329</v>
      </c>
      <c r="I74" s="17">
        <v>12.105</v>
      </c>
      <c r="J74" s="9"/>
    </row>
    <row r="75" spans="1:10" ht="21.75" hidden="1" customHeight="1" outlineLevel="3" x14ac:dyDescent="0.2">
      <c r="A75" s="26" t="s">
        <v>74</v>
      </c>
      <c r="B75" s="26"/>
      <c r="C75" s="26"/>
      <c r="D75" s="26"/>
      <c r="E75" s="27">
        <v>285.32799999999997</v>
      </c>
      <c r="F75" s="27"/>
      <c r="G75" s="16">
        <v>83</v>
      </c>
      <c r="H75" s="10">
        <v>84.415999999999997</v>
      </c>
      <c r="I75" s="17">
        <v>201.642</v>
      </c>
      <c r="J75" s="9"/>
    </row>
    <row r="76" spans="1:10" ht="21.75" hidden="1" customHeight="1" outlineLevel="3" x14ac:dyDescent="0.2">
      <c r="A76" s="26" t="s">
        <v>75</v>
      </c>
      <c r="B76" s="26"/>
      <c r="C76" s="26"/>
      <c r="D76" s="26"/>
      <c r="E76" s="27">
        <v>16.481999999999999</v>
      </c>
      <c r="F76" s="27"/>
      <c r="G76" s="16">
        <v>0</v>
      </c>
      <c r="H76" s="11"/>
      <c r="I76" s="17">
        <v>16.481999999999999</v>
      </c>
      <c r="J76" s="9"/>
    </row>
    <row r="77" spans="1:10" ht="21.75" hidden="1" customHeight="1" outlineLevel="3" x14ac:dyDescent="0.2">
      <c r="A77" s="26" t="s">
        <v>76</v>
      </c>
      <c r="B77" s="26"/>
      <c r="C77" s="26"/>
      <c r="D77" s="26"/>
      <c r="E77" s="27">
        <v>39.731999999999999</v>
      </c>
      <c r="F77" s="27"/>
      <c r="G77" s="16">
        <v>7.5</v>
      </c>
      <c r="H77" s="10">
        <v>7.4619999999999997</v>
      </c>
      <c r="I77" s="17">
        <v>32.270000000000003</v>
      </c>
      <c r="J77" s="9"/>
    </row>
    <row r="78" spans="1:10" ht="21.75" hidden="1" customHeight="1" outlineLevel="3" x14ac:dyDescent="0.2">
      <c r="A78" s="26" t="s">
        <v>77</v>
      </c>
      <c r="B78" s="26"/>
      <c r="C78" s="26"/>
      <c r="D78" s="26"/>
      <c r="E78" s="27">
        <v>133.49199999999999</v>
      </c>
      <c r="F78" s="27"/>
      <c r="G78" s="16">
        <v>2.5</v>
      </c>
      <c r="H78" s="10">
        <v>2.4889999999999999</v>
      </c>
      <c r="I78" s="17">
        <v>131.00299999999999</v>
      </c>
      <c r="J78" s="9"/>
    </row>
    <row r="79" spans="1:10" ht="21.75" hidden="1" customHeight="1" outlineLevel="3" x14ac:dyDescent="0.2">
      <c r="A79" s="26" t="s">
        <v>78</v>
      </c>
      <c r="B79" s="26"/>
      <c r="C79" s="26"/>
      <c r="D79" s="26"/>
      <c r="E79" s="27">
        <v>217.238</v>
      </c>
      <c r="F79" s="27"/>
      <c r="G79" s="16">
        <v>33.799999999999997</v>
      </c>
      <c r="H79" s="10">
        <v>32.966999999999999</v>
      </c>
      <c r="I79" s="17">
        <v>193.87100000000001</v>
      </c>
      <c r="J79" s="9"/>
    </row>
    <row r="80" spans="1:10" ht="11.25" hidden="1" customHeight="1" outlineLevel="3" x14ac:dyDescent="0.2">
      <c r="A80" s="26" t="s">
        <v>79</v>
      </c>
      <c r="B80" s="26"/>
      <c r="C80" s="26"/>
      <c r="D80" s="26"/>
      <c r="E80" s="27">
        <v>706.06799999999998</v>
      </c>
      <c r="F80" s="27"/>
      <c r="G80" s="16">
        <v>115.24</v>
      </c>
      <c r="H80" s="10">
        <v>117.666</v>
      </c>
      <c r="I80" s="17">
        <v>593.90200000000004</v>
      </c>
      <c r="J80" s="9"/>
    </row>
    <row r="81" spans="1:10" ht="11.25" hidden="1" customHeight="1" outlineLevel="3" x14ac:dyDescent="0.2">
      <c r="A81" s="26" t="s">
        <v>80</v>
      </c>
      <c r="B81" s="26"/>
      <c r="C81" s="26"/>
      <c r="D81" s="26"/>
      <c r="E81" s="27">
        <v>133.69800000000001</v>
      </c>
      <c r="F81" s="27"/>
      <c r="G81" s="16">
        <v>12.3</v>
      </c>
      <c r="H81" s="10">
        <v>10.91</v>
      </c>
      <c r="I81" s="17">
        <v>122.788</v>
      </c>
      <c r="J81" s="9"/>
    </row>
    <row r="82" spans="1:10" ht="21.75" hidden="1" customHeight="1" outlineLevel="3" x14ac:dyDescent="0.2">
      <c r="A82" s="26" t="s">
        <v>81</v>
      </c>
      <c r="B82" s="26"/>
      <c r="C82" s="26"/>
      <c r="D82" s="26"/>
      <c r="E82" s="35">
        <v>2110.8429999999998</v>
      </c>
      <c r="F82" s="35"/>
      <c r="G82" s="16">
        <v>257.39999999999998</v>
      </c>
      <c r="H82" s="10">
        <v>262.37200000000001</v>
      </c>
      <c r="I82" s="12">
        <v>1868.712</v>
      </c>
      <c r="J82" s="9"/>
    </row>
    <row r="83" spans="1:10" ht="11.25" hidden="1" customHeight="1" outlineLevel="2" x14ac:dyDescent="0.2">
      <c r="A83" s="36" t="s">
        <v>82</v>
      </c>
      <c r="B83" s="36"/>
      <c r="C83" s="36"/>
      <c r="D83" s="36"/>
      <c r="E83" s="37">
        <v>16496</v>
      </c>
      <c r="F83" s="37"/>
      <c r="G83" s="16"/>
      <c r="H83" s="13">
        <v>1881.566</v>
      </c>
      <c r="I83" s="15">
        <v>4596.9690000000001</v>
      </c>
      <c r="J83" s="9"/>
    </row>
    <row r="84" spans="1:10" ht="21.75" hidden="1" customHeight="1" outlineLevel="3" x14ac:dyDescent="0.2">
      <c r="A84" s="26" t="s">
        <v>83</v>
      </c>
      <c r="B84" s="26"/>
      <c r="C84" s="26"/>
      <c r="D84" s="26"/>
      <c r="E84" s="27">
        <v>271</v>
      </c>
      <c r="F84" s="27"/>
      <c r="G84" s="16">
        <v>7.14</v>
      </c>
      <c r="H84" s="10">
        <v>6.97</v>
      </c>
      <c r="I84" s="17">
        <v>39.270000000000003</v>
      </c>
      <c r="J84" s="9"/>
    </row>
    <row r="85" spans="1:10" ht="21.75" hidden="1" customHeight="1" outlineLevel="3" x14ac:dyDescent="0.2">
      <c r="A85" s="26" t="s">
        <v>84</v>
      </c>
      <c r="B85" s="26"/>
      <c r="C85" s="26"/>
      <c r="D85" s="26"/>
      <c r="E85" s="27">
        <v>43</v>
      </c>
      <c r="F85" s="27"/>
      <c r="G85" s="16">
        <v>1.8</v>
      </c>
      <c r="H85" s="10">
        <v>1.8</v>
      </c>
      <c r="I85" s="17">
        <v>11.1</v>
      </c>
      <c r="J85" s="9"/>
    </row>
    <row r="86" spans="1:10" ht="11.25" hidden="1" customHeight="1" outlineLevel="3" x14ac:dyDescent="0.2">
      <c r="A86" s="26" t="s">
        <v>85</v>
      </c>
      <c r="B86" s="26"/>
      <c r="C86" s="26"/>
      <c r="D86" s="26"/>
      <c r="E86" s="27">
        <v>193</v>
      </c>
      <c r="F86" s="27"/>
      <c r="G86" s="16">
        <v>8.84</v>
      </c>
      <c r="H86" s="10">
        <v>8.84</v>
      </c>
      <c r="I86" s="17">
        <v>24.48</v>
      </c>
      <c r="J86" s="9"/>
    </row>
    <row r="87" spans="1:10" ht="11.25" hidden="1" customHeight="1" outlineLevel="3" x14ac:dyDescent="0.2">
      <c r="A87" s="26" t="s">
        <v>86</v>
      </c>
      <c r="B87" s="26"/>
      <c r="C87" s="26"/>
      <c r="D87" s="26"/>
      <c r="E87" s="35">
        <v>3915</v>
      </c>
      <c r="F87" s="35"/>
      <c r="G87" s="16">
        <v>365.6</v>
      </c>
      <c r="H87" s="10">
        <v>364.8</v>
      </c>
      <c r="I87" s="12">
        <v>1211.5999999999999</v>
      </c>
      <c r="J87" s="9"/>
    </row>
    <row r="88" spans="1:10" ht="11.25" hidden="1" customHeight="1" outlineLevel="3" x14ac:dyDescent="0.2">
      <c r="A88" s="26" t="s">
        <v>87</v>
      </c>
      <c r="B88" s="26"/>
      <c r="C88" s="26"/>
      <c r="D88" s="26"/>
      <c r="E88" s="35">
        <v>1097</v>
      </c>
      <c r="F88" s="35"/>
      <c r="G88" s="16">
        <v>91.2</v>
      </c>
      <c r="H88" s="10">
        <v>89.6</v>
      </c>
      <c r="I88" s="17">
        <v>354.4</v>
      </c>
      <c r="J88" s="9"/>
    </row>
    <row r="89" spans="1:10" ht="11.25" hidden="1" customHeight="1" outlineLevel="3" x14ac:dyDescent="0.2">
      <c r="A89" s="26" t="s">
        <v>88</v>
      </c>
      <c r="B89" s="26"/>
      <c r="C89" s="26"/>
      <c r="D89" s="26"/>
      <c r="E89" s="27">
        <v>916</v>
      </c>
      <c r="F89" s="27"/>
      <c r="G89" s="16">
        <v>84.8</v>
      </c>
      <c r="H89" s="10">
        <v>86.075999999999993</v>
      </c>
      <c r="I89" s="17">
        <v>280.32400000000001</v>
      </c>
      <c r="J89" s="9"/>
    </row>
    <row r="90" spans="1:10" ht="21.75" hidden="1" customHeight="1" outlineLevel="3" x14ac:dyDescent="0.2">
      <c r="A90" s="26" t="s">
        <v>89</v>
      </c>
      <c r="B90" s="26"/>
      <c r="C90" s="26"/>
      <c r="D90" s="26"/>
      <c r="E90" s="27">
        <v>378</v>
      </c>
      <c r="F90" s="27"/>
      <c r="G90" s="16">
        <v>7.7</v>
      </c>
      <c r="H90" s="10">
        <v>7.7</v>
      </c>
      <c r="I90" s="17">
        <v>30.2</v>
      </c>
      <c r="J90" s="9"/>
    </row>
    <row r="91" spans="1:10" ht="21.75" hidden="1" customHeight="1" outlineLevel="3" x14ac:dyDescent="0.2">
      <c r="A91" s="26" t="s">
        <v>90</v>
      </c>
      <c r="B91" s="26"/>
      <c r="C91" s="26"/>
      <c r="D91" s="26"/>
      <c r="E91" s="27">
        <v>80</v>
      </c>
      <c r="F91" s="27"/>
      <c r="G91" s="16">
        <v>9.1</v>
      </c>
      <c r="H91" s="10">
        <v>8.75</v>
      </c>
      <c r="I91" s="17">
        <v>19.25</v>
      </c>
      <c r="J91" s="9"/>
    </row>
    <row r="92" spans="1:10" ht="21.75" hidden="1" customHeight="1" outlineLevel="3" x14ac:dyDescent="0.2">
      <c r="A92" s="26" t="s">
        <v>91</v>
      </c>
      <c r="B92" s="26"/>
      <c r="C92" s="26"/>
      <c r="D92" s="26"/>
      <c r="E92" s="27">
        <v>170</v>
      </c>
      <c r="F92" s="27"/>
      <c r="G92" s="16">
        <v>40.4</v>
      </c>
      <c r="H92" s="10">
        <v>40.4</v>
      </c>
      <c r="I92" s="17">
        <v>28.4</v>
      </c>
      <c r="J92" s="9"/>
    </row>
    <row r="93" spans="1:10" ht="11.25" hidden="1" customHeight="1" outlineLevel="3" x14ac:dyDescent="0.2">
      <c r="A93" s="26" t="s">
        <v>92</v>
      </c>
      <c r="B93" s="26"/>
      <c r="C93" s="26"/>
      <c r="D93" s="26"/>
      <c r="E93" s="27">
        <v>602</v>
      </c>
      <c r="F93" s="27"/>
      <c r="G93" s="16">
        <v>46.8</v>
      </c>
      <c r="H93" s="10">
        <v>46.8</v>
      </c>
      <c r="I93" s="17">
        <v>195.6</v>
      </c>
      <c r="J93" s="9"/>
    </row>
    <row r="94" spans="1:10" ht="21.75" customHeight="1" outlineLevel="3" x14ac:dyDescent="0.2">
      <c r="A94" s="26" t="s">
        <v>93</v>
      </c>
      <c r="B94" s="26"/>
      <c r="C94" s="26"/>
      <c r="D94" s="26"/>
      <c r="E94" s="35">
        <v>1953</v>
      </c>
      <c r="F94" s="35"/>
      <c r="G94" s="18">
        <v>877.8</v>
      </c>
      <c r="H94" s="20">
        <v>683.9</v>
      </c>
      <c r="I94" s="17">
        <v>1.05</v>
      </c>
      <c r="J94" s="19">
        <f>G94-H94</f>
        <v>193.89999999999998</v>
      </c>
    </row>
    <row r="95" spans="1:10" ht="11.25" hidden="1" customHeight="1" outlineLevel="3" x14ac:dyDescent="0.2">
      <c r="A95" s="26" t="s">
        <v>94</v>
      </c>
      <c r="B95" s="26"/>
      <c r="C95" s="26"/>
      <c r="D95" s="26"/>
      <c r="E95" s="27">
        <v>673</v>
      </c>
      <c r="F95" s="27"/>
      <c r="G95" s="16">
        <v>29.2</v>
      </c>
      <c r="H95" s="10">
        <v>29.2</v>
      </c>
      <c r="I95" s="17">
        <v>241.2</v>
      </c>
      <c r="J95" s="9"/>
    </row>
    <row r="96" spans="1:10" ht="11.25" hidden="1" customHeight="1" outlineLevel="3" x14ac:dyDescent="0.2">
      <c r="A96" s="26" t="s">
        <v>95</v>
      </c>
      <c r="B96" s="26"/>
      <c r="C96" s="26"/>
      <c r="D96" s="26"/>
      <c r="E96" s="27">
        <v>19</v>
      </c>
      <c r="F96" s="27"/>
      <c r="G96" s="16">
        <v>0</v>
      </c>
      <c r="H96" s="11"/>
      <c r="I96" s="17">
        <v>7.6</v>
      </c>
      <c r="J96" s="9"/>
    </row>
    <row r="97" spans="1:10" ht="11.25" hidden="1" customHeight="1" outlineLevel="3" x14ac:dyDescent="0.2">
      <c r="A97" s="26" t="s">
        <v>96</v>
      </c>
      <c r="B97" s="26"/>
      <c r="C97" s="26"/>
      <c r="D97" s="26"/>
      <c r="E97" s="27">
        <v>284</v>
      </c>
      <c r="F97" s="27"/>
      <c r="G97" s="16">
        <v>4.7</v>
      </c>
      <c r="H97" s="10">
        <v>4.7</v>
      </c>
      <c r="I97" s="17">
        <v>23.8</v>
      </c>
      <c r="J97" s="9"/>
    </row>
    <row r="98" spans="1:10" ht="21.75" hidden="1" customHeight="1" outlineLevel="3" x14ac:dyDescent="0.2">
      <c r="A98" s="26" t="s">
        <v>97</v>
      </c>
      <c r="B98" s="26"/>
      <c r="C98" s="26"/>
      <c r="D98" s="26"/>
      <c r="E98" s="27">
        <v>265</v>
      </c>
      <c r="F98" s="27"/>
      <c r="G98" s="16">
        <v>5.0999999999999996</v>
      </c>
      <c r="H98" s="10">
        <v>5.0999999999999996</v>
      </c>
      <c r="I98" s="17">
        <v>21.5</v>
      </c>
      <c r="J98" s="9"/>
    </row>
    <row r="99" spans="1:10" ht="11.25" hidden="1" customHeight="1" outlineLevel="3" x14ac:dyDescent="0.2">
      <c r="A99" s="26" t="s">
        <v>98</v>
      </c>
      <c r="B99" s="26"/>
      <c r="C99" s="26"/>
      <c r="D99" s="26"/>
      <c r="E99" s="27">
        <v>826</v>
      </c>
      <c r="F99" s="27"/>
      <c r="G99" s="16">
        <v>31.6</v>
      </c>
      <c r="H99" s="10">
        <v>30</v>
      </c>
      <c r="I99" s="17">
        <v>302.8</v>
      </c>
      <c r="J99" s="9"/>
    </row>
    <row r="100" spans="1:10" ht="11.25" hidden="1" customHeight="1" outlineLevel="3" x14ac:dyDescent="0.2">
      <c r="A100" s="26" t="s">
        <v>99</v>
      </c>
      <c r="B100" s="26"/>
      <c r="C100" s="26"/>
      <c r="D100" s="26"/>
      <c r="E100" s="27">
        <v>266</v>
      </c>
      <c r="F100" s="27"/>
      <c r="G100" s="16">
        <v>36.4</v>
      </c>
      <c r="H100" s="10">
        <v>35.6</v>
      </c>
      <c r="I100" s="17">
        <v>72.400000000000006</v>
      </c>
      <c r="J100" s="9"/>
    </row>
    <row r="101" spans="1:10" ht="11.25" hidden="1" customHeight="1" outlineLevel="3" x14ac:dyDescent="0.2">
      <c r="A101" s="26" t="s">
        <v>100</v>
      </c>
      <c r="B101" s="26"/>
      <c r="C101" s="26"/>
      <c r="D101" s="26"/>
      <c r="E101" s="27">
        <v>848</v>
      </c>
      <c r="F101" s="27"/>
      <c r="G101" s="16">
        <v>177</v>
      </c>
      <c r="H101" s="10">
        <v>177</v>
      </c>
      <c r="I101" s="17">
        <v>331.8</v>
      </c>
      <c r="J101" s="9"/>
    </row>
    <row r="102" spans="1:10" ht="11.25" hidden="1" customHeight="1" outlineLevel="3" x14ac:dyDescent="0.2">
      <c r="A102" s="26" t="s">
        <v>101</v>
      </c>
      <c r="B102" s="26"/>
      <c r="C102" s="26"/>
      <c r="D102" s="26"/>
      <c r="E102" s="27">
        <v>753</v>
      </c>
      <c r="F102" s="27"/>
      <c r="G102" s="16">
        <v>103.2</v>
      </c>
      <c r="H102" s="10">
        <v>103.2</v>
      </c>
      <c r="I102" s="17">
        <v>348.6</v>
      </c>
      <c r="J102" s="9"/>
    </row>
    <row r="103" spans="1:10" ht="21.75" hidden="1" customHeight="1" outlineLevel="3" x14ac:dyDescent="0.2">
      <c r="A103" s="26" t="s">
        <v>102</v>
      </c>
      <c r="B103" s="26"/>
      <c r="C103" s="26"/>
      <c r="D103" s="26"/>
      <c r="E103" s="27">
        <v>52</v>
      </c>
      <c r="F103" s="27"/>
      <c r="G103" s="16">
        <v>1.4</v>
      </c>
      <c r="H103" s="10">
        <v>1.4</v>
      </c>
      <c r="I103" s="17">
        <v>18.2</v>
      </c>
      <c r="J103" s="9"/>
    </row>
    <row r="104" spans="1:10" ht="21.75" hidden="1" customHeight="1" outlineLevel="3" x14ac:dyDescent="0.2">
      <c r="A104" s="26" t="s">
        <v>103</v>
      </c>
      <c r="B104" s="26"/>
      <c r="C104" s="26"/>
      <c r="D104" s="26"/>
      <c r="E104" s="35">
        <v>1368</v>
      </c>
      <c r="F104" s="35"/>
      <c r="G104" s="16">
        <v>98.4</v>
      </c>
      <c r="H104" s="10">
        <v>98.4</v>
      </c>
      <c r="I104" s="17">
        <v>722.4</v>
      </c>
      <c r="J104" s="9"/>
    </row>
    <row r="105" spans="1:10" ht="11.25" hidden="1" customHeight="1" outlineLevel="3" x14ac:dyDescent="0.2">
      <c r="A105" s="26" t="s">
        <v>104</v>
      </c>
      <c r="B105" s="26"/>
      <c r="C105" s="26"/>
      <c r="D105" s="26"/>
      <c r="E105" s="27">
        <v>225</v>
      </c>
      <c r="F105" s="27"/>
      <c r="G105" s="16">
        <v>8.0500000000000007</v>
      </c>
      <c r="H105" s="10">
        <v>7.35</v>
      </c>
      <c r="I105" s="17">
        <v>71.400000000000006</v>
      </c>
      <c r="J105" s="9"/>
    </row>
    <row r="106" spans="1:10" ht="11.25" hidden="1" customHeight="1" outlineLevel="3" x14ac:dyDescent="0.2">
      <c r="A106" s="26" t="s">
        <v>105</v>
      </c>
      <c r="B106" s="26"/>
      <c r="C106" s="26"/>
      <c r="D106" s="26"/>
      <c r="E106" s="27">
        <v>87</v>
      </c>
      <c r="F106" s="27"/>
      <c r="G106" s="16">
        <v>14</v>
      </c>
      <c r="H106" s="10">
        <v>13.65</v>
      </c>
      <c r="I106" s="17">
        <v>16.8</v>
      </c>
      <c r="J106" s="9"/>
    </row>
    <row r="107" spans="1:10" ht="21.75" hidden="1" customHeight="1" outlineLevel="3" x14ac:dyDescent="0.2">
      <c r="A107" s="26" t="s">
        <v>106</v>
      </c>
      <c r="B107" s="26"/>
      <c r="C107" s="26"/>
      <c r="D107" s="26"/>
      <c r="E107" s="27">
        <v>52</v>
      </c>
      <c r="F107" s="27"/>
      <c r="G107" s="16">
        <v>0</v>
      </c>
      <c r="H107" s="11"/>
      <c r="I107" s="17">
        <v>20.8</v>
      </c>
      <c r="J107" s="9"/>
    </row>
    <row r="108" spans="1:10" ht="21.75" hidden="1" customHeight="1" outlineLevel="3" x14ac:dyDescent="0.2">
      <c r="A108" s="26" t="s">
        <v>107</v>
      </c>
      <c r="B108" s="26"/>
      <c r="C108" s="26"/>
      <c r="D108" s="26"/>
      <c r="E108" s="27">
        <v>111</v>
      </c>
      <c r="F108" s="27"/>
      <c r="G108" s="16">
        <v>11.1</v>
      </c>
      <c r="H108" s="10">
        <v>11.1</v>
      </c>
      <c r="I108" s="17">
        <v>22.2</v>
      </c>
      <c r="J108" s="9"/>
    </row>
    <row r="109" spans="1:10" ht="11.25" hidden="1" customHeight="1" outlineLevel="3" x14ac:dyDescent="0.2">
      <c r="A109" s="26" t="s">
        <v>108</v>
      </c>
      <c r="B109" s="26"/>
      <c r="C109" s="26"/>
      <c r="D109" s="26"/>
      <c r="E109" s="27">
        <v>43</v>
      </c>
      <c r="F109" s="27"/>
      <c r="G109" s="16">
        <v>0.49</v>
      </c>
      <c r="H109" s="10">
        <v>0.49</v>
      </c>
      <c r="I109" s="17">
        <v>2.52</v>
      </c>
      <c r="J109" s="9"/>
    </row>
    <row r="110" spans="1:10" ht="21.75" hidden="1" customHeight="1" outlineLevel="3" x14ac:dyDescent="0.2">
      <c r="A110" s="26" t="s">
        <v>109</v>
      </c>
      <c r="B110" s="26"/>
      <c r="C110" s="26"/>
      <c r="D110" s="26"/>
      <c r="E110" s="27">
        <v>21</v>
      </c>
      <c r="F110" s="27"/>
      <c r="G110" s="16">
        <v>0.7</v>
      </c>
      <c r="H110" s="10">
        <v>0.7</v>
      </c>
      <c r="I110" s="17">
        <v>1.47</v>
      </c>
      <c r="J110" s="9"/>
    </row>
    <row r="111" spans="1:10" ht="11.25" hidden="1" customHeight="1" outlineLevel="3" x14ac:dyDescent="0.2">
      <c r="A111" s="26" t="s">
        <v>110</v>
      </c>
      <c r="B111" s="26"/>
      <c r="C111" s="26"/>
      <c r="D111" s="26"/>
      <c r="E111" s="27">
        <v>85</v>
      </c>
      <c r="F111" s="27"/>
      <c r="G111" s="16">
        <v>0.42</v>
      </c>
      <c r="H111" s="10">
        <v>0.42</v>
      </c>
      <c r="I111" s="17">
        <v>5.53</v>
      </c>
      <c r="J111" s="9"/>
    </row>
    <row r="112" spans="1:10" ht="11.25" hidden="1" customHeight="1" outlineLevel="3" x14ac:dyDescent="0.2">
      <c r="A112" s="26" t="s">
        <v>111</v>
      </c>
      <c r="B112" s="26"/>
      <c r="C112" s="26"/>
      <c r="D112" s="26"/>
      <c r="E112" s="27">
        <v>51</v>
      </c>
      <c r="F112" s="27"/>
      <c r="G112" s="16">
        <v>0.3</v>
      </c>
      <c r="H112" s="10">
        <v>0.3</v>
      </c>
      <c r="I112" s="17">
        <v>15</v>
      </c>
      <c r="J112" s="9"/>
    </row>
    <row r="113" spans="1:10" ht="21.75" hidden="1" customHeight="1" outlineLevel="3" x14ac:dyDescent="0.2">
      <c r="A113" s="26" t="s">
        <v>112</v>
      </c>
      <c r="B113" s="26"/>
      <c r="C113" s="26"/>
      <c r="D113" s="26"/>
      <c r="E113" s="27">
        <v>150</v>
      </c>
      <c r="F113" s="27"/>
      <c r="G113" s="16">
        <v>6.64</v>
      </c>
      <c r="H113" s="10">
        <v>6.64</v>
      </c>
      <c r="I113" s="17">
        <v>6.4</v>
      </c>
      <c r="J113" s="9"/>
    </row>
    <row r="114" spans="1:10" ht="21.75" customHeight="1" outlineLevel="3" x14ac:dyDescent="0.2">
      <c r="A114" s="26" t="s">
        <v>113</v>
      </c>
      <c r="B114" s="26"/>
      <c r="C114" s="26"/>
      <c r="D114" s="26"/>
      <c r="E114" s="27">
        <v>19</v>
      </c>
      <c r="F114" s="27"/>
      <c r="G114" s="18">
        <v>13.44</v>
      </c>
      <c r="H114" s="21"/>
      <c r="I114" s="17">
        <v>1.52</v>
      </c>
      <c r="J114" s="19">
        <f>G114-H114</f>
        <v>13.44</v>
      </c>
    </row>
    <row r="115" spans="1:10" ht="21.75" hidden="1" customHeight="1" outlineLevel="3" x14ac:dyDescent="0.2">
      <c r="A115" s="26" t="s">
        <v>114</v>
      </c>
      <c r="B115" s="26"/>
      <c r="C115" s="26"/>
      <c r="D115" s="26"/>
      <c r="E115" s="27">
        <v>152</v>
      </c>
      <c r="F115" s="27"/>
      <c r="G115" s="16">
        <v>1.25</v>
      </c>
      <c r="H115" s="10">
        <v>1.25</v>
      </c>
      <c r="I115" s="17">
        <v>36.75</v>
      </c>
      <c r="J115" s="9"/>
    </row>
    <row r="116" spans="1:10" ht="21.75" hidden="1" customHeight="1" outlineLevel="3" x14ac:dyDescent="0.2">
      <c r="A116" s="26" t="s">
        <v>115</v>
      </c>
      <c r="B116" s="26"/>
      <c r="C116" s="26"/>
      <c r="D116" s="26"/>
      <c r="E116" s="27">
        <v>82</v>
      </c>
      <c r="F116" s="27"/>
      <c r="G116" s="16">
        <v>0</v>
      </c>
      <c r="H116" s="11"/>
      <c r="I116" s="17">
        <v>26.65</v>
      </c>
      <c r="J116" s="9"/>
    </row>
    <row r="117" spans="1:10" ht="21.75" hidden="1" customHeight="1" outlineLevel="3" x14ac:dyDescent="0.2">
      <c r="A117" s="26" t="s">
        <v>116</v>
      </c>
      <c r="B117" s="26"/>
      <c r="C117" s="26"/>
      <c r="D117" s="26"/>
      <c r="E117" s="27">
        <v>153</v>
      </c>
      <c r="F117" s="27"/>
      <c r="G117" s="16">
        <v>1.25</v>
      </c>
      <c r="H117" s="10">
        <v>1.25</v>
      </c>
      <c r="I117" s="17">
        <v>37</v>
      </c>
      <c r="J117" s="9"/>
    </row>
    <row r="118" spans="1:10" ht="21.75" hidden="1" customHeight="1" outlineLevel="3" x14ac:dyDescent="0.2">
      <c r="A118" s="26" t="s">
        <v>117</v>
      </c>
      <c r="B118" s="26"/>
      <c r="C118" s="26"/>
      <c r="D118" s="26"/>
      <c r="E118" s="27">
        <v>35</v>
      </c>
      <c r="F118" s="27"/>
      <c r="G118" s="16">
        <v>2.7</v>
      </c>
      <c r="H118" s="10">
        <v>2.7</v>
      </c>
      <c r="I118" s="17">
        <v>7.8</v>
      </c>
      <c r="J118" s="9"/>
    </row>
    <row r="119" spans="1:10" ht="21.75" hidden="1" customHeight="1" outlineLevel="3" x14ac:dyDescent="0.2">
      <c r="A119" s="26" t="s">
        <v>118</v>
      </c>
      <c r="B119" s="26"/>
      <c r="C119" s="26"/>
      <c r="D119" s="26"/>
      <c r="E119" s="27">
        <v>47</v>
      </c>
      <c r="F119" s="27"/>
      <c r="G119" s="16">
        <v>2.1</v>
      </c>
      <c r="H119" s="10">
        <v>2.1</v>
      </c>
      <c r="I119" s="17">
        <v>12</v>
      </c>
      <c r="J119" s="9"/>
    </row>
    <row r="120" spans="1:10" ht="21.75" hidden="1" customHeight="1" outlineLevel="3" x14ac:dyDescent="0.2">
      <c r="A120" s="26" t="s">
        <v>119</v>
      </c>
      <c r="B120" s="26"/>
      <c r="C120" s="26"/>
      <c r="D120" s="26"/>
      <c r="E120" s="27">
        <v>7</v>
      </c>
      <c r="F120" s="27"/>
      <c r="G120" s="16">
        <v>0</v>
      </c>
      <c r="H120" s="11"/>
      <c r="I120" s="17">
        <v>2.1</v>
      </c>
      <c r="J120" s="9"/>
    </row>
    <row r="121" spans="1:10" ht="11.25" hidden="1" customHeight="1" outlineLevel="3" x14ac:dyDescent="0.2">
      <c r="A121" s="26" t="s">
        <v>120</v>
      </c>
      <c r="B121" s="26"/>
      <c r="C121" s="26"/>
      <c r="D121" s="26"/>
      <c r="E121" s="27">
        <v>98</v>
      </c>
      <c r="F121" s="27"/>
      <c r="G121" s="16">
        <v>0.6</v>
      </c>
      <c r="H121" s="10">
        <v>0.48</v>
      </c>
      <c r="I121" s="17">
        <v>11.28</v>
      </c>
      <c r="J121" s="9"/>
    </row>
    <row r="122" spans="1:10" ht="21.75" hidden="1" customHeight="1" outlineLevel="3" x14ac:dyDescent="0.2">
      <c r="A122" s="26" t="s">
        <v>121</v>
      </c>
      <c r="B122" s="26"/>
      <c r="C122" s="26"/>
      <c r="D122" s="26"/>
      <c r="E122" s="27">
        <v>79</v>
      </c>
      <c r="F122" s="27"/>
      <c r="G122" s="16">
        <v>2.9</v>
      </c>
      <c r="H122" s="10">
        <v>2.9</v>
      </c>
      <c r="I122" s="17">
        <v>5</v>
      </c>
      <c r="J122" s="9"/>
    </row>
    <row r="123" spans="1:10" ht="21.75" hidden="1" customHeight="1" outlineLevel="3" x14ac:dyDescent="0.2">
      <c r="A123" s="32" t="s">
        <v>122</v>
      </c>
      <c r="B123" s="33"/>
      <c r="C123" s="33"/>
      <c r="D123" s="34"/>
      <c r="E123" s="30">
        <v>27</v>
      </c>
      <c r="F123" s="31"/>
      <c r="G123" s="16">
        <v>0</v>
      </c>
      <c r="H123" s="11"/>
      <c r="I123" s="17">
        <v>8.7750000000000004</v>
      </c>
      <c r="J123" s="9"/>
    </row>
    <row r="124" spans="1:10" ht="12.75" customHeight="1" x14ac:dyDescent="0.2">
      <c r="A124" s="28" t="s">
        <v>123</v>
      </c>
      <c r="B124" s="28"/>
      <c r="C124" s="28"/>
      <c r="D124" s="28"/>
      <c r="E124" s="29">
        <v>69951.896999999997</v>
      </c>
      <c r="F124" s="29"/>
      <c r="G124" s="23"/>
      <c r="H124" s="22">
        <v>11723.857</v>
      </c>
      <c r="I124" s="24">
        <v>57310.800999999999</v>
      </c>
      <c r="J124" s="3">
        <f>SUM(J8:J123)</f>
        <v>548.5920000000001</v>
      </c>
    </row>
  </sheetData>
  <autoFilter ref="A8:J124" xr:uid="{00000000-0009-0000-0000-000000000000}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9">
      <customFilters>
        <customFilter operator="notEqual" val=" "/>
      </customFilters>
    </filterColumn>
  </autoFilter>
  <mergeCells count="237">
    <mergeCell ref="C6:P6"/>
    <mergeCell ref="A8:D8"/>
    <mergeCell ref="E8:H8"/>
    <mergeCell ref="I8:I9"/>
    <mergeCell ref="A9:D9"/>
    <mergeCell ref="E9:F9"/>
    <mergeCell ref="A10:D10"/>
    <mergeCell ref="E10:F10"/>
    <mergeCell ref="A11:D11"/>
    <mergeCell ref="E11:F11"/>
    <mergeCell ref="J8:J9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E118:F118"/>
    <mergeCell ref="A119:D119"/>
    <mergeCell ref="E119:F119"/>
    <mergeCell ref="A120:D120"/>
    <mergeCell ref="E120:F120"/>
    <mergeCell ref="A115:D115"/>
    <mergeCell ref="E115:F115"/>
    <mergeCell ref="A116:D116"/>
    <mergeCell ref="E116:F116"/>
    <mergeCell ref="A117:D117"/>
    <mergeCell ref="A124:D124"/>
    <mergeCell ref="E124:F124"/>
    <mergeCell ref="E123:F123"/>
    <mergeCell ref="A123:D123"/>
    <mergeCell ref="A121:D121"/>
    <mergeCell ref="E121:F121"/>
    <mergeCell ref="A122:D122"/>
    <mergeCell ref="E122:F122"/>
    <mergeCell ref="A118:D118"/>
    <mergeCell ref="E117:F117"/>
  </mergeCells>
  <phoneticPr fontId="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BD00-BEB7-4FF3-BA63-333DFD6A71AD}">
  <dimension ref="A1:D7"/>
  <sheetViews>
    <sheetView tabSelected="1" zoomScale="130" zoomScaleNormal="130" workbookViewId="0">
      <selection activeCell="F17" sqref="F17"/>
    </sheetView>
  </sheetViews>
  <sheetFormatPr defaultRowHeight="11.25" x14ac:dyDescent="0.2"/>
  <cols>
    <col min="1" max="1" width="90" customWidth="1"/>
    <col min="2" max="2" width="11.1640625" customWidth="1"/>
    <col min="3" max="3" width="9.33203125" customWidth="1"/>
    <col min="4" max="4" width="97.83203125" customWidth="1"/>
  </cols>
  <sheetData>
    <row r="1" spans="1:4" x14ac:dyDescent="0.2">
      <c r="A1" s="25" t="s">
        <v>135</v>
      </c>
      <c r="B1" s="25" t="s">
        <v>136</v>
      </c>
      <c r="C1" s="25"/>
      <c r="D1" s="25"/>
    </row>
    <row r="2" spans="1:4" x14ac:dyDescent="0.2">
      <c r="A2" s="25" t="s">
        <v>129</v>
      </c>
      <c r="B2" s="25">
        <v>20.061</v>
      </c>
      <c r="C2" s="25" t="s">
        <v>139</v>
      </c>
      <c r="D2" s="25" t="s">
        <v>138</v>
      </c>
    </row>
    <row r="3" spans="1:4" x14ac:dyDescent="0.2">
      <c r="A3" s="25" t="s">
        <v>130</v>
      </c>
      <c r="B3" s="25">
        <v>261</v>
      </c>
      <c r="C3" s="25" t="s">
        <v>139</v>
      </c>
      <c r="D3" s="25" t="s">
        <v>140</v>
      </c>
    </row>
    <row r="4" spans="1:4" x14ac:dyDescent="0.2">
      <c r="A4" s="25" t="s">
        <v>131</v>
      </c>
      <c r="B4" s="25">
        <v>1.7999999999999998</v>
      </c>
      <c r="C4" s="25" t="s">
        <v>139</v>
      </c>
      <c r="D4" s="25" t="s">
        <v>143</v>
      </c>
    </row>
    <row r="5" spans="1:4" x14ac:dyDescent="0.2">
      <c r="A5" s="25" t="s">
        <v>132</v>
      </c>
      <c r="B5" s="25">
        <v>58.391000000000005</v>
      </c>
      <c r="C5" s="25" t="s">
        <v>139</v>
      </c>
      <c r="D5" s="25" t="s">
        <v>142</v>
      </c>
    </row>
    <row r="6" spans="1:4" x14ac:dyDescent="0.2">
      <c r="A6" s="25" t="s">
        <v>133</v>
      </c>
      <c r="B6" s="25">
        <v>193.89999999999998</v>
      </c>
      <c r="C6" s="25" t="s">
        <v>139</v>
      </c>
      <c r="D6" s="25" t="s">
        <v>141</v>
      </c>
    </row>
    <row r="7" spans="1:4" x14ac:dyDescent="0.2">
      <c r="A7" s="25" t="s">
        <v>134</v>
      </c>
      <c r="B7" s="25">
        <v>13.44</v>
      </c>
      <c r="C7" s="25" t="s">
        <v>139</v>
      </c>
      <c r="D7" s="2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дефицит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User</cp:lastModifiedBy>
  <cp:revision>1</cp:revision>
  <cp:lastPrinted>2026-10-29T07:39:24Z</cp:lastPrinted>
  <dcterms:created xsi:type="dcterms:W3CDTF">2026-10-29T07:39:24Z</dcterms:created>
  <dcterms:modified xsi:type="dcterms:W3CDTF">2026-10-29T15:58:35Z</dcterms:modified>
</cp:coreProperties>
</file>