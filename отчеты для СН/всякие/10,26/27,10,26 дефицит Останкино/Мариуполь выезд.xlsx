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всякие\10,26\27,10,26 дефицит Останкино\"/>
    </mc:Choice>
  </mc:AlternateContent>
  <xr:revisionPtr revIDLastSave="0" documentId="13_ncr:1_{CD3CA758-D572-4FDA-9CF4-9511F71513AD}" xr6:coauthVersionLast="45" xr6:coauthVersionMax="47" xr10:uidLastSave="{00000000-0000-0000-0000-000000000000}"/>
  <bookViews>
    <workbookView xWindow="-120" yWindow="-120" windowWidth="29040" windowHeight="15840" activeTab="7" xr2:uid="{00000000-000D-0000-FFFF-FFFF00000000}"/>
  </bookViews>
  <sheets>
    <sheet name="17.10 (3)" sheetId="14" r:id="rId1"/>
    <sheet name="20.10 (2)" sheetId="15" r:id="rId2"/>
    <sheet name="21.10 (2)" sheetId="16" r:id="rId3"/>
    <sheet name="22.10" sheetId="12" r:id="rId4"/>
    <sheet name="23.10" sheetId="18" r:id="rId5"/>
    <sheet name="24.10" sheetId="19" r:id="rId6"/>
    <sheet name="27.10" sheetId="20" r:id="rId7"/>
    <sheet name="Лист1" sheetId="21" r:id="rId8"/>
  </sheets>
  <externalReferences>
    <externalReference r:id="rId9"/>
    <externalReference r:id="rId10"/>
  </externalReferences>
  <definedNames>
    <definedName name="_xlnm._FilterDatabase" localSheetId="6" hidden="1">'27.10'!$A$55:$J$112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" i="21" l="1"/>
  <c r="D23" i="21"/>
  <c r="D21" i="21"/>
  <c r="D20" i="21"/>
  <c r="D19" i="21"/>
  <c r="D18" i="21"/>
  <c r="D17" i="21"/>
  <c r="D16" i="21"/>
  <c r="D15" i="21"/>
  <c r="D14" i="21"/>
  <c r="D13" i="21"/>
  <c r="D12" i="21"/>
  <c r="D11" i="21"/>
  <c r="D8" i="21"/>
  <c r="D7" i="21"/>
  <c r="D4" i="21"/>
  <c r="D5" i="21"/>
  <c r="D3" i="21"/>
  <c r="C4" i="21" l="1"/>
  <c r="C5" i="21"/>
  <c r="C7" i="21"/>
  <c r="C8" i="21"/>
  <c r="C11" i="21"/>
  <c r="C12" i="21"/>
  <c r="C13" i="21"/>
  <c r="C14" i="21"/>
  <c r="C15" i="21"/>
  <c r="C16" i="21"/>
  <c r="C17" i="21"/>
  <c r="C18" i="21"/>
  <c r="C19" i="21"/>
  <c r="C20" i="21"/>
  <c r="C21" i="21"/>
  <c r="C22" i="21"/>
  <c r="C23" i="21"/>
  <c r="C24" i="21"/>
  <c r="C25" i="21"/>
  <c r="C3" i="21"/>
  <c r="B26" i="21" l="1"/>
  <c r="J112" i="20" l="1"/>
  <c r="G51" i="20"/>
  <c r="E51" i="20"/>
  <c r="C51" i="20"/>
  <c r="I51" i="20" l="1"/>
  <c r="G44" i="20"/>
  <c r="G31" i="20"/>
  <c r="F31" i="20"/>
  <c r="N23" i="20"/>
  <c r="L21" i="20"/>
  <c r="K21" i="20"/>
  <c r="H21" i="20"/>
  <c r="G21" i="20"/>
  <c r="J79" i="19"/>
  <c r="I51" i="19"/>
  <c r="G44" i="19"/>
  <c r="G31" i="19"/>
  <c r="F31" i="19"/>
  <c r="N23" i="19"/>
  <c r="L21" i="19"/>
  <c r="K21" i="19"/>
  <c r="H21" i="19"/>
  <c r="G21" i="19"/>
  <c r="J11" i="19"/>
  <c r="J10" i="19"/>
  <c r="J9" i="19"/>
  <c r="J8" i="19"/>
  <c r="J116" i="12"/>
  <c r="I51" i="12"/>
  <c r="C51" i="12"/>
  <c r="J103" i="18" l="1"/>
  <c r="I51" i="18"/>
  <c r="G51" i="18"/>
  <c r="E51" i="18"/>
  <c r="C51" i="18"/>
  <c r="G44" i="18"/>
  <c r="G31" i="18"/>
  <c r="F31" i="18"/>
  <c r="N23" i="18"/>
  <c r="L21" i="18"/>
  <c r="K21" i="18"/>
  <c r="H21" i="18"/>
  <c r="G21" i="18"/>
  <c r="J11" i="18"/>
  <c r="J10" i="18"/>
  <c r="J9" i="18"/>
  <c r="J8" i="18"/>
  <c r="I27" i="16" l="1"/>
  <c r="J92" i="16" l="1"/>
  <c r="I51" i="16"/>
  <c r="G51" i="16"/>
  <c r="E51" i="16"/>
  <c r="C51" i="16"/>
  <c r="G44" i="16"/>
  <c r="N23" i="16"/>
  <c r="L21" i="16"/>
  <c r="K21" i="16"/>
  <c r="H21" i="16"/>
  <c r="G21" i="16"/>
  <c r="J11" i="16"/>
  <c r="J10" i="16"/>
  <c r="J9" i="16"/>
  <c r="J8" i="16"/>
  <c r="N23" i="12"/>
  <c r="G31" i="12"/>
  <c r="J92" i="15"/>
  <c r="I51" i="15"/>
  <c r="G51" i="15"/>
  <c r="E51" i="15"/>
  <c r="C51" i="15"/>
  <c r="G44" i="15"/>
  <c r="G31" i="15"/>
  <c r="F31" i="15"/>
  <c r="I27" i="15"/>
  <c r="L21" i="15"/>
  <c r="K21" i="15"/>
  <c r="H21" i="15"/>
  <c r="G21" i="15"/>
  <c r="J11" i="15"/>
  <c r="J10" i="15"/>
  <c r="J9" i="15"/>
  <c r="J8" i="15"/>
  <c r="J92" i="14"/>
  <c r="I51" i="14"/>
  <c r="G51" i="14"/>
  <c r="E51" i="14"/>
  <c r="C51" i="14"/>
  <c r="G44" i="14"/>
  <c r="G31" i="14"/>
  <c r="F31" i="14"/>
  <c r="I27" i="14"/>
  <c r="L21" i="14"/>
  <c r="K21" i="14"/>
  <c r="H21" i="14"/>
  <c r="G21" i="14"/>
  <c r="J12" i="14"/>
  <c r="J11" i="14"/>
  <c r="J10" i="14"/>
  <c r="J9" i="14"/>
  <c r="J8" i="14"/>
  <c r="G51" i="12" l="1"/>
  <c r="E51" i="12"/>
  <c r="G44" i="12"/>
  <c r="F31" i="12"/>
  <c r="L21" i="12"/>
  <c r="K21" i="12"/>
  <c r="H21" i="12"/>
  <c r="G21" i="12"/>
  <c r="J11" i="12"/>
  <c r="J10" i="12"/>
  <c r="J9" i="12"/>
  <c r="J8" i="12"/>
</calcChain>
</file>

<file path=xl/sharedStrings.xml><?xml version="1.0" encoding="utf-8"?>
<sst xmlns="http://schemas.openxmlformats.org/spreadsheetml/2006/main" count="830" uniqueCount="177">
  <si>
    <t>Выезд Машин</t>
  </si>
  <si>
    <t>№ п/п</t>
  </si>
  <si>
    <t>Марка</t>
  </si>
  <si>
    <t>№ авто</t>
  </si>
  <si>
    <t>ФИО водителя</t>
  </si>
  <si>
    <t>Заполняет механник перед выездом машин</t>
  </si>
  <si>
    <t>Выехал (время)</t>
  </si>
  <si>
    <t>количество ТГ (АКБ)</t>
  </si>
  <si>
    <t>кг</t>
  </si>
  <si>
    <t>вернулся  (время)</t>
  </si>
  <si>
    <t>Не вывезено</t>
  </si>
  <si>
    <t>Исправность холодильного оборудования</t>
  </si>
  <si>
    <t>Неисправные</t>
  </si>
  <si>
    <t>сумма ремонта</t>
  </si>
  <si>
    <t>Дата поломки</t>
  </si>
  <si>
    <t>ИТОГО</t>
  </si>
  <si>
    <t>Сборка</t>
  </si>
  <si>
    <t>Заказано (день заказа)</t>
  </si>
  <si>
    <t>Собрано (факт.день сборки)</t>
  </si>
  <si>
    <t>Выехало (факт день выезда)</t>
  </si>
  <si>
    <t>Поком колбаса</t>
  </si>
  <si>
    <t>Поком заморозка</t>
  </si>
  <si>
    <t>Останкино</t>
  </si>
  <si>
    <t>Всего</t>
  </si>
  <si>
    <t>ВСЕГО МАШИН</t>
  </si>
  <si>
    <t>ИСПРАВНЫЕ АВТО</t>
  </si>
  <si>
    <t>НАЙМ АВТО</t>
  </si>
  <si>
    <t>Стоимость</t>
  </si>
  <si>
    <t>кол-во тт (АКБ)</t>
  </si>
  <si>
    <t>Вернулось (факт день выезда)</t>
  </si>
  <si>
    <t>Время на маршруте</t>
  </si>
  <si>
    <t>Вернулся  (время)</t>
  </si>
  <si>
    <t>Дефицит</t>
  </si>
  <si>
    <t>№</t>
  </si>
  <si>
    <t>Наименование позиций</t>
  </si>
  <si>
    <t>КГ</t>
  </si>
  <si>
    <t>Причина</t>
  </si>
  <si>
    <t>Ремонт одобрен +/-</t>
  </si>
  <si>
    <t>Дата окончания ремонта</t>
  </si>
  <si>
    <t>Дата постановки на ремонт</t>
  </si>
  <si>
    <t>Оплачено +/-</t>
  </si>
  <si>
    <t>Да</t>
  </si>
  <si>
    <t>Нет</t>
  </si>
  <si>
    <t>Газель</t>
  </si>
  <si>
    <t>4063 МЯСНАЯ Папа может вар п/о_Л   ОСТАНКИНО</t>
  </si>
  <si>
    <t>5931 ОХОТНИЧЬЯ Папа может с/к в/у 1/220 8шт.   ОСТАНКИНО</t>
  </si>
  <si>
    <t>6498 МОЛОЧНАЯ Папа может вар п/о  ОСТАНКИНО</t>
  </si>
  <si>
    <t>7157 СЕРВЕЛАТ ЗЕРНИСТЫЙ ПМ в/к в/у_50с  Останкино</t>
  </si>
  <si>
    <t>7166 СЕРВЕЛАТ ОХОТНИЧИЙ ПМ в/к в/у_50с  Останкино</t>
  </si>
  <si>
    <t>7603 БАЛЫКОВАЯ в/к в/у 0.33кг 8шт. ОСТАНКИНО</t>
  </si>
  <si>
    <t>6470 ВЕТЧ.МРАМОРНАЯ в/у_45с  ОСТАНКИНО</t>
  </si>
  <si>
    <t>МАРИУПОЛЬ</t>
  </si>
  <si>
    <t>Е792СР82</t>
  </si>
  <si>
    <t xml:space="preserve">Спринтер </t>
  </si>
  <si>
    <t>Дубинин Алексей</t>
  </si>
  <si>
    <t>Ковальский Дмитрий</t>
  </si>
  <si>
    <t>Е827УА82</t>
  </si>
  <si>
    <t>В952ХК82</t>
  </si>
  <si>
    <t>Махонько Игорь</t>
  </si>
  <si>
    <t>Приходько Виталий</t>
  </si>
  <si>
    <t xml:space="preserve">Е765МУ82 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</si>
  <si>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</si>
  <si>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</si>
  <si>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</si>
  <si>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5819 Сосиски Папа может 400г Мясные  ОСТАНКИНО</t>
  </si>
  <si>
    <t>6220 ГОВЯЖЬЯ папа может вар п/о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</si>
  <si>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</si>
  <si>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</si>
  <si>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</si>
  <si>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6550 МЯСНЫЕ Папа может сар б/о мгс 1*3 О 45с  Останкино</t>
  </si>
  <si>
    <t>6697 СЕРВЕЛАТ ФИНСКИЙ ПМ в/к в/у 0,35кг 8шт  ОСТАНКИНО</t>
  </si>
  <si>
    <t>6787 СЕРВЕЛАТ КРЕМЛЕВСКИЙ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</si>
  <si>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</si>
  <si>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</si>
  <si>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7070 СОЧНЫЕ ПМ сос п/о 1,5*4_А_50с  Останкино</t>
  </si>
  <si>
    <t>7080 СЛИВОЧНЫЕ ПМ сос п/о мгс 0,41кг 10шт 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</si>
  <si>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</si>
  <si>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</si>
  <si>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</si>
  <si>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7241 САЛЯМИ Папа может п/к в/у 0,28кг ОСТАНКИНО</t>
  </si>
  <si>
    <t>7255 МЯСНЫЕ С ГОВЯД.ПМ сос п/о мгс 0.4кг 6шт.  ОСТАНКИНО</t>
  </si>
  <si>
    <t>7490 СОЧНЫЙ ГРИЛЬ сос ц/о мгс 0.41кг_Даблпак  ОСТАНКИНО</t>
  </si>
  <si>
    <t xml:space="preserve">7632 ЭКСТРА Папа может вар п/о 0.4кг 8шт_195к  ОСТАНКИНО        </t>
  </si>
  <si>
    <t>А341МХ</t>
  </si>
  <si>
    <t>Рено</t>
  </si>
  <si>
    <t>5483 ЭКСТРА Папа может с/к в/у 1/250 8шт.   ОСТАНКИНО</t>
  </si>
  <si>
    <t>5495 ВЕТЧ.С ИНДЕЙКОЙ Папа может п/о 400*6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</si>
  <si>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</si>
  <si>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</si>
  <si>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</si>
  <si>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6829  МОЛОЧНЫЕ КЛАССИЧЕСКИЕ сос п/о мгс 2*4 С  Останккино</t>
  </si>
  <si>
    <t>6925 ВЕТЧ.КЛАССИЧЕСКАЯ в/у 0,6кг 8шт. ОСТАНКИНО</t>
  </si>
  <si>
    <t>7177 ЧЕСНОЧНАЯ ПМ п/к в/у 0,35кг 8шт_50с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</si>
  <si>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</si>
  <si>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</si>
  <si>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7601 ДЛЯ ДЕТЕЙ Папа может сос п/о мгс 0.264кг  ОСТАНКИНО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</si>
  <si>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</si>
  <si>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</si>
  <si>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239  Колбаса Салями запеч Дугушка, оболочка вектор, ВЕС, ТМ Стародворье  ПОКОМ</t>
  </si>
  <si>
    <t xml:space="preserve"> 255  Сосиски Молочные для завтрака ТМ Особый рецепт, п/а МГС, ВЕС, ТМ Стародворье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</si>
  <si>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</si>
  <si>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</si>
  <si>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 xml:space="preserve"> 347  Колбаса Сочинка рубленая с сочным окороком ТМ Стародворье ВЕС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</si>
  <si>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</si>
  <si>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</si>
  <si>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</si>
  <si>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556  Колбаса Сервелат Ореховый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</si>
  <si>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</si>
  <si>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>Наггетсы Хрустящие ТМ Зареченские ТС Зареченские продукты. Поком</t>
  </si>
  <si>
    <t>Пельмени Бульмени со сливочным маслом ТМ Горячая штучка  флоу-пак сфера 0,4 кг .  Поком</t>
  </si>
  <si>
    <t xml:space="preserve">Фольцваген </t>
  </si>
  <si>
    <t>Р633ВК18</t>
  </si>
  <si>
    <t>6661 СОЧНЫЙ ГРИЛЬ ПМ сос п/о мгс 1,5*4_Маяк Останкино</t>
  </si>
  <si>
    <t xml:space="preserve"> 030  Сосиски Вязанка Молочные, Вязанка вискофан МГС, 0.45кг,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</si>
  <si>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</si>
  <si>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</si>
  <si>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276  Колбаса Сливушка ТМ Вязанка в оболочке полиамид 0,45 кг  ПОКОМ</t>
  </si>
  <si>
    <t xml:space="preserve"> 377  Колбаса Молочная Дугушка 0,6кг ТМ Стародворье  ПОКОМ</t>
  </si>
  <si>
    <t>6797 С ИНДЕЙКОЙ Папа может вар п/о 0,4кг 8шт. ОСТАНКИНО</t>
  </si>
  <si>
    <t>Мини-шарики с курочкой и сыром ТМ Зареченские ВЕС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</si>
  <si>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</si>
  <si>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ТМ Горячая штучка  флоу-пак сфера 0,4 кг  Поком</t>
  </si>
  <si>
    <t xml:space="preserve"> 005  Колбаса Докторская ГОСТ, Вязанка вектор,ВЕС. ПОКОМ</t>
  </si>
  <si>
    <t xml:space="preserve"> 032  Сосиски Вязанка Сливочные, Вязанка амицел МГС, 0.45кг,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</si>
  <si>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</si>
  <si>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</si>
  <si>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</si>
  <si>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312  Ветчина Филейская ВЕС ТМ  Вязанка ТС Столичная  ПОКОМ</t>
  </si>
  <si>
    <t xml:space="preserve"> 344  Колбаса Сочинка по-европейски с сочной грудинкой ТМ Стародворье, ВЕС ПОКОМ</t>
  </si>
  <si>
    <t xml:space="preserve"> 551  Колбаса Сливушка ТМ Вязанка в модифицированной газовой среде 0,11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</si>
  <si>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</si>
  <si>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</si>
  <si>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</si>
  <si>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>6527 ШПИКАЧКИ СОЧНЫЕ ПМ сар б/о мгс 1*3 45с ОСТАНКИНО</t>
  </si>
  <si>
    <t>7083 СЛИВОЧНЫЕ ПМ сос п/о мгс 1.5*4_А_50с  ОСТАНКИНО</t>
  </si>
  <si>
    <t>7085 ОСТАНКИНСКИЕ пельм пл.0,7кг 10шт.зам  ОСТАНКИНО</t>
  </si>
  <si>
    <t>7616 ЭКСТРА Папа может с/к с/н в/у 1/100_  ОСТАНКИНО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</si>
  <si>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</si>
  <si>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</si>
  <si>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Мясные с говядиной ТМ Стародворье сфера флоу-пак 1 кг  ПОКОМ</t>
  </si>
  <si>
    <t>Сыр полутвердый "Российский" с массовой долей жира 50%  Останкино</t>
  </si>
  <si>
    <t>Хрустящие крылышки ТМ Горячая штучка 0,3 кг зам  ПОКОМ</t>
  </si>
  <si>
    <t>Чебупицца Пепперони ТМ Горячая штучка ТС Чебупицца 0.25кг зам  ПОКОМ</t>
  </si>
  <si>
    <t>6209 Блинчики с куриным мясом пл. 1/350 зам. ОСТАНКИНО</t>
  </si>
  <si>
    <t>6620 РЕБРЫШКИ к/в в/у_30с  Останкино</t>
  </si>
  <si>
    <t>6724 МОЛОЧНЫЕ ПМ сос п/о мгс 0,41кг 10шт  Останкино</t>
  </si>
  <si>
    <t>7332 БОЯРСКАЯ ПМ п/к в/у 0,28кг ОСТАНКИНО</t>
  </si>
  <si>
    <t>7386 БАРСЕЛОНА ПМ с/к в/у 1/150  ОСТАНКИНО</t>
  </si>
  <si>
    <t>7612 БАЛЫК с/к с/н в/у 1/100 10шт_  ОСТАНКИНО</t>
  </si>
  <si>
    <t>7725 ВЕТ.МРАМОРНАЯ в/у срез 0.3кг 6шт_62  ОСТАНКИНО</t>
  </si>
  <si>
    <t>Сыр рассольный жирный Чечил 45% 100 гр  ОСТАНКИНО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</si>
  <si>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</si>
  <si>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</si>
  <si>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597  Колбаса Классическая ТМ Особый рецепт в оболочке полиамид ВЕС. ПОКОМ</t>
  </si>
  <si>
    <t>Мини-сосиски в ароматном тесте ВЕС ТМ Зареченские продукты  ПОКОМ</t>
  </si>
  <si>
    <t xml:space="preserve"> 247  Сардельки Нежные, ВЕС.  ПОКОМ</t>
  </si>
  <si>
    <t xml:space="preserve"> 273  Сосиски Сочинки с сочной грудинкой, МГС 0.4кг, 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</si>
  <si>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</si>
  <si>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</si>
  <si>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</si>
  <si>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Наггетсы Хрустящие НД2. ВЕС.  ПОКОМ</t>
  </si>
  <si>
    <t>Сыр полутвердый "Голландский" с массовой долей жира в пересчете на сухое  Останкино</t>
  </si>
  <si>
    <t xml:space="preserve"> 449  Колбаса Дугушка Стародворская ВЕС ТС Дугушка ПОКОМ</t>
  </si>
  <si>
    <t>4993 САЛЯМИ ИТАЛЬЯНСКАЯ с/к в/у 1/250*8_120c ОСТАНКИНО</t>
  </si>
  <si>
    <t>5708 ПОСОЛЬСКАЯ Папа может с/к в/у ОСТАНКИНО</t>
  </si>
  <si>
    <t>6807 СЕРВЕЛАТ ЕВРОПЕЙСКИЙ в/к в/у 0,33кг 8шт  Останкино</t>
  </si>
  <si>
    <t>7103 БЕКОН Останкино с/к с/н в/у 1/180_50с  Останкино</t>
  </si>
  <si>
    <t>7236 СЕРВЕЛАТ КАРЕЛЬСКИЙ в/к в/у 0,28кг_209к  Останкино</t>
  </si>
  <si>
    <t>7514 ЛЮБИТЕЛЬСКАЯ ОСТАНКИНСКАЯ вар п/о в/у  ОСТАНКИНО</t>
  </si>
  <si>
    <t>7564 Балыковая в/к в/у Останкино Вес  ОСТАНКИНО</t>
  </si>
  <si>
    <t>не в матрице</t>
  </si>
  <si>
    <t>остаток, кг</t>
  </si>
  <si>
    <t>с открытия филиала по данной скю не было продаж (товар поступил на склад 12,10,26)</t>
  </si>
  <si>
    <t>рост продаж в 5,7 раза</t>
  </si>
  <si>
    <t>филиал только 2-ю неделю торгует данным скю</t>
  </si>
  <si>
    <t>рост продаж в 2,1 раза</t>
  </si>
  <si>
    <t>рост продаж в 1,8 раза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</si>
</sst>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\ _₽"/>
    <numFmt numFmtId="166" formatCode="[$-419]d\ mmm;@"/>
    <numFmt numFmtId="167" formatCode="0.0"/>
  </numFmts>
  <fonts count="43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28"/>
      <color theme="2" tint="-0.89999084444715716"/>
      <name val="Calibri"/>
      <family val="2"/>
      <scheme val="minor"/>
    </font>
    <font>
      <b/>
      <sz val="26"/>
      <color theme="2" tint="-0.89999084444715716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22"/>
      <color theme="2" tint="-0.89999084444715716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20"/>
      <color theme="2" tint="-0.89999084444715716"/>
      <name val="Calibri"/>
      <family val="2"/>
      <scheme val="minor"/>
    </font>
    <font>
      <b/>
      <sz val="11"/>
      <color theme="2" tint="-0.89999084444715716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2" tint="-0.89999084444715716"/>
      <name val="Calibri"/>
      <family val="2"/>
      <charset val="204"/>
      <scheme val="minor"/>
    </font>
    <font>
      <sz val="8"/>
      <color theme="2" tint="-0.89999084444715716"/>
      <name val="Arial"/>
      <family val="2"/>
    </font>
    <font>
      <b/>
      <sz val="14"/>
      <color theme="1"/>
      <name val="Calibri"/>
      <family val="2"/>
      <scheme val="minor"/>
    </font>
    <font>
      <sz val="11"/>
      <color theme="2" tint="-0.89999084444715716"/>
      <name val="Calibri (Основной текст)"/>
      <charset val="204"/>
    </font>
    <font>
      <sz val="11"/>
      <name val="Calibri"/>
      <family val="2"/>
      <scheme val="minor"/>
    </font>
    <font>
      <sz val="11"/>
      <color rgb="FF161616"/>
      <name val="Calibri"/>
      <family val="2"/>
      <scheme val="minor"/>
    </font>
    <font>
      <b/>
      <sz val="8"/>
      <color theme="2" tint="-0.89999084444715716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2" tint="-0.89999084444715716"/>
      <name val="Calibri"/>
      <family val="2"/>
      <charset val="204"/>
      <scheme val="minor"/>
    </font>
    <font>
      <sz val="11"/>
      <color theme="2" tint="-0.89989928891872917"/>
      <name val="Calibri"/>
      <family val="2"/>
      <scheme val="minor"/>
    </font>
    <font>
      <b/>
      <sz val="11"/>
      <color theme="2" tint="-0.89989928891872917"/>
      <name val="Calibri"/>
      <family val="2"/>
      <scheme val="minor"/>
    </font>
    <font>
      <sz val="11"/>
      <color theme="2" tint="-0.89989928891872917"/>
      <name val="Calibri"/>
      <family val="2"/>
      <charset val="204"/>
      <scheme val="minor"/>
    </font>
    <font>
      <b/>
      <sz val="11"/>
      <color rgb="FF161616"/>
      <name val="Calibri"/>
      <family val="2"/>
      <charset val="204"/>
      <scheme val="minor"/>
    </font>
    <font>
      <sz val="11"/>
      <color indexed="6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63"/>
      <name val="Calibri"/>
      <family val="2"/>
      <charset val="204"/>
      <scheme val="minor"/>
    </font>
    <font>
      <sz val="8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color theme="2" tint="-0.89989928891872917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89989928891872917"/>
      <name val="Calibri"/>
      <family val="2"/>
      <charset val="204"/>
      <scheme val="minor"/>
    </font>
    <font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24"/>
      </right>
      <top style="thin">
        <color auto="1"/>
      </top>
      <bottom style="thin">
        <color auto="1"/>
      </bottom>
      <diagonal/>
    </border>
    <border>
      <left style="thin">
        <color indexed="24"/>
      </left>
      <right style="thin">
        <color indexed="2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rgb="FFCCC085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330">
    <xf numFmtId="0" fontId="0" fillId="0" borderId="0" xfId="0"/>
    <xf numFmtId="0" fontId="11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wrapText="1"/>
    </xf>
    <xf numFmtId="0" fontId="20" fillId="0" borderId="0" xfId="0" applyFont="1"/>
    <xf numFmtId="165" fontId="20" fillId="0" borderId="17" xfId="0" applyNumberFormat="1" applyFont="1" applyBorder="1" applyAlignment="1">
      <alignment horizont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21" fillId="0" borderId="0" xfId="1" applyFont="1" applyAlignment="1">
      <alignment vertical="top" wrapText="1"/>
    </xf>
    <xf numFmtId="20" fontId="17" fillId="0" borderId="0" xfId="0" applyNumberFormat="1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164" fontId="21" fillId="0" borderId="0" xfId="2" applyNumberFormat="1" applyFont="1" applyAlignment="1">
      <alignment horizontal="center" vertical="top"/>
    </xf>
    <xf numFmtId="0" fontId="13" fillId="0" borderId="25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18" fillId="2" borderId="25" xfId="0" applyFont="1" applyFill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20" fontId="24" fillId="0" borderId="25" xfId="0" applyNumberFormat="1" applyFont="1" applyBorder="1" applyAlignment="1">
      <alignment horizontal="center" vertical="center"/>
    </xf>
    <xf numFmtId="1" fontId="27" fillId="2" borderId="25" xfId="0" applyNumberFormat="1" applyFont="1" applyFill="1" applyBorder="1" applyAlignment="1">
      <alignment horizontal="center" vertical="center"/>
    </xf>
    <xf numFmtId="20" fontId="27" fillId="0" borderId="25" xfId="0" applyNumberFormat="1" applyFont="1" applyBorder="1" applyAlignment="1">
      <alignment horizontal="center" vertical="center"/>
    </xf>
    <xf numFmtId="0" fontId="7" fillId="2" borderId="25" xfId="0" applyFont="1" applyFill="1" applyBorder="1" applyAlignment="1">
      <alignment horizontal="left" vertical="center" wrapText="1"/>
    </xf>
    <xf numFmtId="3" fontId="13" fillId="0" borderId="0" xfId="0" applyNumberFormat="1" applyFont="1" applyAlignment="1">
      <alignment horizontal="center" vertical="center"/>
    </xf>
    <xf numFmtId="3" fontId="27" fillId="2" borderId="25" xfId="1" applyNumberFormat="1" applyFont="1" applyFill="1" applyBorder="1" applyAlignment="1">
      <alignment horizontal="center" vertical="center"/>
    </xf>
    <xf numFmtId="0" fontId="29" fillId="0" borderId="0" xfId="0" applyFont="1"/>
    <xf numFmtId="0" fontId="30" fillId="0" borderId="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 wrapText="1"/>
    </xf>
    <xf numFmtId="165" fontId="20" fillId="0" borderId="17" xfId="0" applyNumberFormat="1" applyFont="1" applyBorder="1" applyAlignment="1">
      <alignment horizontal="center" vertical="center"/>
    </xf>
    <xf numFmtId="20" fontId="17" fillId="0" borderId="17" xfId="0" applyNumberFormat="1" applyFont="1" applyBorder="1" applyAlignment="1">
      <alignment horizontal="center" vertical="center"/>
    </xf>
    <xf numFmtId="20" fontId="17" fillId="0" borderId="18" xfId="0" applyNumberFormat="1" applyFont="1" applyBorder="1" applyAlignment="1">
      <alignment horizontal="center" vertical="center"/>
    </xf>
    <xf numFmtId="20" fontId="28" fillId="2" borderId="25" xfId="0" applyNumberFormat="1" applyFont="1" applyFill="1" applyBorder="1" applyAlignment="1">
      <alignment horizontal="center" vertical="center" wrapText="1"/>
    </xf>
    <xf numFmtId="20" fontId="28" fillId="2" borderId="33" xfId="0" applyNumberFormat="1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20" fontId="27" fillId="2" borderId="25" xfId="0" applyNumberFormat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center"/>
    </xf>
    <xf numFmtId="0" fontId="4" fillId="0" borderId="25" xfId="0" applyFont="1" applyBorder="1" applyAlignment="1">
      <alignment horizontal="left" vertical="center" wrapText="1"/>
    </xf>
    <xf numFmtId="0" fontId="4" fillId="2" borderId="25" xfId="0" applyFont="1" applyFill="1" applyBorder="1" applyAlignment="1">
      <alignment horizontal="center" vertical="center" wrapText="1"/>
    </xf>
    <xf numFmtId="166" fontId="13" fillId="0" borderId="0" xfId="0" applyNumberFormat="1" applyFont="1"/>
    <xf numFmtId="166" fontId="27" fillId="0" borderId="9" xfId="0" applyNumberFormat="1" applyFont="1" applyBorder="1" applyAlignment="1">
      <alignment horizontal="center" vertical="center"/>
    </xf>
    <xf numFmtId="0" fontId="20" fillId="0" borderId="0" xfId="0" applyFont="1" applyAlignment="1">
      <alignment horizontal="right"/>
    </xf>
    <xf numFmtId="165" fontId="20" fillId="0" borderId="0" xfId="0" applyNumberFormat="1" applyFont="1" applyAlignment="1">
      <alignment horizontal="center"/>
    </xf>
    <xf numFmtId="4" fontId="26" fillId="0" borderId="0" xfId="1" applyNumberFormat="1" applyFont="1"/>
    <xf numFmtId="0" fontId="20" fillId="0" borderId="0" xfId="0" applyFont="1" applyAlignment="1">
      <alignment horizontal="center"/>
    </xf>
    <xf numFmtId="49" fontId="27" fillId="0" borderId="9" xfId="0" applyNumberFormat="1" applyFon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0" xfId="0" applyFont="1"/>
    <xf numFmtId="0" fontId="17" fillId="3" borderId="15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2" borderId="38" xfId="0" applyFont="1" applyFill="1" applyBorder="1" applyAlignment="1">
      <alignment horizontal="center" vertical="center"/>
    </xf>
    <xf numFmtId="0" fontId="18" fillId="2" borderId="39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3" fillId="4" borderId="25" xfId="3" applyFont="1" applyFill="1" applyBorder="1" applyAlignment="1">
      <alignment horizontal="left" vertical="center"/>
    </xf>
    <xf numFmtId="0" fontId="27" fillId="2" borderId="25" xfId="1" applyFont="1" applyFill="1" applyBorder="1" applyAlignment="1">
      <alignment horizontal="center" vertical="center" wrapText="1"/>
    </xf>
    <xf numFmtId="1" fontId="28" fillId="0" borderId="39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3" fontId="27" fillId="2" borderId="39" xfId="1" applyNumberFormat="1" applyFont="1" applyFill="1" applyBorder="1" applyAlignment="1">
      <alignment horizontal="center" vertical="center"/>
    </xf>
    <xf numFmtId="165" fontId="20" fillId="0" borderId="43" xfId="0" applyNumberFormat="1" applyFont="1" applyBorder="1" applyAlignment="1">
      <alignment horizontal="center"/>
    </xf>
    <xf numFmtId="20" fontId="20" fillId="0" borderId="43" xfId="0" applyNumberFormat="1" applyFont="1" applyBorder="1" applyAlignment="1">
      <alignment horizontal="center" vertical="center"/>
    </xf>
    <xf numFmtId="165" fontId="20" fillId="0" borderId="44" xfId="0" applyNumberFormat="1" applyFont="1" applyBorder="1" applyAlignment="1">
      <alignment horizontal="center"/>
    </xf>
    <xf numFmtId="0" fontId="4" fillId="2" borderId="14" xfId="0" applyFont="1" applyFill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/>
    </xf>
    <xf numFmtId="0" fontId="23" fillId="0" borderId="46" xfId="0" applyFont="1" applyBorder="1" applyAlignment="1">
      <alignment horizontal="center" vertical="center"/>
    </xf>
    <xf numFmtId="0" fontId="35" fillId="0" borderId="25" xfId="0" applyFont="1" applyBorder="1" applyAlignment="1">
      <alignment horizontal="center" vertical="center"/>
    </xf>
    <xf numFmtId="0" fontId="34" fillId="2" borderId="25" xfId="1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14" fontId="20" fillId="0" borderId="25" xfId="0" applyNumberFormat="1" applyFont="1" applyBorder="1" applyAlignment="1">
      <alignment vertical="center"/>
    </xf>
    <xf numFmtId="2" fontId="27" fillId="0" borderId="9" xfId="0" applyNumberFormat="1" applyFont="1" applyBorder="1" applyAlignment="1">
      <alignment horizontal="center" vertical="center"/>
    </xf>
    <xf numFmtId="166" fontId="35" fillId="0" borderId="25" xfId="0" applyNumberFormat="1" applyFont="1" applyBorder="1" applyAlignment="1">
      <alignment horizontal="center" vertical="center"/>
    </xf>
    <xf numFmtId="0" fontId="34" fillId="2" borderId="25" xfId="0" applyFont="1" applyFill="1" applyBorder="1" applyAlignment="1">
      <alignment horizontal="center" vertical="center" wrapText="1"/>
    </xf>
    <xf numFmtId="0" fontId="34" fillId="0" borderId="25" xfId="0" applyFont="1" applyBorder="1" applyAlignment="1">
      <alignment horizontal="center" vertical="center"/>
    </xf>
    <xf numFmtId="1" fontId="35" fillId="0" borderId="25" xfId="0" applyNumberFormat="1" applyFont="1" applyBorder="1" applyAlignment="1">
      <alignment horizontal="center" vertical="center" wrapText="1"/>
    </xf>
    <xf numFmtId="1" fontId="27" fillId="0" borderId="25" xfId="0" applyNumberFormat="1" applyFont="1" applyBorder="1" applyAlignment="1">
      <alignment horizontal="center" vertical="center" wrapText="1"/>
    </xf>
    <xf numFmtId="166" fontId="35" fillId="0" borderId="25" xfId="0" applyNumberFormat="1" applyFont="1" applyBorder="1" applyAlignment="1">
      <alignment horizontal="left" vertical="top" wrapText="1"/>
    </xf>
    <xf numFmtId="49" fontId="35" fillId="0" borderId="25" xfId="0" applyNumberFormat="1" applyFont="1" applyBorder="1" applyAlignment="1">
      <alignment horizontal="center" vertical="center"/>
    </xf>
    <xf numFmtId="2" fontId="27" fillId="0" borderId="25" xfId="0" applyNumberFormat="1" applyFont="1" applyBorder="1" applyAlignment="1">
      <alignment horizontal="center" vertical="center"/>
    </xf>
    <xf numFmtId="1" fontId="13" fillId="0" borderId="25" xfId="0" applyNumberFormat="1" applyFont="1" applyBorder="1" applyAlignment="1">
      <alignment horizontal="center" vertical="center"/>
    </xf>
    <xf numFmtId="4" fontId="13" fillId="0" borderId="25" xfId="0" applyNumberFormat="1" applyFont="1" applyBorder="1" applyAlignment="1">
      <alignment horizontal="center" vertical="center"/>
    </xf>
    <xf numFmtId="166" fontId="27" fillId="0" borderId="25" xfId="0" applyNumberFormat="1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165" fontId="20" fillId="0" borderId="50" xfId="0" applyNumberFormat="1" applyFont="1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166" fontId="27" fillId="0" borderId="27" xfId="0" applyNumberFormat="1" applyFont="1" applyBorder="1" applyAlignment="1">
      <alignment horizontal="center" vertical="center"/>
    </xf>
    <xf numFmtId="165" fontId="35" fillId="0" borderId="43" xfId="0" applyNumberFormat="1" applyFont="1" applyBorder="1" applyAlignment="1">
      <alignment horizontal="center" vertical="center" wrapText="1"/>
    </xf>
    <xf numFmtId="49" fontId="27" fillId="0" borderId="27" xfId="0" applyNumberFormat="1" applyFont="1" applyBorder="1" applyAlignment="1">
      <alignment horizontal="center" vertical="center"/>
    </xf>
    <xf numFmtId="0" fontId="36" fillId="4" borderId="25" xfId="3" applyFont="1" applyFill="1" applyBorder="1" applyAlignment="1">
      <alignment horizontal="left" vertical="center"/>
    </xf>
    <xf numFmtId="0" fontId="35" fillId="0" borderId="14" xfId="0" applyFont="1" applyBorder="1" applyAlignment="1">
      <alignment horizontal="center" vertical="center"/>
    </xf>
    <xf numFmtId="14" fontId="20" fillId="0" borderId="25" xfId="0" applyNumberFormat="1" applyFont="1" applyBorder="1" applyAlignment="1">
      <alignment horizontal="left"/>
    </xf>
    <xf numFmtId="0" fontId="34" fillId="2" borderId="14" xfId="0" applyFont="1" applyFill="1" applyBorder="1" applyAlignment="1">
      <alignment horizontal="left" vertical="center" wrapText="1"/>
    </xf>
    <xf numFmtId="0" fontId="30" fillId="0" borderId="57" xfId="0" applyFont="1" applyBorder="1" applyAlignment="1">
      <alignment horizontal="center" vertical="center"/>
    </xf>
    <xf numFmtId="165" fontId="30" fillId="0" borderId="58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165" fontId="31" fillId="0" borderId="25" xfId="0" applyNumberFormat="1" applyFont="1" applyBorder="1" applyAlignment="1">
      <alignment horizontal="center" vertical="center"/>
    </xf>
    <xf numFmtId="14" fontId="20" fillId="0" borderId="25" xfId="0" applyNumberFormat="1" applyFont="1" applyBorder="1" applyAlignment="1">
      <alignment horizontal="left" vertical="top" wrapText="1"/>
    </xf>
    <xf numFmtId="0" fontId="25" fillId="0" borderId="25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25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35" fillId="0" borderId="14" xfId="0" applyFont="1" applyBorder="1" applyAlignment="1">
      <alignment horizontal="left" vertical="center"/>
    </xf>
    <xf numFmtId="0" fontId="9" fillId="0" borderId="25" xfId="0" applyFont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9" fillId="0" borderId="59" xfId="0" applyFont="1" applyBorder="1" applyAlignment="1">
      <alignment vertical="center"/>
    </xf>
    <xf numFmtId="0" fontId="29" fillId="0" borderId="8" xfId="0" applyFont="1" applyBorder="1" applyAlignment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59" xfId="0" applyFont="1" applyBorder="1" applyAlignment="1">
      <alignment vertical="center"/>
    </xf>
    <xf numFmtId="0" fontId="31" fillId="0" borderId="8" xfId="0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8" fillId="0" borderId="0" xfId="0" applyFont="1"/>
    <xf numFmtId="1" fontId="27" fillId="2" borderId="62" xfId="0" applyNumberFormat="1" applyFont="1" applyFill="1" applyBorder="1" applyAlignment="1">
      <alignment horizontal="center" vertical="top"/>
    </xf>
    <xf numFmtId="167" fontId="27" fillId="2" borderId="62" xfId="0" applyNumberFormat="1" applyFont="1" applyFill="1" applyBorder="1" applyAlignment="1">
      <alignment horizontal="center" vertical="top"/>
    </xf>
    <xf numFmtId="164" fontId="27" fillId="2" borderId="62" xfId="0" applyNumberFormat="1" applyFont="1" applyFill="1" applyBorder="1" applyAlignment="1">
      <alignment horizontal="center" vertical="top"/>
    </xf>
    <xf numFmtId="2" fontId="27" fillId="2" borderId="62" xfId="0" applyNumberFormat="1" applyFont="1" applyFill="1" applyBorder="1" applyAlignment="1">
      <alignment horizontal="center" vertical="top"/>
    </xf>
    <xf numFmtId="0" fontId="29" fillId="2" borderId="62" xfId="0" applyFont="1" applyFill="1" applyBorder="1" applyAlignment="1">
      <alignment horizontal="center" vertical="center"/>
    </xf>
    <xf numFmtId="167" fontId="37" fillId="2" borderId="62" xfId="0" applyNumberFormat="1" applyFont="1" applyFill="1" applyBorder="1" applyAlignment="1">
      <alignment horizontal="center" vertical="top"/>
    </xf>
    <xf numFmtId="1" fontId="37" fillId="2" borderId="62" xfId="0" applyNumberFormat="1" applyFont="1" applyFill="1" applyBorder="1" applyAlignment="1">
      <alignment horizontal="center" vertical="top"/>
    </xf>
    <xf numFmtId="164" fontId="37" fillId="2" borderId="62" xfId="0" applyNumberFormat="1" applyFont="1" applyFill="1" applyBorder="1" applyAlignment="1">
      <alignment horizontal="center" vertical="top"/>
    </xf>
    <xf numFmtId="2" fontId="37" fillId="2" borderId="62" xfId="0" applyNumberFormat="1" applyFont="1" applyFill="1" applyBorder="1" applyAlignment="1">
      <alignment horizontal="center" vertical="top"/>
    </xf>
    <xf numFmtId="0" fontId="39" fillId="0" borderId="7" xfId="0" applyFont="1" applyBorder="1" applyAlignment="1">
      <alignment vertical="center"/>
    </xf>
    <xf numFmtId="0" fontId="39" fillId="0" borderId="59" xfId="0" applyFont="1" applyBorder="1" applyAlignment="1">
      <alignment vertical="center"/>
    </xf>
    <xf numFmtId="0" fontId="39" fillId="0" borderId="8" xfId="0" applyFont="1" applyBorder="1" applyAlignment="1">
      <alignment vertical="center"/>
    </xf>
    <xf numFmtId="1" fontId="40" fillId="2" borderId="62" xfId="0" applyNumberFormat="1" applyFont="1" applyFill="1" applyBorder="1" applyAlignment="1">
      <alignment horizontal="center" vertical="top"/>
    </xf>
    <xf numFmtId="167" fontId="40" fillId="2" borderId="62" xfId="0" applyNumberFormat="1" applyFont="1" applyFill="1" applyBorder="1" applyAlignment="1">
      <alignment horizontal="center" vertical="top"/>
    </xf>
    <xf numFmtId="164" fontId="40" fillId="2" borderId="62" xfId="0" applyNumberFormat="1" applyFont="1" applyFill="1" applyBorder="1" applyAlignment="1">
      <alignment horizontal="center" vertical="top"/>
    </xf>
    <xf numFmtId="2" fontId="40" fillId="2" borderId="62" xfId="0" applyNumberFormat="1" applyFont="1" applyFill="1" applyBorder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/>
    </xf>
    <xf numFmtId="0" fontId="29" fillId="0" borderId="65" xfId="0" applyFont="1" applyBorder="1" applyAlignment="1">
      <alignment horizontal="left" vertical="center"/>
    </xf>
    <xf numFmtId="0" fontId="29" fillId="0" borderId="0" xfId="0" applyFont="1" applyBorder="1" applyAlignment="1">
      <alignment horizontal="left" vertical="center"/>
    </xf>
    <xf numFmtId="0" fontId="29" fillId="0" borderId="64" xfId="0" applyFont="1" applyBorder="1" applyAlignment="1">
      <alignment horizontal="left" vertical="center"/>
    </xf>
    <xf numFmtId="165" fontId="31" fillId="0" borderId="65" xfId="0" applyNumberFormat="1" applyFont="1" applyBorder="1" applyAlignment="1">
      <alignment horizontal="center" vertical="center"/>
    </xf>
    <xf numFmtId="0" fontId="31" fillId="2" borderId="62" xfId="0" applyFont="1" applyFill="1" applyBorder="1" applyAlignment="1">
      <alignment vertical="center"/>
    </xf>
    <xf numFmtId="0" fontId="29" fillId="0" borderId="62" xfId="0" applyFont="1" applyBorder="1" applyAlignment="1">
      <alignment horizontal="center" vertical="center"/>
    </xf>
    <xf numFmtId="0" fontId="30" fillId="0" borderId="66" xfId="0" applyFont="1" applyBorder="1" applyAlignment="1">
      <alignment horizontal="center" vertical="center"/>
    </xf>
    <xf numFmtId="0" fontId="30" fillId="0" borderId="67" xfId="0" applyFont="1" applyBorder="1" applyAlignment="1">
      <alignment horizontal="center" vertical="center"/>
    </xf>
    <xf numFmtId="0" fontId="41" fillId="2" borderId="62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1" fontId="35" fillId="2" borderId="70" xfId="0" applyNumberFormat="1" applyFont="1" applyFill="1" applyBorder="1" applyAlignment="1">
      <alignment horizontal="center" vertical="top"/>
    </xf>
    <xf numFmtId="164" fontId="35" fillId="2" borderId="70" xfId="0" applyNumberFormat="1" applyFont="1" applyFill="1" applyBorder="1" applyAlignment="1">
      <alignment horizontal="center" vertical="top"/>
    </xf>
    <xf numFmtId="167" fontId="35" fillId="2" borderId="70" xfId="0" applyNumberFormat="1" applyFont="1" applyFill="1" applyBorder="1" applyAlignment="1">
      <alignment horizontal="center" vertical="top"/>
    </xf>
    <xf numFmtId="2" fontId="35" fillId="2" borderId="70" xfId="0" applyNumberFormat="1" applyFont="1" applyFill="1" applyBorder="1" applyAlignment="1">
      <alignment horizontal="center" vertical="top"/>
    </xf>
    <xf numFmtId="2" fontId="35" fillId="2" borderId="62" xfId="0" applyNumberFormat="1" applyFont="1" applyFill="1" applyBorder="1" applyAlignment="1">
      <alignment horizontal="center" vertical="center"/>
    </xf>
    <xf numFmtId="167" fontId="35" fillId="2" borderId="62" xfId="0" applyNumberFormat="1" applyFont="1" applyFill="1" applyBorder="1" applyAlignment="1">
      <alignment horizontal="center" vertical="center"/>
    </xf>
    <xf numFmtId="1" fontId="35" fillId="2" borderId="62" xfId="0" applyNumberFormat="1" applyFont="1" applyFill="1" applyBorder="1" applyAlignment="1">
      <alignment horizontal="center" vertical="center"/>
    </xf>
    <xf numFmtId="164" fontId="35" fillId="2" borderId="62" xfId="0" applyNumberFormat="1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164" fontId="37" fillId="2" borderId="25" xfId="0" applyNumberFormat="1" applyFont="1" applyFill="1" applyBorder="1" applyAlignment="1">
      <alignment horizontal="center" vertical="top"/>
    </xf>
    <xf numFmtId="167" fontId="37" fillId="2" borderId="25" xfId="0" applyNumberFormat="1" applyFont="1" applyFill="1" applyBorder="1" applyAlignment="1">
      <alignment horizontal="center" vertical="top"/>
    </xf>
    <xf numFmtId="1" fontId="37" fillId="2" borderId="25" xfId="0" applyNumberFormat="1" applyFont="1" applyFill="1" applyBorder="1" applyAlignment="1">
      <alignment horizontal="center" vertical="top"/>
    </xf>
    <xf numFmtId="2" fontId="37" fillId="2" borderId="25" xfId="0" applyNumberFormat="1" applyFont="1" applyFill="1" applyBorder="1" applyAlignment="1">
      <alignment horizontal="center" vertical="top"/>
    </xf>
    <xf numFmtId="0" fontId="30" fillId="0" borderId="25" xfId="0" applyFont="1" applyBorder="1" applyAlignment="1">
      <alignment horizontal="center" vertical="center"/>
    </xf>
    <xf numFmtId="165" fontId="30" fillId="0" borderId="25" xfId="0" applyNumberFormat="1" applyFont="1" applyBorder="1" applyAlignment="1">
      <alignment horizontal="center" vertical="center"/>
    </xf>
    <xf numFmtId="3" fontId="27" fillId="2" borderId="73" xfId="4" applyNumberFormat="1" applyFont="1" applyFill="1" applyBorder="1" applyAlignment="1">
      <alignment horizontal="center" vertical="top"/>
    </xf>
    <xf numFmtId="0" fontId="35" fillId="2" borderId="7" xfId="0" applyFont="1" applyFill="1" applyBorder="1" applyAlignment="1">
      <alignment vertical="top" wrapText="1"/>
    </xf>
    <xf numFmtId="0" fontId="30" fillId="0" borderId="25" xfId="0" applyFont="1" applyBorder="1" applyAlignment="1">
      <alignment horizontal="center" vertical="center"/>
    </xf>
    <xf numFmtId="0" fontId="35" fillId="2" borderId="25" xfId="0" applyFont="1" applyFill="1" applyBorder="1" applyAlignment="1">
      <alignment vertical="top" wrapText="1"/>
    </xf>
    <xf numFmtId="1" fontId="35" fillId="2" borderId="25" xfId="0" applyNumberFormat="1" applyFont="1" applyFill="1" applyBorder="1" applyAlignment="1">
      <alignment horizontal="center" vertical="top"/>
    </xf>
    <xf numFmtId="167" fontId="35" fillId="2" borderId="25" xfId="0" applyNumberFormat="1" applyFont="1" applyFill="1" applyBorder="1" applyAlignment="1">
      <alignment horizontal="center" vertical="top"/>
    </xf>
    <xf numFmtId="164" fontId="35" fillId="2" borderId="25" xfId="0" applyNumberFormat="1" applyFont="1" applyFill="1" applyBorder="1" applyAlignment="1">
      <alignment horizontal="center" vertical="top"/>
    </xf>
    <xf numFmtId="2" fontId="35" fillId="2" borderId="25" xfId="0" applyNumberFormat="1" applyFont="1" applyFill="1" applyBorder="1" applyAlignment="1">
      <alignment horizontal="center" vertical="top"/>
    </xf>
    <xf numFmtId="0" fontId="30" fillId="0" borderId="51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/>
    </xf>
    <xf numFmtId="0" fontId="29" fillId="0" borderId="25" xfId="0" applyFont="1" applyBorder="1" applyAlignment="1">
      <alignment horizontal="left" vertical="center"/>
    </xf>
    <xf numFmtId="3" fontId="8" fillId="0" borderId="21" xfId="0" applyNumberFormat="1" applyFont="1" applyBorder="1" applyAlignment="1">
      <alignment horizontal="center" vertical="center"/>
    </xf>
    <xf numFmtId="3" fontId="8" fillId="0" borderId="22" xfId="0" applyNumberFormat="1" applyFont="1" applyBorder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2" xfId="0" applyNumberFormat="1" applyFont="1" applyFill="1" applyBorder="1" applyAlignment="1">
      <alignment horizontal="center" vertical="center"/>
    </xf>
    <xf numFmtId="3" fontId="8" fillId="2" borderId="23" xfId="0" applyNumberFormat="1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1" fontId="7" fillId="2" borderId="7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8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" fontId="0" fillId="2" borderId="35" xfId="0" applyNumberFormat="1" applyFill="1" applyBorder="1" applyAlignment="1">
      <alignment horizontal="center" vertical="center"/>
    </xf>
    <xf numFmtId="1" fontId="6" fillId="2" borderId="27" xfId="0" applyNumberFormat="1" applyFont="1" applyFill="1" applyBorder="1" applyAlignment="1">
      <alignment horizontal="center" vertical="center"/>
    </xf>
    <xf numFmtId="1" fontId="7" fillId="2" borderId="24" xfId="0" applyNumberFormat="1" applyFont="1" applyFill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 vertical="center"/>
    </xf>
    <xf numFmtId="1" fontId="0" fillId="2" borderId="24" xfId="0" applyNumberForma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1" fontId="9" fillId="0" borderId="7" xfId="0" applyNumberFormat="1" applyFont="1" applyBorder="1" applyAlignment="1">
      <alignment horizontal="center" vertical="center" wrapText="1"/>
    </xf>
    <xf numFmtId="1" fontId="9" fillId="0" borderId="8" xfId="0" applyNumberFormat="1" applyFont="1" applyBorder="1" applyAlignment="1">
      <alignment horizontal="center" vertical="center" wrapText="1"/>
    </xf>
    <xf numFmtId="1" fontId="9" fillId="0" borderId="25" xfId="0" applyNumberFormat="1" applyFont="1" applyBorder="1" applyAlignment="1">
      <alignment horizontal="center" vertical="center" wrapText="1"/>
    </xf>
    <xf numFmtId="1" fontId="9" fillId="0" borderId="35" xfId="0" applyNumberFormat="1" applyFont="1" applyBorder="1" applyAlignment="1">
      <alignment horizontal="center" vertical="center" wrapText="1"/>
    </xf>
    <xf numFmtId="14" fontId="27" fillId="0" borderId="25" xfId="0" applyNumberFormat="1" applyFont="1" applyBorder="1" applyAlignment="1">
      <alignment horizontal="center" vertical="center"/>
    </xf>
    <xf numFmtId="14" fontId="27" fillId="0" borderId="39" xfId="0" applyNumberFormat="1" applyFont="1" applyBorder="1" applyAlignment="1">
      <alignment horizontal="center" vertical="center"/>
    </xf>
    <xf numFmtId="14" fontId="27" fillId="0" borderId="7" xfId="0" applyNumberFormat="1" applyFont="1" applyBorder="1" applyAlignment="1">
      <alignment horizontal="center" vertical="center"/>
    </xf>
    <xf numFmtId="14" fontId="27" fillId="0" borderId="4" xfId="0" applyNumberFormat="1" applyFont="1" applyBorder="1" applyAlignment="1">
      <alignment horizontal="center" vertical="center"/>
    </xf>
    <xf numFmtId="14" fontId="35" fillId="0" borderId="27" xfId="0" applyNumberFormat="1" applyFont="1" applyBorder="1" applyAlignment="1">
      <alignment horizontal="center" vertical="center"/>
    </xf>
    <xf numFmtId="14" fontId="35" fillId="0" borderId="37" xfId="0" applyNumberFormat="1" applyFont="1" applyBorder="1" applyAlignment="1">
      <alignment horizontal="center" vertical="center"/>
    </xf>
    <xf numFmtId="0" fontId="20" fillId="0" borderId="47" xfId="0" applyFont="1" applyBorder="1" applyAlignment="1">
      <alignment horizontal="right"/>
    </xf>
    <xf numFmtId="0" fontId="20" fillId="0" borderId="48" xfId="0" applyFont="1" applyBorder="1" applyAlignment="1">
      <alignment horizontal="right"/>
    </xf>
    <xf numFmtId="0" fontId="20" fillId="0" borderId="49" xfId="0" applyFont="1" applyBorder="1" applyAlignment="1">
      <alignment horizontal="right"/>
    </xf>
    <xf numFmtId="165" fontId="20" fillId="0" borderId="51" xfId="0" applyNumberFormat="1" applyFont="1" applyBorder="1" applyAlignment="1">
      <alignment horizontal="left"/>
    </xf>
    <xf numFmtId="165" fontId="20" fillId="0" borderId="48" xfId="0" applyNumberFormat="1" applyFont="1" applyBorder="1" applyAlignment="1">
      <alignment horizontal="left"/>
    </xf>
    <xf numFmtId="165" fontId="20" fillId="0" borderId="52" xfId="0" applyNumberFormat="1" applyFont="1" applyBorder="1" applyAlignment="1">
      <alignment horizontal="left"/>
    </xf>
    <xf numFmtId="0" fontId="22" fillId="0" borderId="30" xfId="0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55" xfId="0" applyFont="1" applyFill="1" applyBorder="1" applyAlignment="1">
      <alignment horizontal="center" vertical="center" wrapText="1"/>
    </xf>
    <xf numFmtId="0" fontId="17" fillId="3" borderId="56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14" fontId="35" fillId="0" borderId="7" xfId="0" applyNumberFormat="1" applyFont="1" applyBorder="1" applyAlignment="1">
      <alignment horizontal="left" vertical="top" wrapText="1"/>
    </xf>
    <xf numFmtId="14" fontId="35" fillId="0" borderId="4" xfId="0" applyNumberFormat="1" applyFont="1" applyBorder="1" applyAlignment="1">
      <alignment horizontal="left" vertical="top" wrapText="1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7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5" fillId="2" borderId="30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right" vertical="center"/>
    </xf>
    <xf numFmtId="0" fontId="17" fillId="0" borderId="41" xfId="0" applyFont="1" applyBorder="1" applyAlignment="1">
      <alignment horizontal="right" vertical="center"/>
    </xf>
    <xf numFmtId="0" fontId="17" fillId="0" borderId="42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7" fillId="3" borderId="38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1" fontId="17" fillId="3" borderId="25" xfId="0" applyNumberFormat="1" applyFont="1" applyFill="1" applyBorder="1" applyAlignment="1">
      <alignment horizontal="center" vertical="center" wrapText="1"/>
    </xf>
    <xf numFmtId="4" fontId="17" fillId="3" borderId="25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3" borderId="14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9" fillId="2" borderId="39" xfId="0" applyFont="1" applyFill="1" applyBorder="1" applyAlignment="1">
      <alignment horizontal="center" vertical="center" wrapText="1"/>
    </xf>
    <xf numFmtId="0" fontId="37" fillId="2" borderId="62" xfId="0" applyFont="1" applyFill="1" applyBorder="1" applyAlignment="1">
      <alignment horizontal="left" vertical="top" wrapText="1" indent="2"/>
    </xf>
    <xf numFmtId="0" fontId="37" fillId="2" borderId="63" xfId="0" applyFont="1" applyFill="1" applyBorder="1" applyAlignment="1">
      <alignment horizontal="left" vertical="top" wrapText="1" indent="2"/>
    </xf>
    <xf numFmtId="0" fontId="27" fillId="2" borderId="60" xfId="0" applyNumberFormat="1" applyFont="1" applyFill="1" applyBorder="1" applyAlignment="1">
      <alignment vertical="top" wrapText="1" indent="2"/>
    </xf>
    <xf numFmtId="0" fontId="27" fillId="2" borderId="61" xfId="0" applyNumberFormat="1" applyFont="1" applyFill="1" applyBorder="1" applyAlignment="1">
      <alignment vertical="top" wrapText="1" indent="2"/>
    </xf>
    <xf numFmtId="0" fontId="40" fillId="2" borderId="25" xfId="0" applyNumberFormat="1" applyFont="1" applyFill="1" applyBorder="1" applyAlignment="1">
      <alignment vertical="top" wrapText="1" indent="2"/>
    </xf>
    <xf numFmtId="0" fontId="40" fillId="2" borderId="60" xfId="0" applyNumberFormat="1" applyFont="1" applyFill="1" applyBorder="1" applyAlignment="1">
      <alignment vertical="top" wrapText="1" indent="2"/>
    </xf>
    <xf numFmtId="0" fontId="38" fillId="2" borderId="25" xfId="0" applyNumberFormat="1" applyFont="1" applyFill="1" applyBorder="1" applyAlignment="1">
      <alignment vertical="top" wrapText="1" indent="2"/>
    </xf>
    <xf numFmtId="0" fontId="27" fillId="2" borderId="62" xfId="0" applyNumberFormat="1" applyFont="1" applyFill="1" applyBorder="1" applyAlignment="1">
      <alignment vertical="top" wrapText="1"/>
    </xf>
    <xf numFmtId="0" fontId="31" fillId="2" borderId="62" xfId="0" applyFont="1" applyFill="1" applyBorder="1" applyAlignment="1">
      <alignment vertical="center"/>
    </xf>
    <xf numFmtId="0" fontId="2" fillId="2" borderId="62" xfId="0" applyNumberFormat="1" applyFont="1" applyFill="1" applyBorder="1" applyAlignment="1">
      <alignment vertical="top" wrapText="1"/>
    </xf>
    <xf numFmtId="0" fontId="27" fillId="2" borderId="62" xfId="0" applyNumberFormat="1" applyFont="1" applyFill="1" applyBorder="1" applyAlignment="1">
      <alignment vertical="top"/>
    </xf>
    <xf numFmtId="0" fontId="30" fillId="0" borderId="68" xfId="0" applyFont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0" fillId="0" borderId="69" xfId="0" applyFont="1" applyBorder="1" applyAlignment="1">
      <alignment horizontal="center" vertical="center"/>
    </xf>
    <xf numFmtId="0" fontId="35" fillId="2" borderId="62" xfId="0" applyFont="1" applyFill="1" applyBorder="1" applyAlignment="1">
      <alignment horizontal="left" vertical="top" wrapText="1"/>
    </xf>
    <xf numFmtId="0" fontId="34" fillId="2" borderId="7" xfId="0" applyFont="1" applyFill="1" applyBorder="1" applyAlignment="1">
      <alignment horizontal="left" vertical="top" wrapText="1"/>
    </xf>
    <xf numFmtId="0" fontId="34" fillId="2" borderId="59" xfId="0" applyFont="1" applyFill="1" applyBorder="1" applyAlignment="1">
      <alignment horizontal="left" vertical="top" wrapText="1"/>
    </xf>
    <xf numFmtId="0" fontId="34" fillId="2" borderId="8" xfId="0" applyFont="1" applyFill="1" applyBorder="1" applyAlignment="1">
      <alignment horizontal="left" vertical="top" wrapText="1"/>
    </xf>
    <xf numFmtId="0" fontId="35" fillId="2" borderId="7" xfId="0" applyFont="1" applyFill="1" applyBorder="1" applyAlignment="1">
      <alignment vertical="top" wrapText="1"/>
    </xf>
    <xf numFmtId="0" fontId="35" fillId="2" borderId="59" xfId="0" applyFont="1" applyFill="1" applyBorder="1" applyAlignment="1">
      <alignment vertical="top" wrapText="1"/>
    </xf>
    <xf numFmtId="0" fontId="35" fillId="2" borderId="8" xfId="0" applyFont="1" applyFill="1" applyBorder="1" applyAlignment="1">
      <alignment vertical="top" wrapText="1"/>
    </xf>
    <xf numFmtId="0" fontId="35" fillId="2" borderId="62" xfId="0" applyFont="1" applyFill="1" applyBorder="1" applyAlignment="1">
      <alignment vertical="top" wrapText="1"/>
    </xf>
    <xf numFmtId="0" fontId="42" fillId="2" borderId="25" xfId="0" applyFont="1" applyFill="1" applyBorder="1" applyAlignment="1">
      <alignment horizontal="left" vertical="top" wrapText="1" indent="2"/>
    </xf>
    <xf numFmtId="0" fontId="30" fillId="0" borderId="25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0" borderId="71" xfId="0" applyFont="1" applyBorder="1" applyAlignment="1">
      <alignment horizontal="center" vertical="center"/>
    </xf>
    <xf numFmtId="0" fontId="30" fillId="0" borderId="72" xfId="0" applyFont="1" applyBorder="1" applyAlignment="1">
      <alignment horizontal="center" vertical="center"/>
    </xf>
    <xf numFmtId="1" fontId="0" fillId="2" borderId="27" xfId="0" applyNumberFormat="1" applyFill="1" applyBorder="1" applyAlignment="1">
      <alignment horizontal="center"/>
    </xf>
    <xf numFmtId="1" fontId="0" fillId="2" borderId="42" xfId="0" applyNumberFormat="1" applyFill="1" applyBorder="1" applyAlignment="1">
      <alignment horizontal="center"/>
    </xf>
    <xf numFmtId="0" fontId="35" fillId="2" borderId="25" xfId="0" applyFont="1" applyFill="1" applyBorder="1" applyAlignment="1">
      <alignment horizontal="left" vertical="top" wrapText="1" indent="2"/>
    </xf>
    <xf numFmtId="0" fontId="35" fillId="2" borderId="7" xfId="0" applyFont="1" applyFill="1" applyBorder="1" applyAlignment="1">
      <alignment horizontal="left" vertical="top" wrapText="1" indent="2"/>
    </xf>
    <xf numFmtId="0" fontId="30" fillId="0" borderId="7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/>
    </xf>
    <xf numFmtId="1" fontId="0" fillId="2" borderId="4" xfId="0" applyNumberFormat="1" applyFill="1" applyBorder="1" applyAlignment="1">
      <alignment horizontal="center" vertical="center"/>
    </xf>
    <xf numFmtId="1" fontId="7" fillId="2" borderId="27" xfId="0" applyNumberFormat="1" applyFont="1" applyFill="1" applyBorder="1" applyAlignment="1">
      <alignment horizontal="center" vertical="center"/>
    </xf>
    <xf numFmtId="1" fontId="7" fillId="2" borderId="42" xfId="0" applyNumberFormat="1" applyFont="1" applyFill="1" applyBorder="1" applyAlignment="1">
      <alignment horizontal="center" vertical="center"/>
    </xf>
    <xf numFmtId="1" fontId="0" fillId="2" borderId="37" xfId="0" applyNumberFormat="1" applyFill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30" fillId="0" borderId="14" xfId="0" applyFont="1" applyBorder="1" applyAlignment="1">
      <alignment horizontal="center" vertical="center"/>
    </xf>
    <xf numFmtId="0" fontId="35" fillId="2" borderId="74" xfId="0" applyFont="1" applyFill="1" applyBorder="1" applyAlignment="1">
      <alignment horizontal="left" vertical="top" wrapText="1" indent="2"/>
    </xf>
    <xf numFmtId="164" fontId="35" fillId="2" borderId="74" xfId="0" applyNumberFormat="1" applyFont="1" applyFill="1" applyBorder="1" applyAlignment="1">
      <alignment horizontal="center" vertical="top"/>
    </xf>
    <xf numFmtId="0" fontId="0" fillId="0" borderId="74" xfId="0" applyBorder="1"/>
    <xf numFmtId="0" fontId="0" fillId="0" borderId="74" xfId="0" applyBorder="1" applyAlignment="1">
      <alignment wrapText="1"/>
    </xf>
    <xf numFmtId="2" fontId="35" fillId="2" borderId="74" xfId="0" applyNumberFormat="1" applyFont="1" applyFill="1" applyBorder="1" applyAlignment="1">
      <alignment horizontal="center" vertical="top"/>
    </xf>
    <xf numFmtId="1" fontId="35" fillId="2" borderId="74" xfId="0" applyNumberFormat="1" applyFont="1" applyFill="1" applyBorder="1" applyAlignment="1">
      <alignment horizontal="center" vertical="top"/>
    </xf>
    <xf numFmtId="167" fontId="35" fillId="2" borderId="74" xfId="0" applyNumberFormat="1" applyFont="1" applyFill="1" applyBorder="1" applyAlignment="1">
      <alignment horizontal="center" vertical="top"/>
    </xf>
    <xf numFmtId="0" fontId="0" fillId="5" borderId="74" xfId="0" applyFill="1" applyBorder="1"/>
    <xf numFmtId="0" fontId="1" fillId="0" borderId="74" xfId="0" applyFont="1" applyBorder="1" applyAlignment="1">
      <alignment wrapText="1"/>
    </xf>
  </cellXfs>
  <cellStyles count="5">
    <cellStyle name="Обычный" xfId="0" builtinId="0"/>
    <cellStyle name="Обычный 2" xfId="3" xr:uid="{00000000-0005-0000-0000-000001000000}"/>
    <cellStyle name="Обычный_26.10" xfId="4" xr:uid="{66C49544-7B9F-4685-8678-3DA52A5D01B9}"/>
    <cellStyle name="Обычный_список 2024г (3)" xfId="1" xr:uid="{00000000-0005-0000-0000-000002000000}"/>
    <cellStyle name="Обычный_список 2024г (3)_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0;&#1048;%20&#1080;%20&#1047;&#1055;&#1060;/&#1076;&#1074;%2026,10,26%20&#1084;&#1088;&#1088;&#1089;&#1095;%20&#1086;&#1089;&#1090;%20&#1082;&#108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4;&#1088;%20&#1086;&#1089;&#1090;%2027,10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4893.9210000000012</v>
          </cell>
          <cell r="F5">
            <v>12464.47</v>
          </cell>
        </row>
        <row r="6">
          <cell r="A6" t="str">
            <v>0614 ПРАЗДНИЧНАЯ с/к в/с дек.спец.мгс  Останкино</v>
          </cell>
          <cell r="B6" t="str">
            <v>кг</v>
          </cell>
          <cell r="C6">
            <v>40.781999999999996</v>
          </cell>
          <cell r="D6">
            <v>0.52900000000000003</v>
          </cell>
          <cell r="E6">
            <v>3.7519999999999998</v>
          </cell>
          <cell r="F6">
            <v>36.485999999999997</v>
          </cell>
          <cell r="G6">
            <v>1</v>
          </cell>
          <cell r="H6">
            <v>120</v>
          </cell>
          <cell r="I6" t="str">
            <v>матрица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263</v>
          </cell>
          <cell r="D7">
            <v>104</v>
          </cell>
          <cell r="E7">
            <v>106</v>
          </cell>
          <cell r="F7">
            <v>255</v>
          </cell>
          <cell r="G7">
            <v>0.4</v>
          </cell>
          <cell r="H7">
            <v>60</v>
          </cell>
          <cell r="I7" t="str">
            <v>матрица</v>
          </cell>
        </row>
        <row r="8">
          <cell r="A8" t="str">
            <v>3287 САЛЯМИ ИТАЛЬЯНСКАЯ с/к в/у ОСТАНКИНО</v>
          </cell>
          <cell r="B8" t="str">
            <v>кг</v>
          </cell>
          <cell r="C8">
            <v>55.414999999999999</v>
          </cell>
          <cell r="D8">
            <v>48.154000000000003</v>
          </cell>
          <cell r="E8">
            <v>6.45</v>
          </cell>
          <cell r="F8">
            <v>94.631</v>
          </cell>
          <cell r="G8">
            <v>1</v>
          </cell>
          <cell r="H8">
            <v>120</v>
          </cell>
          <cell r="I8" t="str">
            <v>матрица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45</v>
          </cell>
          <cell r="D9">
            <v>165</v>
          </cell>
          <cell r="E9">
            <v>62</v>
          </cell>
          <cell r="F9">
            <v>138</v>
          </cell>
          <cell r="G9">
            <v>0.25</v>
          </cell>
          <cell r="H9">
            <v>120</v>
          </cell>
          <cell r="I9" t="str">
            <v>матрица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186.697</v>
          </cell>
          <cell r="D10">
            <v>76.923000000000002</v>
          </cell>
          <cell r="E10">
            <v>88.691000000000003</v>
          </cell>
          <cell r="F10">
            <v>151.4</v>
          </cell>
          <cell r="G10">
            <v>1</v>
          </cell>
          <cell r="H10">
            <v>60</v>
          </cell>
          <cell r="I10" t="str">
            <v>матрица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100.49299999999999</v>
          </cell>
          <cell r="D11">
            <v>20.315999999999999</v>
          </cell>
          <cell r="E11">
            <v>5.0789999999999997</v>
          </cell>
          <cell r="F11">
            <v>112.488</v>
          </cell>
          <cell r="G11">
            <v>1</v>
          </cell>
          <cell r="H11">
            <v>120</v>
          </cell>
          <cell r="I11" t="str">
            <v>матрица</v>
          </cell>
        </row>
        <row r="12">
          <cell r="A12" t="str">
            <v>4574 Мясная со шпиком Папа может вар п/о ОСТАНКИНО</v>
          </cell>
          <cell r="B12" t="str">
            <v>кг</v>
          </cell>
          <cell r="C12">
            <v>55.207999999999998</v>
          </cell>
          <cell r="D12">
            <v>48.48</v>
          </cell>
          <cell r="E12">
            <v>13.484</v>
          </cell>
          <cell r="F12">
            <v>80.697999999999993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78.135000000000005</v>
          </cell>
          <cell r="D13">
            <v>301.12700000000001</v>
          </cell>
          <cell r="E13">
            <v>111.48699999999999</v>
          </cell>
          <cell r="F13">
            <v>244.72800000000001</v>
          </cell>
          <cell r="G13">
            <v>1</v>
          </cell>
          <cell r="H13">
            <v>60</v>
          </cell>
          <cell r="I13" t="str">
            <v>матрица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120</v>
          </cell>
          <cell r="D14">
            <v>53</v>
          </cell>
          <cell r="E14">
            <v>73</v>
          </cell>
          <cell r="F14">
            <v>94</v>
          </cell>
          <cell r="G14">
            <v>0.25</v>
          </cell>
          <cell r="H14">
            <v>120</v>
          </cell>
          <cell r="I14" t="str">
            <v>матрица</v>
          </cell>
        </row>
        <row r="15">
          <cell r="A15" t="str">
            <v>5452 ВЕТЧ.МЯСНАЯ Папа может п/о    ОСТАНКИНО</v>
          </cell>
          <cell r="B15" t="str">
            <v>кг</v>
          </cell>
          <cell r="C15">
            <v>73.355000000000004</v>
          </cell>
          <cell r="D15">
            <v>74.656000000000006</v>
          </cell>
          <cell r="E15">
            <v>39.536000000000001</v>
          </cell>
          <cell r="F15">
            <v>94.679000000000002</v>
          </cell>
          <cell r="G15">
            <v>1</v>
          </cell>
          <cell r="H15">
            <v>60</v>
          </cell>
          <cell r="I15" t="str">
            <v>матрица</v>
          </cell>
        </row>
        <row r="16">
          <cell r="A16" t="str">
            <v>5483 ЭКСТРА Папа может с/к в/у 1/250 8шт.   ОСТАНКИНО</v>
          </cell>
          <cell r="B16" t="str">
            <v>шт</v>
          </cell>
          <cell r="C16">
            <v>166</v>
          </cell>
          <cell r="D16">
            <v>96</v>
          </cell>
          <cell r="E16">
            <v>65</v>
          </cell>
          <cell r="F16">
            <v>195</v>
          </cell>
          <cell r="G16">
            <v>0.25</v>
          </cell>
          <cell r="H16">
            <v>120</v>
          </cell>
          <cell r="I16" t="str">
            <v>матрица</v>
          </cell>
        </row>
        <row r="17">
          <cell r="A17" t="str">
            <v>5495 ВЕТЧ.С ИНДЕЙКОЙ Папа может п/о 400*6  Останкино</v>
          </cell>
          <cell r="B17" t="str">
            <v>шт</v>
          </cell>
          <cell r="C17">
            <v>71</v>
          </cell>
          <cell r="D17">
            <v>100</v>
          </cell>
          <cell r="E17">
            <v>41</v>
          </cell>
          <cell r="F17">
            <v>129</v>
          </cell>
          <cell r="G17">
            <v>0.4</v>
          </cell>
          <cell r="H17">
            <v>60</v>
          </cell>
          <cell r="I17" t="str">
            <v>матрица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144.64699999999999</v>
          </cell>
          <cell r="D18">
            <v>30.42</v>
          </cell>
          <cell r="E18">
            <v>72.620999999999995</v>
          </cell>
          <cell r="F18">
            <v>77.239000000000004</v>
          </cell>
          <cell r="G18">
            <v>1</v>
          </cell>
          <cell r="H18">
            <v>45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422</v>
          </cell>
          <cell r="D19">
            <v>2</v>
          </cell>
          <cell r="E19">
            <v>42</v>
          </cell>
          <cell r="F19">
            <v>225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18.971</v>
          </cell>
          <cell r="D20">
            <v>179.18700000000001</v>
          </cell>
          <cell r="E20">
            <v>47.540999999999997</v>
          </cell>
          <cell r="F20">
            <v>132.976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-8</v>
          </cell>
          <cell r="D21">
            <v>193</v>
          </cell>
          <cell r="E21">
            <v>71</v>
          </cell>
          <cell r="F21">
            <v>105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30.6</v>
          </cell>
          <cell r="D22">
            <v>0.59799999999999998</v>
          </cell>
          <cell r="E22">
            <v>8.2379999999999995</v>
          </cell>
          <cell r="F22">
            <v>17.611999999999998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20.440000000000001</v>
          </cell>
          <cell r="D23">
            <v>40.286000000000001</v>
          </cell>
          <cell r="E23">
            <v>28.282</v>
          </cell>
          <cell r="F23">
            <v>22.902999999999999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86</v>
          </cell>
          <cell r="D24">
            <v>320</v>
          </cell>
          <cell r="E24">
            <v>50</v>
          </cell>
          <cell r="F24">
            <v>348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136</v>
          </cell>
          <cell r="D25">
            <v>80</v>
          </cell>
          <cell r="E25">
            <v>31</v>
          </cell>
          <cell r="F25">
            <v>178</v>
          </cell>
          <cell r="G25">
            <v>0.09</v>
          </cell>
          <cell r="H25">
            <v>45</v>
          </cell>
          <cell r="I25" t="str">
            <v>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53</v>
          </cell>
          <cell r="D26">
            <v>48</v>
          </cell>
          <cell r="E26">
            <v>7</v>
          </cell>
          <cell r="F26">
            <v>90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497.26400000000001</v>
          </cell>
          <cell r="D27">
            <v>4.7629999999999999</v>
          </cell>
          <cell r="E27">
            <v>28.756</v>
          </cell>
          <cell r="F27">
            <v>468.50799999999998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7</v>
          </cell>
          <cell r="D28">
            <v>130</v>
          </cell>
          <cell r="E28">
            <v>34</v>
          </cell>
          <cell r="F28">
            <v>95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234</v>
          </cell>
          <cell r="D29">
            <v>148</v>
          </cell>
          <cell r="E29">
            <v>151</v>
          </cell>
          <cell r="F29">
            <v>218</v>
          </cell>
          <cell r="G29">
            <v>0.4</v>
          </cell>
          <cell r="H29">
            <v>60</v>
          </cell>
          <cell r="I29" t="str">
            <v>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201</v>
          </cell>
          <cell r="D30">
            <v>195</v>
          </cell>
          <cell r="E30">
            <v>119</v>
          </cell>
          <cell r="F30">
            <v>264</v>
          </cell>
          <cell r="G30">
            <v>0.4</v>
          </cell>
          <cell r="H30">
            <v>60</v>
          </cell>
          <cell r="I30" t="str">
            <v>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-19</v>
          </cell>
          <cell r="D31">
            <v>24</v>
          </cell>
          <cell r="E31">
            <v>3</v>
          </cell>
          <cell r="F31">
            <v>-1</v>
          </cell>
          <cell r="G31">
            <v>0</v>
          </cell>
          <cell r="H31">
            <v>45</v>
          </cell>
          <cell r="I31" t="str">
            <v>вывод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143.86199999999999</v>
          </cell>
          <cell r="E32">
            <v>28.388999999999999</v>
          </cell>
          <cell r="F32">
            <v>101.399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59.886000000000003</v>
          </cell>
          <cell r="E33">
            <v>6.335</v>
          </cell>
          <cell r="F33">
            <v>53.551000000000002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76.161000000000001</v>
          </cell>
          <cell r="D34">
            <v>6.3559999999999999</v>
          </cell>
          <cell r="E34">
            <v>8.3810000000000002</v>
          </cell>
          <cell r="F34">
            <v>67.872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6608 С ГОВЯДИНОЙ ОРИГИН. сар б/о мгс 1*3_45с  ОСТАНКИНО</v>
          </cell>
          <cell r="B35" t="str">
            <v>кг</v>
          </cell>
          <cell r="C35">
            <v>59.622</v>
          </cell>
          <cell r="E35">
            <v>4.218</v>
          </cell>
          <cell r="F35">
            <v>53.277000000000001</v>
          </cell>
          <cell r="G35">
            <v>1</v>
          </cell>
          <cell r="H35">
            <v>45</v>
          </cell>
          <cell r="I35" t="str">
            <v>матрица</v>
          </cell>
        </row>
        <row r="36">
          <cell r="A36" t="str">
            <v>6616 МОЛОЧНЫЕ КЛАССИЧЕСКИЕ сос п/о в/у 0,3 кг  Останкино</v>
          </cell>
          <cell r="B36" t="str">
            <v>шт</v>
          </cell>
          <cell r="C36">
            <v>77</v>
          </cell>
          <cell r="D36">
            <v>250</v>
          </cell>
          <cell r="E36">
            <v>31</v>
          </cell>
          <cell r="F36">
            <v>280</v>
          </cell>
          <cell r="G36">
            <v>0.3</v>
          </cell>
          <cell r="H36">
            <v>45</v>
          </cell>
          <cell r="I36" t="str">
            <v>матрица</v>
          </cell>
        </row>
        <row r="37">
          <cell r="A37" t="str">
            <v>6620 РЕБРЫШКИ к/в в/у_30с  Останкино</v>
          </cell>
          <cell r="B37" t="str">
            <v>кг</v>
          </cell>
          <cell r="C37">
            <v>59.79</v>
          </cell>
          <cell r="D37">
            <v>1.1220000000000001</v>
          </cell>
          <cell r="E37">
            <v>7.8040000000000003</v>
          </cell>
          <cell r="F37">
            <v>51.985999999999997</v>
          </cell>
          <cell r="G37">
            <v>1</v>
          </cell>
          <cell r="I37" t="str">
            <v>матрица</v>
          </cell>
        </row>
        <row r="38">
          <cell r="A38" t="str">
            <v>6661 СОЧНЫЙ ГРИЛЬ ПМ сос п/о мгс 1,5*4_Маяк Останкино</v>
          </cell>
          <cell r="B38" t="str">
            <v>кг</v>
          </cell>
          <cell r="C38">
            <v>224.85300000000001</v>
          </cell>
          <cell r="D38">
            <v>4.5810000000000004</v>
          </cell>
          <cell r="E38">
            <v>7.6609999999999996</v>
          </cell>
          <cell r="F38">
            <v>106.752</v>
          </cell>
          <cell r="G38">
            <v>1</v>
          </cell>
          <cell r="H38">
            <v>45</v>
          </cell>
          <cell r="I38" t="str">
            <v>матрица</v>
          </cell>
        </row>
        <row r="39">
          <cell r="A39" t="str">
            <v>6697 СЕРВЕЛАТ ФИНСКИЙ ПМ в/к в/у 0,35кг 8шт  ОСТАНКИНО</v>
          </cell>
          <cell r="B39" t="str">
            <v>шт</v>
          </cell>
          <cell r="C39">
            <v>33</v>
          </cell>
          <cell r="D39">
            <v>559</v>
          </cell>
          <cell r="E39">
            <v>321</v>
          </cell>
          <cell r="F39">
            <v>261</v>
          </cell>
          <cell r="G39">
            <v>0.35</v>
          </cell>
          <cell r="H39">
            <v>45</v>
          </cell>
          <cell r="I39" t="str">
            <v>матрица</v>
          </cell>
        </row>
        <row r="40">
          <cell r="A40" t="str">
            <v>6713 СОЧНЫЙ ГРИЛЬ ПМ сос п/о мгс 0,41кг 8 шт.  ОСТАНКИНО</v>
          </cell>
          <cell r="B40" t="str">
            <v>шт</v>
          </cell>
          <cell r="C40">
            <v>-47</v>
          </cell>
          <cell r="D40">
            <v>91</v>
          </cell>
          <cell r="E40">
            <v>39</v>
          </cell>
          <cell r="G40">
            <v>0</v>
          </cell>
          <cell r="H40">
            <v>45</v>
          </cell>
          <cell r="I40" t="str">
            <v>вывод</v>
          </cell>
        </row>
        <row r="41">
          <cell r="A41" t="str">
            <v>6724 МОЛОЧНЫЕ ПМ сос п/о мгс 0,41кг 10шт  Останкино</v>
          </cell>
          <cell r="B41" t="str">
            <v>шт</v>
          </cell>
          <cell r="C41">
            <v>150</v>
          </cell>
          <cell r="D41">
            <v>62</v>
          </cell>
          <cell r="E41">
            <v>55</v>
          </cell>
          <cell r="F41">
            <v>144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6765 РУБЛЕНЫЕ сос ц/о мгс 0,36кг 6шт  Останкино</v>
          </cell>
          <cell r="B42" t="str">
            <v>шт</v>
          </cell>
          <cell r="C42">
            <v>-2</v>
          </cell>
          <cell r="D42">
            <v>66</v>
          </cell>
          <cell r="F42">
            <v>64</v>
          </cell>
          <cell r="G42">
            <v>0.36</v>
          </cell>
          <cell r="H42">
            <v>45</v>
          </cell>
          <cell r="I42" t="str">
            <v>ротация на код 7520</v>
          </cell>
        </row>
        <row r="43">
          <cell r="A43" t="str">
            <v>6787 СЕРВЕЛАТ КРЕМЛЕВСКИЙ в/к в/у 0,33кг 8шт  Останкино</v>
          </cell>
          <cell r="B43" t="str">
            <v>шт</v>
          </cell>
          <cell r="C43">
            <v>16</v>
          </cell>
          <cell r="D43">
            <v>16</v>
          </cell>
          <cell r="F43">
            <v>32</v>
          </cell>
          <cell r="G43">
            <v>0.33</v>
          </cell>
          <cell r="H43">
            <v>45</v>
          </cell>
          <cell r="I43" t="str">
            <v>матрица</v>
          </cell>
        </row>
        <row r="44">
          <cell r="A44" t="str">
            <v>6797 С ИНДЕЙКОЙ Папа может вар п/о 0,4кг 8шт. ОСТАНКИНО</v>
          </cell>
          <cell r="B44" t="str">
            <v>шт</v>
          </cell>
          <cell r="C44">
            <v>19</v>
          </cell>
          <cell r="D44">
            <v>76</v>
          </cell>
          <cell r="E44">
            <v>30</v>
          </cell>
          <cell r="F44">
            <v>62</v>
          </cell>
          <cell r="G44">
            <v>0.4</v>
          </cell>
          <cell r="H44">
            <v>60</v>
          </cell>
          <cell r="I44" t="str">
            <v>матрица</v>
          </cell>
        </row>
        <row r="45">
          <cell r="A45" t="str">
            <v>6807 СЕРВЕЛАТ ЕВРОПЕЙСКИЙ в/к в/у 0,33кг 8шт  Останкино</v>
          </cell>
          <cell r="B45" t="str">
            <v>шт</v>
          </cell>
          <cell r="C45">
            <v>16</v>
          </cell>
          <cell r="F45">
            <v>16</v>
          </cell>
          <cell r="G45">
            <v>0.33</v>
          </cell>
          <cell r="H45">
            <v>45</v>
          </cell>
          <cell r="I45" t="str">
            <v>матрица</v>
          </cell>
        </row>
        <row r="46">
          <cell r="A46" t="str">
            <v>6829  МОЛОЧНЫЕ КЛАССИЧЕСКИЕ сос п/о мгс 2*4 С  Останккино</v>
          </cell>
          <cell r="B46" t="str">
            <v>кг</v>
          </cell>
          <cell r="C46">
            <v>-8</v>
          </cell>
          <cell r="D46">
            <v>130.84899999999999</v>
          </cell>
          <cell r="E46">
            <v>18.317</v>
          </cell>
          <cell r="F46">
            <v>100.456</v>
          </cell>
          <cell r="G46">
            <v>1</v>
          </cell>
          <cell r="H46">
            <v>45</v>
          </cell>
          <cell r="I46" t="str">
            <v>матрица</v>
          </cell>
        </row>
        <row r="47">
          <cell r="A47" t="str">
            <v>6837 ФИЛЕЙНЫЕ Папа Может сос ц/о мгс 0,4кг  Останкино</v>
          </cell>
          <cell r="B47" t="str">
            <v>шт</v>
          </cell>
          <cell r="C47">
            <v>219</v>
          </cell>
          <cell r="D47">
            <v>30</v>
          </cell>
          <cell r="E47">
            <v>22</v>
          </cell>
          <cell r="F47">
            <v>207</v>
          </cell>
          <cell r="G47">
            <v>0.4</v>
          </cell>
          <cell r="H47">
            <v>45</v>
          </cell>
          <cell r="I47" t="str">
            <v>матрица</v>
          </cell>
        </row>
        <row r="48">
          <cell r="A48" t="str">
            <v>6866 ВЕТЧ.НЕЖНАЯ Коровино п/о_Маяк  Останкино</v>
          </cell>
          <cell r="B48" t="str">
            <v>кг</v>
          </cell>
          <cell r="C48">
            <v>39.07</v>
          </cell>
          <cell r="E48">
            <v>1.5</v>
          </cell>
          <cell r="F48">
            <v>37.57</v>
          </cell>
          <cell r="G48">
            <v>1</v>
          </cell>
          <cell r="H48">
            <v>60</v>
          </cell>
          <cell r="I48" t="str">
            <v>матрица</v>
          </cell>
        </row>
        <row r="49">
          <cell r="A49" t="str">
            <v>6929 КАРБОНАД ДОМАШНИЙ ПМ к/в кр/к в/у  ОСТАНКИНО</v>
          </cell>
          <cell r="B49" t="str">
            <v>кг</v>
          </cell>
          <cell r="C49">
            <v>111.6</v>
          </cell>
          <cell r="D49">
            <v>1.028</v>
          </cell>
          <cell r="E49">
            <v>9.09</v>
          </cell>
          <cell r="F49">
            <v>101.492</v>
          </cell>
          <cell r="G49">
            <v>1</v>
          </cell>
          <cell r="H49">
            <v>45</v>
          </cell>
          <cell r="I49" t="str">
            <v>матрица</v>
          </cell>
        </row>
        <row r="50">
          <cell r="A50" t="str">
            <v>6937 САЛЯМИ Папа может с/к в/у 1/250 8шт  Останкино</v>
          </cell>
          <cell r="B50" t="str">
            <v>шт</v>
          </cell>
          <cell r="C50">
            <v>111</v>
          </cell>
          <cell r="F50">
            <v>111</v>
          </cell>
          <cell r="G50">
            <v>0</v>
          </cell>
          <cell r="I50" t="str">
            <v>не в матрице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130</v>
          </cell>
          <cell r="D51">
            <v>1</v>
          </cell>
          <cell r="E51">
            <v>39</v>
          </cell>
          <cell r="F51">
            <v>91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44.823</v>
          </cell>
          <cell r="E52">
            <v>6.2119999999999997</v>
          </cell>
          <cell r="F52">
            <v>36.520000000000003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96</v>
          </cell>
          <cell r="F53">
            <v>96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C54">
            <v>55</v>
          </cell>
          <cell r="D54">
            <v>18</v>
          </cell>
          <cell r="E54">
            <v>20</v>
          </cell>
          <cell r="F54">
            <v>47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383</v>
          </cell>
          <cell r="D55">
            <v>509</v>
          </cell>
          <cell r="E55">
            <v>354</v>
          </cell>
          <cell r="F55">
            <v>473</v>
          </cell>
          <cell r="G55">
            <v>0.41</v>
          </cell>
          <cell r="H55">
            <v>50</v>
          </cell>
          <cell r="I55" t="str">
            <v>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65</v>
          </cell>
          <cell r="D56">
            <v>49.204999999999998</v>
          </cell>
          <cell r="E56">
            <v>38.476999999999997</v>
          </cell>
          <cell r="F56">
            <v>69.477999999999994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-2</v>
          </cell>
          <cell r="D57">
            <v>333</v>
          </cell>
          <cell r="E57">
            <v>104</v>
          </cell>
          <cell r="F57">
            <v>209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6.2690000000000001</v>
          </cell>
          <cell r="F58">
            <v>6.2690000000000001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195</v>
          </cell>
          <cell r="D59">
            <v>654</v>
          </cell>
          <cell r="E59">
            <v>247</v>
          </cell>
          <cell r="F59">
            <v>582</v>
          </cell>
          <cell r="G59">
            <v>0.41</v>
          </cell>
          <cell r="H59">
            <v>50</v>
          </cell>
          <cell r="I59" t="str">
            <v>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D60">
            <v>12.544</v>
          </cell>
          <cell r="E60">
            <v>1.571</v>
          </cell>
          <cell r="F60">
            <v>10.973000000000001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C61">
            <v>223</v>
          </cell>
          <cell r="D61">
            <v>3</v>
          </cell>
          <cell r="E61">
            <v>19</v>
          </cell>
          <cell r="F61">
            <v>203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7092 БЕКОН Папа может с/к с/н в/у 1/140_50с  Останкино</v>
          </cell>
          <cell r="B62" t="str">
            <v>шт</v>
          </cell>
          <cell r="C62">
            <v>-2</v>
          </cell>
          <cell r="F62">
            <v>-2</v>
          </cell>
          <cell r="G62">
            <v>0</v>
          </cell>
          <cell r="I62" t="str">
            <v>не в матрице</v>
          </cell>
        </row>
        <row r="63">
          <cell r="A63" t="str">
            <v>7103 БЕКОН Останкино с/к с/н в/у 1/180_50с  Останкино</v>
          </cell>
          <cell r="B63" t="str">
            <v>шт</v>
          </cell>
          <cell r="C63">
            <v>33</v>
          </cell>
          <cell r="D63">
            <v>90</v>
          </cell>
          <cell r="E63">
            <v>46</v>
          </cell>
          <cell r="F63">
            <v>67</v>
          </cell>
          <cell r="G63">
            <v>0.18</v>
          </cell>
          <cell r="H63">
            <v>50</v>
          </cell>
          <cell r="I63" t="str">
            <v>матрица</v>
          </cell>
        </row>
        <row r="64">
          <cell r="A64" t="str">
            <v>7143 БРАУНШВЕЙГСКАЯ ГОСТ с/к в/у 1/220 8шт.  ОСТАНКИНО</v>
          </cell>
          <cell r="B64" t="str">
            <v>шт</v>
          </cell>
          <cell r="C64">
            <v>8</v>
          </cell>
          <cell r="E64">
            <v>3</v>
          </cell>
          <cell r="F64">
            <v>5</v>
          </cell>
          <cell r="G64">
            <v>0.22</v>
          </cell>
          <cell r="H64">
            <v>120</v>
          </cell>
          <cell r="I64" t="str">
            <v>матрица</v>
          </cell>
        </row>
        <row r="65">
          <cell r="A65" t="str">
            <v>7149 БАЛЫКОВАЯ Коровино п/к в/у 0,84кг_50с  Останкино</v>
          </cell>
          <cell r="B65" t="str">
            <v>кг</v>
          </cell>
          <cell r="G65">
            <v>0</v>
          </cell>
          <cell r="I65" t="str">
            <v>матрица</v>
          </cell>
        </row>
        <row r="66">
          <cell r="A66" t="str">
            <v>7154 СЕРВЕЛАТ ЗЕРНИСТЫЙ ПМ в/к в/у 0,35кг_50с  Останкино</v>
          </cell>
          <cell r="B66" t="str">
            <v>шт</v>
          </cell>
          <cell r="C66">
            <v>192</v>
          </cell>
          <cell r="D66">
            <v>411</v>
          </cell>
          <cell r="E66">
            <v>175</v>
          </cell>
          <cell r="F66">
            <v>386</v>
          </cell>
          <cell r="G66">
            <v>0.35</v>
          </cell>
          <cell r="H66">
            <v>50</v>
          </cell>
          <cell r="I66" t="str">
            <v>матрица</v>
          </cell>
        </row>
        <row r="67">
          <cell r="A67" t="str">
            <v>7156 СЕРВЕЛАТ КОПЧ.НА БУКЕ в/к в/у 0.35кг_50с  ОСТАНКИНО</v>
          </cell>
          <cell r="B67" t="str">
            <v>шт</v>
          </cell>
          <cell r="G67">
            <v>0</v>
          </cell>
          <cell r="I67" t="str">
            <v>матрица</v>
          </cell>
        </row>
        <row r="68">
          <cell r="A68" t="str">
            <v>7157 СЕРВЕЛАТ ЗЕРНИСТЫЙ ПМ в/к в/у_50с  Останкино</v>
          </cell>
          <cell r="B68" t="str">
            <v>кг</v>
          </cell>
          <cell r="C68">
            <v>19.251000000000001</v>
          </cell>
          <cell r="D68">
            <v>54.305999999999997</v>
          </cell>
          <cell r="E68">
            <v>29.812000000000001</v>
          </cell>
          <cell r="F68">
            <v>42.344999999999999</v>
          </cell>
          <cell r="G68">
            <v>1</v>
          </cell>
          <cell r="H68">
            <v>50</v>
          </cell>
          <cell r="I68" t="str">
            <v>матрица</v>
          </cell>
        </row>
        <row r="69">
          <cell r="A69" t="str">
            <v>7166 СЕРВЕЛАТ ОХОТНИЧИЙ ПМ в/к в/у_50с  Останкино</v>
          </cell>
          <cell r="B69" t="str">
            <v>кг</v>
          </cell>
          <cell r="C69">
            <v>55.332000000000001</v>
          </cell>
          <cell r="D69">
            <v>100.82299999999999</v>
          </cell>
          <cell r="E69">
            <v>59.234999999999999</v>
          </cell>
          <cell r="F69">
            <v>73.144000000000005</v>
          </cell>
          <cell r="G69">
            <v>1</v>
          </cell>
          <cell r="H69">
            <v>50</v>
          </cell>
          <cell r="I69" t="str">
            <v>матрица</v>
          </cell>
        </row>
        <row r="70">
          <cell r="A70" t="str">
            <v>7169 СЕРВЕЛАТ ОХОТНИЧИЙ ПМ в/к в/у 0,35кг_50с  Останкино</v>
          </cell>
          <cell r="B70" t="str">
            <v>шт</v>
          </cell>
          <cell r="C70">
            <v>92</v>
          </cell>
          <cell r="D70">
            <v>146</v>
          </cell>
          <cell r="E70">
            <v>101</v>
          </cell>
          <cell r="F70">
            <v>134</v>
          </cell>
          <cell r="G70">
            <v>0.35</v>
          </cell>
          <cell r="H70">
            <v>50</v>
          </cell>
          <cell r="I70" t="str">
            <v>матрица</v>
          </cell>
        </row>
        <row r="71">
          <cell r="A71" t="str">
            <v>7187 ГРУДИНКА ПРЕМИУМ к/в мл/к в/у 0,3кг_50с  Останкино</v>
          </cell>
          <cell r="B71" t="str">
            <v>шт</v>
          </cell>
          <cell r="C71">
            <v>1</v>
          </cell>
          <cell r="D71">
            <v>259</v>
          </cell>
          <cell r="E71">
            <v>60</v>
          </cell>
          <cell r="F71">
            <v>186</v>
          </cell>
          <cell r="G71">
            <v>0.3</v>
          </cell>
          <cell r="H71">
            <v>50</v>
          </cell>
          <cell r="I71" t="str">
            <v>матрица</v>
          </cell>
        </row>
        <row r="72">
          <cell r="A72" t="str">
            <v>7231 КЛАССИЧЕСКАЯ ПМ вар п/о 0,3кг 8 шт_209к  Останкино</v>
          </cell>
          <cell r="B72" t="str">
            <v>шт</v>
          </cell>
          <cell r="C72">
            <v>78</v>
          </cell>
          <cell r="E72">
            <v>10</v>
          </cell>
          <cell r="F72">
            <v>68</v>
          </cell>
          <cell r="G72">
            <v>0.3</v>
          </cell>
          <cell r="H72">
            <v>60</v>
          </cell>
          <cell r="I72" t="str">
            <v>матрица</v>
          </cell>
        </row>
        <row r="73">
          <cell r="A73" t="str">
            <v>7232 БОЯNСКАЯ ПМ п/к в/у 0,28кг 8шт_209к  Останкино</v>
          </cell>
          <cell r="B73" t="str">
            <v>шт</v>
          </cell>
          <cell r="C73">
            <v>4</v>
          </cell>
          <cell r="D73">
            <v>333</v>
          </cell>
          <cell r="E73">
            <v>108</v>
          </cell>
          <cell r="F73">
            <v>204</v>
          </cell>
          <cell r="G73">
            <v>0.28000000000000003</v>
          </cell>
          <cell r="H73">
            <v>50</v>
          </cell>
          <cell r="I73" t="str">
            <v>матрица</v>
          </cell>
        </row>
        <row r="74">
          <cell r="A74" t="str">
            <v>7236 СЕРВЕЛАТ КАРЕЛЬСКИЙ в/к в/у 0,28кг_209к  Останкино</v>
          </cell>
          <cell r="B74" t="str">
            <v>шт</v>
          </cell>
          <cell r="C74">
            <v>239</v>
          </cell>
          <cell r="D74">
            <v>97</v>
          </cell>
          <cell r="E74">
            <v>167</v>
          </cell>
          <cell r="F74">
            <v>166</v>
          </cell>
          <cell r="G74">
            <v>0.28000000000000003</v>
          </cell>
          <cell r="H74">
            <v>45</v>
          </cell>
          <cell r="I74" t="str">
            <v>матрица</v>
          </cell>
        </row>
        <row r="75">
          <cell r="A75" t="str">
            <v>7241 САЛЯМИ Папа может п/к в/у 0,28кг ОСТАНКИНО</v>
          </cell>
          <cell r="B75" t="str">
            <v>шт</v>
          </cell>
          <cell r="C75">
            <v>3</v>
          </cell>
          <cell r="D75">
            <v>460</v>
          </cell>
          <cell r="E75">
            <v>146</v>
          </cell>
          <cell r="F75">
            <v>302</v>
          </cell>
          <cell r="G75">
            <v>0.28000000000000003</v>
          </cell>
          <cell r="H75">
            <v>45</v>
          </cell>
          <cell r="I75" t="str">
            <v>матрица</v>
          </cell>
        </row>
        <row r="76">
          <cell r="A76" t="str">
            <v>7255 МЯСНЫЕ С ГОВЯД.ПМ сос п/о мгс 0.4кг 6шт.  ОСТАНКИНО</v>
          </cell>
          <cell r="B76" t="str">
            <v>шт</v>
          </cell>
          <cell r="C76">
            <v>9</v>
          </cell>
          <cell r="D76">
            <v>712</v>
          </cell>
          <cell r="E76">
            <v>362</v>
          </cell>
          <cell r="F76">
            <v>321</v>
          </cell>
          <cell r="G76">
            <v>0.4</v>
          </cell>
          <cell r="H76">
            <v>50</v>
          </cell>
          <cell r="I76" t="str">
            <v>матрица</v>
          </cell>
        </row>
        <row r="77">
          <cell r="A77" t="str">
            <v>7299 НАБОР ДЛЯ ПИЦЦЫ Папа Может с/к в/у  ОСТАНКИНО</v>
          </cell>
          <cell r="B77" t="str">
            <v>кг</v>
          </cell>
          <cell r="C77">
            <v>87.177999999999997</v>
          </cell>
          <cell r="D77">
            <v>0.73499999999999999</v>
          </cell>
          <cell r="E77">
            <v>3.86</v>
          </cell>
          <cell r="F77">
            <v>83.317999999999998</v>
          </cell>
          <cell r="G77">
            <v>1</v>
          </cell>
          <cell r="H77">
            <v>30</v>
          </cell>
          <cell r="I77" t="str">
            <v>матрица</v>
          </cell>
        </row>
        <row r="78">
          <cell r="A78" t="str">
            <v>7332 БОЯРСКАЯ ПМ п/к в/у 0,28кг ОСТАНКИНО</v>
          </cell>
          <cell r="B78" t="str">
            <v>шт</v>
          </cell>
          <cell r="C78">
            <v>-1</v>
          </cell>
          <cell r="D78">
            <v>1</v>
          </cell>
          <cell r="E78">
            <v>1</v>
          </cell>
          <cell r="F78">
            <v>-1</v>
          </cell>
          <cell r="G78">
            <v>0</v>
          </cell>
          <cell r="I78" t="str">
            <v>не в матрице</v>
          </cell>
        </row>
        <row r="79">
          <cell r="A79" t="str">
            <v>7344 КОНСЕРВЫ МЯС.ГОВЯДИНА ТУШ. В/С 338г_ЧЗ  ОСТАНКИНО</v>
          </cell>
          <cell r="B79" t="str">
            <v>шт</v>
          </cell>
          <cell r="C79">
            <v>197</v>
          </cell>
          <cell r="E79">
            <v>5</v>
          </cell>
          <cell r="F79">
            <v>192</v>
          </cell>
          <cell r="G79">
            <v>0.33800000000000002</v>
          </cell>
          <cell r="H79" t="str">
            <v>3 года</v>
          </cell>
          <cell r="I79" t="str">
            <v>матрица</v>
          </cell>
        </row>
        <row r="80">
          <cell r="A80" t="str">
            <v>7345 КОНСЕРВЫ МЯС.СВИНИНА ТУШ. В/С 325г_ЧЗ  ОСТАНКИНО</v>
          </cell>
          <cell r="B80" t="str">
            <v>шт</v>
          </cell>
          <cell r="C80">
            <v>153</v>
          </cell>
          <cell r="D80">
            <v>1</v>
          </cell>
          <cell r="E80">
            <v>3</v>
          </cell>
          <cell r="F80">
            <v>149</v>
          </cell>
          <cell r="G80">
            <v>0.32500000000000001</v>
          </cell>
          <cell r="H80" t="str">
            <v>3 года</v>
          </cell>
          <cell r="I80" t="str">
            <v>матрица</v>
          </cell>
        </row>
        <row r="81">
          <cell r="A81" t="str">
            <v>7382  САЛЯМИ МЕЛКОЗЕРНЕНАЯ с/к в/у1/120 8шт.  ОСТАНКИНО</v>
          </cell>
          <cell r="B81" t="str">
            <v>шт</v>
          </cell>
          <cell r="C81">
            <v>82</v>
          </cell>
          <cell r="D81">
            <v>122</v>
          </cell>
          <cell r="E81">
            <v>74</v>
          </cell>
          <cell r="F81">
            <v>110</v>
          </cell>
          <cell r="G81">
            <v>0.12</v>
          </cell>
          <cell r="H81">
            <v>60</v>
          </cell>
          <cell r="I81" t="str">
            <v>матрица</v>
          </cell>
        </row>
        <row r="82">
          <cell r="A82" t="str">
            <v>7386 БАРСЕЛОНА ПМ с/к в/у 1/150  ОСТАНКИНО</v>
          </cell>
          <cell r="B82" t="str">
            <v>шт</v>
          </cell>
          <cell r="C82">
            <v>40</v>
          </cell>
          <cell r="E82">
            <v>23</v>
          </cell>
          <cell r="F82">
            <v>17</v>
          </cell>
          <cell r="G82">
            <v>0.15</v>
          </cell>
          <cell r="H82">
            <v>90</v>
          </cell>
          <cell r="I82" t="str">
            <v>матрица</v>
          </cell>
        </row>
        <row r="83">
          <cell r="A83" t="str">
            <v>7456 САЛЯМИ ФИНСКАЯ Папа может с/к в/у 1/150  ОСТАНКИНО</v>
          </cell>
          <cell r="B83" t="str">
            <v>шт</v>
          </cell>
          <cell r="C83">
            <v>30</v>
          </cell>
          <cell r="D83">
            <v>72</v>
          </cell>
          <cell r="E83">
            <v>59</v>
          </cell>
          <cell r="F83">
            <v>34</v>
          </cell>
          <cell r="G83">
            <v>0.15</v>
          </cell>
          <cell r="H83">
            <v>90</v>
          </cell>
          <cell r="I83" t="str">
            <v>матрица</v>
          </cell>
        </row>
        <row r="84">
          <cell r="A84" t="str">
            <v>7461 ДЛЯ ДЕТЕЙ Папа Может сос п/о мгс 0,33кг ОСТАНКИНО</v>
          </cell>
          <cell r="B84" t="str">
            <v>шт</v>
          </cell>
          <cell r="C84">
            <v>7</v>
          </cell>
          <cell r="D84">
            <v>60</v>
          </cell>
          <cell r="E84">
            <v>17</v>
          </cell>
          <cell r="F84">
            <v>43</v>
          </cell>
          <cell r="G84">
            <v>0.33</v>
          </cell>
          <cell r="H84">
            <v>30</v>
          </cell>
          <cell r="I84" t="str">
            <v>матрица</v>
          </cell>
        </row>
        <row r="85">
          <cell r="A85" t="str">
            <v>7485 РИЕТ МЯСНОЙ С ГРИБАМИ ПМ п/о 1/150  ОСТАНКИНО</v>
          </cell>
          <cell r="B85" t="str">
            <v>шт</v>
          </cell>
          <cell r="C85">
            <v>16</v>
          </cell>
          <cell r="D85">
            <v>2</v>
          </cell>
          <cell r="E85">
            <v>16</v>
          </cell>
          <cell r="G85">
            <v>0.15</v>
          </cell>
          <cell r="H85">
            <v>60</v>
          </cell>
          <cell r="I85" t="str">
            <v>матрица</v>
          </cell>
        </row>
        <row r="86">
          <cell r="A86" t="str">
            <v>7490 СОЧНЫЙ ГРИЛЬ сос ц/о мгс 0.41кг_Даблпак  ОСТАНКИНО</v>
          </cell>
          <cell r="B86" t="str">
            <v>шт</v>
          </cell>
          <cell r="C86">
            <v>267</v>
          </cell>
          <cell r="D86">
            <v>33</v>
          </cell>
          <cell r="E86">
            <v>116</v>
          </cell>
          <cell r="F86">
            <v>133</v>
          </cell>
          <cell r="G86">
            <v>0.41</v>
          </cell>
          <cell r="H86">
            <v>45</v>
          </cell>
          <cell r="I86" t="str">
            <v>матрица</v>
          </cell>
        </row>
        <row r="87">
          <cell r="A87" t="str">
            <v>7512 ЧАЙНАЯ Останкино вар н/о 1*3</v>
          </cell>
          <cell r="B87" t="str">
            <v>кг</v>
          </cell>
          <cell r="D87">
            <v>51.762999999999998</v>
          </cell>
          <cell r="F87">
            <v>51.762999999999998</v>
          </cell>
          <cell r="G87">
            <v>0</v>
          </cell>
          <cell r="I87" t="str">
            <v>РАЗОВО</v>
          </cell>
        </row>
        <row r="88">
          <cell r="A88" t="str">
            <v>7513 ВОСКРЕСЕНСКАЯ ВЯЛЕНАЯ в/к в/у срез 1/260  ОСТАНКИНО</v>
          </cell>
          <cell r="B88" t="str">
            <v>шт</v>
          </cell>
          <cell r="D88">
            <v>274</v>
          </cell>
          <cell r="E88">
            <v>26</v>
          </cell>
          <cell r="F88">
            <v>234</v>
          </cell>
          <cell r="G88">
            <v>0.26</v>
          </cell>
          <cell r="H88">
            <v>45</v>
          </cell>
          <cell r="I88" t="str">
            <v>матрица</v>
          </cell>
        </row>
        <row r="89">
          <cell r="A89" t="str">
            <v>7514 ЛЮБИТЕЛЬСКАЯ ОСТАНКИНСКАЯ вар п/о в/у  ОСТАНКИНО</v>
          </cell>
          <cell r="B89" t="str">
            <v>кг</v>
          </cell>
          <cell r="C89">
            <v>30.744</v>
          </cell>
          <cell r="E89">
            <v>30.78</v>
          </cell>
          <cell r="F89">
            <v>-3.5999999999999997E-2</v>
          </cell>
          <cell r="G89">
            <v>1</v>
          </cell>
          <cell r="H89">
            <v>30</v>
          </cell>
          <cell r="I89" t="str">
            <v>матрица</v>
          </cell>
        </row>
        <row r="90">
          <cell r="A90" t="str">
            <v>7516 НОВОМОСКОВСКАЯ в/к в/у срез 0.31кг  ОСТАНКИНО</v>
          </cell>
          <cell r="B90" t="str">
            <v>шт</v>
          </cell>
          <cell r="C90">
            <v>176</v>
          </cell>
          <cell r="D90">
            <v>12</v>
          </cell>
          <cell r="E90">
            <v>26</v>
          </cell>
          <cell r="F90">
            <v>153</v>
          </cell>
          <cell r="G90">
            <v>0.31</v>
          </cell>
          <cell r="H90">
            <v>45</v>
          </cell>
          <cell r="I90" t="str">
            <v>матрица</v>
          </cell>
        </row>
        <row r="91">
          <cell r="A91" t="str">
            <v>7518 ТЕЛЯЧЬЯ ГОСТ Останкино вар п/о в/у  ОСТАНКИНО</v>
          </cell>
          <cell r="B91" t="str">
            <v>кг</v>
          </cell>
          <cell r="C91">
            <v>32.723999999999997</v>
          </cell>
          <cell r="D91">
            <v>1.544</v>
          </cell>
          <cell r="E91">
            <v>22.462</v>
          </cell>
          <cell r="F91">
            <v>4.3490000000000002</v>
          </cell>
          <cell r="G91">
            <v>1</v>
          </cell>
          <cell r="H91">
            <v>30</v>
          </cell>
          <cell r="I91" t="str">
            <v>матрица</v>
          </cell>
        </row>
        <row r="92">
          <cell r="A92" t="str">
            <v>7523 ГОВЯЖЬЯ Папа Может вар п/о 0,4кг 6шт. ОСТАНКИНО</v>
          </cell>
          <cell r="B92" t="str">
            <v>шт</v>
          </cell>
          <cell r="C92">
            <v>28</v>
          </cell>
          <cell r="D92">
            <v>202</v>
          </cell>
          <cell r="E92">
            <v>84</v>
          </cell>
          <cell r="F92">
            <v>141</v>
          </cell>
          <cell r="G92">
            <v>0.4</v>
          </cell>
          <cell r="H92">
            <v>60</v>
          </cell>
          <cell r="I92" t="str">
            <v>матрица</v>
          </cell>
        </row>
        <row r="93">
          <cell r="A93" t="str">
            <v>7539 ДОКТОРСКАЯ ГОСТ вар п/о 0,35кг ОСТАНКИНО</v>
          </cell>
          <cell r="B93" t="str">
            <v>шт</v>
          </cell>
          <cell r="C93">
            <v>34</v>
          </cell>
          <cell r="E93">
            <v>33</v>
          </cell>
          <cell r="F93">
            <v>1</v>
          </cell>
          <cell r="G93">
            <v>0.35</v>
          </cell>
          <cell r="H93">
            <v>60</v>
          </cell>
          <cell r="I93" t="str">
            <v>матрица</v>
          </cell>
        </row>
        <row r="94">
          <cell r="A94" t="str">
            <v>7562 КРАКОВСКАЯ ГОСТ Останкино п/к н/о мгс  ОСТАНКИНО</v>
          </cell>
          <cell r="B94" t="str">
            <v>кг</v>
          </cell>
          <cell r="C94">
            <v>85.774000000000001</v>
          </cell>
          <cell r="E94">
            <v>0.51400000000000001</v>
          </cell>
          <cell r="F94">
            <v>83.98</v>
          </cell>
          <cell r="G94">
            <v>1</v>
          </cell>
          <cell r="H94">
            <v>45</v>
          </cell>
          <cell r="I94" t="str">
            <v>матрица</v>
          </cell>
        </row>
        <row r="95">
          <cell r="A95" t="str">
            <v>7564 Балыковая в/к в/у Останкино Вес  ОСТАНКИНО</v>
          </cell>
          <cell r="B95" t="str">
            <v>кг</v>
          </cell>
          <cell r="C95">
            <v>19.452999999999999</v>
          </cell>
          <cell r="E95">
            <v>19.385999999999999</v>
          </cell>
          <cell r="F95">
            <v>6.7000000000000004E-2</v>
          </cell>
          <cell r="G95">
            <v>1</v>
          </cell>
          <cell r="H95">
            <v>45</v>
          </cell>
          <cell r="I95" t="str">
            <v>матрица</v>
          </cell>
        </row>
        <row r="96">
          <cell r="A96" t="str">
            <v>7603 БАЛЫКОВАЯ в/к в/у 0.33кг 8шт. ОСТАНКИНО</v>
          </cell>
          <cell r="B96" t="str">
            <v>шт</v>
          </cell>
          <cell r="C96">
            <v>61</v>
          </cell>
          <cell r="D96">
            <v>104</v>
          </cell>
          <cell r="E96">
            <v>18</v>
          </cell>
          <cell r="F96">
            <v>143</v>
          </cell>
          <cell r="G96">
            <v>0.33</v>
          </cell>
          <cell r="H96">
            <v>45</v>
          </cell>
          <cell r="I96" t="str">
            <v>матрица</v>
          </cell>
        </row>
        <row r="97">
          <cell r="A97" t="str">
            <v>7612 БАЛЫК с/к с/н в/у 1/100 10шт_  ОСТАНКИНО</v>
          </cell>
          <cell r="B97" t="str">
            <v>шт</v>
          </cell>
          <cell r="D97">
            <v>90</v>
          </cell>
          <cell r="F97">
            <v>90</v>
          </cell>
          <cell r="G97">
            <v>0</v>
          </cell>
          <cell r="I97" t="str">
            <v>не в матрице</v>
          </cell>
        </row>
        <row r="98">
          <cell r="A98" t="str">
            <v>7613 АРОМАТНАЯ с/к с/н в/у 1/100 10шт_Л10  ОСТАНКИНО</v>
          </cell>
          <cell r="B98" t="str">
            <v>шт</v>
          </cell>
          <cell r="C98">
            <v>9</v>
          </cell>
          <cell r="D98">
            <v>330</v>
          </cell>
          <cell r="E98">
            <v>26</v>
          </cell>
          <cell r="F98">
            <v>293</v>
          </cell>
          <cell r="G98">
            <v>0.1</v>
          </cell>
          <cell r="H98">
            <v>60</v>
          </cell>
          <cell r="I98" t="str">
            <v>матрица</v>
          </cell>
        </row>
        <row r="99">
          <cell r="A99" t="str">
            <v>7616 ЭКСТРА Папа может с/к с/н в/у 1/100_  ОСТАНКИНО</v>
          </cell>
          <cell r="B99" t="str">
            <v>шт</v>
          </cell>
          <cell r="D99">
            <v>530</v>
          </cell>
          <cell r="E99">
            <v>32</v>
          </cell>
          <cell r="F99">
            <v>487</v>
          </cell>
          <cell r="G99">
            <v>0.1</v>
          </cell>
          <cell r="H99">
            <v>60</v>
          </cell>
          <cell r="I99" t="str">
            <v>матрица</v>
          </cell>
        </row>
        <row r="100">
          <cell r="A100" t="str">
            <v>7632 ЭКСТРА Папа может вар п/о 0.4кг 8шт_195к  ОСТАНКИНО</v>
          </cell>
          <cell r="B100" t="str">
            <v>шт</v>
          </cell>
          <cell r="D100">
            <v>579</v>
          </cell>
          <cell r="E100">
            <v>195</v>
          </cell>
          <cell r="F100">
            <v>370</v>
          </cell>
          <cell r="G100">
            <v>0.4</v>
          </cell>
          <cell r="H100">
            <v>60</v>
          </cell>
          <cell r="I100" t="str">
            <v>матрица</v>
          </cell>
        </row>
        <row r="101">
          <cell r="A101" t="str">
            <v>7700 ЛИТОВСКАЯ с/к в/у</v>
          </cell>
          <cell r="B101" t="str">
            <v>кг</v>
          </cell>
          <cell r="D101">
            <v>13.597</v>
          </cell>
          <cell r="F101">
            <v>13.597</v>
          </cell>
          <cell r="G101">
            <v>1</v>
          </cell>
          <cell r="H101">
            <v>120</v>
          </cell>
          <cell r="I101" t="str">
            <v>матрица</v>
          </cell>
        </row>
        <row r="102">
          <cell r="A102" t="str">
            <v>7710 КРАКОВСКАЯ ГОСТ п/к н/о мгс 0.3кг  ОСТАНКИНО</v>
          </cell>
          <cell r="B102" t="str">
            <v>шт</v>
          </cell>
          <cell r="C102">
            <v>71</v>
          </cell>
          <cell r="D102">
            <v>41</v>
          </cell>
          <cell r="E102">
            <v>30</v>
          </cell>
          <cell r="F102">
            <v>67</v>
          </cell>
          <cell r="G102">
            <v>0.3</v>
          </cell>
          <cell r="H102">
            <v>45</v>
          </cell>
          <cell r="I102" t="str">
            <v>матрица</v>
          </cell>
        </row>
        <row r="103">
          <cell r="A103" t="str">
            <v>7725 ВЕТ.МРАМОРНАЯ в/у срез 0.3кг 6шт_62  ОСТАНКИНО</v>
          </cell>
          <cell r="B103" t="str">
            <v>шт</v>
          </cell>
          <cell r="C103">
            <v>19</v>
          </cell>
          <cell r="D103">
            <v>99</v>
          </cell>
          <cell r="E103">
            <v>31</v>
          </cell>
          <cell r="F103">
            <v>62</v>
          </cell>
          <cell r="G103">
            <v>0.3</v>
          </cell>
          <cell r="H103">
            <v>62</v>
          </cell>
          <cell r="I103" t="str">
            <v>матрица</v>
          </cell>
        </row>
        <row r="104">
          <cell r="A104" t="str">
            <v>7730 ХОЧУ ВЕТЧ.ИЗ СВ.ОТРУБА мгс 1/100_45с_Л11  ОСТАНКИНО</v>
          </cell>
          <cell r="B104" t="str">
            <v>шт</v>
          </cell>
          <cell r="D104">
            <v>24</v>
          </cell>
          <cell r="E104">
            <v>3</v>
          </cell>
          <cell r="F104">
            <v>19</v>
          </cell>
          <cell r="G104">
            <v>0.1</v>
          </cell>
          <cell r="H104">
            <v>45</v>
          </cell>
          <cell r="I104" t="str">
            <v>матрица</v>
          </cell>
        </row>
        <row r="105">
          <cell r="A105" t="str">
            <v>7731 ХОЧУ ВЕТЧ. МРАМОР. с/н мгс 1/100_45с_Л11  ОСТАНКИНО</v>
          </cell>
          <cell r="B105" t="str">
            <v>шт</v>
          </cell>
          <cell r="E105">
            <v>4</v>
          </cell>
          <cell r="F105">
            <v>-5</v>
          </cell>
          <cell r="G105">
            <v>0.1</v>
          </cell>
          <cell r="H105">
            <v>45</v>
          </cell>
          <cell r="I105" t="str">
            <v>матрица</v>
          </cell>
        </row>
        <row r="106">
          <cell r="A106" t="str">
            <v>7754 ДОМАШНИЙ РЕЦЕПТ Коровино вар п/о_332к</v>
          </cell>
          <cell r="B106" t="str">
            <v>кг</v>
          </cell>
          <cell r="G106">
            <v>0</v>
          </cell>
          <cell r="H106">
            <v>60</v>
          </cell>
          <cell r="I106" t="str">
            <v>матрица</v>
          </cell>
        </row>
        <row r="107">
          <cell r="A107" t="str">
            <v>8014 ДОКТОРСКАЯ ПРЕМИУМ вар п/о(п)    ОСТАНКИНО</v>
          </cell>
          <cell r="B107" t="str">
            <v>кг</v>
          </cell>
          <cell r="G107">
            <v>0</v>
          </cell>
          <cell r="I107" t="str">
            <v>матрица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26.10.2026 - 27.10.2026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v>
          </cell>
        </row>
        <row r="8">
          <cell r="A8" t="str">
            <v>(Вместе)</v>
          </cell>
          <cell r="D8" t="str">
            <v>Ед. изм.</v>
          </cell>
          <cell r="F8" t="str">
            <v>Количество</v>
          </cell>
          <cell r="K8" t="str">
            <v>Вес (нетто), кг</v>
          </cell>
        </row>
        <row r="9">
          <cell r="A9" t="str">
            <v>Номенклатура</v>
          </cell>
          <cell r="F9" t="str">
            <v>Начальный остаток</v>
          </cell>
          <cell r="H9" t="str">
            <v>Приход</v>
          </cell>
          <cell r="I9" t="str">
            <v>Расход</v>
          </cell>
          <cell r="J9" t="str">
            <v>Конечный остаток</v>
          </cell>
          <cell r="K9" t="str">
            <v>Начальный остаток</v>
          </cell>
          <cell r="L9" t="str">
            <v>Приход</v>
          </cell>
          <cell r="M9" t="str">
            <v>Расход</v>
          </cell>
          <cell r="N9" t="str">
            <v>Конечный остаток</v>
          </cell>
        </row>
        <row r="10">
          <cell r="A10" t="str">
            <v>0614 ПРАЗДНИЧНАЯ с/к в/с дек.спец.мгс  Останкино</v>
          </cell>
          <cell r="D10" t="str">
            <v>кг</v>
          </cell>
          <cell r="F10">
            <v>37.03</v>
          </cell>
          <cell r="I10">
            <v>1.075</v>
          </cell>
          <cell r="J10">
            <v>35.954999999999998</v>
          </cell>
          <cell r="K10">
            <v>37.03</v>
          </cell>
          <cell r="M10">
            <v>1.075</v>
          </cell>
          <cell r="N10">
            <v>35.954999999999998</v>
          </cell>
        </row>
        <row r="11">
          <cell r="A11" t="str">
            <v>3215 ВЕТЧ.МЯСНАЯ Папа может п/о 0.4кг 8шт.    ОСТАНКИНО</v>
          </cell>
          <cell r="D11" t="str">
            <v>шт</v>
          </cell>
          <cell r="F11">
            <v>260</v>
          </cell>
          <cell r="I11">
            <v>16</v>
          </cell>
          <cell r="J11">
            <v>244</v>
          </cell>
          <cell r="K11">
            <v>104</v>
          </cell>
          <cell r="M11">
            <v>6.4</v>
          </cell>
          <cell r="N11">
            <v>97.6</v>
          </cell>
        </row>
        <row r="12">
          <cell r="A12" t="str">
            <v>3287 САЛЯМИ ИТАЛЬЯНСКАЯ с/к в/у ОСТАНКИНО</v>
          </cell>
          <cell r="D12" t="str">
            <v>кг</v>
          </cell>
          <cell r="F12">
            <v>97.119</v>
          </cell>
          <cell r="I12">
            <v>2.9780000000000002</v>
          </cell>
          <cell r="J12">
            <v>94.141000000000005</v>
          </cell>
          <cell r="K12">
            <v>97.119</v>
          </cell>
          <cell r="M12">
            <v>2.9780000000000002</v>
          </cell>
          <cell r="N12">
            <v>94.141000000000005</v>
          </cell>
        </row>
        <row r="13">
          <cell r="A13" t="str">
            <v>3986 Ароматная с/к в/у 1/250 ОСТАНКИНО</v>
          </cell>
          <cell r="D13" t="str">
            <v>шт</v>
          </cell>
          <cell r="F13">
            <v>142</v>
          </cell>
          <cell r="H13">
            <v>1</v>
          </cell>
          <cell r="I13">
            <v>10</v>
          </cell>
          <cell r="J13">
            <v>133</v>
          </cell>
          <cell r="K13">
            <v>35.5</v>
          </cell>
          <cell r="L13">
            <v>0.25</v>
          </cell>
          <cell r="M13">
            <v>2.5</v>
          </cell>
          <cell r="N13">
            <v>33.25</v>
          </cell>
        </row>
        <row r="14">
          <cell r="A14" t="str">
            <v>4063 МЯСНАЯ Папа может вар п/о_Л   ОСТАНКИНО</v>
          </cell>
          <cell r="D14" t="str">
            <v>кг</v>
          </cell>
          <cell r="F14">
            <v>174.43899999999999</v>
          </cell>
          <cell r="I14">
            <v>36.578000000000003</v>
          </cell>
          <cell r="J14">
            <v>137.86099999999999</v>
          </cell>
          <cell r="K14">
            <v>174.43899999999999</v>
          </cell>
          <cell r="M14">
            <v>36.578000000000003</v>
          </cell>
          <cell r="N14">
            <v>137.86099999999999</v>
          </cell>
        </row>
        <row r="15">
          <cell r="A15" t="str">
            <v>4117 ЭКСТРА Папа может с/к в/у_Л   ОСТАНКИНО</v>
          </cell>
          <cell r="D15" t="str">
            <v>кг</v>
          </cell>
          <cell r="F15">
            <v>115.73</v>
          </cell>
          <cell r="I15">
            <v>3.7360000000000002</v>
          </cell>
          <cell r="J15">
            <v>111.994</v>
          </cell>
          <cell r="K15">
            <v>115.73</v>
          </cell>
          <cell r="M15">
            <v>3.7360000000000002</v>
          </cell>
          <cell r="N15">
            <v>111.994</v>
          </cell>
        </row>
        <row r="16">
          <cell r="A16" t="str">
            <v>4574 Мясная со шпиком Папа может вар п/о ОСТАНКИНО</v>
          </cell>
          <cell r="D16" t="str">
            <v>кг</v>
          </cell>
          <cell r="F16">
            <v>90.203999999999994</v>
          </cell>
          <cell r="I16">
            <v>10.847</v>
          </cell>
          <cell r="J16">
            <v>79.356999999999999</v>
          </cell>
          <cell r="K16">
            <v>90.203999999999994</v>
          </cell>
          <cell r="M16">
            <v>10.847</v>
          </cell>
          <cell r="N16">
            <v>79.356999999999999</v>
          </cell>
        </row>
        <row r="17">
          <cell r="A17" t="str">
            <v>4813 ФИЛЕЙНАЯ Папа может вар п/о_Л   ОСТАНКИНО</v>
          </cell>
          <cell r="D17" t="str">
            <v>кг</v>
          </cell>
          <cell r="F17">
            <v>267.77499999999998</v>
          </cell>
          <cell r="I17">
            <v>35.259</v>
          </cell>
          <cell r="J17">
            <v>232.51599999999999</v>
          </cell>
          <cell r="K17">
            <v>267.77499999999998</v>
          </cell>
          <cell r="M17">
            <v>35.259</v>
          </cell>
          <cell r="N17">
            <v>232.51599999999999</v>
          </cell>
        </row>
        <row r="18">
          <cell r="A18" t="str">
            <v>4993 САЛЯМИ ИТАЛЬЯНСКАЯ с/к в/у 1/250*8_120c ОСТАНКИНО</v>
          </cell>
          <cell r="D18" t="str">
            <v>шт</v>
          </cell>
          <cell r="F18">
            <v>96</v>
          </cell>
          <cell r="H18">
            <v>2</v>
          </cell>
          <cell r="I18">
            <v>6</v>
          </cell>
          <cell r="J18">
            <v>92</v>
          </cell>
          <cell r="K18">
            <v>24</v>
          </cell>
          <cell r="L18">
            <v>0.5</v>
          </cell>
          <cell r="M18">
            <v>1.5</v>
          </cell>
          <cell r="N18">
            <v>23</v>
          </cell>
        </row>
        <row r="19">
          <cell r="A19" t="str">
            <v>5452 ВЕТЧ.МЯСНАЯ Папа может п/о    ОСТАНКИНО</v>
          </cell>
          <cell r="D19" t="str">
            <v>кг</v>
          </cell>
          <cell r="F19">
            <v>107.128</v>
          </cell>
          <cell r="I19">
            <v>13.8</v>
          </cell>
          <cell r="J19">
            <v>93.328000000000003</v>
          </cell>
          <cell r="K19">
            <v>107.128</v>
          </cell>
          <cell r="M19">
            <v>13.8</v>
          </cell>
          <cell r="N19">
            <v>93.328000000000003</v>
          </cell>
        </row>
        <row r="20">
          <cell r="A20" t="str">
            <v>5483 ЭКСТРА Папа может с/к в/у 1/250 8шт.   ОСТАНКИНО</v>
          </cell>
          <cell r="D20" t="str">
            <v>шт</v>
          </cell>
          <cell r="F20">
            <v>197</v>
          </cell>
          <cell r="I20">
            <v>3</v>
          </cell>
          <cell r="J20">
            <v>194</v>
          </cell>
          <cell r="K20">
            <v>49.25</v>
          </cell>
          <cell r="M20">
            <v>0.75</v>
          </cell>
          <cell r="N20">
            <v>48.5</v>
          </cell>
        </row>
        <row r="21">
          <cell r="A21" t="str">
            <v>5495 ВЕТЧ.С ИНДЕЙКОЙ Папа может п/о 400*6  Останкино</v>
          </cell>
          <cell r="D21" t="str">
            <v>шт</v>
          </cell>
          <cell r="F21">
            <v>130</v>
          </cell>
          <cell r="I21">
            <v>11</v>
          </cell>
          <cell r="J21">
            <v>119</v>
          </cell>
          <cell r="K21">
            <v>52</v>
          </cell>
          <cell r="M21">
            <v>4.4000000000000004</v>
          </cell>
          <cell r="N21">
            <v>47.6</v>
          </cell>
        </row>
        <row r="22">
          <cell r="A22" t="str">
            <v>5544 Сервелат Финский в/к в/у_45с НОВАЯ ОСТАНКИНО</v>
          </cell>
          <cell r="D22" t="str">
            <v>кг</v>
          </cell>
          <cell r="F22">
            <v>102.446</v>
          </cell>
          <cell r="I22">
            <v>43.03</v>
          </cell>
          <cell r="J22">
            <v>59.415999999999997</v>
          </cell>
          <cell r="K22">
            <v>102.446</v>
          </cell>
          <cell r="M22">
            <v>43.03</v>
          </cell>
          <cell r="N22">
            <v>59.415999999999997</v>
          </cell>
        </row>
        <row r="23">
          <cell r="A23" t="str">
            <v>5819 Сосиски Папа может 400г Мясные  ОСТАНКИНО</v>
          </cell>
          <cell r="D23" t="str">
            <v>шт</v>
          </cell>
          <cell r="F23">
            <v>228</v>
          </cell>
          <cell r="I23">
            <v>3</v>
          </cell>
          <cell r="J23">
            <v>225</v>
          </cell>
          <cell r="K23">
            <v>91.2</v>
          </cell>
          <cell r="M23">
            <v>1.2</v>
          </cell>
          <cell r="N23">
            <v>90</v>
          </cell>
        </row>
        <row r="24">
          <cell r="A24" t="str">
            <v>5851 ЭКСТРА Папа может вар п/о   ОСТАНКИНО</v>
          </cell>
          <cell r="D24" t="str">
            <v>кг</v>
          </cell>
          <cell r="F24">
            <v>149.27799999999999</v>
          </cell>
          <cell r="I24">
            <v>27.236999999999998</v>
          </cell>
          <cell r="J24">
            <v>122.041</v>
          </cell>
          <cell r="K24">
            <v>149.27799999999999</v>
          </cell>
          <cell r="M24">
            <v>27.236999999999998</v>
          </cell>
          <cell r="N24">
            <v>122.041</v>
          </cell>
        </row>
        <row r="25">
          <cell r="A25" t="str">
            <v>5931 ОХОТНИЧЬЯ Папа может с/к в/у 1/220 8шт.   ОСТАНКИНО</v>
          </cell>
          <cell r="D25" t="str">
            <v>шт</v>
          </cell>
          <cell r="F25">
            <v>113</v>
          </cell>
          <cell r="I25">
            <v>11</v>
          </cell>
          <cell r="J25">
            <v>102</v>
          </cell>
          <cell r="K25">
            <v>24.86</v>
          </cell>
          <cell r="M25">
            <v>2.42</v>
          </cell>
          <cell r="N25">
            <v>22.44</v>
          </cell>
        </row>
        <row r="26">
          <cell r="A26" t="str">
            <v>6008 САЛО СОЛЕНОЕ С ЧЕРНЫМ ПЕРЦЕМ мл/к в/у ОСТАНКИНО</v>
          </cell>
          <cell r="D26" t="str">
            <v>кг</v>
          </cell>
          <cell r="F26">
            <v>22.361999999999998</v>
          </cell>
          <cell r="I26">
            <v>4.75</v>
          </cell>
          <cell r="J26">
            <v>17.611999999999998</v>
          </cell>
          <cell r="K26">
            <v>22.361999999999998</v>
          </cell>
          <cell r="M26">
            <v>4.75</v>
          </cell>
          <cell r="N26">
            <v>17.611999999999998</v>
          </cell>
        </row>
        <row r="27">
          <cell r="A27" t="str">
            <v>6220 ГОВЯЖЬЯ папа может вар п/о  Останкино</v>
          </cell>
          <cell r="D27" t="str">
            <v>кг</v>
          </cell>
          <cell r="F27">
            <v>32.444000000000003</v>
          </cell>
          <cell r="I27">
            <v>9.5410000000000004</v>
          </cell>
          <cell r="J27">
            <v>22.902999999999999</v>
          </cell>
          <cell r="K27">
            <v>32.444000000000003</v>
          </cell>
          <cell r="M27">
            <v>9.5410000000000004</v>
          </cell>
          <cell r="N27">
            <v>22.902999999999999</v>
          </cell>
        </row>
        <row r="28">
          <cell r="A28" t="str">
            <v>6221 НЕОПОЛИТАНСКИЙ ДУЭТ с/к с/н мгс 1/90  Останкино</v>
          </cell>
          <cell r="D28" t="str">
            <v>шт</v>
          </cell>
          <cell r="F28">
            <v>356</v>
          </cell>
          <cell r="I28">
            <v>9</v>
          </cell>
          <cell r="J28">
            <v>347</v>
          </cell>
          <cell r="K28">
            <v>32.04</v>
          </cell>
          <cell r="M28">
            <v>0.81</v>
          </cell>
          <cell r="N28">
            <v>31.23</v>
          </cell>
        </row>
        <row r="29">
          <cell r="A29" t="str">
            <v>6228 МЯСНОЕ АССОРТИ к/з с/н мгс 1/90 10шт  Останкино</v>
          </cell>
          <cell r="D29" t="str">
            <v>шт</v>
          </cell>
          <cell r="F29">
            <v>182</v>
          </cell>
          <cell r="I29">
            <v>4</v>
          </cell>
          <cell r="J29">
            <v>178</v>
          </cell>
          <cell r="K29">
            <v>16.38</v>
          </cell>
          <cell r="M29">
            <v>0.36</v>
          </cell>
          <cell r="N29">
            <v>16.02</v>
          </cell>
        </row>
        <row r="30">
          <cell r="A30" t="str">
            <v>6279 КОРЕЙКА ПО-ОСТ.к/в в/с с/н в/у 1/150_45с  Останкино</v>
          </cell>
          <cell r="D30" t="str">
            <v>шт</v>
          </cell>
          <cell r="F30">
            <v>94</v>
          </cell>
          <cell r="I30">
            <v>6</v>
          </cell>
          <cell r="J30">
            <v>88</v>
          </cell>
          <cell r="K30">
            <v>14.1</v>
          </cell>
          <cell r="M30">
            <v>0.9</v>
          </cell>
          <cell r="N30">
            <v>13.2</v>
          </cell>
        </row>
        <row r="31">
          <cell r="A31" t="str">
            <v>6303 Мясные Папа может сос п/о мгс 1,5*3  Останкино</v>
          </cell>
          <cell r="D31" t="str">
            <v>кг</v>
          </cell>
          <cell r="F31">
            <v>468.50799999999998</v>
          </cell>
          <cell r="J31">
            <v>468.50799999999998</v>
          </cell>
          <cell r="K31">
            <v>468.50799999999998</v>
          </cell>
          <cell r="N31">
            <v>468.50799999999998</v>
          </cell>
        </row>
        <row r="32">
          <cell r="A32" t="str">
            <v>6325 ДОКТОРСКАЯ ПРЕМИУМ вар п/о 0.4кг 8шт.  ОСТАНКИНО</v>
          </cell>
          <cell r="D32" t="str">
            <v>шт</v>
          </cell>
          <cell r="F32">
            <v>100</v>
          </cell>
          <cell r="H32">
            <v>2</v>
          </cell>
          <cell r="I32">
            <v>13</v>
          </cell>
          <cell r="J32">
            <v>89</v>
          </cell>
          <cell r="K32">
            <v>40</v>
          </cell>
          <cell r="L32">
            <v>0.8</v>
          </cell>
          <cell r="M32">
            <v>5.2</v>
          </cell>
          <cell r="N32">
            <v>35.6</v>
          </cell>
        </row>
        <row r="33">
          <cell r="A33" t="str">
            <v>6333 МЯСНАЯ Папа может вар п/о 0.4кг 8шт.  ОСТАНКИНО</v>
          </cell>
          <cell r="D33" t="str">
            <v>шт</v>
          </cell>
          <cell r="F33">
            <v>228</v>
          </cell>
          <cell r="H33">
            <v>3</v>
          </cell>
          <cell r="I33">
            <v>17</v>
          </cell>
          <cell r="J33">
            <v>214</v>
          </cell>
          <cell r="K33">
            <v>91.2</v>
          </cell>
          <cell r="L33">
            <v>1.2</v>
          </cell>
          <cell r="M33">
            <v>6.8</v>
          </cell>
          <cell r="N33">
            <v>85.6</v>
          </cell>
        </row>
        <row r="34">
          <cell r="A34" t="str">
            <v>6392 ФИЛЕЙНАЯ Папа может вар п/о 0,4кг  ОСТАНКИНО</v>
          </cell>
          <cell r="D34" t="str">
            <v>шт</v>
          </cell>
          <cell r="F34">
            <v>272</v>
          </cell>
          <cell r="H34">
            <v>3</v>
          </cell>
          <cell r="I34">
            <v>17</v>
          </cell>
          <cell r="J34">
            <v>258</v>
          </cell>
          <cell r="K34">
            <v>108.8</v>
          </cell>
          <cell r="L34">
            <v>1.2</v>
          </cell>
          <cell r="M34">
            <v>6.8</v>
          </cell>
          <cell r="N34">
            <v>103.2</v>
          </cell>
        </row>
        <row r="35">
          <cell r="A35" t="str">
            <v>6495 ВЕТЧ.МРАМОРНАЯ в/у срез 0,3кг 6шт_45с  Останкино</v>
          </cell>
          <cell r="D35" t="str">
            <v>шт</v>
          </cell>
          <cell r="F35">
            <v>-1</v>
          </cell>
          <cell r="H35">
            <v>1</v>
          </cell>
          <cell r="K35">
            <v>-0.3</v>
          </cell>
          <cell r="L35">
            <v>0.3</v>
          </cell>
        </row>
        <row r="36">
          <cell r="A36" t="str">
            <v>6498 МОЛОЧНАЯ Папа может вар п/о  ОСТАНКИНО</v>
          </cell>
          <cell r="D36" t="str">
            <v>кг</v>
          </cell>
          <cell r="F36">
            <v>115.473</v>
          </cell>
          <cell r="I36">
            <v>15.074999999999999</v>
          </cell>
          <cell r="J36">
            <v>100.398</v>
          </cell>
          <cell r="K36">
            <v>115.473</v>
          </cell>
          <cell r="M36">
            <v>15.074999999999999</v>
          </cell>
          <cell r="N36">
            <v>100.398</v>
          </cell>
        </row>
        <row r="37">
          <cell r="A37" t="str">
            <v>6527 ШПИКАЧКИ СОЧНЫЕ ПМ сар б/о мгс 1*3 45с ОСТАНКИНО</v>
          </cell>
          <cell r="D37" t="str">
            <v>кг</v>
          </cell>
          <cell r="F37">
            <v>53.551000000000002</v>
          </cell>
          <cell r="J37">
            <v>53.551000000000002</v>
          </cell>
          <cell r="K37">
            <v>53.551000000000002</v>
          </cell>
          <cell r="N37">
            <v>53.551000000000002</v>
          </cell>
        </row>
        <row r="38">
          <cell r="A38" t="str">
            <v>6550 МЯСНЫЕ Папа может сар б/о мгс 1*3 О 45с  Останкино</v>
          </cell>
          <cell r="D38" t="str">
            <v>кг</v>
          </cell>
          <cell r="F38">
            <v>67.872</v>
          </cell>
          <cell r="J38">
            <v>67.872</v>
          </cell>
          <cell r="K38">
            <v>67.872</v>
          </cell>
          <cell r="N38">
            <v>67.872</v>
          </cell>
        </row>
        <row r="39">
          <cell r="A39" t="str">
            <v>6608 С ГОВЯДИНОЙ ОРИГИН. сар б/о мгс 1*3_45с  ОСТАНКИНО</v>
          </cell>
          <cell r="D39" t="str">
            <v>кг</v>
          </cell>
          <cell r="F39">
            <v>55.404000000000003</v>
          </cell>
          <cell r="I39">
            <v>2.1269999999999998</v>
          </cell>
          <cell r="J39">
            <v>53.277000000000001</v>
          </cell>
          <cell r="K39">
            <v>55.404000000000003</v>
          </cell>
          <cell r="M39">
            <v>2.1269999999999998</v>
          </cell>
          <cell r="N39">
            <v>53.277000000000001</v>
          </cell>
        </row>
        <row r="40">
          <cell r="A40" t="str">
            <v>6616 МОЛОЧНЫЕ КЛАССИЧЕСКИЕ сос п/о в/у 0,3 кг  Останкино</v>
          </cell>
          <cell r="D40" t="str">
            <v>шт</v>
          </cell>
          <cell r="F40">
            <v>289</v>
          </cell>
          <cell r="H40">
            <v>2</v>
          </cell>
          <cell r="I40">
            <v>11</v>
          </cell>
          <cell r="J40">
            <v>280</v>
          </cell>
          <cell r="K40">
            <v>86.7</v>
          </cell>
          <cell r="L40">
            <v>0.6</v>
          </cell>
          <cell r="M40">
            <v>3.3</v>
          </cell>
          <cell r="N40">
            <v>84</v>
          </cell>
        </row>
        <row r="41">
          <cell r="A41" t="str">
            <v>6620 РЕБРЫШКИ к/в в/у_30с  Останкино</v>
          </cell>
          <cell r="D41" t="str">
            <v>кг</v>
          </cell>
          <cell r="F41">
            <v>51.985999999999997</v>
          </cell>
          <cell r="J41">
            <v>51.985999999999997</v>
          </cell>
          <cell r="K41">
            <v>51.985999999999997</v>
          </cell>
          <cell r="N41">
            <v>51.985999999999997</v>
          </cell>
        </row>
        <row r="42">
          <cell r="A42" t="str">
            <v>6661 СОЧНЫЙ ГРИЛЬ ПМ сос п/о мгс 1,5*4_Маяк Останкино</v>
          </cell>
          <cell r="D42" t="str">
            <v>кг</v>
          </cell>
          <cell r="F42">
            <v>106.752</v>
          </cell>
          <cell r="J42">
            <v>106.752</v>
          </cell>
          <cell r="K42">
            <v>106.752</v>
          </cell>
          <cell r="N42">
            <v>106.752</v>
          </cell>
        </row>
        <row r="43">
          <cell r="A43" t="str">
            <v>6697 СЕРВЕЛАТ ФИНСКИЙ ПМ в/к в/у 0,35кг 8шт  ОСТАНКИНО</v>
          </cell>
          <cell r="D43" t="str">
            <v>шт</v>
          </cell>
          <cell r="F43">
            <v>263</v>
          </cell>
          <cell r="H43">
            <v>2</v>
          </cell>
          <cell r="I43">
            <v>6</v>
          </cell>
          <cell r="J43">
            <v>259</v>
          </cell>
          <cell r="K43">
            <v>92.05</v>
          </cell>
          <cell r="L43">
            <v>0.7</v>
          </cell>
          <cell r="M43">
            <v>2.1</v>
          </cell>
          <cell r="N43">
            <v>90.65</v>
          </cell>
        </row>
        <row r="44">
          <cell r="A44" t="str">
            <v>6713 СОЧНЫЙ ГРИЛЬ ПМ сос п/о мгс 0,41кг 8 шт.  ОСТАНКИНО</v>
          </cell>
          <cell r="D44" t="str">
            <v>шт</v>
          </cell>
          <cell r="H44">
            <v>5</v>
          </cell>
          <cell r="I44">
            <v>5</v>
          </cell>
          <cell r="L44">
            <v>2.0499999999999998</v>
          </cell>
          <cell r="M44">
            <v>2.0499999999999998</v>
          </cell>
        </row>
        <row r="45">
          <cell r="A45" t="str">
            <v>6724 МОЛОЧНЫЕ ПМ сос п/о мгс 0,41кг 10шт  Останкино</v>
          </cell>
          <cell r="D45" t="str">
            <v>шт</v>
          </cell>
          <cell r="F45">
            <v>138</v>
          </cell>
          <cell r="H45">
            <v>12</v>
          </cell>
          <cell r="I45">
            <v>11</v>
          </cell>
          <cell r="J45">
            <v>139</v>
          </cell>
          <cell r="K45">
            <v>56.58</v>
          </cell>
          <cell r="L45">
            <v>4.92</v>
          </cell>
          <cell r="M45">
            <v>4.51</v>
          </cell>
          <cell r="N45">
            <v>56.99</v>
          </cell>
        </row>
        <row r="46">
          <cell r="A46" t="str">
            <v>6765 РУБЛЕНЫЕ сос ц/о мгс 0,36кг 6шт  Останкино</v>
          </cell>
          <cell r="D46" t="str">
            <v>шт</v>
          </cell>
          <cell r="F46">
            <v>64</v>
          </cell>
          <cell r="J46">
            <v>64</v>
          </cell>
          <cell r="K46">
            <v>23.04</v>
          </cell>
          <cell r="N46">
            <v>23.04</v>
          </cell>
        </row>
        <row r="47">
          <cell r="A47" t="str">
            <v>6787 СЕРВЕЛАТ КРЕМЛЕВСКИЙ в/к в/у 0,33кг 8шт  Останкино</v>
          </cell>
          <cell r="D47" t="str">
            <v>шт</v>
          </cell>
          <cell r="F47">
            <v>32</v>
          </cell>
          <cell r="J47">
            <v>32</v>
          </cell>
          <cell r="K47">
            <v>10.56</v>
          </cell>
          <cell r="N47">
            <v>10.56</v>
          </cell>
        </row>
        <row r="48">
          <cell r="A48" t="str">
            <v>6797 С ИНДЕЙКОЙ Папа может вар п/о 0,4кг 8шт. ОСТАНКИНО</v>
          </cell>
          <cell r="D48" t="str">
            <v>шт</v>
          </cell>
          <cell r="F48">
            <v>63</v>
          </cell>
          <cell r="H48">
            <v>2</v>
          </cell>
          <cell r="I48">
            <v>3</v>
          </cell>
          <cell r="J48">
            <v>62</v>
          </cell>
          <cell r="K48">
            <v>25.2</v>
          </cell>
          <cell r="L48">
            <v>0.8</v>
          </cell>
          <cell r="M48">
            <v>1.2</v>
          </cell>
          <cell r="N48">
            <v>24.8</v>
          </cell>
        </row>
        <row r="49">
          <cell r="A49" t="str">
            <v>6807 СЕРВЕЛАТ ЕВРОПЕЙСКИЙ в/к в/у 0,33кг 8шт  Останкино</v>
          </cell>
          <cell r="D49" t="str">
            <v>шт</v>
          </cell>
          <cell r="F49">
            <v>16</v>
          </cell>
          <cell r="J49">
            <v>16</v>
          </cell>
          <cell r="K49">
            <v>5.28</v>
          </cell>
          <cell r="N49">
            <v>5.28</v>
          </cell>
        </row>
        <row r="50">
          <cell r="A50" t="str">
            <v>6829  МОЛОЧНЫЕ КЛАССИЧЕСКИЕ сос п/о мгс 2*4 С  Останккино</v>
          </cell>
          <cell r="D50" t="str">
            <v>кг</v>
          </cell>
          <cell r="F50">
            <v>104.532</v>
          </cell>
          <cell r="I50">
            <v>12.23</v>
          </cell>
          <cell r="J50">
            <v>92.302000000000007</v>
          </cell>
          <cell r="K50">
            <v>104.532</v>
          </cell>
          <cell r="M50">
            <v>12.23</v>
          </cell>
          <cell r="N50">
            <v>92.302000000000007</v>
          </cell>
        </row>
        <row r="51">
          <cell r="A51" t="str">
            <v>6837 ФИЛЕЙНЫЕ Папа Может сос ц/о мгс 0,4кг  Останкино</v>
          </cell>
          <cell r="D51" t="str">
            <v>шт</v>
          </cell>
          <cell r="F51">
            <v>201</v>
          </cell>
          <cell r="H51">
            <v>6</v>
          </cell>
          <cell r="I51">
            <v>5</v>
          </cell>
          <cell r="J51">
            <v>202</v>
          </cell>
          <cell r="K51">
            <v>80.400000000000006</v>
          </cell>
          <cell r="L51">
            <v>2.4</v>
          </cell>
          <cell r="M51">
            <v>2</v>
          </cell>
          <cell r="N51">
            <v>80.8</v>
          </cell>
        </row>
        <row r="52">
          <cell r="A52" t="str">
            <v>6866 ВЕТЧ.НЕЖНАЯ Коровино п/о_Маяк  Останкино</v>
          </cell>
          <cell r="D52" t="str">
            <v>кг</v>
          </cell>
          <cell r="F52">
            <v>37.57</v>
          </cell>
          <cell r="I52">
            <v>3.04</v>
          </cell>
          <cell r="J52">
            <v>34.53</v>
          </cell>
          <cell r="K52">
            <v>37.57</v>
          </cell>
          <cell r="M52">
            <v>3.04</v>
          </cell>
          <cell r="N52">
            <v>34.53</v>
          </cell>
        </row>
        <row r="53">
          <cell r="A53" t="str">
            <v>6929 КАРБОНАД ДОМАШНИЙ ПМ к/в кр/к в/у  ОСТАНКИНО</v>
          </cell>
          <cell r="D53" t="str">
            <v>кг</v>
          </cell>
          <cell r="F53">
            <v>102.51</v>
          </cell>
          <cell r="I53">
            <v>2.0539999999999998</v>
          </cell>
          <cell r="J53">
            <v>100.456</v>
          </cell>
          <cell r="K53">
            <v>102.51</v>
          </cell>
          <cell r="M53">
            <v>2.0539999999999998</v>
          </cell>
          <cell r="N53">
            <v>100.456</v>
          </cell>
        </row>
        <row r="54">
          <cell r="A54" t="str">
            <v>6937 САЛЯМИ Папа может с/к в/у 1/250 8шт  Останкино</v>
          </cell>
          <cell r="D54" t="str">
            <v>шт</v>
          </cell>
          <cell r="F54">
            <v>111</v>
          </cell>
          <cell r="J54">
            <v>111</v>
          </cell>
          <cell r="K54">
            <v>27.75</v>
          </cell>
          <cell r="N54">
            <v>27.75</v>
          </cell>
        </row>
        <row r="55">
          <cell r="A55" t="str">
            <v>6967 БУРГУНДИЯ Папа может с/к в/у 1/250 8шт  Останкино</v>
          </cell>
          <cell r="D55" t="str">
            <v>шт</v>
          </cell>
          <cell r="F55">
            <v>90</v>
          </cell>
          <cell r="H55">
            <v>1</v>
          </cell>
          <cell r="J55">
            <v>91</v>
          </cell>
          <cell r="K55">
            <v>22.5</v>
          </cell>
          <cell r="L55">
            <v>0.25</v>
          </cell>
          <cell r="N55">
            <v>22.75</v>
          </cell>
        </row>
        <row r="56">
          <cell r="A56" t="str">
            <v>7001 КЛАССИЧЕСКИЕ Папа может сар б/о мгс 1*3  Останкино</v>
          </cell>
          <cell r="D56" t="str">
            <v>кг</v>
          </cell>
          <cell r="F56">
            <v>38.610999999999997</v>
          </cell>
          <cell r="I56">
            <v>2.0910000000000002</v>
          </cell>
          <cell r="J56">
            <v>36.520000000000003</v>
          </cell>
          <cell r="K56">
            <v>38.610999999999997</v>
          </cell>
          <cell r="M56">
            <v>2.0910000000000002</v>
          </cell>
          <cell r="N56">
            <v>36.520000000000003</v>
          </cell>
        </row>
        <row r="57">
          <cell r="A57" t="str">
            <v>7040 С ИНДЕЙКОЙ ПМ сос ц/о в/у 1/270 8шт.  ОСТАНКИНО</v>
          </cell>
          <cell r="D57" t="str">
            <v>шт</v>
          </cell>
          <cell r="F57">
            <v>96</v>
          </cell>
          <cell r="J57">
            <v>96</v>
          </cell>
          <cell r="K57">
            <v>25.92</v>
          </cell>
          <cell r="N57">
            <v>25.92</v>
          </cell>
        </row>
        <row r="58">
          <cell r="A58" t="str">
            <v>7059 ШПИКАЧКИ СОЧНЫЕ С БЕК. п/о мгс 0,3кг 60с ОСТАНКИНО</v>
          </cell>
          <cell r="D58" t="str">
            <v>шт</v>
          </cell>
          <cell r="F58">
            <v>51</v>
          </cell>
          <cell r="I58">
            <v>4</v>
          </cell>
          <cell r="J58">
            <v>47</v>
          </cell>
          <cell r="K58">
            <v>15.3</v>
          </cell>
          <cell r="M58">
            <v>1.2</v>
          </cell>
          <cell r="N58">
            <v>14.1</v>
          </cell>
        </row>
        <row r="59">
          <cell r="A59" t="str">
            <v>7066 СОЧНЫЕ ПМ сос п/о мгс 0,41кг 10шт 50с  Останкино</v>
          </cell>
          <cell r="D59" t="str">
            <v>шт</v>
          </cell>
          <cell r="F59">
            <v>526</v>
          </cell>
          <cell r="H59">
            <v>7</v>
          </cell>
          <cell r="I59">
            <v>85</v>
          </cell>
          <cell r="J59">
            <v>448</v>
          </cell>
          <cell r="K59">
            <v>215.66</v>
          </cell>
          <cell r="L59">
            <v>2.87</v>
          </cell>
          <cell r="M59">
            <v>34.85</v>
          </cell>
          <cell r="N59">
            <v>183.68</v>
          </cell>
        </row>
        <row r="60">
          <cell r="A60" t="str">
            <v>7070 СОЧНЫЕ ПМ сос п/о 1,5*4_А_50с  Останкино</v>
          </cell>
          <cell r="D60" t="str">
            <v>кг</v>
          </cell>
          <cell r="F60">
            <v>69.477999999999994</v>
          </cell>
          <cell r="I60">
            <v>1.53</v>
          </cell>
          <cell r="J60">
            <v>67.947999999999993</v>
          </cell>
          <cell r="K60">
            <v>69.477999999999994</v>
          </cell>
          <cell r="M60">
            <v>1.53</v>
          </cell>
          <cell r="N60">
            <v>67.947999999999993</v>
          </cell>
        </row>
        <row r="61">
          <cell r="A61" t="str">
            <v>7073 МОЛОЧ.ПРЕМИУМ ПМ сос п/о в/у 1/350_50с  Останкино</v>
          </cell>
          <cell r="D61" t="str">
            <v>шт</v>
          </cell>
          <cell r="F61">
            <v>225</v>
          </cell>
          <cell r="H61">
            <v>1</v>
          </cell>
          <cell r="I61">
            <v>20</v>
          </cell>
          <cell r="J61">
            <v>206</v>
          </cell>
          <cell r="K61">
            <v>78.75</v>
          </cell>
          <cell r="L61">
            <v>0.35</v>
          </cell>
          <cell r="M61">
            <v>7</v>
          </cell>
          <cell r="N61">
            <v>72.099999999999994</v>
          </cell>
        </row>
        <row r="62">
          <cell r="A62" t="str">
            <v>7075 МОЛОЧ.ПРЕМИУМ ПМ сос п/о мгс 1,5*4_О_50с  Останкино</v>
          </cell>
          <cell r="D62" t="str">
            <v>кг</v>
          </cell>
          <cell r="F62">
            <v>6.2690000000000001</v>
          </cell>
          <cell r="J62">
            <v>6.2690000000000001</v>
          </cell>
          <cell r="K62">
            <v>6.2690000000000001</v>
          </cell>
          <cell r="N62">
            <v>6.2690000000000001</v>
          </cell>
        </row>
        <row r="63">
          <cell r="A63" t="str">
            <v>7080 СЛИВОЧНЫЕ ПМ сос п/о мгс 0,41кг 10шт 50с  Останкино</v>
          </cell>
          <cell r="D63" t="str">
            <v>шт</v>
          </cell>
          <cell r="F63">
            <v>593</v>
          </cell>
          <cell r="H63">
            <v>5</v>
          </cell>
          <cell r="I63">
            <v>24</v>
          </cell>
          <cell r="J63">
            <v>574</v>
          </cell>
          <cell r="K63">
            <v>243.13</v>
          </cell>
          <cell r="L63">
            <v>2.0499999999999998</v>
          </cell>
          <cell r="M63">
            <v>9.84</v>
          </cell>
          <cell r="N63">
            <v>235.34</v>
          </cell>
        </row>
        <row r="64">
          <cell r="A64" t="str">
            <v>7083 СЛИВОЧНЫЕ ПМ сос п/о мгс 1.5*4_А_50с  ОСТАНКИНО</v>
          </cell>
          <cell r="D64" t="str">
            <v>кг</v>
          </cell>
          <cell r="F64">
            <v>10.973000000000001</v>
          </cell>
          <cell r="J64">
            <v>10.973000000000001</v>
          </cell>
          <cell r="K64">
            <v>10.973000000000001</v>
          </cell>
          <cell r="N64">
            <v>10.973000000000001</v>
          </cell>
        </row>
        <row r="65">
          <cell r="A65" t="str">
            <v>7090 СВИНИНА ПО-ДОМ.к/в мл/к в/у 0,3кг_50с  Останкино</v>
          </cell>
          <cell r="D65" t="str">
            <v>шт</v>
          </cell>
          <cell r="F65">
            <v>200</v>
          </cell>
          <cell r="H65">
            <v>3</v>
          </cell>
          <cell r="J65">
            <v>203</v>
          </cell>
          <cell r="K65">
            <v>60</v>
          </cell>
          <cell r="L65">
            <v>0.9</v>
          </cell>
          <cell r="N65">
            <v>60.9</v>
          </cell>
        </row>
        <row r="66">
          <cell r="A66" t="str">
            <v>7092 БЕКОН Папа может с/к с/н в/у 1/140_50с  Останкино</v>
          </cell>
          <cell r="D66" t="str">
            <v>шт</v>
          </cell>
          <cell r="F66">
            <v>-2</v>
          </cell>
          <cell r="J66">
            <v>-2</v>
          </cell>
          <cell r="K66">
            <v>-0.28000000000000003</v>
          </cell>
          <cell r="N66">
            <v>-0.28000000000000003</v>
          </cell>
        </row>
        <row r="67">
          <cell r="A67" t="str">
            <v>7103 БЕКОН Останкино с/к с/н в/у 1/180_50с  Останкино</v>
          </cell>
          <cell r="D67" t="str">
            <v>шт</v>
          </cell>
          <cell r="F67">
            <v>73</v>
          </cell>
          <cell r="I67">
            <v>6</v>
          </cell>
          <cell r="J67">
            <v>67</v>
          </cell>
          <cell r="K67">
            <v>13.14</v>
          </cell>
          <cell r="M67">
            <v>1.08</v>
          </cell>
          <cell r="N67">
            <v>12.06</v>
          </cell>
        </row>
        <row r="68">
          <cell r="A68" t="str">
            <v>7143 БРАУНШВЕЙГСКАЯ ГОСТ с/к в/у 1/220 8шт.  ОСТАНКИНО</v>
          </cell>
          <cell r="D68" t="str">
            <v>шт</v>
          </cell>
          <cell r="F68">
            <v>5</v>
          </cell>
          <cell r="J68">
            <v>5</v>
          </cell>
          <cell r="K68">
            <v>1.1000000000000001</v>
          </cell>
          <cell r="N68">
            <v>1.1000000000000001</v>
          </cell>
        </row>
        <row r="69">
          <cell r="A69" t="str">
            <v>7154 СЕРВЕЛАТ ЗЕРНИСТЫЙ ПМ в/к в/у 0,35кг_50с  Останкино</v>
          </cell>
          <cell r="D69" t="str">
            <v>шт</v>
          </cell>
          <cell r="F69">
            <v>406</v>
          </cell>
          <cell r="H69">
            <v>7</v>
          </cell>
          <cell r="I69">
            <v>41</v>
          </cell>
          <cell r="J69">
            <v>372</v>
          </cell>
          <cell r="K69">
            <v>142.1</v>
          </cell>
          <cell r="L69">
            <v>2.4500000000000002</v>
          </cell>
          <cell r="M69">
            <v>14.35</v>
          </cell>
          <cell r="N69">
            <v>130.19999999999999</v>
          </cell>
        </row>
        <row r="70">
          <cell r="A70" t="str">
            <v>7157 СЕРВЕЛАТ ЗЕРНИСТЫЙ ПМ в/к в/у_50с  Останкино</v>
          </cell>
          <cell r="D70" t="str">
            <v>кг</v>
          </cell>
          <cell r="F70">
            <v>43.744999999999997</v>
          </cell>
          <cell r="I70">
            <v>1.4</v>
          </cell>
          <cell r="J70">
            <v>42.344999999999999</v>
          </cell>
          <cell r="K70">
            <v>43.744999999999997</v>
          </cell>
          <cell r="M70">
            <v>1.4</v>
          </cell>
          <cell r="N70">
            <v>42.344999999999999</v>
          </cell>
        </row>
        <row r="71">
          <cell r="A71" t="str">
            <v>7166 СЕРВЕЛАТ ОХОТНИЧИЙ ПМ в/к в/у_50с  Останкино</v>
          </cell>
          <cell r="D71" t="str">
            <v>кг</v>
          </cell>
          <cell r="F71">
            <v>95.527000000000001</v>
          </cell>
          <cell r="I71">
            <v>32.192</v>
          </cell>
          <cell r="J71">
            <v>63.335000000000001</v>
          </cell>
          <cell r="K71">
            <v>95.527000000000001</v>
          </cell>
          <cell r="M71">
            <v>32.192</v>
          </cell>
          <cell r="N71">
            <v>63.335000000000001</v>
          </cell>
        </row>
        <row r="72">
          <cell r="A72" t="str">
            <v>7169 СЕРВЕЛАТ ОХОТНИЧИЙ ПМ в/к в/у 0,35кг_50с  Останкино</v>
          </cell>
          <cell r="D72" t="str">
            <v>шт</v>
          </cell>
          <cell r="F72">
            <v>134</v>
          </cell>
          <cell r="J72">
            <v>134</v>
          </cell>
          <cell r="K72">
            <v>46.9</v>
          </cell>
          <cell r="N72">
            <v>46.9</v>
          </cell>
        </row>
        <row r="73">
          <cell r="A73" t="str">
            <v>7187 ГРУДИНКА ПРЕМИУМ к/в мл/к в/у 0,3кг_50с  Останкино</v>
          </cell>
          <cell r="D73" t="str">
            <v>шт</v>
          </cell>
          <cell r="F73">
            <v>199</v>
          </cell>
          <cell r="H73">
            <v>1</v>
          </cell>
          <cell r="I73">
            <v>18</v>
          </cell>
          <cell r="J73">
            <v>182</v>
          </cell>
          <cell r="K73">
            <v>59.7</v>
          </cell>
          <cell r="L73">
            <v>0.3</v>
          </cell>
          <cell r="M73">
            <v>5.4</v>
          </cell>
          <cell r="N73">
            <v>54.6</v>
          </cell>
        </row>
        <row r="74">
          <cell r="A74" t="str">
            <v>7231 КЛАССИЧЕСКАЯ ПМ вар п/о 0,3кг 8 шт_209к  Останкино</v>
          </cell>
          <cell r="D74" t="str">
            <v>шт</v>
          </cell>
          <cell r="F74">
            <v>68</v>
          </cell>
          <cell r="I74">
            <v>2</v>
          </cell>
          <cell r="J74">
            <v>66</v>
          </cell>
          <cell r="K74">
            <v>20.399999999999999</v>
          </cell>
          <cell r="M74">
            <v>0.6</v>
          </cell>
          <cell r="N74">
            <v>19.8</v>
          </cell>
        </row>
        <row r="75">
          <cell r="A75" t="str">
            <v>7232 БОЯNСКАЯ ПМ п/к в/у 0,28кг 8шт_209к  Останкино</v>
          </cell>
          <cell r="D75" t="str">
            <v>шт</v>
          </cell>
          <cell r="F75">
            <v>213</v>
          </cell>
          <cell r="H75">
            <v>5</v>
          </cell>
          <cell r="I75">
            <v>25</v>
          </cell>
          <cell r="J75">
            <v>193</v>
          </cell>
          <cell r="K75">
            <v>59.64</v>
          </cell>
          <cell r="L75">
            <v>1.4</v>
          </cell>
          <cell r="M75">
            <v>7</v>
          </cell>
          <cell r="N75">
            <v>54.04</v>
          </cell>
        </row>
        <row r="76">
          <cell r="A76" t="str">
            <v>7236 СЕРВЕЛАТ КАРЕЛЬСКИЙ в/к в/у 0,28кг_209к  Останкино</v>
          </cell>
          <cell r="D76" t="str">
            <v>шт</v>
          </cell>
          <cell r="F76">
            <v>167</v>
          </cell>
          <cell r="I76">
            <v>1</v>
          </cell>
          <cell r="J76">
            <v>166</v>
          </cell>
          <cell r="K76">
            <v>46.76</v>
          </cell>
          <cell r="M76">
            <v>0.28000000000000003</v>
          </cell>
          <cell r="N76">
            <v>46.48</v>
          </cell>
        </row>
        <row r="77">
          <cell r="A77" t="str">
            <v>7241 САЛЯМИ Папа может п/к в/у 0,28кг ОСТАНКИНО</v>
          </cell>
          <cell r="D77" t="str">
            <v>шт</v>
          </cell>
          <cell r="F77">
            <v>314</v>
          </cell>
          <cell r="H77">
            <v>3</v>
          </cell>
          <cell r="I77">
            <v>22</v>
          </cell>
          <cell r="J77">
            <v>295</v>
          </cell>
          <cell r="K77">
            <v>87.92</v>
          </cell>
          <cell r="L77">
            <v>0.84</v>
          </cell>
          <cell r="M77">
            <v>6.16</v>
          </cell>
          <cell r="N77">
            <v>82.6</v>
          </cell>
        </row>
        <row r="78">
          <cell r="A78" t="str">
            <v>7255 МЯСНЫЕ С ГОВЯД.ПМ сос п/о мгс 0.4кг 6шт.  ОСТАНКИНО</v>
          </cell>
          <cell r="D78" t="str">
            <v>шт</v>
          </cell>
          <cell r="F78">
            <v>333</v>
          </cell>
          <cell r="H78">
            <v>14</v>
          </cell>
          <cell r="I78">
            <v>40</v>
          </cell>
          <cell r="J78">
            <v>307</v>
          </cell>
          <cell r="K78">
            <v>133.19999999999999</v>
          </cell>
          <cell r="L78">
            <v>5.6</v>
          </cell>
          <cell r="M78">
            <v>16</v>
          </cell>
          <cell r="N78">
            <v>122.8</v>
          </cell>
        </row>
        <row r="79">
          <cell r="A79" t="str">
            <v>7299 НАБОР ДЛЯ ПИЦЦЫ Папа Может с/к в/у  ОСТАНКИНО</v>
          </cell>
          <cell r="D79" t="str">
            <v>кг</v>
          </cell>
          <cell r="F79">
            <v>82.582999999999998</v>
          </cell>
          <cell r="H79">
            <v>0.73499999999999999</v>
          </cell>
          <cell r="J79">
            <v>83.317999999999998</v>
          </cell>
          <cell r="K79">
            <v>82.582999999999998</v>
          </cell>
          <cell r="L79">
            <v>0.73499999999999999</v>
          </cell>
          <cell r="N79">
            <v>83.317999999999998</v>
          </cell>
        </row>
        <row r="80">
          <cell r="A80" t="str">
            <v>7332 БОЯРСКАЯ ПМ п/к в/у 0,28кг ОСТАНКИНО</v>
          </cell>
          <cell r="D80" t="str">
            <v>шт</v>
          </cell>
          <cell r="F80">
            <v>-1</v>
          </cell>
          <cell r="J80">
            <v>-1</v>
          </cell>
          <cell r="K80">
            <v>-0.28000000000000003</v>
          </cell>
          <cell r="N80">
            <v>-0.28000000000000003</v>
          </cell>
        </row>
        <row r="81">
          <cell r="A81" t="str">
            <v>7344 КОНСЕРВЫ МЯС.ГОВЯДИНА ТУШ. В/С 338г_ЧЗ  ОСТАНКИНО</v>
          </cell>
          <cell r="D81" t="str">
            <v>шт</v>
          </cell>
          <cell r="F81">
            <v>192</v>
          </cell>
          <cell r="J81">
            <v>192</v>
          </cell>
          <cell r="K81">
            <v>64.896000000000001</v>
          </cell>
          <cell r="N81">
            <v>64.896000000000001</v>
          </cell>
        </row>
        <row r="82">
          <cell r="A82" t="str">
            <v>7345 КОНСЕРВЫ МЯС.СВИНИНА ТУШ. В/С 325г_ЧЗ  ОСТАНКИНО</v>
          </cell>
          <cell r="D82" t="str">
            <v>шт</v>
          </cell>
          <cell r="F82">
            <v>151</v>
          </cell>
          <cell r="I82">
            <v>2</v>
          </cell>
          <cell r="J82">
            <v>149</v>
          </cell>
          <cell r="K82">
            <v>49.075000000000003</v>
          </cell>
          <cell r="M82">
            <v>0.65</v>
          </cell>
          <cell r="N82">
            <v>48.424999999999997</v>
          </cell>
        </row>
        <row r="83">
          <cell r="A83" t="str">
            <v>7382  САЛЯМИ МЕЛКОЗЕРНЕНАЯ с/к в/у1/120 8шт.  ОСТАНКИНО</v>
          </cell>
          <cell r="D83" t="str">
            <v>шт</v>
          </cell>
          <cell r="F83">
            <v>127</v>
          </cell>
          <cell r="H83">
            <v>1</v>
          </cell>
          <cell r="I83">
            <v>29</v>
          </cell>
          <cell r="J83">
            <v>99</v>
          </cell>
          <cell r="K83">
            <v>15.24</v>
          </cell>
          <cell r="L83">
            <v>0.12</v>
          </cell>
          <cell r="M83">
            <v>3.48</v>
          </cell>
          <cell r="N83">
            <v>11.88</v>
          </cell>
        </row>
        <row r="84">
          <cell r="A84" t="str">
            <v>7386 БАРСЕЛОНА ПМ с/к в/у 1/150  ОСТАНКИНО</v>
          </cell>
          <cell r="D84" t="str">
            <v>шт</v>
          </cell>
          <cell r="F84">
            <v>17</v>
          </cell>
          <cell r="J84">
            <v>17</v>
          </cell>
          <cell r="K84">
            <v>2.5499999999999998</v>
          </cell>
          <cell r="N84">
            <v>2.5499999999999998</v>
          </cell>
        </row>
        <row r="85">
          <cell r="A85" t="str">
            <v>7456 САЛЯМИ ФИНСКАЯ Папа может с/к в/у 1/150  ОСТАНКИНО</v>
          </cell>
          <cell r="D85" t="str">
            <v>шт</v>
          </cell>
          <cell r="F85">
            <v>43</v>
          </cell>
          <cell r="I85">
            <v>11</v>
          </cell>
          <cell r="J85">
            <v>32</v>
          </cell>
          <cell r="K85">
            <v>6.45</v>
          </cell>
          <cell r="M85">
            <v>1.65</v>
          </cell>
          <cell r="N85">
            <v>4.8</v>
          </cell>
        </row>
        <row r="86">
          <cell r="A86" t="str">
            <v>7461 ДЛЯ ДЕТЕЙ Папа Может сос п/о мгс 0,33кг ОСТАНКИНО</v>
          </cell>
          <cell r="D86" t="str">
            <v>шт</v>
          </cell>
          <cell r="F86">
            <v>50</v>
          </cell>
          <cell r="I86">
            <v>7</v>
          </cell>
          <cell r="J86">
            <v>43</v>
          </cell>
          <cell r="K86">
            <v>16.5</v>
          </cell>
          <cell r="M86">
            <v>2.31</v>
          </cell>
          <cell r="N86">
            <v>14.19</v>
          </cell>
        </row>
        <row r="87">
          <cell r="A87" t="str">
            <v>7485 РИЕТ МЯСНОЙ С ГРИБАМИ ПМ п/о 1/150  ОСТАНКИНО</v>
          </cell>
          <cell r="D87" t="str">
            <v>шт</v>
          </cell>
          <cell r="H87">
            <v>1</v>
          </cell>
          <cell r="I87">
            <v>1</v>
          </cell>
          <cell r="L87">
            <v>0.15</v>
          </cell>
          <cell r="M87">
            <v>0.15</v>
          </cell>
        </row>
        <row r="88">
          <cell r="A88" t="str">
            <v>7490 СОЧНЫЙ ГРИЛЬ сос ц/о мгс 0.41кг_Даблпак  ОСТАНКИНО</v>
          </cell>
          <cell r="D88" t="str">
            <v>шт</v>
          </cell>
          <cell r="F88">
            <v>136</v>
          </cell>
          <cell r="I88">
            <v>20</v>
          </cell>
          <cell r="J88">
            <v>116</v>
          </cell>
          <cell r="K88">
            <v>55.76</v>
          </cell>
          <cell r="M88">
            <v>8.1999999999999993</v>
          </cell>
          <cell r="N88">
            <v>47.56</v>
          </cell>
        </row>
        <row r="89">
          <cell r="A89" t="str">
            <v>7512 ЧАЙНАЯ Останкино вар н/о 1*3</v>
          </cell>
          <cell r="D89" t="str">
            <v>кг</v>
          </cell>
          <cell r="F89">
            <v>51.762999999999998</v>
          </cell>
          <cell r="J89">
            <v>51.762999999999998</v>
          </cell>
          <cell r="K89">
            <v>51.762999999999998</v>
          </cell>
          <cell r="N89">
            <v>51.762999999999998</v>
          </cell>
        </row>
        <row r="90">
          <cell r="A90" t="str">
            <v>7513 ВОСКРЕСЕНСКАЯ ВЯЛЕНАЯ в/к в/у срез 1/260  ОСТАНКИНО</v>
          </cell>
          <cell r="D90" t="str">
            <v>шт</v>
          </cell>
          <cell r="F90">
            <v>244</v>
          </cell>
          <cell r="H90">
            <v>2</v>
          </cell>
          <cell r="I90">
            <v>12</v>
          </cell>
          <cell r="J90">
            <v>234</v>
          </cell>
          <cell r="K90">
            <v>63.44</v>
          </cell>
          <cell r="L90">
            <v>0.52</v>
          </cell>
          <cell r="M90">
            <v>3.12</v>
          </cell>
          <cell r="N90">
            <v>60.84</v>
          </cell>
        </row>
        <row r="91">
          <cell r="A91" t="str">
            <v>7514 ЛЮБИТЕЛЬСКАЯ ОСТАНКИНСКАЯ вар п/о в/у  ОСТАНКИНО</v>
          </cell>
          <cell r="D91" t="str">
            <v>кг</v>
          </cell>
          <cell r="F91">
            <v>-3.5999999999999997E-2</v>
          </cell>
          <cell r="J91">
            <v>-3.5999999999999997E-2</v>
          </cell>
          <cell r="K91">
            <v>-3.5999999999999997E-2</v>
          </cell>
          <cell r="N91">
            <v>-3.5999999999999997E-2</v>
          </cell>
        </row>
        <row r="92">
          <cell r="A92" t="str">
            <v>7516 НОВОМОСКОВСКАЯ в/к в/у срез 0.31кг  ОСТАНКИНО</v>
          </cell>
          <cell r="D92" t="str">
            <v>шт</v>
          </cell>
          <cell r="F92">
            <v>158</v>
          </cell>
          <cell r="H92">
            <v>2</v>
          </cell>
          <cell r="I92">
            <v>7</v>
          </cell>
          <cell r="J92">
            <v>153</v>
          </cell>
          <cell r="K92">
            <v>48.98</v>
          </cell>
          <cell r="L92">
            <v>0.62</v>
          </cell>
          <cell r="M92">
            <v>2.17</v>
          </cell>
          <cell r="N92">
            <v>47.43</v>
          </cell>
        </row>
        <row r="93">
          <cell r="A93" t="str">
            <v>7518 ТЕЛЯЧЬЯ ГОСТ Останкино вар п/о в/у  ОСТАНКИНО</v>
          </cell>
          <cell r="D93" t="str">
            <v>кг</v>
          </cell>
          <cell r="F93">
            <v>10.262</v>
          </cell>
          <cell r="I93">
            <v>10.167999999999999</v>
          </cell>
          <cell r="J93">
            <v>9.4E-2</v>
          </cell>
          <cell r="K93">
            <v>10.262</v>
          </cell>
          <cell r="M93">
            <v>10.167999999999999</v>
          </cell>
          <cell r="N93">
            <v>9.4E-2</v>
          </cell>
        </row>
        <row r="94">
          <cell r="A94" t="str">
            <v>7523 ГОВЯЖЬЯ Папа Может вар п/о 0,4кг 6шт. ОСТАНКИНО</v>
          </cell>
          <cell r="D94" t="str">
            <v>шт</v>
          </cell>
          <cell r="F94">
            <v>144</v>
          </cell>
          <cell r="H94">
            <v>2</v>
          </cell>
          <cell r="I94">
            <v>15</v>
          </cell>
          <cell r="J94">
            <v>131</v>
          </cell>
          <cell r="K94">
            <v>57.6</v>
          </cell>
          <cell r="L94">
            <v>0.8</v>
          </cell>
          <cell r="M94">
            <v>6</v>
          </cell>
          <cell r="N94">
            <v>52.4</v>
          </cell>
        </row>
        <row r="95">
          <cell r="A95" t="str">
            <v>7539 ДОКТОРСКАЯ ГОСТ вар п/о 0,35кг ОСТАНКИНО</v>
          </cell>
          <cell r="D95" t="str">
            <v>шт</v>
          </cell>
          <cell r="F95">
            <v>1</v>
          </cell>
          <cell r="J95">
            <v>1</v>
          </cell>
          <cell r="K95">
            <v>0.35</v>
          </cell>
          <cell r="N95">
            <v>0.35</v>
          </cell>
        </row>
        <row r="96">
          <cell r="A96" t="str">
            <v>7562 КРАКОВСКАЯ ГОСТ Останкино п/к н/о мгс  ОСТАНКИНО</v>
          </cell>
          <cell r="D96" t="str">
            <v>кг</v>
          </cell>
          <cell r="F96">
            <v>83.98</v>
          </cell>
          <cell r="J96">
            <v>83.98</v>
          </cell>
          <cell r="K96">
            <v>83.98</v>
          </cell>
          <cell r="N96">
            <v>83.98</v>
          </cell>
        </row>
        <row r="97">
          <cell r="A97" t="str">
            <v>7564 Балыковая в/к в/у Останкино Вес  ОСТАНКИНО</v>
          </cell>
          <cell r="D97" t="str">
            <v>кг</v>
          </cell>
          <cell r="F97">
            <v>6.7000000000000004E-2</v>
          </cell>
          <cell r="J97">
            <v>6.7000000000000004E-2</v>
          </cell>
          <cell r="K97">
            <v>6.7000000000000004E-2</v>
          </cell>
          <cell r="N97">
            <v>6.7000000000000004E-2</v>
          </cell>
        </row>
        <row r="98">
          <cell r="A98" t="str">
            <v>7603 БАЛЫКОВАЯ в/к в/у 0.33кг 8шт. ОСТАНКИНО</v>
          </cell>
          <cell r="D98" t="str">
            <v>шт</v>
          </cell>
          <cell r="F98">
            <v>147</v>
          </cell>
          <cell r="I98">
            <v>7</v>
          </cell>
          <cell r="J98">
            <v>140</v>
          </cell>
          <cell r="K98">
            <v>48.51</v>
          </cell>
          <cell r="M98">
            <v>2.31</v>
          </cell>
          <cell r="N98">
            <v>46.2</v>
          </cell>
        </row>
        <row r="99">
          <cell r="A99" t="str">
            <v>7612 БАЛЫК с/к с/н в/у 1/100 10шт_  ОСТАНКИНО</v>
          </cell>
          <cell r="D99" t="str">
            <v>шт</v>
          </cell>
          <cell r="F99">
            <v>90</v>
          </cell>
          <cell r="J99">
            <v>90</v>
          </cell>
          <cell r="K99">
            <v>9</v>
          </cell>
          <cell r="N99">
            <v>9</v>
          </cell>
        </row>
        <row r="100">
          <cell r="A100" t="str">
            <v>7613 АРОМАТНАЯ с/к с/н в/у 1/100 10шт_Л10  ОСТАНКИНО</v>
          </cell>
          <cell r="D100" t="str">
            <v>шт</v>
          </cell>
          <cell r="F100">
            <v>313</v>
          </cell>
          <cell r="I100">
            <v>27</v>
          </cell>
          <cell r="J100">
            <v>286</v>
          </cell>
          <cell r="K100">
            <v>31.3</v>
          </cell>
          <cell r="M100">
            <v>2.7</v>
          </cell>
          <cell r="N100">
            <v>28.6</v>
          </cell>
        </row>
        <row r="101">
          <cell r="A101" t="str">
            <v>7616 ЭКСТРА Папа может с/к с/н в/у 1/100_  ОСТАНКИНО</v>
          </cell>
          <cell r="D101" t="str">
            <v>шт</v>
          </cell>
          <cell r="F101">
            <v>498</v>
          </cell>
          <cell r="I101">
            <v>18</v>
          </cell>
          <cell r="J101">
            <v>480</v>
          </cell>
          <cell r="K101">
            <v>49.8</v>
          </cell>
          <cell r="M101">
            <v>1.8</v>
          </cell>
          <cell r="N101">
            <v>48</v>
          </cell>
        </row>
        <row r="102">
          <cell r="A102" t="str">
            <v>7632 ЭКСТРА Папа может вар п/о 0.4кг 8шт_195к  ОСТАНКИНО</v>
          </cell>
          <cell r="D102" t="str">
            <v>шт</v>
          </cell>
          <cell r="F102">
            <v>378</v>
          </cell>
          <cell r="H102">
            <v>3</v>
          </cell>
          <cell r="I102">
            <v>17</v>
          </cell>
          <cell r="J102">
            <v>364</v>
          </cell>
          <cell r="K102">
            <v>151.19999999999999</v>
          </cell>
          <cell r="L102">
            <v>1.2</v>
          </cell>
          <cell r="M102">
            <v>6.8</v>
          </cell>
          <cell r="N102">
            <v>145.6</v>
          </cell>
        </row>
        <row r="103">
          <cell r="A103" t="str">
            <v>7700 ЛИТОВСКАЯ с/к в/у</v>
          </cell>
          <cell r="D103" t="str">
            <v>кг</v>
          </cell>
          <cell r="F103">
            <v>13.597</v>
          </cell>
          <cell r="J103">
            <v>13.597</v>
          </cell>
          <cell r="K103">
            <v>13.597</v>
          </cell>
          <cell r="N103">
            <v>13.597</v>
          </cell>
        </row>
        <row r="104">
          <cell r="A104" t="str">
            <v>7710 КРАКОВСКАЯ ГОСТ п/к н/о мгс 0.3кг  ОСТАНКИНО</v>
          </cell>
          <cell r="D104" t="str">
            <v>шт</v>
          </cell>
          <cell r="F104">
            <v>79</v>
          </cell>
          <cell r="H104">
            <v>1</v>
          </cell>
          <cell r="I104">
            <v>15</v>
          </cell>
          <cell r="J104">
            <v>65</v>
          </cell>
          <cell r="K104">
            <v>23.7</v>
          </cell>
          <cell r="L104">
            <v>0.3</v>
          </cell>
          <cell r="M104">
            <v>4.5</v>
          </cell>
          <cell r="N104">
            <v>19.5</v>
          </cell>
        </row>
        <row r="105">
          <cell r="A105" t="str">
            <v>7725 ВЕТ.МРАМОРНАЯ в/у срез 0.3кг 6шт_62  ОСТАНКИНО</v>
          </cell>
          <cell r="D105" t="str">
            <v>шт</v>
          </cell>
          <cell r="F105">
            <v>66</v>
          </cell>
          <cell r="H105">
            <v>1</v>
          </cell>
          <cell r="I105">
            <v>10</v>
          </cell>
          <cell r="J105">
            <v>57</v>
          </cell>
          <cell r="K105">
            <v>19.8</v>
          </cell>
          <cell r="L105">
            <v>0.3</v>
          </cell>
          <cell r="M105">
            <v>3</v>
          </cell>
          <cell r="N105">
            <v>17.100000000000001</v>
          </cell>
        </row>
        <row r="106">
          <cell r="A106" t="str">
            <v>7730 ХОЧУ ВЕТЧ.ИЗ СВ.ОТРУБА мгс 1/100_45с_Л11  ОСТАНКИНО</v>
          </cell>
          <cell r="D106" t="str">
            <v>шт</v>
          </cell>
          <cell r="F106">
            <v>21</v>
          </cell>
          <cell r="I106">
            <v>3</v>
          </cell>
          <cell r="J106">
            <v>18</v>
          </cell>
          <cell r="K106">
            <v>2.1</v>
          </cell>
          <cell r="M106">
            <v>0.3</v>
          </cell>
          <cell r="N106">
            <v>1.8</v>
          </cell>
        </row>
        <row r="107">
          <cell r="A107" t="str">
            <v>7731 ХОЧУ ВЕТЧ. МРАМОР. с/н мгс 1/100_45с_Л11  ОСТАНКИНО</v>
          </cell>
          <cell r="D107" t="str">
            <v>шт</v>
          </cell>
          <cell r="F107">
            <v>-4</v>
          </cell>
          <cell r="I107">
            <v>1</v>
          </cell>
          <cell r="J107">
            <v>-5</v>
          </cell>
          <cell r="K107">
            <v>-0.4</v>
          </cell>
          <cell r="M107">
            <v>0.1</v>
          </cell>
          <cell r="N107">
            <v>-0.5</v>
          </cell>
        </row>
        <row r="108">
          <cell r="A108" t="str">
            <v>Итого</v>
          </cell>
          <cell r="K108">
            <v>5944.933</v>
          </cell>
          <cell r="L108">
            <v>37.475000000000001</v>
          </cell>
          <cell r="M108">
            <v>478.93799999999999</v>
          </cell>
          <cell r="N108">
            <v>5503.47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N92"/>
  <sheetViews>
    <sheetView topLeftCell="A53" zoomScale="85" zoomScaleNormal="85" workbookViewId="0">
      <pane xSplit="3" topLeftCell="D1" activePane="topRight" state="frozen"/>
      <selection activeCell="I28" sqref="I28"/>
      <selection pane="topRight" activeCell="A54" sqref="A54:XFD92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9" t="s">
        <v>51</v>
      </c>
      <c r="B1" s="269"/>
      <c r="C1" s="269"/>
      <c r="D1" s="1"/>
      <c r="E1" s="269" t="s">
        <v>24</v>
      </c>
      <c r="F1" s="269"/>
      <c r="G1" s="269"/>
      <c r="H1" s="269"/>
      <c r="I1" s="123"/>
      <c r="J1" s="270">
        <v>4</v>
      </c>
      <c r="K1" s="270"/>
    </row>
    <row r="2" spans="1:12" ht="28.5">
      <c r="A2" s="271">
        <v>46312</v>
      </c>
      <c r="B2" s="272"/>
      <c r="C2" s="272"/>
      <c r="D2" s="3"/>
      <c r="E2" s="3"/>
      <c r="F2" s="273"/>
      <c r="G2" s="273"/>
      <c r="H2" s="273"/>
      <c r="I2" s="124"/>
      <c r="J2" s="273"/>
      <c r="K2" s="273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62" t="s">
        <v>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5" t="s">
        <v>1</v>
      </c>
      <c r="B6" s="266" t="s">
        <v>2</v>
      </c>
      <c r="C6" s="266" t="s">
        <v>3</v>
      </c>
      <c r="D6" s="266" t="s">
        <v>4</v>
      </c>
      <c r="E6" s="122" t="s">
        <v>5</v>
      </c>
      <c r="F6" s="266" t="s">
        <v>6</v>
      </c>
      <c r="G6" s="267" t="s">
        <v>7</v>
      </c>
      <c r="H6" s="268" t="s">
        <v>8</v>
      </c>
      <c r="I6" s="266" t="s">
        <v>9</v>
      </c>
      <c r="J6" s="274" t="s">
        <v>30</v>
      </c>
      <c r="K6" s="275" t="s">
        <v>10</v>
      </c>
      <c r="L6" s="276"/>
    </row>
    <row r="7" spans="1:12" s="8" customFormat="1" ht="63.6" customHeight="1">
      <c r="A7" s="265"/>
      <c r="B7" s="266"/>
      <c r="C7" s="266"/>
      <c r="D7" s="266"/>
      <c r="E7" s="122" t="s">
        <v>11</v>
      </c>
      <c r="F7" s="266"/>
      <c r="G7" s="267"/>
      <c r="H7" s="268"/>
      <c r="I7" s="266"/>
      <c r="J7" s="238"/>
      <c r="K7" s="122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0.35416666666666669</v>
      </c>
      <c r="G8" s="22">
        <v>29</v>
      </c>
      <c r="H8" s="26">
        <v>395.53399999999999</v>
      </c>
      <c r="I8" s="23">
        <v>0.58333333333333337</v>
      </c>
      <c r="J8" s="21">
        <f>I8-F8</f>
        <v>0.22916666666666669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0.35416666666666669</v>
      </c>
      <c r="G9" s="22">
        <v>29</v>
      </c>
      <c r="H9" s="26">
        <v>799.51800000000003</v>
      </c>
      <c r="I9" s="23">
        <v>0.59722222222222221</v>
      </c>
      <c r="J9" s="21">
        <f t="shared" ref="J9:J12" si="0">I9-F9</f>
        <v>0.24305555555555552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0.375</v>
      </c>
      <c r="G10" s="22">
        <v>27</v>
      </c>
      <c r="H10" s="26">
        <v>450.22899999999998</v>
      </c>
      <c r="I10" s="23">
        <v>0.57291666666666663</v>
      </c>
      <c r="J10" s="21">
        <f t="shared" si="0"/>
        <v>0.19791666666666663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0.35069444444444442</v>
      </c>
      <c r="G11" s="22">
        <v>24</v>
      </c>
      <c r="H11" s="26">
        <v>596.54</v>
      </c>
      <c r="I11" s="23">
        <v>0.5625</v>
      </c>
      <c r="J11" s="21">
        <f t="shared" si="0"/>
        <v>0.21180555555555558</v>
      </c>
      <c r="K11" s="26"/>
      <c r="L11" s="67"/>
    </row>
    <row r="12" spans="1:12">
      <c r="A12" s="62">
        <v>5</v>
      </c>
      <c r="B12" s="84"/>
      <c r="C12" s="76"/>
      <c r="D12" s="107"/>
      <c r="E12" s="77" t="s">
        <v>42</v>
      </c>
      <c r="F12" s="23"/>
      <c r="G12" s="22"/>
      <c r="H12" s="26"/>
      <c r="I12" s="23"/>
      <c r="J12" s="21">
        <f t="shared" si="0"/>
        <v>0</v>
      </c>
      <c r="K12" s="26"/>
      <c r="L12" s="67"/>
    </row>
    <row r="13" spans="1:12">
      <c r="A13" s="62">
        <v>6</v>
      </c>
      <c r="B13" s="55"/>
      <c r="C13" s="76"/>
      <c r="D13" s="119"/>
      <c r="E13" s="78" t="s">
        <v>41</v>
      </c>
      <c r="F13" s="23"/>
      <c r="G13" s="22"/>
      <c r="H13" s="26"/>
      <c r="I13" s="23"/>
      <c r="J13" s="21"/>
      <c r="K13" s="26"/>
      <c r="L13" s="67"/>
    </row>
    <row r="14" spans="1:12">
      <c r="A14" s="62">
        <v>7</v>
      </c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>
        <v>8</v>
      </c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>
        <v>9</v>
      </c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>
        <v>10</v>
      </c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>
        <v>11</v>
      </c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>
        <v>12</v>
      </c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>
        <v>13</v>
      </c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8" t="s">
        <v>15</v>
      </c>
      <c r="B21" s="259"/>
      <c r="C21" s="259"/>
      <c r="D21" s="259"/>
      <c r="E21" s="259"/>
      <c r="F21" s="260"/>
      <c r="G21" s="70">
        <f>SUM(G8:G20)</f>
        <v>109</v>
      </c>
      <c r="H21" s="70">
        <f>SUM(H8:H20)</f>
        <v>2241.8209999999999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255" t="s">
        <v>26</v>
      </c>
      <c r="B24" s="256"/>
      <c r="C24" s="256"/>
      <c r="D24" s="256"/>
      <c r="E24" s="256"/>
      <c r="F24" s="256"/>
      <c r="G24" s="256"/>
      <c r="H24" s="256"/>
      <c r="I24" s="257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22" t="s">
        <v>2</v>
      </c>
      <c r="C26" s="122" t="s">
        <v>3</v>
      </c>
      <c r="D26" s="122" t="s">
        <v>27</v>
      </c>
      <c r="E26" s="122" t="s">
        <v>6</v>
      </c>
      <c r="F26" s="122" t="s">
        <v>28</v>
      </c>
      <c r="G26" s="122" t="s">
        <v>8</v>
      </c>
      <c r="H26" s="122" t="s">
        <v>31</v>
      </c>
      <c r="I26" s="31" t="s">
        <v>30</v>
      </c>
      <c r="J26" s="8"/>
      <c r="K26" s="8"/>
      <c r="L26" s="8"/>
      <c r="N26" s="43"/>
    </row>
    <row r="27" spans="1:14">
      <c r="A27" s="57">
        <v>14</v>
      </c>
      <c r="B27" s="56"/>
      <c r="C27" s="55"/>
      <c r="D27" s="39"/>
      <c r="E27" s="38"/>
      <c r="F27" s="22"/>
      <c r="G27" s="26"/>
      <c r="H27" s="35">
        <v>0.55208333333333337</v>
      </c>
      <c r="I27" s="36">
        <f>H27-E27</f>
        <v>0.55208333333333337</v>
      </c>
      <c r="J27" s="8"/>
      <c r="K27" s="8"/>
      <c r="L27" s="8"/>
    </row>
    <row r="28" spans="1:14">
      <c r="A28" s="55">
        <v>15</v>
      </c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>
        <v>16</v>
      </c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8" t="s">
        <v>15</v>
      </c>
      <c r="B31" s="259"/>
      <c r="C31" s="260"/>
      <c r="D31" s="10"/>
      <c r="E31" s="32"/>
      <c r="F31" s="32">
        <f>SUM(F30:F30)</f>
        <v>0</v>
      </c>
      <c r="G31" s="32">
        <f>SUM(G30:G30)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5" t="s">
        <v>12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51">
        <v>12</v>
      </c>
      <c r="M34" s="252"/>
    </row>
    <row r="35" spans="1:13" ht="75">
      <c r="A35" s="253" t="s">
        <v>1</v>
      </c>
      <c r="B35" s="237" t="s">
        <v>2</v>
      </c>
      <c r="C35" s="237" t="s">
        <v>3</v>
      </c>
      <c r="D35" s="237" t="s">
        <v>4</v>
      </c>
      <c r="E35" s="97" t="s">
        <v>5</v>
      </c>
      <c r="F35" s="237" t="s">
        <v>14</v>
      </c>
      <c r="G35" s="237" t="s">
        <v>13</v>
      </c>
      <c r="H35" s="237" t="s">
        <v>37</v>
      </c>
      <c r="I35" s="237" t="s">
        <v>39</v>
      </c>
      <c r="J35" s="237" t="s">
        <v>38</v>
      </c>
      <c r="K35" s="237" t="s">
        <v>40</v>
      </c>
      <c r="L35" s="239" t="s">
        <v>36</v>
      </c>
      <c r="M35" s="240"/>
    </row>
    <row r="36" spans="1:13" ht="75">
      <c r="A36" s="254"/>
      <c r="B36" s="238"/>
      <c r="C36" s="238"/>
      <c r="D36" s="238"/>
      <c r="E36" s="121" t="s">
        <v>11</v>
      </c>
      <c r="F36" s="238"/>
      <c r="G36" s="238"/>
      <c r="H36" s="238"/>
      <c r="I36" s="238"/>
      <c r="J36" s="238"/>
      <c r="K36" s="238"/>
      <c r="L36" s="241"/>
      <c r="M36" s="242"/>
    </row>
    <row r="37" spans="1:13" s="27" customFormat="1" ht="46.5" customHeight="1">
      <c r="A37" s="40">
        <v>17</v>
      </c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43"/>
      <c r="M37" s="244"/>
    </row>
    <row r="38" spans="1:13" s="53" customFormat="1">
      <c r="A38" s="40">
        <v>18</v>
      </c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45"/>
      <c r="M38" s="246"/>
    </row>
    <row r="39" spans="1:13" ht="16.5" customHeight="1">
      <c r="A39" s="113">
        <v>19</v>
      </c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47"/>
      <c r="M39" s="248"/>
    </row>
    <row r="40" spans="1:13">
      <c r="A40" s="40">
        <v>20</v>
      </c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49"/>
      <c r="M40" s="250"/>
    </row>
    <row r="41" spans="1:13">
      <c r="A41" s="40">
        <v>21</v>
      </c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22"/>
      <c r="M41" s="223"/>
    </row>
    <row r="42" spans="1:13">
      <c r="A42" s="40">
        <v>22</v>
      </c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24"/>
      <c r="M42" s="225"/>
    </row>
    <row r="43" spans="1:13" ht="15.75" thickBot="1">
      <c r="A43" s="40">
        <v>23</v>
      </c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26"/>
      <c r="M43" s="227"/>
    </row>
    <row r="44" spans="1:13" ht="15.75" thickBot="1">
      <c r="A44" s="228" t="s">
        <v>15</v>
      </c>
      <c r="B44" s="229"/>
      <c r="C44" s="229"/>
      <c r="D44" s="229"/>
      <c r="E44" s="230"/>
      <c r="F44" s="96"/>
      <c r="G44" s="231">
        <f>SUM(G37:G43)</f>
        <v>0</v>
      </c>
      <c r="H44" s="232"/>
      <c r="I44" s="232"/>
      <c r="J44" s="232"/>
      <c r="K44" s="232"/>
      <c r="L44" s="233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234" t="s">
        <v>16</v>
      </c>
      <c r="B46" s="235"/>
      <c r="C46" s="235"/>
      <c r="D46" s="235"/>
      <c r="E46" s="235"/>
      <c r="F46" s="235"/>
      <c r="G46" s="235"/>
      <c r="H46" s="235"/>
      <c r="I46" s="235"/>
      <c r="J46" s="236"/>
      <c r="K46" s="2"/>
    </row>
    <row r="47" spans="1:13" ht="30">
      <c r="A47" s="50"/>
      <c r="B47" s="18"/>
      <c r="C47" s="120"/>
      <c r="D47" s="120" t="s">
        <v>17</v>
      </c>
      <c r="E47" s="216" t="s">
        <v>18</v>
      </c>
      <c r="F47" s="216"/>
      <c r="G47" s="216" t="s">
        <v>19</v>
      </c>
      <c r="H47" s="216"/>
      <c r="I47" s="216" t="s">
        <v>29</v>
      </c>
      <c r="J47" s="217"/>
      <c r="K47" s="2"/>
    </row>
    <row r="48" spans="1:13">
      <c r="A48" s="50"/>
      <c r="B48" s="24" t="s">
        <v>20</v>
      </c>
      <c r="C48" s="206">
        <v>1313</v>
      </c>
      <c r="D48" s="207"/>
      <c r="E48" s="218">
        <v>1324</v>
      </c>
      <c r="F48" s="219"/>
      <c r="G48" s="218">
        <v>1324</v>
      </c>
      <c r="H48" s="219"/>
      <c r="I48" s="220">
        <v>99</v>
      </c>
      <c r="J48" s="221"/>
      <c r="K48" s="2"/>
    </row>
    <row r="49" spans="1:14">
      <c r="A49" s="51"/>
      <c r="B49" s="24" t="s">
        <v>21</v>
      </c>
      <c r="C49" s="206">
        <v>807</v>
      </c>
      <c r="D49" s="207"/>
      <c r="E49" s="208">
        <v>806</v>
      </c>
      <c r="F49" s="209"/>
      <c r="G49" s="208">
        <v>806</v>
      </c>
      <c r="H49" s="209"/>
      <c r="I49" s="210">
        <v>67</v>
      </c>
      <c r="J49" s="211"/>
      <c r="K49" s="2"/>
    </row>
    <row r="50" spans="1:14" ht="15.75" thickBot="1">
      <c r="A50" s="51"/>
      <c r="B50" s="24" t="s">
        <v>22</v>
      </c>
      <c r="C50" s="212">
        <v>958</v>
      </c>
      <c r="D50" s="213"/>
      <c r="E50" s="214">
        <v>587</v>
      </c>
      <c r="F50" s="215"/>
      <c r="G50" s="214">
        <v>587</v>
      </c>
      <c r="H50" s="215"/>
      <c r="I50" s="210">
        <v>255</v>
      </c>
      <c r="J50" s="211"/>
      <c r="K50" s="2"/>
    </row>
    <row r="51" spans="1:14" ht="15.75" thickBot="1">
      <c r="A51" s="11"/>
      <c r="B51" s="12" t="s">
        <v>23</v>
      </c>
      <c r="C51" s="195">
        <f>SUM(C48:D50)</f>
        <v>3078</v>
      </c>
      <c r="D51" s="196"/>
      <c r="E51" s="197">
        <f>SUM(E48:E50)</f>
        <v>2717</v>
      </c>
      <c r="F51" s="198"/>
      <c r="G51" s="197">
        <f>G48+G49+G50</f>
        <v>2717</v>
      </c>
      <c r="H51" s="198"/>
      <c r="I51" s="197">
        <f>SUM(I48:I50)</f>
        <v>421</v>
      </c>
      <c r="J51" s="199"/>
      <c r="K51" s="2"/>
    </row>
    <row r="53" spans="1:14" ht="15.75" thickBot="1">
      <c r="E53" s="25"/>
    </row>
    <row r="54" spans="1:14" ht="19.5" thickBot="1">
      <c r="A54" s="200" t="s">
        <v>32</v>
      </c>
      <c r="B54" s="201"/>
      <c r="C54" s="201"/>
      <c r="D54" s="201"/>
      <c r="E54" s="201"/>
      <c r="F54" s="201"/>
      <c r="G54" s="201"/>
      <c r="H54" s="201"/>
      <c r="I54" s="201"/>
      <c r="J54" s="202"/>
      <c r="K54" s="27"/>
      <c r="L54" s="27"/>
    </row>
    <row r="55" spans="1:14">
      <c r="A55" s="28" t="s">
        <v>33</v>
      </c>
      <c r="B55" s="203" t="s">
        <v>34</v>
      </c>
      <c r="C55" s="204"/>
      <c r="D55" s="204"/>
      <c r="E55" s="204"/>
      <c r="F55" s="204"/>
      <c r="G55" s="204"/>
      <c r="H55" s="204"/>
      <c r="I55" s="205"/>
      <c r="J55" s="52" t="s">
        <v>35</v>
      </c>
      <c r="K55" s="53"/>
      <c r="L55" s="53"/>
    </row>
    <row r="56" spans="1:14" s="4" customFormat="1">
      <c r="A56" s="110">
        <v>1</v>
      </c>
      <c r="B56" s="194" t="s">
        <v>44</v>
      </c>
      <c r="C56" s="194"/>
      <c r="D56" s="194"/>
      <c r="E56" s="194"/>
      <c r="F56" s="194"/>
      <c r="G56" s="194"/>
      <c r="H56" s="194"/>
      <c r="I56" s="194"/>
      <c r="J56" s="111">
        <v>7</v>
      </c>
      <c r="L56" s="2"/>
      <c r="M56" s="2"/>
      <c r="N56" s="2"/>
    </row>
    <row r="57" spans="1:14" s="4" customFormat="1">
      <c r="A57" s="110">
        <v>2</v>
      </c>
      <c r="B57" s="194" t="s">
        <v>44</v>
      </c>
      <c r="C57" s="194"/>
      <c r="D57" s="194"/>
      <c r="E57" s="194"/>
      <c r="F57" s="194"/>
      <c r="G57" s="194"/>
      <c r="H57" s="194"/>
      <c r="I57" s="194"/>
      <c r="J57" s="111">
        <v>6</v>
      </c>
      <c r="L57" s="2"/>
      <c r="M57" s="2"/>
      <c r="N57" s="2"/>
    </row>
    <row r="58" spans="1:14" s="4" customFormat="1">
      <c r="A58" s="110">
        <v>3</v>
      </c>
      <c r="B58" s="194" t="s">
        <v>61</v>
      </c>
      <c r="C58" s="194"/>
      <c r="D58" s="194"/>
      <c r="E58" s="194"/>
      <c r="F58" s="194"/>
      <c r="G58" s="194"/>
      <c r="H58" s="194"/>
      <c r="I58" s="194"/>
      <c r="J58" s="111">
        <v>12</v>
      </c>
      <c r="L58" s="2"/>
      <c r="M58" s="2"/>
      <c r="N58" s="2"/>
    </row>
    <row r="59" spans="1:14" s="4" customFormat="1">
      <c r="A59" s="110">
        <v>4</v>
      </c>
      <c r="B59" s="194" t="s">
        <v>62</v>
      </c>
      <c r="C59" s="194"/>
      <c r="D59" s="194"/>
      <c r="E59" s="194"/>
      <c r="F59" s="194"/>
      <c r="G59" s="194"/>
      <c r="H59" s="194"/>
      <c r="I59" s="194"/>
      <c r="J59" s="111">
        <v>15</v>
      </c>
      <c r="L59" s="2"/>
      <c r="M59" s="2"/>
      <c r="N59" s="2"/>
    </row>
    <row r="60" spans="1:14" s="4" customFormat="1">
      <c r="A60" s="110">
        <v>5</v>
      </c>
      <c r="B60" s="194" t="s">
        <v>63</v>
      </c>
      <c r="C60" s="194"/>
      <c r="D60" s="194"/>
      <c r="E60" s="194"/>
      <c r="F60" s="194"/>
      <c r="G60" s="194"/>
      <c r="H60" s="194"/>
      <c r="I60" s="194"/>
      <c r="J60" s="111">
        <v>15</v>
      </c>
      <c r="L60" s="2"/>
      <c r="M60" s="2"/>
      <c r="N60" s="2"/>
    </row>
    <row r="61" spans="1:14" s="4" customFormat="1">
      <c r="A61" s="110">
        <v>6</v>
      </c>
      <c r="B61" s="194" t="s">
        <v>64</v>
      </c>
      <c r="C61" s="194"/>
      <c r="D61" s="194"/>
      <c r="E61" s="194"/>
      <c r="F61" s="194"/>
      <c r="G61" s="194"/>
      <c r="H61" s="194"/>
      <c r="I61" s="194"/>
      <c r="J61" s="111">
        <v>5</v>
      </c>
      <c r="L61" s="2"/>
      <c r="M61" s="2"/>
      <c r="N61" s="2"/>
    </row>
    <row r="62" spans="1:14" s="4" customFormat="1">
      <c r="A62" s="110">
        <v>7</v>
      </c>
      <c r="B62" s="194" t="s">
        <v>45</v>
      </c>
      <c r="C62" s="194"/>
      <c r="D62" s="194"/>
      <c r="E62" s="194"/>
      <c r="F62" s="194"/>
      <c r="G62" s="194"/>
      <c r="H62" s="194"/>
      <c r="I62" s="194"/>
      <c r="J62" s="111">
        <v>7</v>
      </c>
      <c r="L62" s="2"/>
      <c r="M62" s="2"/>
      <c r="N62" s="2"/>
    </row>
    <row r="63" spans="1:14" s="4" customFormat="1">
      <c r="A63" s="110">
        <v>8</v>
      </c>
      <c r="B63" s="194" t="s">
        <v>65</v>
      </c>
      <c r="C63" s="194"/>
      <c r="D63" s="194"/>
      <c r="E63" s="194"/>
      <c r="F63" s="194"/>
      <c r="G63" s="194"/>
      <c r="H63" s="194"/>
      <c r="I63" s="194"/>
      <c r="J63" s="111">
        <v>10</v>
      </c>
      <c r="L63" s="2"/>
      <c r="M63" s="2"/>
      <c r="N63" s="2"/>
    </row>
    <row r="64" spans="1:14" s="4" customFormat="1">
      <c r="A64" s="110">
        <v>9</v>
      </c>
      <c r="B64" s="194" t="s">
        <v>66</v>
      </c>
      <c r="C64" s="194"/>
      <c r="D64" s="194"/>
      <c r="E64" s="194"/>
      <c r="F64" s="194"/>
      <c r="G64" s="194"/>
      <c r="H64" s="194"/>
      <c r="I64" s="194"/>
      <c r="J64" s="111">
        <v>16</v>
      </c>
      <c r="L64" s="2"/>
      <c r="M64" s="2"/>
      <c r="N64" s="2"/>
    </row>
    <row r="65" spans="1:14" s="4" customFormat="1">
      <c r="A65" s="110">
        <v>10</v>
      </c>
      <c r="B65" s="194" t="s">
        <v>67</v>
      </c>
      <c r="C65" s="194"/>
      <c r="D65" s="194"/>
      <c r="E65" s="194"/>
      <c r="F65" s="194"/>
      <c r="G65" s="194"/>
      <c r="H65" s="194"/>
      <c r="I65" s="194"/>
      <c r="J65" s="111">
        <v>7</v>
      </c>
      <c r="L65" s="2"/>
      <c r="M65" s="2"/>
      <c r="N65" s="2"/>
    </row>
    <row r="66" spans="1:14" s="4" customFormat="1">
      <c r="A66" s="110">
        <v>11</v>
      </c>
      <c r="B66" s="194" t="s">
        <v>68</v>
      </c>
      <c r="C66" s="194"/>
      <c r="D66" s="194"/>
      <c r="E66" s="194"/>
      <c r="F66" s="194"/>
      <c r="G66" s="194"/>
      <c r="H66" s="194"/>
      <c r="I66" s="194"/>
      <c r="J66" s="111">
        <v>10</v>
      </c>
      <c r="L66" s="2"/>
      <c r="M66" s="2"/>
      <c r="N66" s="2"/>
    </row>
    <row r="67" spans="1:14" s="4" customFormat="1">
      <c r="A67" s="110">
        <v>12</v>
      </c>
      <c r="B67" s="194" t="s">
        <v>50</v>
      </c>
      <c r="C67" s="194"/>
      <c r="D67" s="194"/>
      <c r="E67" s="194"/>
      <c r="F67" s="194"/>
      <c r="G67" s="194"/>
      <c r="H67" s="194"/>
      <c r="I67" s="194"/>
      <c r="J67" s="111">
        <v>20</v>
      </c>
      <c r="L67" s="2"/>
      <c r="M67" s="2"/>
      <c r="N67" s="2"/>
    </row>
    <row r="68" spans="1:14" s="4" customFormat="1">
      <c r="A68" s="110">
        <v>13</v>
      </c>
      <c r="B68" s="194" t="s">
        <v>46</v>
      </c>
      <c r="C68" s="194"/>
      <c r="D68" s="194"/>
      <c r="E68" s="194"/>
      <c r="F68" s="194"/>
      <c r="G68" s="194"/>
      <c r="H68" s="194"/>
      <c r="I68" s="194"/>
      <c r="J68" s="111">
        <v>20</v>
      </c>
      <c r="L68" s="2"/>
      <c r="M68" s="2"/>
      <c r="N68" s="2"/>
    </row>
    <row r="69" spans="1:14" s="4" customFormat="1">
      <c r="A69" s="110">
        <v>14</v>
      </c>
      <c r="B69" s="194" t="s">
        <v>69</v>
      </c>
      <c r="C69" s="194"/>
      <c r="D69" s="194"/>
      <c r="E69" s="194"/>
      <c r="F69" s="194"/>
      <c r="G69" s="194"/>
      <c r="H69" s="194"/>
      <c r="I69" s="194"/>
      <c r="J69" s="111">
        <v>7</v>
      </c>
      <c r="L69" s="2"/>
      <c r="M69" s="2"/>
      <c r="N69" s="2"/>
    </row>
    <row r="70" spans="1:14" s="4" customFormat="1">
      <c r="A70" s="110">
        <v>15</v>
      </c>
      <c r="B70" s="194" t="s">
        <v>70</v>
      </c>
      <c r="C70" s="194"/>
      <c r="D70" s="194"/>
      <c r="E70" s="194"/>
      <c r="F70" s="194"/>
      <c r="G70" s="194"/>
      <c r="H70" s="194"/>
      <c r="I70" s="194"/>
      <c r="J70" s="111">
        <v>35</v>
      </c>
      <c r="L70" s="2"/>
      <c r="M70" s="2"/>
      <c r="N70" s="2"/>
    </row>
    <row r="71" spans="1:14" s="4" customFormat="1">
      <c r="A71" s="110">
        <v>16</v>
      </c>
      <c r="B71" s="194" t="s">
        <v>71</v>
      </c>
      <c r="C71" s="194"/>
      <c r="D71" s="194"/>
      <c r="E71" s="194"/>
      <c r="F71" s="194"/>
      <c r="G71" s="194"/>
      <c r="H71" s="194"/>
      <c r="I71" s="194"/>
      <c r="J71" s="111">
        <v>7</v>
      </c>
      <c r="L71" s="2"/>
      <c r="M71" s="2"/>
      <c r="N71" s="2"/>
    </row>
    <row r="72" spans="1:14" s="4" customFormat="1">
      <c r="A72" s="110">
        <v>17</v>
      </c>
      <c r="B72" s="194" t="s">
        <v>72</v>
      </c>
      <c r="C72" s="194"/>
      <c r="D72" s="194"/>
      <c r="E72" s="194"/>
      <c r="F72" s="194"/>
      <c r="G72" s="194"/>
      <c r="H72" s="194"/>
      <c r="I72" s="194"/>
      <c r="J72" s="111">
        <v>7</v>
      </c>
      <c r="L72" s="2"/>
      <c r="M72" s="2"/>
      <c r="N72" s="2"/>
    </row>
    <row r="73" spans="1:14" s="4" customFormat="1">
      <c r="A73" s="110">
        <v>18</v>
      </c>
      <c r="B73" s="194" t="s">
        <v>73</v>
      </c>
      <c r="C73" s="194"/>
      <c r="D73" s="194"/>
      <c r="E73" s="194"/>
      <c r="F73" s="194"/>
      <c r="G73" s="194"/>
      <c r="H73" s="194"/>
      <c r="I73" s="194"/>
      <c r="J73" s="111">
        <v>40</v>
      </c>
      <c r="L73" s="2"/>
      <c r="M73" s="2"/>
      <c r="N73" s="2"/>
    </row>
    <row r="74" spans="1:14" s="4" customFormat="1">
      <c r="A74" s="110">
        <v>19</v>
      </c>
      <c r="B74" s="194" t="s">
        <v>74</v>
      </c>
      <c r="C74" s="194"/>
      <c r="D74" s="194"/>
      <c r="E74" s="194"/>
      <c r="F74" s="194"/>
      <c r="G74" s="194"/>
      <c r="H74" s="194"/>
      <c r="I74" s="194"/>
      <c r="J74" s="111">
        <v>6</v>
      </c>
      <c r="L74" s="2"/>
      <c r="M74" s="2"/>
      <c r="N74" s="2"/>
    </row>
    <row r="75" spans="1:14" s="4" customFormat="1">
      <c r="A75" s="110">
        <v>20</v>
      </c>
      <c r="B75" s="194" t="s">
        <v>75</v>
      </c>
      <c r="C75" s="194"/>
      <c r="D75" s="194"/>
      <c r="E75" s="194"/>
      <c r="F75" s="194"/>
      <c r="G75" s="194"/>
      <c r="H75" s="194"/>
      <c r="I75" s="194"/>
      <c r="J75" s="111">
        <v>20</v>
      </c>
      <c r="L75" s="2"/>
      <c r="M75" s="2"/>
      <c r="N75" s="2"/>
    </row>
    <row r="76" spans="1:14" s="4" customFormat="1">
      <c r="A76" s="110">
        <v>21</v>
      </c>
      <c r="B76" s="194" t="s">
        <v>76</v>
      </c>
      <c r="C76" s="194"/>
      <c r="D76" s="194"/>
      <c r="E76" s="194"/>
      <c r="F76" s="194"/>
      <c r="G76" s="194"/>
      <c r="H76" s="194"/>
      <c r="I76" s="194"/>
      <c r="J76" s="111">
        <v>25</v>
      </c>
      <c r="L76" s="2"/>
      <c r="M76" s="2"/>
      <c r="N76" s="2"/>
    </row>
    <row r="77" spans="1:14" s="4" customFormat="1">
      <c r="A77" s="110">
        <v>22</v>
      </c>
      <c r="B77" s="194" t="s">
        <v>47</v>
      </c>
      <c r="C77" s="194"/>
      <c r="D77" s="194"/>
      <c r="E77" s="194"/>
      <c r="F77" s="194"/>
      <c r="G77" s="194"/>
      <c r="H77" s="194"/>
      <c r="I77" s="194"/>
      <c r="J77" s="111">
        <v>12</v>
      </c>
      <c r="L77" s="2"/>
      <c r="M77" s="2"/>
      <c r="N77" s="2"/>
    </row>
    <row r="78" spans="1:14" s="4" customFormat="1">
      <c r="A78" s="110">
        <v>23</v>
      </c>
      <c r="B78" s="194" t="s">
        <v>48</v>
      </c>
      <c r="C78" s="194"/>
      <c r="D78" s="194"/>
      <c r="E78" s="194"/>
      <c r="F78" s="194"/>
      <c r="G78" s="194"/>
      <c r="H78" s="194"/>
      <c r="I78" s="194"/>
      <c r="J78" s="111">
        <v>12</v>
      </c>
      <c r="L78" s="2"/>
      <c r="M78" s="2"/>
      <c r="N78" s="2"/>
    </row>
    <row r="79" spans="1:14" s="4" customFormat="1">
      <c r="A79" s="110">
        <v>24</v>
      </c>
      <c r="B79" s="194" t="s">
        <v>77</v>
      </c>
      <c r="C79" s="194"/>
      <c r="D79" s="194"/>
      <c r="E79" s="194"/>
      <c r="F79" s="194"/>
      <c r="G79" s="194"/>
      <c r="H79" s="194"/>
      <c r="I79" s="194"/>
      <c r="J79" s="111">
        <v>25</v>
      </c>
      <c r="L79" s="2"/>
      <c r="M79" s="2"/>
      <c r="N79" s="2"/>
    </row>
    <row r="80" spans="1:14" s="4" customFormat="1">
      <c r="A80" s="110">
        <v>25</v>
      </c>
      <c r="B80" s="194" t="s">
        <v>78</v>
      </c>
      <c r="C80" s="194"/>
      <c r="D80" s="194"/>
      <c r="E80" s="194"/>
      <c r="F80" s="194"/>
      <c r="G80" s="194"/>
      <c r="H80" s="194"/>
      <c r="I80" s="194"/>
      <c r="J80" s="111">
        <v>10</v>
      </c>
      <c r="L80" s="2"/>
      <c r="M80" s="2"/>
      <c r="N80" s="2"/>
    </row>
    <row r="81" spans="1:14" s="4" customFormat="1">
      <c r="A81" s="110">
        <v>26</v>
      </c>
      <c r="B81" s="194" t="s">
        <v>79</v>
      </c>
      <c r="C81" s="194"/>
      <c r="D81" s="194"/>
      <c r="E81" s="194"/>
      <c r="F81" s="194"/>
      <c r="G81" s="194"/>
      <c r="H81" s="194"/>
      <c r="I81" s="194"/>
      <c r="J81" s="111">
        <v>20</v>
      </c>
      <c r="L81" s="2"/>
      <c r="M81" s="2"/>
      <c r="N81" s="2"/>
    </row>
    <row r="82" spans="1:14" s="4" customFormat="1">
      <c r="A82" s="110">
        <v>27</v>
      </c>
      <c r="B82" s="194" t="s">
        <v>80</v>
      </c>
      <c r="C82" s="194"/>
      <c r="D82" s="194"/>
      <c r="E82" s="194"/>
      <c r="F82" s="194"/>
      <c r="G82" s="194"/>
      <c r="H82" s="194"/>
      <c r="I82" s="194"/>
      <c r="J82" s="111">
        <v>30</v>
      </c>
      <c r="L82" s="2"/>
      <c r="M82" s="2"/>
      <c r="N82" s="2"/>
    </row>
    <row r="83" spans="1:14" s="4" customFormat="1">
      <c r="A83" s="110">
        <v>28</v>
      </c>
      <c r="B83" s="194" t="s">
        <v>81</v>
      </c>
      <c r="C83" s="194"/>
      <c r="D83" s="194"/>
      <c r="E83" s="194"/>
      <c r="F83" s="194"/>
      <c r="G83" s="194"/>
      <c r="H83" s="194"/>
      <c r="I83" s="194"/>
      <c r="J83" s="111">
        <v>20</v>
      </c>
      <c r="L83" s="2"/>
      <c r="M83" s="2"/>
      <c r="N83" s="2"/>
    </row>
    <row r="84" spans="1:14" s="4" customFormat="1">
      <c r="A84" s="110">
        <v>29</v>
      </c>
      <c r="B84" s="194" t="s">
        <v>49</v>
      </c>
      <c r="C84" s="194"/>
      <c r="D84" s="194"/>
      <c r="E84" s="194"/>
      <c r="F84" s="194"/>
      <c r="G84" s="194"/>
      <c r="H84" s="194"/>
      <c r="I84" s="194"/>
      <c r="J84" s="111">
        <v>8</v>
      </c>
      <c r="L84" s="2"/>
      <c r="M84" s="2"/>
      <c r="N84" s="2"/>
    </row>
    <row r="85" spans="1:14" s="4" customFormat="1">
      <c r="A85" s="110">
        <v>30</v>
      </c>
      <c r="B85" s="194" t="s">
        <v>82</v>
      </c>
      <c r="C85" s="194"/>
      <c r="D85" s="194"/>
      <c r="E85" s="194"/>
      <c r="F85" s="194"/>
      <c r="G85" s="194"/>
      <c r="H85" s="194"/>
      <c r="I85" s="194"/>
      <c r="J85" s="111">
        <v>50</v>
      </c>
      <c r="L85" s="2"/>
      <c r="M85" s="2"/>
      <c r="N85" s="2"/>
    </row>
    <row r="86" spans="1:14" s="4" customFormat="1">
      <c r="A86" s="110">
        <v>31</v>
      </c>
      <c r="B86" s="194"/>
      <c r="C86" s="194"/>
      <c r="D86" s="194"/>
      <c r="E86" s="194"/>
      <c r="F86" s="194"/>
      <c r="G86" s="194"/>
      <c r="H86" s="194"/>
      <c r="I86" s="194"/>
      <c r="J86" s="111"/>
      <c r="L86" s="2"/>
      <c r="M86" s="2"/>
      <c r="N86" s="2"/>
    </row>
    <row r="87" spans="1:14" s="4" customFormat="1">
      <c r="A87" s="110">
        <v>32</v>
      </c>
      <c r="B87" s="194"/>
      <c r="C87" s="194"/>
      <c r="D87" s="194"/>
      <c r="E87" s="194"/>
      <c r="F87" s="194"/>
      <c r="G87" s="194"/>
      <c r="H87" s="194"/>
      <c r="I87" s="194"/>
      <c r="J87" s="111"/>
      <c r="L87" s="2"/>
      <c r="M87" s="2"/>
      <c r="N87" s="2"/>
    </row>
    <row r="88" spans="1:14" s="4" customFormat="1">
      <c r="A88" s="110">
        <v>33</v>
      </c>
      <c r="B88" s="194"/>
      <c r="C88" s="194"/>
      <c r="D88" s="194"/>
      <c r="E88" s="194"/>
      <c r="F88" s="194"/>
      <c r="G88" s="194"/>
      <c r="H88" s="194"/>
      <c r="I88" s="194"/>
      <c r="J88" s="111"/>
      <c r="L88" s="2"/>
      <c r="M88" s="2"/>
      <c r="N88" s="2"/>
    </row>
    <row r="89" spans="1:14" s="4" customFormat="1">
      <c r="A89" s="110">
        <v>34</v>
      </c>
      <c r="B89" s="194"/>
      <c r="C89" s="194"/>
      <c r="D89" s="194"/>
      <c r="E89" s="194"/>
      <c r="F89" s="194"/>
      <c r="G89" s="194"/>
      <c r="H89" s="194"/>
      <c r="I89" s="194"/>
      <c r="J89" s="111"/>
      <c r="L89" s="2"/>
      <c r="M89" s="2"/>
      <c r="N89" s="2"/>
    </row>
    <row r="90" spans="1:14" s="4" customFormat="1">
      <c r="A90" s="110">
        <v>35</v>
      </c>
      <c r="B90" s="194"/>
      <c r="C90" s="194"/>
      <c r="D90" s="194"/>
      <c r="E90" s="194"/>
      <c r="F90" s="194"/>
      <c r="G90" s="194"/>
      <c r="H90" s="194"/>
      <c r="I90" s="194"/>
      <c r="J90" s="111"/>
      <c r="L90" s="2"/>
      <c r="M90" s="2"/>
      <c r="N90" s="2"/>
    </row>
    <row r="91" spans="1:14" s="4" customFormat="1">
      <c r="A91" s="110">
        <v>36</v>
      </c>
      <c r="B91" s="194"/>
      <c r="C91" s="194"/>
      <c r="D91" s="194"/>
      <c r="E91" s="194"/>
      <c r="F91" s="194"/>
      <c r="G91" s="194"/>
      <c r="H91" s="194"/>
      <c r="I91" s="194"/>
      <c r="J91" s="111"/>
      <c r="L91" s="2"/>
      <c r="M91" s="2"/>
      <c r="N91" s="2"/>
    </row>
    <row r="92" spans="1:14" s="4" customFormat="1" ht="15.75" thickBot="1">
      <c r="A92" s="108"/>
      <c r="B92" s="191" t="s">
        <v>15</v>
      </c>
      <c r="C92" s="192"/>
      <c r="D92" s="192"/>
      <c r="E92" s="192"/>
      <c r="F92" s="192"/>
      <c r="G92" s="192"/>
      <c r="H92" s="192"/>
      <c r="I92" s="193"/>
      <c r="J92" s="109">
        <f>SUM(J56:J91)</f>
        <v>484</v>
      </c>
      <c r="L92" s="2"/>
      <c r="M92" s="2"/>
      <c r="N92" s="2"/>
    </row>
  </sheetData>
  <mergeCells count="102">
    <mergeCell ref="A1:C1"/>
    <mergeCell ref="E1:H1"/>
    <mergeCell ref="J1:K1"/>
    <mergeCell ref="A2:C2"/>
    <mergeCell ref="F2:H2"/>
    <mergeCell ref="J2:K2"/>
    <mergeCell ref="J6:J7"/>
    <mergeCell ref="K6:L6"/>
    <mergeCell ref="A21:F21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B62:I62"/>
    <mergeCell ref="B63:I63"/>
    <mergeCell ref="B64:I64"/>
    <mergeCell ref="B65:I65"/>
    <mergeCell ref="B66:I66"/>
    <mergeCell ref="B67:I67"/>
    <mergeCell ref="B56:I56"/>
    <mergeCell ref="B57:I57"/>
    <mergeCell ref="B58:I58"/>
    <mergeCell ref="B59:I59"/>
    <mergeCell ref="B60:I60"/>
    <mergeCell ref="B61:I61"/>
    <mergeCell ref="B74:I74"/>
    <mergeCell ref="B75:I75"/>
    <mergeCell ref="B76:I76"/>
    <mergeCell ref="B77:I77"/>
    <mergeCell ref="B78:I78"/>
    <mergeCell ref="B79:I79"/>
    <mergeCell ref="B68:I68"/>
    <mergeCell ref="B69:I69"/>
    <mergeCell ref="B70:I70"/>
    <mergeCell ref="B71:I71"/>
    <mergeCell ref="B72:I72"/>
    <mergeCell ref="B73:I73"/>
    <mergeCell ref="B92:I92"/>
    <mergeCell ref="B86:I86"/>
    <mergeCell ref="B87:I87"/>
    <mergeCell ref="B88:I88"/>
    <mergeCell ref="B89:I89"/>
    <mergeCell ref="B90:I90"/>
    <mergeCell ref="B91:I91"/>
    <mergeCell ref="B80:I80"/>
    <mergeCell ref="B81:I81"/>
    <mergeCell ref="B82:I82"/>
    <mergeCell ref="B83:I83"/>
    <mergeCell ref="B84:I84"/>
    <mergeCell ref="B85:I85"/>
  </mergeCells>
  <pageMargins left="0" right="0" top="0.59055118110236204" bottom="0" header="0" footer="0"/>
  <pageSetup paperSize="9" scale="5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N92"/>
  <sheetViews>
    <sheetView topLeftCell="A16" zoomScale="85" zoomScaleNormal="85" workbookViewId="0">
      <pane xSplit="3" topLeftCell="D1" activePane="topRight" state="frozen"/>
      <selection pane="topRight" activeCell="M55" sqref="M55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9" t="s">
        <v>51</v>
      </c>
      <c r="B1" s="269"/>
      <c r="C1" s="269"/>
      <c r="D1" s="1"/>
      <c r="E1" s="269" t="s">
        <v>24</v>
      </c>
      <c r="F1" s="269"/>
      <c r="G1" s="269"/>
      <c r="H1" s="269"/>
      <c r="I1" s="123"/>
      <c r="J1" s="270">
        <v>5</v>
      </c>
      <c r="K1" s="270"/>
    </row>
    <row r="2" spans="1:12" ht="28.5">
      <c r="A2" s="271">
        <v>46315</v>
      </c>
      <c r="B2" s="272"/>
      <c r="C2" s="272"/>
      <c r="D2" s="3"/>
      <c r="E2" s="3"/>
      <c r="F2" s="273"/>
      <c r="G2" s="273"/>
      <c r="H2" s="273"/>
      <c r="I2" s="124"/>
      <c r="J2" s="273"/>
      <c r="K2" s="273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62" t="s">
        <v>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5" t="s">
        <v>1</v>
      </c>
      <c r="B6" s="266" t="s">
        <v>2</v>
      </c>
      <c r="C6" s="266" t="s">
        <v>3</v>
      </c>
      <c r="D6" s="266" t="s">
        <v>4</v>
      </c>
      <c r="E6" s="122" t="s">
        <v>5</v>
      </c>
      <c r="F6" s="266" t="s">
        <v>6</v>
      </c>
      <c r="G6" s="267" t="s">
        <v>7</v>
      </c>
      <c r="H6" s="268" t="s">
        <v>8</v>
      </c>
      <c r="I6" s="266" t="s">
        <v>9</v>
      </c>
      <c r="J6" s="274" t="s">
        <v>30</v>
      </c>
      <c r="K6" s="275" t="s">
        <v>10</v>
      </c>
      <c r="L6" s="276"/>
    </row>
    <row r="7" spans="1:12" s="8" customFormat="1" ht="63.6" customHeight="1">
      <c r="A7" s="265"/>
      <c r="B7" s="266"/>
      <c r="C7" s="266"/>
      <c r="D7" s="266"/>
      <c r="E7" s="122" t="s">
        <v>11</v>
      </c>
      <c r="F7" s="266"/>
      <c r="G7" s="267"/>
      <c r="H7" s="268"/>
      <c r="I7" s="266"/>
      <c r="J7" s="238"/>
      <c r="K7" s="122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0.32291666666666669</v>
      </c>
      <c r="G8" s="22">
        <v>16</v>
      </c>
      <c r="H8" s="26">
        <v>826.28099999999995</v>
      </c>
      <c r="I8" s="23">
        <v>0.58333333333333337</v>
      </c>
      <c r="J8" s="21">
        <f>I8-F8</f>
        <v>0.26041666666666669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0.3263888888888889</v>
      </c>
      <c r="G9" s="22">
        <v>29</v>
      </c>
      <c r="H9" s="26">
        <v>645.28099999999995</v>
      </c>
      <c r="I9" s="23">
        <v>0.59722222222222221</v>
      </c>
      <c r="J9" s="21">
        <f t="shared" ref="J9:J11" si="0">I9-F9</f>
        <v>0.27083333333333331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0.3125</v>
      </c>
      <c r="G10" s="22">
        <v>29</v>
      </c>
      <c r="H10" s="26">
        <v>871.76599999999996</v>
      </c>
      <c r="I10" s="23">
        <v>0.57291666666666663</v>
      </c>
      <c r="J10" s="21">
        <f t="shared" si="0"/>
        <v>0.26041666666666663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0.30902777777777779</v>
      </c>
      <c r="G11" s="22">
        <v>12</v>
      </c>
      <c r="H11" s="26">
        <v>636.05999999999995</v>
      </c>
      <c r="I11" s="23">
        <v>0.5625</v>
      </c>
      <c r="J11" s="21">
        <f t="shared" si="0"/>
        <v>0.25347222222222221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8" t="s">
        <v>15</v>
      </c>
      <c r="B21" s="259"/>
      <c r="C21" s="259"/>
      <c r="D21" s="259"/>
      <c r="E21" s="259"/>
      <c r="F21" s="260"/>
      <c r="G21" s="70">
        <f>SUM(G8:G20)</f>
        <v>86</v>
      </c>
      <c r="H21" s="70">
        <f>SUM(H8:H20)</f>
        <v>2979.3879999999999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/>
    </row>
    <row r="24" spans="1:14" ht="18.75">
      <c r="A24" s="255" t="s">
        <v>26</v>
      </c>
      <c r="B24" s="256"/>
      <c r="C24" s="256"/>
      <c r="D24" s="256"/>
      <c r="E24" s="256"/>
      <c r="F24" s="256"/>
      <c r="G24" s="256"/>
      <c r="H24" s="256"/>
      <c r="I24" s="257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22" t="s">
        <v>2</v>
      </c>
      <c r="C26" s="122" t="s">
        <v>3</v>
      </c>
      <c r="D26" s="122" t="s">
        <v>27</v>
      </c>
      <c r="E26" s="122" t="s">
        <v>6</v>
      </c>
      <c r="F26" s="122" t="s">
        <v>28</v>
      </c>
      <c r="G26" s="122" t="s">
        <v>8</v>
      </c>
      <c r="H26" s="122" t="s">
        <v>31</v>
      </c>
      <c r="I26" s="31" t="s">
        <v>30</v>
      </c>
      <c r="J26" s="8"/>
      <c r="K26" s="8"/>
      <c r="L26" s="8"/>
      <c r="N26" s="43"/>
    </row>
    <row r="27" spans="1:14">
      <c r="A27" s="57">
        <v>5</v>
      </c>
      <c r="B27" s="56" t="s">
        <v>84</v>
      </c>
      <c r="C27" s="55" t="s">
        <v>83</v>
      </c>
      <c r="D27" s="39">
        <v>9000</v>
      </c>
      <c r="E27" s="38">
        <v>0.32291666666666669</v>
      </c>
      <c r="F27" s="22">
        <v>7</v>
      </c>
      <c r="G27" s="26">
        <v>1159.99</v>
      </c>
      <c r="H27" s="35">
        <v>0.55208333333333337</v>
      </c>
      <c r="I27" s="36">
        <f>H27-E27</f>
        <v>0.22916666666666669</v>
      </c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8" t="s">
        <v>15</v>
      </c>
      <c r="B31" s="259"/>
      <c r="C31" s="260"/>
      <c r="D31" s="10"/>
      <c r="E31" s="32"/>
      <c r="F31" s="32">
        <f>SUM(F30:F30)</f>
        <v>0</v>
      </c>
      <c r="G31" s="32">
        <f>SUM(G30:G30)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5" t="s">
        <v>12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51">
        <v>12</v>
      </c>
      <c r="M34" s="252"/>
    </row>
    <row r="35" spans="1:13" ht="75">
      <c r="A35" s="253" t="s">
        <v>1</v>
      </c>
      <c r="B35" s="237" t="s">
        <v>2</v>
      </c>
      <c r="C35" s="237" t="s">
        <v>3</v>
      </c>
      <c r="D35" s="237" t="s">
        <v>4</v>
      </c>
      <c r="E35" s="97" t="s">
        <v>5</v>
      </c>
      <c r="F35" s="237" t="s">
        <v>14</v>
      </c>
      <c r="G35" s="237" t="s">
        <v>13</v>
      </c>
      <c r="H35" s="237" t="s">
        <v>37</v>
      </c>
      <c r="I35" s="237" t="s">
        <v>39</v>
      </c>
      <c r="J35" s="237" t="s">
        <v>38</v>
      </c>
      <c r="K35" s="237" t="s">
        <v>40</v>
      </c>
      <c r="L35" s="239" t="s">
        <v>36</v>
      </c>
      <c r="M35" s="240"/>
    </row>
    <row r="36" spans="1:13" ht="75">
      <c r="A36" s="254"/>
      <c r="B36" s="238"/>
      <c r="C36" s="238"/>
      <c r="D36" s="238"/>
      <c r="E36" s="121" t="s">
        <v>11</v>
      </c>
      <c r="F36" s="238"/>
      <c r="G36" s="238"/>
      <c r="H36" s="238"/>
      <c r="I36" s="238"/>
      <c r="J36" s="238"/>
      <c r="K36" s="238"/>
      <c r="L36" s="241"/>
      <c r="M36" s="242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43"/>
      <c r="M37" s="244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45"/>
      <c r="M38" s="246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47"/>
      <c r="M39" s="248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49"/>
      <c r="M40" s="250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22"/>
      <c r="M41" s="223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24"/>
      <c r="M42" s="225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26"/>
      <c r="M43" s="227"/>
    </row>
    <row r="44" spans="1:13" ht="15.75" thickBot="1">
      <c r="A44" s="228" t="s">
        <v>15</v>
      </c>
      <c r="B44" s="229"/>
      <c r="C44" s="229"/>
      <c r="D44" s="229"/>
      <c r="E44" s="230"/>
      <c r="F44" s="96"/>
      <c r="G44" s="231">
        <f>SUM(G37:G43)</f>
        <v>0</v>
      </c>
      <c r="H44" s="232"/>
      <c r="I44" s="232"/>
      <c r="J44" s="232"/>
      <c r="K44" s="232"/>
      <c r="L44" s="233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234" t="s">
        <v>16</v>
      </c>
      <c r="B46" s="235"/>
      <c r="C46" s="235"/>
      <c r="D46" s="235"/>
      <c r="E46" s="235"/>
      <c r="F46" s="235"/>
      <c r="G46" s="235"/>
      <c r="H46" s="235"/>
      <c r="I46" s="235"/>
      <c r="J46" s="236"/>
      <c r="K46" s="2"/>
    </row>
    <row r="47" spans="1:13" ht="30">
      <c r="A47" s="50"/>
      <c r="B47" s="18"/>
      <c r="C47" s="120"/>
      <c r="D47" s="120" t="s">
        <v>17</v>
      </c>
      <c r="E47" s="216" t="s">
        <v>18</v>
      </c>
      <c r="F47" s="216"/>
      <c r="G47" s="216" t="s">
        <v>19</v>
      </c>
      <c r="H47" s="216"/>
      <c r="I47" s="216" t="s">
        <v>29</v>
      </c>
      <c r="J47" s="217"/>
      <c r="K47" s="2"/>
    </row>
    <row r="48" spans="1:13">
      <c r="A48" s="50"/>
      <c r="B48" s="24" t="s">
        <v>20</v>
      </c>
      <c r="C48" s="206">
        <v>1872.63</v>
      </c>
      <c r="D48" s="207"/>
      <c r="E48" s="218">
        <v>1491.6020000000001</v>
      </c>
      <c r="F48" s="219"/>
      <c r="G48" s="218">
        <v>1491.6020000000001</v>
      </c>
      <c r="H48" s="219"/>
      <c r="I48" s="220">
        <v>76.409000000000006</v>
      </c>
      <c r="J48" s="221"/>
      <c r="K48" s="2"/>
    </row>
    <row r="49" spans="1:14">
      <c r="A49" s="51"/>
      <c r="B49" s="24" t="s">
        <v>21</v>
      </c>
      <c r="C49" s="206">
        <v>1098.25</v>
      </c>
      <c r="D49" s="207"/>
      <c r="E49" s="208">
        <v>1064.67</v>
      </c>
      <c r="F49" s="209"/>
      <c r="G49" s="208">
        <v>1064.67</v>
      </c>
      <c r="H49" s="209"/>
      <c r="I49" s="210">
        <v>4.18</v>
      </c>
      <c r="J49" s="211"/>
      <c r="K49" s="2"/>
    </row>
    <row r="50" spans="1:14" ht="15.75" thickBot="1">
      <c r="A50" s="51"/>
      <c r="B50" s="24" t="s">
        <v>22</v>
      </c>
      <c r="C50" s="212">
        <v>1665.02</v>
      </c>
      <c r="D50" s="213"/>
      <c r="E50" s="214">
        <v>1509.12</v>
      </c>
      <c r="F50" s="215"/>
      <c r="G50" s="214">
        <v>1509.12</v>
      </c>
      <c r="H50" s="215"/>
      <c r="I50" s="210">
        <v>0</v>
      </c>
      <c r="J50" s="211"/>
      <c r="K50" s="2"/>
    </row>
    <row r="51" spans="1:14" ht="15.75" thickBot="1">
      <c r="A51" s="11"/>
      <c r="B51" s="12" t="s">
        <v>23</v>
      </c>
      <c r="C51" s="195">
        <f>SUM(C48:D50)</f>
        <v>4635.8999999999996</v>
      </c>
      <c r="D51" s="196"/>
      <c r="E51" s="197">
        <f>SUM(E48:E50)</f>
        <v>4065.3919999999998</v>
      </c>
      <c r="F51" s="198"/>
      <c r="G51" s="197">
        <f>G48+G49+G50</f>
        <v>4065.3919999999998</v>
      </c>
      <c r="H51" s="198"/>
      <c r="I51" s="197">
        <f>SUM(I48:I50)</f>
        <v>80.588999999999999</v>
      </c>
      <c r="J51" s="199"/>
      <c r="K51" s="2"/>
    </row>
    <row r="53" spans="1:14" ht="15.75" thickBot="1">
      <c r="E53" s="25"/>
    </row>
    <row r="54" spans="1:14" ht="19.5" thickBot="1">
      <c r="A54" s="200" t="s">
        <v>32</v>
      </c>
      <c r="B54" s="201"/>
      <c r="C54" s="201"/>
      <c r="D54" s="201"/>
      <c r="E54" s="201"/>
      <c r="F54" s="201"/>
      <c r="G54" s="201"/>
      <c r="H54" s="201"/>
      <c r="I54" s="201"/>
      <c r="J54" s="202"/>
      <c r="K54" s="27"/>
      <c r="L54" s="27"/>
    </row>
    <row r="55" spans="1:14">
      <c r="A55" s="28" t="s">
        <v>33</v>
      </c>
      <c r="B55" s="203" t="s">
        <v>34</v>
      </c>
      <c r="C55" s="204"/>
      <c r="D55" s="204"/>
      <c r="E55" s="204"/>
      <c r="F55" s="204"/>
      <c r="G55" s="204"/>
      <c r="H55" s="204"/>
      <c r="I55" s="205"/>
      <c r="J55" s="52" t="s">
        <v>35</v>
      </c>
      <c r="K55" s="53"/>
      <c r="L55" s="53"/>
    </row>
    <row r="56" spans="1:14" s="130" customFormat="1">
      <c r="A56" s="127">
        <v>1</v>
      </c>
      <c r="B56" s="279" t="s">
        <v>85</v>
      </c>
      <c r="C56" s="280"/>
      <c r="D56" s="280"/>
      <c r="E56" s="128"/>
      <c r="F56" s="128"/>
      <c r="G56" s="128"/>
      <c r="H56" s="128"/>
      <c r="I56" s="129"/>
      <c r="J56" s="132">
        <v>4</v>
      </c>
      <c r="L56" s="131"/>
      <c r="M56" s="131"/>
      <c r="N56" s="131"/>
    </row>
    <row r="57" spans="1:14" s="130" customFormat="1">
      <c r="A57" s="127">
        <v>2</v>
      </c>
      <c r="B57" s="279" t="s">
        <v>86</v>
      </c>
      <c r="C57" s="280"/>
      <c r="D57" s="280"/>
      <c r="E57" s="128"/>
      <c r="F57" s="128"/>
      <c r="G57" s="128"/>
      <c r="H57" s="128"/>
      <c r="I57" s="129"/>
      <c r="J57" s="133">
        <v>4.8</v>
      </c>
      <c r="L57" s="131"/>
      <c r="M57" s="131"/>
      <c r="N57" s="131"/>
    </row>
    <row r="58" spans="1:14" s="130" customFormat="1">
      <c r="A58" s="127">
        <v>3</v>
      </c>
      <c r="B58" s="279" t="s">
        <v>67</v>
      </c>
      <c r="C58" s="280"/>
      <c r="D58" s="280"/>
      <c r="E58" s="128"/>
      <c r="F58" s="128"/>
      <c r="G58" s="128"/>
      <c r="H58" s="128"/>
      <c r="I58" s="129"/>
      <c r="J58" s="133">
        <v>4.8</v>
      </c>
      <c r="L58" s="131"/>
      <c r="M58" s="131"/>
      <c r="N58" s="131"/>
    </row>
    <row r="59" spans="1:14" s="130" customFormat="1">
      <c r="A59" s="127">
        <v>4</v>
      </c>
      <c r="B59" s="279" t="s">
        <v>87</v>
      </c>
      <c r="C59" s="280"/>
      <c r="D59" s="280"/>
      <c r="E59" s="128"/>
      <c r="F59" s="128"/>
      <c r="G59" s="128"/>
      <c r="H59" s="128"/>
      <c r="I59" s="129"/>
      <c r="J59" s="133">
        <v>6.4</v>
      </c>
      <c r="L59" s="131"/>
      <c r="M59" s="131"/>
      <c r="N59" s="131"/>
    </row>
    <row r="60" spans="1:14" s="130" customFormat="1">
      <c r="A60" s="127">
        <v>5</v>
      </c>
      <c r="B60" s="279" t="s">
        <v>50</v>
      </c>
      <c r="C60" s="280"/>
      <c r="D60" s="280"/>
      <c r="E60" s="128"/>
      <c r="F60" s="128"/>
      <c r="G60" s="128"/>
      <c r="H60" s="128"/>
      <c r="I60" s="129"/>
      <c r="J60" s="134">
        <v>16.321000000000002</v>
      </c>
      <c r="L60" s="131"/>
      <c r="M60" s="131"/>
      <c r="N60" s="131"/>
    </row>
    <row r="61" spans="1:14" s="130" customFormat="1">
      <c r="A61" s="127">
        <v>6</v>
      </c>
      <c r="B61" s="279" t="s">
        <v>88</v>
      </c>
      <c r="C61" s="280"/>
      <c r="D61" s="280"/>
      <c r="E61" s="128"/>
      <c r="F61" s="128"/>
      <c r="G61" s="128"/>
      <c r="H61" s="128"/>
      <c r="I61" s="129"/>
      <c r="J61" s="133">
        <v>4.4000000000000004</v>
      </c>
      <c r="L61" s="131"/>
      <c r="M61" s="131"/>
      <c r="N61" s="131"/>
    </row>
    <row r="62" spans="1:14" s="130" customFormat="1">
      <c r="A62" s="127">
        <v>7</v>
      </c>
      <c r="B62" s="279" t="s">
        <v>46</v>
      </c>
      <c r="C62" s="280"/>
      <c r="D62" s="280"/>
      <c r="E62" s="128"/>
      <c r="F62" s="128"/>
      <c r="G62" s="128"/>
      <c r="H62" s="128"/>
      <c r="I62" s="129"/>
      <c r="J62" s="134">
        <v>5.9550000000000001</v>
      </c>
      <c r="L62" s="131"/>
      <c r="M62" s="131"/>
      <c r="N62" s="131"/>
    </row>
    <row r="63" spans="1:14" s="130" customFormat="1">
      <c r="A63" s="127">
        <v>8</v>
      </c>
      <c r="B63" s="279" t="s">
        <v>89</v>
      </c>
      <c r="C63" s="280"/>
      <c r="D63" s="280"/>
      <c r="E63" s="128"/>
      <c r="F63" s="128"/>
      <c r="G63" s="128"/>
      <c r="H63" s="128"/>
      <c r="I63" s="129"/>
      <c r="J63" s="132">
        <v>18</v>
      </c>
      <c r="L63" s="131"/>
      <c r="M63" s="131"/>
      <c r="N63" s="131"/>
    </row>
    <row r="64" spans="1:14" s="130" customFormat="1">
      <c r="A64" s="127">
        <v>9</v>
      </c>
      <c r="B64" s="279" t="s">
        <v>71</v>
      </c>
      <c r="C64" s="280"/>
      <c r="D64" s="280"/>
      <c r="E64" s="128"/>
      <c r="F64" s="128"/>
      <c r="G64" s="128"/>
      <c r="H64" s="128"/>
      <c r="I64" s="129"/>
      <c r="J64" s="135">
        <v>5.28</v>
      </c>
      <c r="L64" s="131"/>
      <c r="M64" s="131"/>
      <c r="N64" s="131"/>
    </row>
    <row r="65" spans="1:14" s="130" customFormat="1">
      <c r="A65" s="127">
        <v>10</v>
      </c>
      <c r="B65" s="279" t="s">
        <v>90</v>
      </c>
      <c r="C65" s="280"/>
      <c r="D65" s="280"/>
      <c r="E65" s="128"/>
      <c r="F65" s="128"/>
      <c r="G65" s="128"/>
      <c r="H65" s="128"/>
      <c r="I65" s="129"/>
      <c r="J65" s="132">
        <v>12</v>
      </c>
      <c r="L65" s="131"/>
      <c r="M65" s="131"/>
      <c r="N65" s="131"/>
    </row>
    <row r="66" spans="1:14" s="130" customFormat="1">
      <c r="A66" s="127">
        <v>11</v>
      </c>
      <c r="B66" s="279" t="s">
        <v>91</v>
      </c>
      <c r="C66" s="280"/>
      <c r="D66" s="280"/>
      <c r="E66" s="128"/>
      <c r="F66" s="128"/>
      <c r="G66" s="128"/>
      <c r="H66" s="128"/>
      <c r="I66" s="129"/>
      <c r="J66" s="133">
        <v>14.4</v>
      </c>
      <c r="L66" s="131"/>
      <c r="M66" s="131"/>
      <c r="N66" s="131"/>
    </row>
    <row r="67" spans="1:14" s="130" customFormat="1">
      <c r="A67" s="127">
        <v>12</v>
      </c>
      <c r="B67" s="279" t="s">
        <v>74</v>
      </c>
      <c r="C67" s="280"/>
      <c r="D67" s="280"/>
      <c r="E67" s="128"/>
      <c r="F67" s="128"/>
      <c r="G67" s="128"/>
      <c r="H67" s="128"/>
      <c r="I67" s="129"/>
      <c r="J67" s="132">
        <v>32</v>
      </c>
      <c r="L67" s="131"/>
      <c r="M67" s="131"/>
      <c r="N67" s="131"/>
    </row>
    <row r="68" spans="1:14" s="130" customFormat="1">
      <c r="A68" s="127">
        <v>13</v>
      </c>
      <c r="B68" s="279" t="s">
        <v>92</v>
      </c>
      <c r="C68" s="280"/>
      <c r="D68" s="280"/>
      <c r="E68" s="128"/>
      <c r="F68" s="128"/>
      <c r="G68" s="128"/>
      <c r="H68" s="128"/>
      <c r="I68" s="129"/>
      <c r="J68" s="135">
        <v>14.35</v>
      </c>
      <c r="L68" s="131"/>
      <c r="M68" s="131"/>
      <c r="N68" s="131"/>
    </row>
    <row r="69" spans="1:14" s="130" customFormat="1">
      <c r="A69" s="127">
        <v>14</v>
      </c>
      <c r="B69" s="279" t="s">
        <v>93</v>
      </c>
      <c r="C69" s="280"/>
      <c r="D69" s="280"/>
      <c r="E69" s="128"/>
      <c r="F69" s="128"/>
      <c r="G69" s="128"/>
      <c r="H69" s="128"/>
      <c r="I69" s="129"/>
      <c r="J69" s="135">
        <v>5.28</v>
      </c>
      <c r="L69" s="131"/>
      <c r="M69" s="131"/>
      <c r="N69" s="131"/>
    </row>
    <row r="70" spans="1:14" s="130" customFormat="1">
      <c r="A70" s="127">
        <v>15</v>
      </c>
      <c r="B70" s="279" t="s">
        <v>94</v>
      </c>
      <c r="C70" s="280"/>
      <c r="D70" s="280"/>
      <c r="E70" s="128"/>
      <c r="F70" s="128"/>
      <c r="G70" s="128"/>
      <c r="H70" s="128"/>
      <c r="I70" s="129"/>
      <c r="J70" s="135">
        <v>15.96</v>
      </c>
      <c r="L70" s="131"/>
      <c r="M70" s="131"/>
      <c r="N70" s="131"/>
    </row>
    <row r="71" spans="1:14" s="130" customFormat="1">
      <c r="A71" s="127">
        <v>16</v>
      </c>
      <c r="B71" s="279" t="s">
        <v>95</v>
      </c>
      <c r="C71" s="280"/>
      <c r="D71" s="280"/>
      <c r="E71" s="128"/>
      <c r="F71" s="128"/>
      <c r="G71" s="128"/>
      <c r="H71" s="128"/>
      <c r="I71" s="129"/>
      <c r="J71" s="134">
        <v>4.2240000000000002</v>
      </c>
      <c r="L71" s="131"/>
      <c r="M71" s="131"/>
      <c r="N71" s="131"/>
    </row>
    <row r="72" spans="1:14" s="130" customFormat="1">
      <c r="A72" s="127">
        <v>17</v>
      </c>
      <c r="B72" s="279" t="s">
        <v>49</v>
      </c>
      <c r="C72" s="280"/>
      <c r="D72" s="280"/>
      <c r="E72" s="128"/>
      <c r="F72" s="128"/>
      <c r="G72" s="128"/>
      <c r="H72" s="128"/>
      <c r="I72" s="129"/>
      <c r="J72" s="135">
        <v>7.92</v>
      </c>
      <c r="L72" s="131"/>
      <c r="M72" s="131"/>
      <c r="N72" s="131"/>
    </row>
    <row r="73" spans="1:14" s="4" customFormat="1" ht="15" customHeight="1">
      <c r="A73" s="136">
        <v>18</v>
      </c>
      <c r="B73" s="277" t="s">
        <v>96</v>
      </c>
      <c r="C73" s="277"/>
      <c r="D73" s="278"/>
      <c r="E73" s="125"/>
      <c r="F73" s="125"/>
      <c r="G73" s="125"/>
      <c r="H73" s="125"/>
      <c r="I73" s="126"/>
      <c r="J73" s="137">
        <v>37.6</v>
      </c>
      <c r="L73" s="2"/>
      <c r="M73" s="2"/>
      <c r="N73" s="2"/>
    </row>
    <row r="74" spans="1:14" s="4" customFormat="1" ht="15" customHeight="1">
      <c r="A74" s="136">
        <v>19</v>
      </c>
      <c r="B74" s="277" t="s">
        <v>97</v>
      </c>
      <c r="C74" s="277"/>
      <c r="D74" s="278"/>
      <c r="E74" s="125"/>
      <c r="F74" s="125"/>
      <c r="G74" s="125"/>
      <c r="H74" s="125"/>
      <c r="I74" s="126"/>
      <c r="J74" s="137">
        <v>62.5</v>
      </c>
      <c r="L74" s="2"/>
      <c r="M74" s="2"/>
      <c r="N74" s="2"/>
    </row>
    <row r="75" spans="1:14" s="4" customFormat="1" ht="15" customHeight="1">
      <c r="A75" s="136">
        <v>20</v>
      </c>
      <c r="B75" s="277" t="s">
        <v>98</v>
      </c>
      <c r="C75" s="277"/>
      <c r="D75" s="278"/>
      <c r="E75" s="125"/>
      <c r="F75" s="125"/>
      <c r="G75" s="125"/>
      <c r="H75" s="125"/>
      <c r="I75" s="126"/>
      <c r="J75" s="138">
        <v>24</v>
      </c>
      <c r="L75" s="2"/>
      <c r="M75" s="2"/>
      <c r="N75" s="2"/>
    </row>
    <row r="76" spans="1:14" s="4" customFormat="1" ht="15" customHeight="1">
      <c r="A76" s="136">
        <v>21</v>
      </c>
      <c r="B76" s="277" t="s">
        <v>99</v>
      </c>
      <c r="C76" s="277"/>
      <c r="D76" s="278"/>
      <c r="E76" s="125"/>
      <c r="F76" s="125"/>
      <c r="G76" s="125"/>
      <c r="H76" s="125"/>
      <c r="I76" s="126"/>
      <c r="J76" s="139">
        <v>5.8540000000000001</v>
      </c>
      <c r="L76" s="2"/>
      <c r="M76" s="2"/>
      <c r="N76" s="2"/>
    </row>
    <row r="77" spans="1:14" s="4" customFormat="1" ht="15" customHeight="1">
      <c r="A77" s="136">
        <v>22</v>
      </c>
      <c r="B77" s="277" t="s">
        <v>100</v>
      </c>
      <c r="C77" s="277"/>
      <c r="D77" s="278"/>
      <c r="E77" s="125"/>
      <c r="F77" s="125"/>
      <c r="G77" s="125"/>
      <c r="H77" s="125"/>
      <c r="I77" s="126"/>
      <c r="J77" s="138">
        <v>10</v>
      </c>
      <c r="L77" s="2"/>
      <c r="M77" s="2"/>
      <c r="N77" s="2"/>
    </row>
    <row r="78" spans="1:14" s="4" customFormat="1" ht="15" customHeight="1">
      <c r="A78" s="136">
        <v>23</v>
      </c>
      <c r="B78" s="277" t="s">
        <v>101</v>
      </c>
      <c r="C78" s="277"/>
      <c r="D78" s="278"/>
      <c r="E78" s="125"/>
      <c r="F78" s="125"/>
      <c r="G78" s="125"/>
      <c r="H78" s="125"/>
      <c r="I78" s="126"/>
      <c r="J78" s="137">
        <v>11.2</v>
      </c>
      <c r="L78" s="2"/>
      <c r="M78" s="2"/>
      <c r="N78" s="2"/>
    </row>
    <row r="79" spans="1:14" s="4" customFormat="1" ht="15" customHeight="1">
      <c r="A79" s="136">
        <v>24</v>
      </c>
      <c r="B79" s="277" t="s">
        <v>102</v>
      </c>
      <c r="C79" s="277"/>
      <c r="D79" s="278"/>
      <c r="E79" s="125"/>
      <c r="F79" s="125"/>
      <c r="G79" s="125"/>
      <c r="H79" s="125"/>
      <c r="I79" s="126"/>
      <c r="J79" s="137">
        <v>13.7</v>
      </c>
      <c r="L79" s="2"/>
      <c r="M79" s="2"/>
      <c r="N79" s="2"/>
    </row>
    <row r="80" spans="1:14" s="4" customFormat="1" ht="15" customHeight="1">
      <c r="A80" s="136">
        <v>25</v>
      </c>
      <c r="B80" s="277" t="s">
        <v>103</v>
      </c>
      <c r="C80" s="277"/>
      <c r="D80" s="278"/>
      <c r="E80" s="125"/>
      <c r="F80" s="125"/>
      <c r="G80" s="125"/>
      <c r="H80" s="125"/>
      <c r="I80" s="126"/>
      <c r="J80" s="137">
        <v>92.5</v>
      </c>
      <c r="L80" s="2"/>
      <c r="M80" s="2"/>
      <c r="N80" s="2"/>
    </row>
    <row r="81" spans="1:14" s="4" customFormat="1" ht="15" customHeight="1">
      <c r="A81" s="136">
        <v>26</v>
      </c>
      <c r="B81" s="277" t="s">
        <v>104</v>
      </c>
      <c r="C81" s="277"/>
      <c r="D81" s="278"/>
      <c r="E81" s="125"/>
      <c r="F81" s="125"/>
      <c r="G81" s="125"/>
      <c r="H81" s="125"/>
      <c r="I81" s="126"/>
      <c r="J81" s="140">
        <v>77.63</v>
      </c>
      <c r="L81" s="2"/>
      <c r="M81" s="2"/>
      <c r="N81" s="2"/>
    </row>
    <row r="82" spans="1:14" s="4" customFormat="1" ht="15" customHeight="1">
      <c r="A82" s="136">
        <v>27</v>
      </c>
      <c r="B82" s="277" t="s">
        <v>105</v>
      </c>
      <c r="C82" s="277"/>
      <c r="D82" s="278"/>
      <c r="E82" s="125"/>
      <c r="F82" s="125"/>
      <c r="G82" s="125"/>
      <c r="H82" s="125"/>
      <c r="I82" s="126"/>
      <c r="J82" s="139">
        <v>5.8630000000000004</v>
      </c>
      <c r="L82" s="2"/>
      <c r="M82" s="2"/>
      <c r="N82" s="2"/>
    </row>
    <row r="83" spans="1:14" s="4" customFormat="1" ht="15" customHeight="1">
      <c r="A83" s="136">
        <v>28</v>
      </c>
      <c r="B83" s="277" t="s">
        <v>106</v>
      </c>
      <c r="C83" s="277"/>
      <c r="D83" s="278"/>
      <c r="E83" s="125"/>
      <c r="F83" s="125"/>
      <c r="G83" s="125"/>
      <c r="H83" s="125"/>
      <c r="I83" s="126"/>
      <c r="J83" s="137">
        <v>24.4</v>
      </c>
      <c r="L83" s="2"/>
      <c r="M83" s="2"/>
      <c r="N83" s="2"/>
    </row>
    <row r="84" spans="1:14" s="4" customFormat="1" ht="15" customHeight="1">
      <c r="A84" s="136">
        <v>29</v>
      </c>
      <c r="B84" s="277" t="s">
        <v>107</v>
      </c>
      <c r="C84" s="277"/>
      <c r="D84" s="278"/>
      <c r="E84" s="125"/>
      <c r="F84" s="125"/>
      <c r="G84" s="125"/>
      <c r="H84" s="125"/>
      <c r="I84" s="126"/>
      <c r="J84" s="138">
        <v>25</v>
      </c>
      <c r="L84" s="2"/>
      <c r="M84" s="2"/>
      <c r="N84" s="2"/>
    </row>
    <row r="85" spans="1:14" s="4" customFormat="1" ht="15" customHeight="1">
      <c r="A85" s="136">
        <v>30</v>
      </c>
      <c r="B85" s="277" t="s">
        <v>108</v>
      </c>
      <c r="C85" s="277"/>
      <c r="D85" s="278"/>
      <c r="E85" s="125"/>
      <c r="F85" s="125"/>
      <c r="G85" s="125"/>
      <c r="H85" s="125"/>
      <c r="I85" s="126"/>
      <c r="J85" s="138">
        <v>6</v>
      </c>
      <c r="L85" s="2"/>
      <c r="M85" s="2"/>
      <c r="N85" s="2"/>
    </row>
    <row r="86" spans="1:14" s="4" customFormat="1" ht="15" customHeight="1">
      <c r="A86" s="136">
        <v>31</v>
      </c>
      <c r="B86" s="277" t="s">
        <v>109</v>
      </c>
      <c r="C86" s="277"/>
      <c r="D86" s="278"/>
      <c r="E86" s="125"/>
      <c r="F86" s="125"/>
      <c r="G86" s="125"/>
      <c r="H86" s="125"/>
      <c r="I86" s="126"/>
      <c r="J86" s="137">
        <v>18.8</v>
      </c>
      <c r="L86" s="2"/>
      <c r="M86" s="2"/>
      <c r="N86" s="2"/>
    </row>
    <row r="87" spans="1:14" s="4" customFormat="1">
      <c r="A87" s="110">
        <v>32</v>
      </c>
      <c r="B87" s="194"/>
      <c r="C87" s="194"/>
      <c r="D87" s="194"/>
      <c r="E87" s="194"/>
      <c r="F87" s="194"/>
      <c r="G87" s="194"/>
      <c r="H87" s="194"/>
      <c r="I87" s="194"/>
      <c r="J87" s="111"/>
      <c r="L87" s="2"/>
      <c r="M87" s="2"/>
      <c r="N87" s="2"/>
    </row>
    <row r="88" spans="1:14" s="4" customFormat="1">
      <c r="A88" s="110">
        <v>33</v>
      </c>
      <c r="B88" s="194"/>
      <c r="C88" s="194"/>
      <c r="D88" s="194"/>
      <c r="E88" s="194"/>
      <c r="F88" s="194"/>
      <c r="G88" s="194"/>
      <c r="H88" s="194"/>
      <c r="I88" s="194"/>
      <c r="J88" s="111"/>
      <c r="L88" s="2"/>
      <c r="M88" s="2"/>
      <c r="N88" s="2"/>
    </row>
    <row r="89" spans="1:14" s="4" customFormat="1">
      <c r="A89" s="110">
        <v>34</v>
      </c>
      <c r="B89" s="194"/>
      <c r="C89" s="194"/>
      <c r="D89" s="194"/>
      <c r="E89" s="194"/>
      <c r="F89" s="194"/>
      <c r="G89" s="194"/>
      <c r="H89" s="194"/>
      <c r="I89" s="194"/>
      <c r="J89" s="111"/>
      <c r="L89" s="2"/>
      <c r="M89" s="2"/>
      <c r="N89" s="2"/>
    </row>
    <row r="90" spans="1:14" s="4" customFormat="1">
      <c r="A90" s="110">
        <v>35</v>
      </c>
      <c r="B90" s="194"/>
      <c r="C90" s="194"/>
      <c r="D90" s="194"/>
      <c r="E90" s="194"/>
      <c r="F90" s="194"/>
      <c r="G90" s="194"/>
      <c r="H90" s="194"/>
      <c r="I90" s="194"/>
      <c r="J90" s="111"/>
      <c r="L90" s="2"/>
      <c r="M90" s="2"/>
      <c r="N90" s="2"/>
    </row>
    <row r="91" spans="1:14" s="4" customFormat="1">
      <c r="A91" s="110">
        <v>36</v>
      </c>
      <c r="B91" s="194"/>
      <c r="C91" s="194"/>
      <c r="D91" s="194"/>
      <c r="E91" s="194"/>
      <c r="F91" s="194"/>
      <c r="G91" s="194"/>
      <c r="H91" s="194"/>
      <c r="I91" s="194"/>
      <c r="J91" s="111"/>
      <c r="L91" s="2"/>
      <c r="M91" s="2"/>
      <c r="N91" s="2"/>
    </row>
    <row r="92" spans="1:14" s="4" customFormat="1" ht="15.75" thickBot="1">
      <c r="A92" s="108"/>
      <c r="B92" s="191" t="s">
        <v>15</v>
      </c>
      <c r="C92" s="192"/>
      <c r="D92" s="192"/>
      <c r="E92" s="192"/>
      <c r="F92" s="192"/>
      <c r="G92" s="192"/>
      <c r="H92" s="192"/>
      <c r="I92" s="193"/>
      <c r="J92" s="109">
        <f>SUM(J56:J91)</f>
        <v>591.13699999999983</v>
      </c>
      <c r="L92" s="2"/>
      <c r="M92" s="2"/>
      <c r="N92" s="2"/>
    </row>
  </sheetData>
  <mergeCells count="102">
    <mergeCell ref="A1:C1"/>
    <mergeCell ref="E1:H1"/>
    <mergeCell ref="J1:K1"/>
    <mergeCell ref="A2:C2"/>
    <mergeCell ref="F2:H2"/>
    <mergeCell ref="J2:K2"/>
    <mergeCell ref="J6:J7"/>
    <mergeCell ref="K6:L6"/>
    <mergeCell ref="A21:F21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B62:D62"/>
    <mergeCell ref="B63:D63"/>
    <mergeCell ref="B64:D64"/>
    <mergeCell ref="B65:D65"/>
    <mergeCell ref="B66:D66"/>
    <mergeCell ref="B67:D67"/>
    <mergeCell ref="B56:D56"/>
    <mergeCell ref="B57:D57"/>
    <mergeCell ref="B58:D58"/>
    <mergeCell ref="B59:D59"/>
    <mergeCell ref="B60:D60"/>
    <mergeCell ref="B61:D61"/>
    <mergeCell ref="B74:D74"/>
    <mergeCell ref="B75:D75"/>
    <mergeCell ref="B76:D76"/>
    <mergeCell ref="B77:D77"/>
    <mergeCell ref="B78:D78"/>
    <mergeCell ref="B79:D79"/>
    <mergeCell ref="B68:D68"/>
    <mergeCell ref="B69:D69"/>
    <mergeCell ref="B70:D70"/>
    <mergeCell ref="B71:D71"/>
    <mergeCell ref="B72:D72"/>
    <mergeCell ref="B73:D73"/>
    <mergeCell ref="B92:I92"/>
    <mergeCell ref="B86:D86"/>
    <mergeCell ref="B87:I87"/>
    <mergeCell ref="B88:I88"/>
    <mergeCell ref="B89:I89"/>
    <mergeCell ref="B90:I90"/>
    <mergeCell ref="B91:I91"/>
    <mergeCell ref="B80:D80"/>
    <mergeCell ref="B81:D81"/>
    <mergeCell ref="B82:D82"/>
    <mergeCell ref="B83:D83"/>
    <mergeCell ref="B84:D84"/>
    <mergeCell ref="B85:D85"/>
  </mergeCells>
  <pageMargins left="0" right="0" top="0.59055118110236204" bottom="0" header="0" footer="0"/>
  <pageSetup paperSize="9" scale="5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N92"/>
  <sheetViews>
    <sheetView topLeftCell="A37" zoomScale="85" zoomScaleNormal="85" workbookViewId="0">
      <pane xSplit="3" topLeftCell="D1" activePane="topRight" state="frozen"/>
      <selection pane="topRight" activeCell="I50" sqref="I50:J50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9" width="10.71093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9" t="s">
        <v>51</v>
      </c>
      <c r="B1" s="269"/>
      <c r="C1" s="269"/>
      <c r="D1" s="1"/>
      <c r="E1" s="269" t="s">
        <v>24</v>
      </c>
      <c r="F1" s="269"/>
      <c r="G1" s="269"/>
      <c r="H1" s="269"/>
      <c r="I1" s="123"/>
      <c r="J1" s="270">
        <v>5</v>
      </c>
      <c r="K1" s="270"/>
    </row>
    <row r="2" spans="1:12" ht="28.5">
      <c r="A2" s="271">
        <v>46316</v>
      </c>
      <c r="B2" s="272"/>
      <c r="C2" s="272"/>
      <c r="D2" s="3"/>
      <c r="E2" s="3"/>
      <c r="F2" s="273"/>
      <c r="G2" s="273"/>
      <c r="H2" s="273"/>
      <c r="I2" s="124"/>
      <c r="J2" s="273"/>
      <c r="K2" s="273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62" t="s">
        <v>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5" t="s">
        <v>1</v>
      </c>
      <c r="B6" s="266" t="s">
        <v>2</v>
      </c>
      <c r="C6" s="266" t="s">
        <v>3</v>
      </c>
      <c r="D6" s="266" t="s">
        <v>4</v>
      </c>
      <c r="E6" s="122" t="s">
        <v>5</v>
      </c>
      <c r="F6" s="266" t="s">
        <v>6</v>
      </c>
      <c r="G6" s="267" t="s">
        <v>7</v>
      </c>
      <c r="H6" s="268" t="s">
        <v>8</v>
      </c>
      <c r="I6" s="266" t="s">
        <v>9</v>
      </c>
      <c r="J6" s="274" t="s">
        <v>30</v>
      </c>
      <c r="K6" s="275" t="s">
        <v>10</v>
      </c>
      <c r="L6" s="276"/>
    </row>
    <row r="7" spans="1:12" s="8" customFormat="1" ht="63.6" customHeight="1">
      <c r="A7" s="265"/>
      <c r="B7" s="266"/>
      <c r="C7" s="266"/>
      <c r="D7" s="266"/>
      <c r="E7" s="122" t="s">
        <v>11</v>
      </c>
      <c r="F7" s="266"/>
      <c r="G7" s="267"/>
      <c r="H7" s="268"/>
      <c r="I7" s="266"/>
      <c r="J7" s="238"/>
      <c r="K7" s="122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0.3125</v>
      </c>
      <c r="G8" s="22">
        <v>20</v>
      </c>
      <c r="H8" s="26">
        <v>770.50099999999998</v>
      </c>
      <c r="I8" s="23">
        <v>0.61805555555555558</v>
      </c>
      <c r="J8" s="21">
        <f>I8-F8</f>
        <v>0.30555555555555558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0.30208333333333331</v>
      </c>
      <c r="G9" s="22">
        <v>28</v>
      </c>
      <c r="H9" s="26">
        <v>936.17600000000004</v>
      </c>
      <c r="I9" s="23">
        <v>0.625</v>
      </c>
      <c r="J9" s="21">
        <f t="shared" ref="J9:J11" si="0">I9-F9</f>
        <v>0.32291666666666669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0.31944444444444448</v>
      </c>
      <c r="G10" s="22">
        <v>32</v>
      </c>
      <c r="H10" s="26">
        <v>852.57399999999996</v>
      </c>
      <c r="I10" s="23">
        <v>0.66666666666666663</v>
      </c>
      <c r="J10" s="21">
        <f t="shared" si="0"/>
        <v>0.34722222222222215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0.31597222222222221</v>
      </c>
      <c r="G11" s="22">
        <v>16</v>
      </c>
      <c r="H11" s="26">
        <v>686.72799999999995</v>
      </c>
      <c r="I11" s="23">
        <v>0.67708333333333337</v>
      </c>
      <c r="J11" s="21">
        <f t="shared" si="0"/>
        <v>0.36111111111111116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8" t="s">
        <v>15</v>
      </c>
      <c r="B21" s="259"/>
      <c r="C21" s="259"/>
      <c r="D21" s="259"/>
      <c r="E21" s="259"/>
      <c r="F21" s="260"/>
      <c r="G21" s="70">
        <f>SUM(G8:G20)</f>
        <v>96</v>
      </c>
      <c r="H21" s="70">
        <f>SUM(H8:H20)</f>
        <v>3245.9790000000003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5" t="s">
        <v>26</v>
      </c>
      <c r="B24" s="256"/>
      <c r="C24" s="256"/>
      <c r="D24" s="256"/>
      <c r="E24" s="256"/>
      <c r="F24" s="256"/>
      <c r="G24" s="256"/>
      <c r="H24" s="256"/>
      <c r="I24" s="257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22" t="s">
        <v>2</v>
      </c>
      <c r="C26" s="122" t="s">
        <v>3</v>
      </c>
      <c r="D26" s="122" t="s">
        <v>27</v>
      </c>
      <c r="E26" s="122" t="s">
        <v>6</v>
      </c>
      <c r="F26" s="122" t="s">
        <v>28</v>
      </c>
      <c r="G26" s="122" t="s">
        <v>8</v>
      </c>
      <c r="H26" s="122" t="s">
        <v>31</v>
      </c>
      <c r="I26" s="31" t="s">
        <v>30</v>
      </c>
      <c r="J26" s="8"/>
      <c r="K26" s="8"/>
      <c r="L26" s="8"/>
      <c r="N26" s="43"/>
    </row>
    <row r="27" spans="1:14">
      <c r="A27" s="57">
        <v>5</v>
      </c>
      <c r="B27" s="56" t="s">
        <v>110</v>
      </c>
      <c r="C27" s="55" t="s">
        <v>111</v>
      </c>
      <c r="D27" s="39">
        <v>9000</v>
      </c>
      <c r="E27" s="38">
        <v>0.30555555555555552</v>
      </c>
      <c r="F27" s="22">
        <v>25</v>
      </c>
      <c r="G27" s="26">
        <v>918.00099999999998</v>
      </c>
      <c r="H27" s="35">
        <v>0.67361111111111116</v>
      </c>
      <c r="I27" s="36">
        <f>H27-E27</f>
        <v>0.36805555555555564</v>
      </c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8" t="s">
        <v>15</v>
      </c>
      <c r="B31" s="259"/>
      <c r="C31" s="260"/>
      <c r="D31" s="10"/>
      <c r="E31" s="32"/>
      <c r="F31" s="32"/>
      <c r="G31" s="32">
        <v>918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5" t="s">
        <v>12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51">
        <v>12</v>
      </c>
      <c r="M34" s="252"/>
    </row>
    <row r="35" spans="1:13" ht="75">
      <c r="A35" s="253" t="s">
        <v>1</v>
      </c>
      <c r="B35" s="237" t="s">
        <v>2</v>
      </c>
      <c r="C35" s="237" t="s">
        <v>3</v>
      </c>
      <c r="D35" s="237" t="s">
        <v>4</v>
      </c>
      <c r="E35" s="97" t="s">
        <v>5</v>
      </c>
      <c r="F35" s="237" t="s">
        <v>14</v>
      </c>
      <c r="G35" s="237" t="s">
        <v>13</v>
      </c>
      <c r="H35" s="237" t="s">
        <v>37</v>
      </c>
      <c r="I35" s="237" t="s">
        <v>39</v>
      </c>
      <c r="J35" s="237" t="s">
        <v>38</v>
      </c>
      <c r="K35" s="237" t="s">
        <v>40</v>
      </c>
      <c r="L35" s="239" t="s">
        <v>36</v>
      </c>
      <c r="M35" s="240"/>
    </row>
    <row r="36" spans="1:13" ht="75">
      <c r="A36" s="254"/>
      <c r="B36" s="238"/>
      <c r="C36" s="238"/>
      <c r="D36" s="238"/>
      <c r="E36" s="121" t="s">
        <v>11</v>
      </c>
      <c r="F36" s="238"/>
      <c r="G36" s="238"/>
      <c r="H36" s="238"/>
      <c r="I36" s="238"/>
      <c r="J36" s="238"/>
      <c r="K36" s="238"/>
      <c r="L36" s="241"/>
      <c r="M36" s="242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43"/>
      <c r="M37" s="244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45"/>
      <c r="M38" s="246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47"/>
      <c r="M39" s="248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49"/>
      <c r="M40" s="250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22"/>
      <c r="M41" s="223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24"/>
      <c r="M42" s="225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26"/>
      <c r="M43" s="227"/>
    </row>
    <row r="44" spans="1:13" ht="15.75" thickBot="1">
      <c r="A44" s="228" t="s">
        <v>15</v>
      </c>
      <c r="B44" s="229"/>
      <c r="C44" s="229"/>
      <c r="D44" s="229"/>
      <c r="E44" s="230"/>
      <c r="F44" s="96"/>
      <c r="G44" s="231">
        <f>SUM(G37:G43)</f>
        <v>0</v>
      </c>
      <c r="H44" s="232"/>
      <c r="I44" s="232"/>
      <c r="J44" s="232"/>
      <c r="K44" s="232"/>
      <c r="L44" s="233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234" t="s">
        <v>16</v>
      </c>
      <c r="B46" s="235"/>
      <c r="C46" s="235"/>
      <c r="D46" s="235"/>
      <c r="E46" s="235"/>
      <c r="F46" s="235"/>
      <c r="G46" s="235"/>
      <c r="H46" s="235"/>
      <c r="I46" s="235"/>
      <c r="J46" s="236"/>
      <c r="K46" s="2"/>
    </row>
    <row r="47" spans="1:13" ht="30">
      <c r="A47" s="50"/>
      <c r="B47" s="18"/>
      <c r="C47" s="120"/>
      <c r="D47" s="120" t="s">
        <v>17</v>
      </c>
      <c r="E47" s="216" t="s">
        <v>18</v>
      </c>
      <c r="F47" s="216"/>
      <c r="G47" s="216" t="s">
        <v>19</v>
      </c>
      <c r="H47" s="216"/>
      <c r="I47" s="216" t="s">
        <v>29</v>
      </c>
      <c r="J47" s="217"/>
      <c r="K47" s="2"/>
    </row>
    <row r="48" spans="1:13">
      <c r="A48" s="50"/>
      <c r="B48" s="24" t="s">
        <v>20</v>
      </c>
      <c r="C48" s="206">
        <v>2087.02</v>
      </c>
      <c r="D48" s="207"/>
      <c r="E48" s="218">
        <v>2031.65</v>
      </c>
      <c r="F48" s="219"/>
      <c r="G48" s="218">
        <v>2031.65</v>
      </c>
      <c r="H48" s="219"/>
      <c r="I48" s="220">
        <v>5.86</v>
      </c>
      <c r="J48" s="221"/>
      <c r="K48" s="2"/>
    </row>
    <row r="49" spans="1:14">
      <c r="A49" s="51"/>
      <c r="B49" s="24" t="s">
        <v>21</v>
      </c>
      <c r="C49" s="206">
        <v>1283.95</v>
      </c>
      <c r="D49" s="207"/>
      <c r="E49" s="208">
        <v>1195.79</v>
      </c>
      <c r="F49" s="209"/>
      <c r="G49" s="208">
        <v>1195.79</v>
      </c>
      <c r="H49" s="209"/>
      <c r="I49" s="210">
        <v>0</v>
      </c>
      <c r="J49" s="211"/>
      <c r="K49" s="2"/>
    </row>
    <row r="50" spans="1:14" ht="15.75" thickBot="1">
      <c r="A50" s="51"/>
      <c r="B50" s="24" t="s">
        <v>22</v>
      </c>
      <c r="C50" s="212">
        <v>1012.97</v>
      </c>
      <c r="D50" s="213"/>
      <c r="E50" s="214">
        <v>936.54</v>
      </c>
      <c r="F50" s="215"/>
      <c r="G50" s="214">
        <v>936.54</v>
      </c>
      <c r="H50" s="215"/>
      <c r="I50" s="210">
        <v>0.41</v>
      </c>
      <c r="J50" s="211"/>
      <c r="K50" s="2"/>
    </row>
    <row r="51" spans="1:14" ht="15.75" thickBot="1">
      <c r="A51" s="11"/>
      <c r="B51" s="12" t="s">
        <v>23</v>
      </c>
      <c r="C51" s="195">
        <f>SUM(C48:D50)</f>
        <v>4383.9400000000005</v>
      </c>
      <c r="D51" s="196"/>
      <c r="E51" s="197">
        <f>SUM(E48:E50)</f>
        <v>4163.9799999999996</v>
      </c>
      <c r="F51" s="198"/>
      <c r="G51" s="197">
        <f>G48+G49+G50</f>
        <v>4163.9799999999996</v>
      </c>
      <c r="H51" s="198"/>
      <c r="I51" s="197">
        <f>SUM(I48:I50)</f>
        <v>6.2700000000000005</v>
      </c>
      <c r="J51" s="199"/>
      <c r="K51" s="2"/>
    </row>
    <row r="53" spans="1:14" ht="15.75" thickBot="1">
      <c r="E53" s="25"/>
    </row>
    <row r="54" spans="1:14" ht="19.5" thickBot="1">
      <c r="A54" s="200" t="s">
        <v>32</v>
      </c>
      <c r="B54" s="201"/>
      <c r="C54" s="201"/>
      <c r="D54" s="201"/>
      <c r="E54" s="201"/>
      <c r="F54" s="201"/>
      <c r="G54" s="201"/>
      <c r="H54" s="201"/>
      <c r="I54" s="201"/>
      <c r="J54" s="202"/>
      <c r="K54" s="27"/>
      <c r="L54" s="27"/>
    </row>
    <row r="55" spans="1:14">
      <c r="A55" s="28" t="s">
        <v>33</v>
      </c>
      <c r="B55" s="203" t="s">
        <v>34</v>
      </c>
      <c r="C55" s="204"/>
      <c r="D55" s="204"/>
      <c r="E55" s="204"/>
      <c r="F55" s="204"/>
      <c r="G55" s="204"/>
      <c r="H55" s="204"/>
      <c r="I55" s="205"/>
      <c r="J55" s="52" t="s">
        <v>35</v>
      </c>
      <c r="K55" s="53"/>
      <c r="L55" s="53"/>
    </row>
    <row r="56" spans="1:14" s="130" customFormat="1">
      <c r="A56" s="127">
        <v>1</v>
      </c>
      <c r="B56" s="283" t="s">
        <v>50</v>
      </c>
      <c r="C56" s="283"/>
      <c r="D56" s="283"/>
      <c r="E56" s="141"/>
      <c r="F56" s="142"/>
      <c r="G56" s="142"/>
      <c r="H56" s="142"/>
      <c r="I56" s="143"/>
      <c r="J56" s="144">
        <v>10</v>
      </c>
      <c r="L56" s="131"/>
      <c r="M56" s="131"/>
      <c r="N56" s="131"/>
    </row>
    <row r="57" spans="1:14" s="130" customFormat="1">
      <c r="A57" s="127">
        <v>2</v>
      </c>
      <c r="B57" s="283" t="s">
        <v>88</v>
      </c>
      <c r="C57" s="283"/>
      <c r="D57" s="283"/>
      <c r="E57" s="141"/>
      <c r="F57" s="142"/>
      <c r="G57" s="142"/>
      <c r="H57" s="142"/>
      <c r="I57" s="143"/>
      <c r="J57" s="145">
        <v>6.4</v>
      </c>
      <c r="L57" s="131"/>
      <c r="M57" s="131"/>
      <c r="N57" s="131"/>
    </row>
    <row r="58" spans="1:14" s="130" customFormat="1">
      <c r="A58" s="127">
        <v>3</v>
      </c>
      <c r="B58" s="283" t="s">
        <v>46</v>
      </c>
      <c r="C58" s="283"/>
      <c r="D58" s="283"/>
      <c r="E58" s="141"/>
      <c r="F58" s="142"/>
      <c r="G58" s="142"/>
      <c r="H58" s="142"/>
      <c r="I58" s="143"/>
      <c r="J58" s="146">
        <v>10.977</v>
      </c>
      <c r="L58" s="131"/>
      <c r="M58" s="131"/>
      <c r="N58" s="131"/>
    </row>
    <row r="59" spans="1:14" s="130" customFormat="1">
      <c r="A59" s="127">
        <v>4</v>
      </c>
      <c r="B59" s="283" t="s">
        <v>89</v>
      </c>
      <c r="C59" s="283"/>
      <c r="D59" s="283"/>
      <c r="E59" s="141"/>
      <c r="F59" s="142"/>
      <c r="G59" s="142"/>
      <c r="H59" s="142"/>
      <c r="I59" s="143"/>
      <c r="J59" s="145">
        <v>6.3</v>
      </c>
      <c r="L59" s="131"/>
      <c r="M59" s="131"/>
      <c r="N59" s="131"/>
    </row>
    <row r="60" spans="1:14" s="130" customFormat="1">
      <c r="A60" s="127">
        <v>5</v>
      </c>
      <c r="B60" s="283" t="s">
        <v>112</v>
      </c>
      <c r="C60" s="283"/>
      <c r="D60" s="283"/>
      <c r="E60" s="141"/>
      <c r="F60" s="142"/>
      <c r="G60" s="142"/>
      <c r="H60" s="142"/>
      <c r="I60" s="143"/>
      <c r="J60" s="145">
        <v>7.5</v>
      </c>
      <c r="L60" s="131"/>
      <c r="M60" s="131"/>
      <c r="N60" s="131"/>
    </row>
    <row r="61" spans="1:14" s="130" customFormat="1">
      <c r="A61" s="127">
        <v>6</v>
      </c>
      <c r="B61" s="283" t="s">
        <v>71</v>
      </c>
      <c r="C61" s="283"/>
      <c r="D61" s="283"/>
      <c r="E61" s="141"/>
      <c r="F61" s="142"/>
      <c r="G61" s="142"/>
      <c r="H61" s="142"/>
      <c r="I61" s="143"/>
      <c r="J61" s="147">
        <v>5.28</v>
      </c>
      <c r="L61" s="131"/>
      <c r="M61" s="131"/>
      <c r="N61" s="131"/>
    </row>
    <row r="62" spans="1:14" s="130" customFormat="1">
      <c r="A62" s="127">
        <v>7</v>
      </c>
      <c r="B62" s="283" t="s">
        <v>74</v>
      </c>
      <c r="C62" s="283"/>
      <c r="D62" s="283"/>
      <c r="E62" s="141"/>
      <c r="F62" s="142"/>
      <c r="G62" s="142"/>
      <c r="H62" s="142"/>
      <c r="I62" s="143"/>
      <c r="J62" s="146">
        <v>7.3220000000000001</v>
      </c>
      <c r="L62" s="131"/>
      <c r="M62" s="131"/>
      <c r="N62" s="131"/>
    </row>
    <row r="63" spans="1:14" s="130" customFormat="1">
      <c r="A63" s="127">
        <v>8</v>
      </c>
      <c r="B63" s="283" t="s">
        <v>94</v>
      </c>
      <c r="C63" s="283"/>
      <c r="D63" s="283"/>
      <c r="E63" s="141"/>
      <c r="F63" s="142"/>
      <c r="G63" s="142"/>
      <c r="H63" s="142"/>
      <c r="I63" s="143"/>
      <c r="J63" s="147">
        <v>8.1199999999999992</v>
      </c>
      <c r="L63" s="131"/>
      <c r="M63" s="131"/>
      <c r="N63" s="131"/>
    </row>
    <row r="64" spans="1:14" s="130" customFormat="1">
      <c r="A64" s="127">
        <v>9</v>
      </c>
      <c r="B64" s="281" t="s">
        <v>113</v>
      </c>
      <c r="C64" s="281"/>
      <c r="D64" s="281"/>
      <c r="E64" s="282"/>
      <c r="F64" s="142"/>
      <c r="G64" s="142"/>
      <c r="H64" s="142"/>
      <c r="I64" s="143"/>
      <c r="J64" s="145">
        <v>24.3</v>
      </c>
      <c r="L64" s="131"/>
      <c r="M64" s="131"/>
      <c r="N64" s="131"/>
    </row>
    <row r="65" spans="1:14" s="130" customFormat="1">
      <c r="A65" s="127">
        <v>10</v>
      </c>
      <c r="B65" s="281" t="s">
        <v>97</v>
      </c>
      <c r="C65" s="281"/>
      <c r="D65" s="281"/>
      <c r="E65" s="282"/>
      <c r="F65" s="142"/>
      <c r="G65" s="142"/>
      <c r="H65" s="142"/>
      <c r="I65" s="143"/>
      <c r="J65" s="146">
        <v>17.638000000000002</v>
      </c>
      <c r="L65" s="131"/>
      <c r="M65" s="131"/>
      <c r="N65" s="131"/>
    </row>
    <row r="66" spans="1:14" s="130" customFormat="1">
      <c r="A66" s="127">
        <v>11</v>
      </c>
      <c r="B66" s="281" t="s">
        <v>114</v>
      </c>
      <c r="C66" s="281"/>
      <c r="D66" s="281"/>
      <c r="E66" s="282"/>
      <c r="F66" s="142"/>
      <c r="G66" s="142"/>
      <c r="H66" s="142"/>
      <c r="I66" s="143"/>
      <c r="J66" s="144">
        <v>5</v>
      </c>
      <c r="L66" s="131"/>
      <c r="M66" s="131"/>
      <c r="N66" s="131"/>
    </row>
    <row r="67" spans="1:14" s="130" customFormat="1">
      <c r="A67" s="127">
        <v>12</v>
      </c>
      <c r="B67" s="281" t="s">
        <v>115</v>
      </c>
      <c r="C67" s="281"/>
      <c r="D67" s="281"/>
      <c r="E67" s="282"/>
      <c r="F67" s="142"/>
      <c r="G67" s="142"/>
      <c r="H67" s="142"/>
      <c r="I67" s="143"/>
      <c r="J67" s="145">
        <v>5.6</v>
      </c>
      <c r="L67" s="131"/>
      <c r="M67" s="131"/>
      <c r="N67" s="131"/>
    </row>
    <row r="68" spans="1:14" s="130" customFormat="1">
      <c r="A68" s="127">
        <v>13</v>
      </c>
      <c r="B68" s="281" t="s">
        <v>98</v>
      </c>
      <c r="C68" s="281"/>
      <c r="D68" s="281"/>
      <c r="E68" s="282"/>
      <c r="F68" s="142"/>
      <c r="G68" s="142"/>
      <c r="H68" s="142"/>
      <c r="I68" s="143"/>
      <c r="J68" s="146">
        <v>14.897</v>
      </c>
      <c r="L68" s="131"/>
      <c r="M68" s="131"/>
      <c r="N68" s="131"/>
    </row>
    <row r="69" spans="1:14" s="130" customFormat="1">
      <c r="A69" s="127">
        <v>14</v>
      </c>
      <c r="B69" s="281" t="s">
        <v>116</v>
      </c>
      <c r="C69" s="281"/>
      <c r="D69" s="281"/>
      <c r="E69" s="282"/>
      <c r="F69" s="142"/>
      <c r="G69" s="142"/>
      <c r="H69" s="142"/>
      <c r="I69" s="143"/>
      <c r="J69" s="145">
        <v>5.4</v>
      </c>
      <c r="L69" s="131"/>
      <c r="M69" s="131"/>
      <c r="N69" s="131"/>
    </row>
    <row r="70" spans="1:14" s="130" customFormat="1">
      <c r="A70" s="127">
        <v>15</v>
      </c>
      <c r="B70" s="281" t="s">
        <v>117</v>
      </c>
      <c r="C70" s="281"/>
      <c r="D70" s="281"/>
      <c r="E70" s="282"/>
      <c r="F70" s="142"/>
      <c r="G70" s="142"/>
      <c r="H70" s="142"/>
      <c r="I70" s="143"/>
      <c r="J70" s="144">
        <v>18</v>
      </c>
      <c r="L70" s="131"/>
      <c r="M70" s="131"/>
      <c r="N70" s="131"/>
    </row>
    <row r="71" spans="1:14" s="130" customFormat="1">
      <c r="A71" s="127">
        <v>16</v>
      </c>
      <c r="B71" s="281" t="s">
        <v>105</v>
      </c>
      <c r="C71" s="281"/>
      <c r="D71" s="281"/>
      <c r="E71" s="282"/>
      <c r="F71" s="142"/>
      <c r="G71" s="142"/>
      <c r="H71" s="142"/>
      <c r="I71" s="143"/>
      <c r="J71" s="146">
        <v>3.4039999999999999</v>
      </c>
      <c r="L71" s="131"/>
      <c r="M71" s="131"/>
      <c r="N71" s="131"/>
    </row>
    <row r="72" spans="1:14" s="130" customFormat="1">
      <c r="A72" s="127">
        <v>17</v>
      </c>
      <c r="B72" s="281" t="s">
        <v>50</v>
      </c>
      <c r="C72" s="281"/>
      <c r="D72" s="281"/>
      <c r="E72" s="282"/>
      <c r="F72" s="142"/>
      <c r="G72" s="142"/>
      <c r="H72" s="142"/>
      <c r="I72" s="143"/>
      <c r="J72" s="144">
        <v>10</v>
      </c>
      <c r="L72" s="131"/>
      <c r="M72" s="131"/>
      <c r="N72" s="131"/>
    </row>
    <row r="73" spans="1:14" s="4" customFormat="1" ht="15" customHeight="1">
      <c r="A73" s="136">
        <v>18</v>
      </c>
      <c r="B73" s="281" t="s">
        <v>88</v>
      </c>
      <c r="C73" s="281"/>
      <c r="D73" s="281"/>
      <c r="E73" s="282"/>
      <c r="F73" s="142"/>
      <c r="G73" s="142"/>
      <c r="H73" s="142"/>
      <c r="I73" s="143"/>
      <c r="J73" s="145">
        <v>6.4</v>
      </c>
      <c r="L73" s="2"/>
      <c r="M73" s="2"/>
      <c r="N73" s="2"/>
    </row>
    <row r="74" spans="1:14" s="4" customFormat="1" ht="15" customHeight="1">
      <c r="A74" s="136">
        <v>19</v>
      </c>
      <c r="B74" s="281" t="s">
        <v>46</v>
      </c>
      <c r="C74" s="281"/>
      <c r="D74" s="281"/>
      <c r="E74" s="282"/>
      <c r="F74" s="142"/>
      <c r="G74" s="142"/>
      <c r="H74" s="142"/>
      <c r="I74" s="143"/>
      <c r="J74" s="146">
        <v>10.977</v>
      </c>
      <c r="L74" s="2"/>
      <c r="M74" s="2"/>
      <c r="N74" s="2"/>
    </row>
    <row r="75" spans="1:14" s="4" customFormat="1" ht="15" customHeight="1">
      <c r="A75" s="136">
        <v>20</v>
      </c>
      <c r="B75" s="281" t="s">
        <v>89</v>
      </c>
      <c r="C75" s="281"/>
      <c r="D75" s="281"/>
      <c r="E75" s="282"/>
      <c r="F75" s="142"/>
      <c r="G75" s="142"/>
      <c r="H75" s="142"/>
      <c r="I75" s="143"/>
      <c r="J75" s="145">
        <v>6.3</v>
      </c>
      <c r="L75" s="2"/>
      <c r="M75" s="2"/>
      <c r="N75" s="2"/>
    </row>
    <row r="76" spans="1:14" s="4" customFormat="1" ht="15" customHeight="1">
      <c r="A76" s="136">
        <v>21</v>
      </c>
      <c r="B76" s="281" t="s">
        <v>112</v>
      </c>
      <c r="C76" s="281"/>
      <c r="D76" s="281"/>
      <c r="E76" s="282"/>
      <c r="F76" s="142"/>
      <c r="G76" s="142"/>
      <c r="H76" s="142"/>
      <c r="I76" s="143"/>
      <c r="J76" s="145">
        <v>7.5</v>
      </c>
      <c r="L76" s="2"/>
      <c r="M76" s="2"/>
      <c r="N76" s="2"/>
    </row>
    <row r="77" spans="1:14" s="4" customFormat="1" ht="15" customHeight="1">
      <c r="A77" s="136">
        <v>22</v>
      </c>
      <c r="B77" s="281" t="s">
        <v>71</v>
      </c>
      <c r="C77" s="281"/>
      <c r="D77" s="281"/>
      <c r="E77" s="282"/>
      <c r="F77" s="142"/>
      <c r="G77" s="142"/>
      <c r="H77" s="142"/>
      <c r="I77" s="143"/>
      <c r="J77" s="147">
        <v>5.28</v>
      </c>
      <c r="L77" s="2"/>
      <c r="M77" s="2"/>
      <c r="N77" s="2"/>
    </row>
    <row r="78" spans="1:14" s="4" customFormat="1" ht="15" customHeight="1">
      <c r="A78" s="136">
        <v>23</v>
      </c>
      <c r="B78" s="281" t="s">
        <v>118</v>
      </c>
      <c r="C78" s="281"/>
      <c r="D78" s="281"/>
      <c r="E78" s="282"/>
      <c r="F78" s="142"/>
      <c r="G78" s="142"/>
      <c r="H78" s="142"/>
      <c r="I78" s="143"/>
      <c r="J78" s="145">
        <v>0.4</v>
      </c>
      <c r="L78" s="2"/>
      <c r="M78" s="2"/>
      <c r="N78" s="2"/>
    </row>
    <row r="79" spans="1:14" s="4" customFormat="1" ht="15" customHeight="1">
      <c r="A79" s="136">
        <v>24</v>
      </c>
      <c r="B79" s="281" t="s">
        <v>74</v>
      </c>
      <c r="C79" s="281"/>
      <c r="D79" s="281"/>
      <c r="E79" s="282"/>
      <c r="F79" s="142"/>
      <c r="G79" s="142"/>
      <c r="H79" s="142"/>
      <c r="I79" s="143"/>
      <c r="J79" s="146">
        <v>7.3220000000000001</v>
      </c>
      <c r="L79" s="2"/>
      <c r="M79" s="2"/>
      <c r="N79" s="2"/>
    </row>
    <row r="80" spans="1:14" s="4" customFormat="1" ht="15" customHeight="1">
      <c r="A80" s="136">
        <v>25</v>
      </c>
      <c r="B80" s="281" t="s">
        <v>94</v>
      </c>
      <c r="C80" s="281"/>
      <c r="D80" s="281"/>
      <c r="E80" s="282"/>
      <c r="F80" s="142"/>
      <c r="G80" s="142"/>
      <c r="H80" s="142"/>
      <c r="I80" s="143"/>
      <c r="J80" s="147">
        <v>8.1199999999999992</v>
      </c>
      <c r="L80" s="2"/>
      <c r="M80" s="2"/>
      <c r="N80" s="2"/>
    </row>
    <row r="81" spans="1:14" s="4" customFormat="1" ht="15" customHeight="1">
      <c r="A81" s="136">
        <v>26</v>
      </c>
      <c r="B81" s="281" t="s">
        <v>119</v>
      </c>
      <c r="C81" s="281"/>
      <c r="D81" s="281"/>
      <c r="E81" s="282"/>
      <c r="F81" s="142"/>
      <c r="G81" s="142"/>
      <c r="H81" s="142"/>
      <c r="I81" s="143"/>
      <c r="J81" s="144">
        <v>9</v>
      </c>
      <c r="L81" s="2"/>
      <c r="M81" s="2"/>
      <c r="N81" s="2"/>
    </row>
    <row r="82" spans="1:14" s="4" customFormat="1" ht="15" customHeight="1">
      <c r="A82" s="136">
        <v>27</v>
      </c>
      <c r="B82" s="281" t="s">
        <v>120</v>
      </c>
      <c r="C82" s="281"/>
      <c r="D82" s="281"/>
      <c r="E82" s="282"/>
      <c r="F82" s="142"/>
      <c r="G82" s="142"/>
      <c r="H82" s="142"/>
      <c r="I82" s="143"/>
      <c r="J82" s="145">
        <v>13.3</v>
      </c>
      <c r="L82" s="2"/>
      <c r="M82" s="2"/>
      <c r="N82" s="2"/>
    </row>
    <row r="83" spans="1:14" s="4" customFormat="1" ht="15" customHeight="1">
      <c r="A83" s="136">
        <v>28</v>
      </c>
      <c r="B83" s="281" t="s">
        <v>121</v>
      </c>
      <c r="C83" s="281"/>
      <c r="D83" s="281"/>
      <c r="E83" s="282"/>
      <c r="F83" s="142"/>
      <c r="G83" s="142"/>
      <c r="H83" s="142"/>
      <c r="I83" s="143"/>
      <c r="J83" s="145">
        <v>33.6</v>
      </c>
      <c r="L83" s="2"/>
      <c r="M83" s="2"/>
      <c r="N83" s="2"/>
    </row>
    <row r="84" spans="1:14" s="4" customFormat="1" ht="15" customHeight="1">
      <c r="A84" s="136">
        <v>29</v>
      </c>
      <c r="B84" s="281" t="s">
        <v>109</v>
      </c>
      <c r="C84" s="281"/>
      <c r="D84" s="281"/>
      <c r="E84" s="282"/>
      <c r="F84" s="142"/>
      <c r="G84" s="142"/>
      <c r="H84" s="142"/>
      <c r="I84" s="143"/>
      <c r="J84" s="144">
        <v>32</v>
      </c>
      <c r="L84" s="2"/>
      <c r="M84" s="2"/>
      <c r="N84" s="2"/>
    </row>
    <row r="85" spans="1:14" s="4" customFormat="1" ht="15" customHeight="1">
      <c r="A85" s="136">
        <v>30</v>
      </c>
      <c r="B85" s="277"/>
      <c r="C85" s="277"/>
      <c r="D85" s="278"/>
      <c r="E85" s="125"/>
      <c r="F85" s="125"/>
      <c r="G85" s="125"/>
      <c r="H85" s="125"/>
      <c r="I85" s="126"/>
      <c r="J85" s="138"/>
      <c r="L85" s="2"/>
      <c r="M85" s="2"/>
      <c r="N85" s="2"/>
    </row>
    <row r="86" spans="1:14" s="4" customFormat="1" ht="15" customHeight="1">
      <c r="A86" s="136">
        <v>31</v>
      </c>
      <c r="B86" s="277"/>
      <c r="C86" s="277"/>
      <c r="D86" s="278"/>
      <c r="E86" s="125"/>
      <c r="F86" s="125"/>
      <c r="G86" s="125"/>
      <c r="H86" s="125"/>
      <c r="I86" s="126"/>
      <c r="J86" s="137"/>
      <c r="L86" s="2"/>
      <c r="M86" s="2"/>
      <c r="N86" s="2"/>
    </row>
    <row r="87" spans="1:14" s="4" customFormat="1">
      <c r="A87" s="110">
        <v>32</v>
      </c>
      <c r="B87" s="194"/>
      <c r="C87" s="194"/>
      <c r="D87" s="194"/>
      <c r="E87" s="194"/>
      <c r="F87" s="194"/>
      <c r="G87" s="194"/>
      <c r="H87" s="194"/>
      <c r="I87" s="194"/>
      <c r="J87" s="111"/>
      <c r="L87" s="2"/>
      <c r="M87" s="2"/>
      <c r="N87" s="2"/>
    </row>
    <row r="88" spans="1:14" s="4" customFormat="1">
      <c r="A88" s="110">
        <v>33</v>
      </c>
      <c r="B88" s="194"/>
      <c r="C88" s="194"/>
      <c r="D88" s="194"/>
      <c r="E88" s="194"/>
      <c r="F88" s="194"/>
      <c r="G88" s="194"/>
      <c r="H88" s="194"/>
      <c r="I88" s="194"/>
      <c r="J88" s="111"/>
      <c r="L88" s="2"/>
      <c r="M88" s="2"/>
      <c r="N88" s="2"/>
    </row>
    <row r="89" spans="1:14" s="4" customFormat="1">
      <c r="A89" s="110">
        <v>34</v>
      </c>
      <c r="B89" s="194"/>
      <c r="C89" s="194"/>
      <c r="D89" s="194"/>
      <c r="E89" s="194"/>
      <c r="F89" s="194"/>
      <c r="G89" s="194"/>
      <c r="H89" s="194"/>
      <c r="I89" s="194"/>
      <c r="J89" s="111"/>
      <c r="L89" s="2"/>
      <c r="M89" s="2"/>
      <c r="N89" s="2"/>
    </row>
    <row r="90" spans="1:14" s="4" customFormat="1">
      <c r="A90" s="110">
        <v>35</v>
      </c>
      <c r="B90" s="194"/>
      <c r="C90" s="194"/>
      <c r="D90" s="194"/>
      <c r="E90" s="194"/>
      <c r="F90" s="194"/>
      <c r="G90" s="194"/>
      <c r="H90" s="194"/>
      <c r="I90" s="194"/>
      <c r="J90" s="111"/>
      <c r="L90" s="2"/>
      <c r="M90" s="2"/>
      <c r="N90" s="2"/>
    </row>
    <row r="91" spans="1:14" s="4" customFormat="1">
      <c r="A91" s="110">
        <v>36</v>
      </c>
      <c r="B91" s="194"/>
      <c r="C91" s="194"/>
      <c r="D91" s="194"/>
      <c r="E91" s="194"/>
      <c r="F91" s="194"/>
      <c r="G91" s="194"/>
      <c r="H91" s="194"/>
      <c r="I91" s="194"/>
      <c r="J91" s="111"/>
      <c r="L91" s="2"/>
      <c r="M91" s="2"/>
      <c r="N91" s="2"/>
    </row>
    <row r="92" spans="1:14" s="4" customFormat="1" ht="15.75" thickBot="1">
      <c r="A92" s="108"/>
      <c r="B92" s="191" t="s">
        <v>15</v>
      </c>
      <c r="C92" s="192"/>
      <c r="D92" s="192"/>
      <c r="E92" s="192"/>
      <c r="F92" s="192"/>
      <c r="G92" s="192"/>
      <c r="H92" s="192"/>
      <c r="I92" s="193"/>
      <c r="J92" s="109">
        <f>SUM(J56:J91)</f>
        <v>306.33700000000005</v>
      </c>
      <c r="L92" s="2"/>
      <c r="M92" s="2"/>
      <c r="N92" s="2"/>
    </row>
  </sheetData>
  <mergeCells count="102">
    <mergeCell ref="A1:C1"/>
    <mergeCell ref="E1:H1"/>
    <mergeCell ref="J1:K1"/>
    <mergeCell ref="A2:C2"/>
    <mergeCell ref="F2:H2"/>
    <mergeCell ref="J2:K2"/>
    <mergeCell ref="J6:J7"/>
    <mergeCell ref="K6:L6"/>
    <mergeCell ref="A21:F21"/>
    <mergeCell ref="A24:I24"/>
    <mergeCell ref="A31:C31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K35:K36"/>
    <mergeCell ref="L35:M36"/>
    <mergeCell ref="L37:M37"/>
    <mergeCell ref="L38:M38"/>
    <mergeCell ref="L39:M39"/>
    <mergeCell ref="L40:M40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E47:F47"/>
    <mergeCell ref="G47:H47"/>
    <mergeCell ref="I47:J47"/>
    <mergeCell ref="C48:D48"/>
    <mergeCell ref="E48:F48"/>
    <mergeCell ref="G48:H48"/>
    <mergeCell ref="I48:J48"/>
    <mergeCell ref="L41:M41"/>
    <mergeCell ref="L42:M42"/>
    <mergeCell ref="L43:M43"/>
    <mergeCell ref="A44:E44"/>
    <mergeCell ref="G44:L44"/>
    <mergeCell ref="A46:J46"/>
    <mergeCell ref="C51:D51"/>
    <mergeCell ref="E51:F51"/>
    <mergeCell ref="G51:H51"/>
    <mergeCell ref="I51:J51"/>
    <mergeCell ref="A54:J54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B62:D62"/>
    <mergeCell ref="B63:D63"/>
    <mergeCell ref="B64:E64"/>
    <mergeCell ref="B65:E65"/>
    <mergeCell ref="B66:E66"/>
    <mergeCell ref="B67:E67"/>
    <mergeCell ref="B56:D56"/>
    <mergeCell ref="B57:D57"/>
    <mergeCell ref="B58:D58"/>
    <mergeCell ref="B59:D59"/>
    <mergeCell ref="B60:D60"/>
    <mergeCell ref="B61:D61"/>
    <mergeCell ref="B74:E74"/>
    <mergeCell ref="B75:E75"/>
    <mergeCell ref="B76:E76"/>
    <mergeCell ref="B77:E77"/>
    <mergeCell ref="B78:E78"/>
    <mergeCell ref="B79:E79"/>
    <mergeCell ref="B68:E68"/>
    <mergeCell ref="B69:E69"/>
    <mergeCell ref="B70:E70"/>
    <mergeCell ref="B71:E71"/>
    <mergeCell ref="B72:E72"/>
    <mergeCell ref="B73:E73"/>
    <mergeCell ref="B92:I92"/>
    <mergeCell ref="B86:D86"/>
    <mergeCell ref="B87:I87"/>
    <mergeCell ref="B88:I88"/>
    <mergeCell ref="B89:I89"/>
    <mergeCell ref="B90:I90"/>
    <mergeCell ref="B91:I91"/>
    <mergeCell ref="B80:E80"/>
    <mergeCell ref="B81:E81"/>
    <mergeCell ref="B82:E82"/>
    <mergeCell ref="B83:E83"/>
    <mergeCell ref="B84:E84"/>
    <mergeCell ref="B85:D85"/>
  </mergeCells>
  <pageMargins left="0" right="0" top="0.59055118110236204" bottom="0" header="0" footer="0"/>
  <pageSetup paperSize="9" scale="5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N122"/>
  <sheetViews>
    <sheetView zoomScale="85" zoomScaleNormal="85" workbookViewId="0">
      <pane xSplit="3" topLeftCell="D1" activePane="topRight" state="frozen"/>
      <selection pane="topRight" activeCell="J117" sqref="J117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9" t="s">
        <v>51</v>
      </c>
      <c r="B1" s="269"/>
      <c r="C1" s="269"/>
      <c r="D1" s="1"/>
      <c r="E1" s="269" t="s">
        <v>24</v>
      </c>
      <c r="F1" s="269"/>
      <c r="G1" s="269"/>
      <c r="H1" s="269"/>
      <c r="I1" s="114"/>
      <c r="J1" s="270">
        <v>4</v>
      </c>
      <c r="K1" s="270"/>
    </row>
    <row r="2" spans="1:12" ht="28.5">
      <c r="A2" s="271">
        <v>46317</v>
      </c>
      <c r="B2" s="272"/>
      <c r="C2" s="272"/>
      <c r="D2" s="3"/>
      <c r="E2" s="3"/>
      <c r="F2" s="273"/>
      <c r="G2" s="273"/>
      <c r="H2" s="273"/>
      <c r="I2" s="115"/>
      <c r="J2" s="273"/>
      <c r="K2" s="273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62" t="s">
        <v>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5" t="s">
        <v>1</v>
      </c>
      <c r="B6" s="266" t="s">
        <v>2</v>
      </c>
      <c r="C6" s="266" t="s">
        <v>3</v>
      </c>
      <c r="D6" s="266" t="s">
        <v>4</v>
      </c>
      <c r="E6" s="116" t="s">
        <v>5</v>
      </c>
      <c r="F6" s="266" t="s">
        <v>6</v>
      </c>
      <c r="G6" s="267" t="s">
        <v>7</v>
      </c>
      <c r="H6" s="268" t="s">
        <v>8</v>
      </c>
      <c r="I6" s="266" t="s">
        <v>9</v>
      </c>
      <c r="J6" s="274" t="s">
        <v>30</v>
      </c>
      <c r="K6" s="275" t="s">
        <v>10</v>
      </c>
      <c r="L6" s="276"/>
    </row>
    <row r="7" spans="1:12" s="8" customFormat="1" ht="63.6" customHeight="1">
      <c r="A7" s="265"/>
      <c r="B7" s="266"/>
      <c r="C7" s="266"/>
      <c r="D7" s="266"/>
      <c r="E7" s="116" t="s">
        <v>11</v>
      </c>
      <c r="F7" s="266"/>
      <c r="G7" s="267"/>
      <c r="H7" s="268"/>
      <c r="I7" s="266"/>
      <c r="J7" s="238"/>
      <c r="K7" s="116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0.30208333333333331</v>
      </c>
      <c r="G8" s="22">
        <v>12</v>
      </c>
      <c r="H8" s="26">
        <v>998.05899999999997</v>
      </c>
      <c r="I8" s="23">
        <v>0.625</v>
      </c>
      <c r="J8" s="21">
        <f>I8-F8</f>
        <v>0.32291666666666669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0.2986111111111111</v>
      </c>
      <c r="G9" s="22">
        <v>23</v>
      </c>
      <c r="H9" s="26">
        <v>657.12</v>
      </c>
      <c r="I9" s="23">
        <v>0.63194444444444442</v>
      </c>
      <c r="J9" s="21">
        <f t="shared" ref="J9:J11" si="0">I9-F9</f>
        <v>0.33333333333333331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0.3263888888888889</v>
      </c>
      <c r="G10" s="22">
        <v>15</v>
      </c>
      <c r="H10" s="26">
        <v>841.38900000000001</v>
      </c>
      <c r="I10" s="23">
        <v>0.65277777777777779</v>
      </c>
      <c r="J10" s="21">
        <f t="shared" si="0"/>
        <v>0.3263888888888889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0.31944444444444448</v>
      </c>
      <c r="G11" s="22">
        <v>35</v>
      </c>
      <c r="H11" s="26">
        <v>816.76099999999997</v>
      </c>
      <c r="I11" s="23">
        <v>0.61805555555555558</v>
      </c>
      <c r="J11" s="21">
        <f t="shared" si="0"/>
        <v>0.2986111111111111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8" t="s">
        <v>15</v>
      </c>
      <c r="B21" s="259"/>
      <c r="C21" s="259"/>
      <c r="D21" s="259"/>
      <c r="E21" s="259"/>
      <c r="F21" s="260"/>
      <c r="G21" s="70">
        <f>SUM(G8:G20)</f>
        <v>85</v>
      </c>
      <c r="H21" s="70">
        <f>SUM(H8:H20)</f>
        <v>3313.3290000000002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5" t="s">
        <v>26</v>
      </c>
      <c r="B24" s="256"/>
      <c r="C24" s="256"/>
      <c r="D24" s="256"/>
      <c r="E24" s="256"/>
      <c r="F24" s="256"/>
      <c r="G24" s="256"/>
      <c r="H24" s="256"/>
      <c r="I24" s="257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16" t="s">
        <v>2</v>
      </c>
      <c r="C26" s="116" t="s">
        <v>3</v>
      </c>
      <c r="D26" s="116" t="s">
        <v>27</v>
      </c>
      <c r="E26" s="116" t="s">
        <v>6</v>
      </c>
      <c r="F26" s="116" t="s">
        <v>28</v>
      </c>
      <c r="G26" s="116" t="s">
        <v>8</v>
      </c>
      <c r="H26" s="116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8" t="s">
        <v>15</v>
      </c>
      <c r="B31" s="259"/>
      <c r="C31" s="260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5" t="s">
        <v>12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51">
        <v>12</v>
      </c>
      <c r="M34" s="252"/>
    </row>
    <row r="35" spans="1:13" ht="75">
      <c r="A35" s="253" t="s">
        <v>1</v>
      </c>
      <c r="B35" s="237" t="s">
        <v>2</v>
      </c>
      <c r="C35" s="237" t="s">
        <v>3</v>
      </c>
      <c r="D35" s="237" t="s">
        <v>4</v>
      </c>
      <c r="E35" s="97" t="s">
        <v>5</v>
      </c>
      <c r="F35" s="237" t="s">
        <v>14</v>
      </c>
      <c r="G35" s="237" t="s">
        <v>13</v>
      </c>
      <c r="H35" s="237" t="s">
        <v>37</v>
      </c>
      <c r="I35" s="237" t="s">
        <v>39</v>
      </c>
      <c r="J35" s="237" t="s">
        <v>38</v>
      </c>
      <c r="K35" s="237" t="s">
        <v>40</v>
      </c>
      <c r="L35" s="239" t="s">
        <v>36</v>
      </c>
      <c r="M35" s="240"/>
    </row>
    <row r="36" spans="1:13" ht="75">
      <c r="A36" s="254"/>
      <c r="B36" s="238"/>
      <c r="C36" s="238"/>
      <c r="D36" s="238"/>
      <c r="E36" s="117" t="s">
        <v>11</v>
      </c>
      <c r="F36" s="238"/>
      <c r="G36" s="238"/>
      <c r="H36" s="238"/>
      <c r="I36" s="238"/>
      <c r="J36" s="238"/>
      <c r="K36" s="238"/>
      <c r="L36" s="241"/>
      <c r="M36" s="242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43"/>
      <c r="M37" s="244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45"/>
      <c r="M38" s="246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47"/>
      <c r="M39" s="248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49"/>
      <c r="M40" s="250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22"/>
      <c r="M41" s="223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24"/>
      <c r="M42" s="225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26"/>
      <c r="M43" s="227"/>
    </row>
    <row r="44" spans="1:13" ht="15.75" thickBot="1">
      <c r="A44" s="228" t="s">
        <v>15</v>
      </c>
      <c r="B44" s="229"/>
      <c r="C44" s="229"/>
      <c r="D44" s="229"/>
      <c r="E44" s="230"/>
      <c r="F44" s="96"/>
      <c r="G44" s="231">
        <f>SUM(G37:G43)</f>
        <v>0</v>
      </c>
      <c r="H44" s="232"/>
      <c r="I44" s="232"/>
      <c r="J44" s="232"/>
      <c r="K44" s="232"/>
      <c r="L44" s="233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234" t="s">
        <v>16</v>
      </c>
      <c r="B46" s="235"/>
      <c r="C46" s="235"/>
      <c r="D46" s="235"/>
      <c r="E46" s="235"/>
      <c r="F46" s="235"/>
      <c r="G46" s="235"/>
      <c r="H46" s="235"/>
      <c r="I46" s="235"/>
      <c r="J46" s="236"/>
      <c r="K46" s="2"/>
    </row>
    <row r="47" spans="1:13" ht="30">
      <c r="A47" s="50"/>
      <c r="B47" s="18"/>
      <c r="C47" s="118"/>
      <c r="D47" s="118" t="s">
        <v>17</v>
      </c>
      <c r="E47" s="216" t="s">
        <v>18</v>
      </c>
      <c r="F47" s="216"/>
      <c r="G47" s="216" t="s">
        <v>19</v>
      </c>
      <c r="H47" s="216"/>
      <c r="I47" s="216" t="s">
        <v>29</v>
      </c>
      <c r="J47" s="217"/>
      <c r="K47" s="2"/>
    </row>
    <row r="48" spans="1:13">
      <c r="A48" s="50"/>
      <c r="B48" s="24" t="s">
        <v>20</v>
      </c>
      <c r="C48" s="206">
        <v>1917.5</v>
      </c>
      <c r="D48" s="207"/>
      <c r="E48" s="218">
        <v>1669.075</v>
      </c>
      <c r="F48" s="219"/>
      <c r="G48" s="218">
        <v>1669.075</v>
      </c>
      <c r="H48" s="219"/>
      <c r="I48" s="220">
        <v>28.26</v>
      </c>
      <c r="J48" s="221"/>
      <c r="K48" s="2"/>
    </row>
    <row r="49" spans="1:14">
      <c r="A49" s="51"/>
      <c r="B49" s="24" t="s">
        <v>21</v>
      </c>
      <c r="C49" s="206">
        <v>1007.66</v>
      </c>
      <c r="D49" s="207"/>
      <c r="E49" s="208">
        <v>873.78</v>
      </c>
      <c r="F49" s="209"/>
      <c r="G49" s="208">
        <v>873.78</v>
      </c>
      <c r="H49" s="209"/>
      <c r="I49" s="210">
        <v>50.61</v>
      </c>
      <c r="J49" s="211"/>
      <c r="K49" s="2"/>
    </row>
    <row r="50" spans="1:14" ht="15.75" thickBot="1">
      <c r="A50" s="51"/>
      <c r="B50" s="24" t="s">
        <v>22</v>
      </c>
      <c r="C50" s="212">
        <v>884.88</v>
      </c>
      <c r="D50" s="213"/>
      <c r="E50" s="214">
        <v>754.33</v>
      </c>
      <c r="F50" s="215"/>
      <c r="G50" s="214">
        <v>754.33</v>
      </c>
      <c r="H50" s="215"/>
      <c r="I50" s="210">
        <v>0</v>
      </c>
      <c r="J50" s="211"/>
      <c r="K50" s="2"/>
    </row>
    <row r="51" spans="1:14" ht="15.75" thickBot="1">
      <c r="A51" s="11"/>
      <c r="B51" s="12" t="s">
        <v>23</v>
      </c>
      <c r="C51" s="195">
        <f>SUM(C48:D50)</f>
        <v>3810.04</v>
      </c>
      <c r="D51" s="196"/>
      <c r="E51" s="197">
        <f>SUM(E48:E50)</f>
        <v>3297.1849999999999</v>
      </c>
      <c r="F51" s="198"/>
      <c r="G51" s="197">
        <f>G48+G49+G50</f>
        <v>3297.1849999999999</v>
      </c>
      <c r="H51" s="198"/>
      <c r="I51" s="197">
        <f>SUM(I48:J50)</f>
        <v>78.87</v>
      </c>
      <c r="J51" s="199"/>
      <c r="K51" s="2"/>
    </row>
    <row r="53" spans="1:14" ht="15.75" thickBot="1">
      <c r="E53" s="25"/>
    </row>
    <row r="54" spans="1:14" s="130" customFormat="1" ht="19.5" thickBot="1">
      <c r="A54" s="200" t="s">
        <v>32</v>
      </c>
      <c r="B54" s="201"/>
      <c r="C54" s="201"/>
      <c r="D54" s="201"/>
      <c r="E54" s="201"/>
      <c r="F54" s="201"/>
      <c r="G54" s="201"/>
      <c r="H54" s="201"/>
      <c r="I54" s="201"/>
      <c r="J54" s="202"/>
      <c r="L54" s="131"/>
      <c r="M54" s="131"/>
      <c r="N54" s="131"/>
    </row>
    <row r="55" spans="1:14" s="130" customFormat="1">
      <c r="A55" s="28" t="s">
        <v>33</v>
      </c>
      <c r="B55" s="203" t="s">
        <v>34</v>
      </c>
      <c r="C55" s="204"/>
      <c r="D55" s="204"/>
      <c r="E55" s="204"/>
      <c r="F55" s="204"/>
      <c r="G55" s="204"/>
      <c r="H55" s="204"/>
      <c r="I55" s="205"/>
      <c r="J55" s="52" t="s">
        <v>35</v>
      </c>
      <c r="L55" s="131"/>
      <c r="M55" s="131"/>
      <c r="N55" s="131"/>
    </row>
    <row r="56" spans="1:14" s="130" customFormat="1">
      <c r="A56" s="110">
        <v>1</v>
      </c>
      <c r="B56" s="284" t="s">
        <v>122</v>
      </c>
      <c r="C56" s="284"/>
      <c r="D56" s="284"/>
      <c r="E56" s="284"/>
      <c r="F56" s="284"/>
      <c r="G56" s="284"/>
      <c r="H56" s="284"/>
      <c r="I56" s="284"/>
      <c r="J56" s="133">
        <v>23.6</v>
      </c>
      <c r="L56" s="131"/>
      <c r="M56" s="131"/>
      <c r="N56" s="131"/>
    </row>
    <row r="57" spans="1:14" s="130" customFormat="1">
      <c r="A57" s="110">
        <v>2</v>
      </c>
      <c r="B57" s="284" t="s">
        <v>123</v>
      </c>
      <c r="C57" s="284"/>
      <c r="D57" s="284"/>
      <c r="E57" s="284"/>
      <c r="F57" s="284"/>
      <c r="G57" s="284"/>
      <c r="H57" s="284"/>
      <c r="I57" s="284"/>
      <c r="J57" s="133">
        <v>18.899999999999999</v>
      </c>
      <c r="L57" s="131"/>
      <c r="M57" s="131"/>
      <c r="N57" s="131"/>
    </row>
    <row r="58" spans="1:14" s="130" customFormat="1">
      <c r="A58" s="110">
        <v>3</v>
      </c>
      <c r="B58" s="284" t="s">
        <v>115</v>
      </c>
      <c r="C58" s="284"/>
      <c r="D58" s="284"/>
      <c r="E58" s="284"/>
      <c r="F58" s="286"/>
      <c r="G58" s="286"/>
      <c r="H58" s="286"/>
      <c r="I58" s="286"/>
      <c r="J58" s="133">
        <v>8.1999999999999993</v>
      </c>
      <c r="L58" s="131"/>
      <c r="M58" s="131"/>
      <c r="N58" s="131"/>
    </row>
    <row r="59" spans="1:14" s="130" customFormat="1">
      <c r="A59" s="110">
        <v>4</v>
      </c>
      <c r="B59" s="284" t="s">
        <v>98</v>
      </c>
      <c r="C59" s="284"/>
      <c r="D59" s="284"/>
      <c r="E59" s="284"/>
      <c r="F59" s="286"/>
      <c r="G59" s="286"/>
      <c r="H59" s="286"/>
      <c r="I59" s="286"/>
      <c r="J59" s="135">
        <v>22.28</v>
      </c>
      <c r="L59" s="131"/>
      <c r="M59" s="131"/>
      <c r="N59" s="131"/>
    </row>
    <row r="60" spans="1:14" s="4" customFormat="1" ht="15" customHeight="1">
      <c r="A60" s="110">
        <v>5</v>
      </c>
      <c r="B60" s="284" t="s">
        <v>99</v>
      </c>
      <c r="C60" s="284"/>
      <c r="D60" s="284"/>
      <c r="E60" s="284"/>
      <c r="F60" s="286"/>
      <c r="G60" s="286"/>
      <c r="H60" s="286"/>
      <c r="I60" s="286"/>
      <c r="J60" s="134">
        <v>6.1239999999999997</v>
      </c>
      <c r="L60" s="2"/>
      <c r="M60" s="2"/>
      <c r="N60" s="2"/>
    </row>
    <row r="61" spans="1:14" s="4" customFormat="1" ht="15" customHeight="1">
      <c r="A61" s="110">
        <v>6</v>
      </c>
      <c r="B61" s="284" t="s">
        <v>124</v>
      </c>
      <c r="C61" s="284"/>
      <c r="D61" s="284"/>
      <c r="E61" s="284"/>
      <c r="F61" s="284"/>
      <c r="G61" s="284"/>
      <c r="H61" s="284"/>
      <c r="I61" s="284"/>
      <c r="J61" s="133">
        <v>10.8</v>
      </c>
      <c r="L61" s="2"/>
      <c r="M61" s="2"/>
      <c r="N61" s="2"/>
    </row>
    <row r="62" spans="1:14" s="4" customFormat="1" ht="15" customHeight="1">
      <c r="A62" s="110">
        <v>7</v>
      </c>
      <c r="B62" s="284" t="s">
        <v>125</v>
      </c>
      <c r="C62" s="284"/>
      <c r="D62" s="284"/>
      <c r="E62" s="284"/>
      <c r="F62" s="286"/>
      <c r="G62" s="286"/>
      <c r="H62" s="286"/>
      <c r="I62" s="286"/>
      <c r="J62" s="133">
        <v>28.8</v>
      </c>
      <c r="L62" s="2"/>
      <c r="M62" s="2"/>
      <c r="N62" s="2"/>
    </row>
    <row r="63" spans="1:14" s="4" customFormat="1" ht="15" customHeight="1">
      <c r="A63" s="110">
        <v>8</v>
      </c>
      <c r="B63" s="284" t="s">
        <v>126</v>
      </c>
      <c r="C63" s="284"/>
      <c r="D63" s="284"/>
      <c r="E63" s="284"/>
      <c r="F63" s="286"/>
      <c r="G63" s="286"/>
      <c r="H63" s="286"/>
      <c r="I63" s="286"/>
      <c r="J63" s="134">
        <v>2.177</v>
      </c>
      <c r="L63" s="2"/>
      <c r="M63" s="2"/>
      <c r="N63" s="2"/>
    </row>
    <row r="64" spans="1:14" s="4" customFormat="1" ht="15" customHeight="1">
      <c r="A64" s="110">
        <v>9</v>
      </c>
      <c r="B64" s="284" t="s">
        <v>127</v>
      </c>
      <c r="C64" s="284"/>
      <c r="D64" s="284"/>
      <c r="E64" s="284"/>
      <c r="F64" s="286"/>
      <c r="G64" s="286"/>
      <c r="H64" s="286"/>
      <c r="I64" s="286"/>
      <c r="J64" s="134">
        <v>4.1589999999999998</v>
      </c>
      <c r="L64" s="2"/>
      <c r="M64" s="2"/>
      <c r="N64" s="2"/>
    </row>
    <row r="65" spans="1:14" s="4" customFormat="1" ht="15" customHeight="1">
      <c r="A65" s="110">
        <v>10</v>
      </c>
      <c r="B65" s="284" t="s">
        <v>128</v>
      </c>
      <c r="C65" s="284"/>
      <c r="D65" s="284"/>
      <c r="E65" s="284"/>
      <c r="F65" s="286"/>
      <c r="G65" s="286"/>
      <c r="H65" s="286"/>
      <c r="I65" s="286"/>
      <c r="J65" s="132">
        <v>4</v>
      </c>
      <c r="L65" s="2"/>
      <c r="M65" s="2"/>
      <c r="N65" s="2"/>
    </row>
    <row r="66" spans="1:14" s="4" customFormat="1" ht="15" customHeight="1">
      <c r="A66" s="110">
        <v>11</v>
      </c>
      <c r="B66" s="284" t="s">
        <v>117</v>
      </c>
      <c r="C66" s="284"/>
      <c r="D66" s="284"/>
      <c r="E66" s="284"/>
      <c r="F66" s="286"/>
      <c r="G66" s="286"/>
      <c r="H66" s="286"/>
      <c r="I66" s="286"/>
      <c r="J66" s="133">
        <v>46.2</v>
      </c>
      <c r="L66" s="2"/>
      <c r="M66" s="2"/>
      <c r="N66" s="2"/>
    </row>
    <row r="67" spans="1:14" s="4" customFormat="1" ht="15" customHeight="1">
      <c r="A67" s="110">
        <v>12</v>
      </c>
      <c r="B67" s="284" t="s">
        <v>104</v>
      </c>
      <c r="C67" s="284"/>
      <c r="D67" s="284"/>
      <c r="E67" s="284"/>
      <c r="F67" s="286"/>
      <c r="G67" s="286"/>
      <c r="H67" s="286"/>
      <c r="I67" s="286"/>
      <c r="J67" s="133">
        <v>27.5</v>
      </c>
      <c r="L67" s="2"/>
      <c r="M67" s="2"/>
      <c r="N67" s="2"/>
    </row>
    <row r="68" spans="1:14" s="4" customFormat="1" ht="15" customHeight="1">
      <c r="A68" s="110">
        <v>13</v>
      </c>
      <c r="B68" s="287" t="s">
        <v>129</v>
      </c>
      <c r="C68" s="287"/>
      <c r="D68" s="287"/>
      <c r="E68" s="287"/>
      <c r="F68" s="284"/>
      <c r="G68" s="284"/>
      <c r="H68" s="284"/>
      <c r="I68" s="284"/>
      <c r="J68" s="135">
        <v>5.72</v>
      </c>
      <c r="L68" s="2"/>
      <c r="M68" s="2"/>
      <c r="N68" s="2"/>
    </row>
    <row r="69" spans="1:14" s="4" customFormat="1" ht="15" customHeight="1">
      <c r="A69" s="110">
        <v>14</v>
      </c>
      <c r="B69" s="285" t="s">
        <v>130</v>
      </c>
      <c r="C69" s="285"/>
      <c r="D69" s="285"/>
      <c r="E69" s="285"/>
      <c r="F69" s="285"/>
      <c r="G69" s="285"/>
      <c r="H69" s="285"/>
      <c r="I69" s="285"/>
      <c r="J69" s="133">
        <v>5.6</v>
      </c>
      <c r="L69" s="2"/>
      <c r="M69" s="2"/>
      <c r="N69" s="2"/>
    </row>
    <row r="70" spans="1:14" s="4" customFormat="1" ht="15" customHeight="1">
      <c r="A70" s="110">
        <v>15</v>
      </c>
      <c r="B70" s="285" t="s">
        <v>131</v>
      </c>
      <c r="C70" s="285"/>
      <c r="D70" s="285"/>
      <c r="E70" s="285"/>
      <c r="F70" s="285"/>
      <c r="G70" s="285"/>
      <c r="H70" s="285"/>
      <c r="I70" s="285"/>
      <c r="J70" s="132">
        <v>25</v>
      </c>
      <c r="L70" s="2"/>
      <c r="M70" s="2"/>
      <c r="N70" s="2"/>
    </row>
    <row r="71" spans="1:14" s="4" customFormat="1" ht="15" customHeight="1">
      <c r="A71" s="110">
        <v>16</v>
      </c>
      <c r="B71" s="285" t="s">
        <v>132</v>
      </c>
      <c r="C71" s="285"/>
      <c r="D71" s="285"/>
      <c r="E71" s="285"/>
      <c r="F71" s="285"/>
      <c r="G71" s="285"/>
      <c r="H71" s="285"/>
      <c r="I71" s="285"/>
      <c r="J71" s="134">
        <v>0.246</v>
      </c>
      <c r="L71" s="2"/>
      <c r="M71" s="2"/>
      <c r="N71" s="2"/>
    </row>
    <row r="72" spans="1:14" s="4" customFormat="1" ht="15" customHeight="1">
      <c r="A72" s="110">
        <v>17</v>
      </c>
      <c r="B72" s="285" t="s">
        <v>45</v>
      </c>
      <c r="C72" s="285"/>
      <c r="D72" s="285"/>
      <c r="E72" s="285"/>
      <c r="F72" s="285"/>
      <c r="G72" s="285"/>
      <c r="H72" s="285"/>
      <c r="I72" s="285"/>
      <c r="J72" s="135">
        <v>4.62</v>
      </c>
      <c r="L72" s="2"/>
      <c r="M72" s="2"/>
      <c r="N72" s="2"/>
    </row>
    <row r="73" spans="1:14" s="4" customFormat="1" ht="15" customHeight="1">
      <c r="A73" s="110">
        <v>18</v>
      </c>
      <c r="B73" s="285" t="s">
        <v>67</v>
      </c>
      <c r="C73" s="285"/>
      <c r="D73" s="285"/>
      <c r="E73" s="285"/>
      <c r="F73" s="285"/>
      <c r="G73" s="285"/>
      <c r="H73" s="285"/>
      <c r="I73" s="285"/>
      <c r="J73" s="133">
        <v>4.8</v>
      </c>
      <c r="L73" s="2"/>
      <c r="M73" s="2"/>
      <c r="N73" s="2"/>
    </row>
    <row r="74" spans="1:14" s="4" customFormat="1" ht="14.45" customHeight="1">
      <c r="A74" s="110">
        <v>19</v>
      </c>
      <c r="B74" s="285" t="s">
        <v>88</v>
      </c>
      <c r="C74" s="285"/>
      <c r="D74" s="285"/>
      <c r="E74" s="285"/>
      <c r="F74" s="285"/>
      <c r="G74" s="285"/>
      <c r="H74" s="285"/>
      <c r="I74" s="285"/>
      <c r="J74" s="132">
        <v>6</v>
      </c>
      <c r="L74" s="2"/>
      <c r="M74" s="2"/>
      <c r="N74" s="2"/>
    </row>
    <row r="75" spans="1:14" s="4" customFormat="1">
      <c r="A75" s="110">
        <v>20</v>
      </c>
      <c r="B75" s="285" t="s">
        <v>46</v>
      </c>
      <c r="C75" s="285"/>
      <c r="D75" s="285"/>
      <c r="E75" s="285"/>
      <c r="F75" s="285"/>
      <c r="G75" s="285"/>
      <c r="H75" s="285"/>
      <c r="I75" s="285"/>
      <c r="J75" s="132">
        <v>19</v>
      </c>
      <c r="L75" s="2"/>
      <c r="M75" s="2"/>
      <c r="N75" s="2"/>
    </row>
    <row r="76" spans="1:14" s="4" customFormat="1">
      <c r="A76" s="110">
        <v>21</v>
      </c>
      <c r="B76" s="285" t="s">
        <v>133</v>
      </c>
      <c r="C76" s="285"/>
      <c r="D76" s="285"/>
      <c r="E76" s="285"/>
      <c r="F76" s="285"/>
      <c r="G76" s="285"/>
      <c r="H76" s="285"/>
      <c r="I76" s="285"/>
      <c r="J76" s="132">
        <v>4</v>
      </c>
      <c r="L76" s="2"/>
      <c r="M76" s="2"/>
      <c r="N76" s="2"/>
    </row>
    <row r="77" spans="1:14" s="4" customFormat="1">
      <c r="A77" s="110">
        <v>22</v>
      </c>
      <c r="B77" s="285" t="s">
        <v>89</v>
      </c>
      <c r="C77" s="285"/>
      <c r="D77" s="285"/>
      <c r="E77" s="285"/>
      <c r="F77" s="285"/>
      <c r="G77" s="285"/>
      <c r="H77" s="285"/>
      <c r="I77" s="285"/>
      <c r="J77" s="133">
        <v>5.0999999999999996</v>
      </c>
      <c r="L77" s="2"/>
      <c r="M77" s="2"/>
      <c r="N77" s="2"/>
    </row>
    <row r="78" spans="1:14" s="4" customFormat="1">
      <c r="A78" s="110">
        <v>23</v>
      </c>
      <c r="B78" s="285" t="s">
        <v>71</v>
      </c>
      <c r="C78" s="285"/>
      <c r="D78" s="285"/>
      <c r="E78" s="285"/>
      <c r="F78" s="285"/>
      <c r="G78" s="285"/>
      <c r="H78" s="285"/>
      <c r="I78" s="285"/>
      <c r="J78" s="135">
        <v>4.62</v>
      </c>
      <c r="L78" s="2"/>
      <c r="M78" s="2"/>
      <c r="N78" s="2"/>
    </row>
    <row r="79" spans="1:14" s="4" customFormat="1" ht="14.45" customHeight="1">
      <c r="A79" s="110">
        <v>24</v>
      </c>
      <c r="B79" s="285" t="s">
        <v>73</v>
      </c>
      <c r="C79" s="285"/>
      <c r="D79" s="285"/>
      <c r="E79" s="285"/>
      <c r="F79" s="285"/>
      <c r="G79" s="285"/>
      <c r="H79" s="285"/>
      <c r="I79" s="285"/>
      <c r="J79" s="135">
        <v>4.51</v>
      </c>
      <c r="L79" s="2"/>
      <c r="M79" s="2"/>
      <c r="N79" s="2"/>
    </row>
    <row r="80" spans="1:14" s="4" customFormat="1">
      <c r="A80" s="110">
        <v>25</v>
      </c>
      <c r="B80" s="285" t="s">
        <v>134</v>
      </c>
      <c r="C80" s="285"/>
      <c r="D80" s="285"/>
      <c r="E80" s="285"/>
      <c r="F80" s="285"/>
      <c r="G80" s="285"/>
      <c r="H80" s="285"/>
      <c r="I80" s="285"/>
      <c r="J80" s="133">
        <v>4.5</v>
      </c>
      <c r="L80" s="2"/>
      <c r="M80" s="2"/>
      <c r="N80" s="2"/>
    </row>
    <row r="81" spans="1:14" s="4" customFormat="1">
      <c r="A81" s="110">
        <v>26</v>
      </c>
      <c r="B81" s="285" t="s">
        <v>135</v>
      </c>
      <c r="C81" s="285"/>
      <c r="D81" s="285"/>
      <c r="E81" s="285"/>
      <c r="F81" s="285"/>
      <c r="G81" s="285"/>
      <c r="H81" s="285"/>
      <c r="I81" s="285"/>
      <c r="J81" s="133">
        <v>6.3</v>
      </c>
      <c r="L81" s="2"/>
      <c r="M81" s="2"/>
      <c r="N81" s="2"/>
    </row>
    <row r="82" spans="1:14" s="4" customFormat="1" ht="14.45" customHeight="1">
      <c r="A82" s="110">
        <v>27</v>
      </c>
      <c r="B82" s="285" t="s">
        <v>77</v>
      </c>
      <c r="C82" s="285"/>
      <c r="D82" s="285"/>
      <c r="E82" s="285"/>
      <c r="F82" s="285"/>
      <c r="G82" s="285"/>
      <c r="H82" s="285"/>
      <c r="I82" s="285"/>
      <c r="J82" s="135">
        <v>28.35</v>
      </c>
      <c r="L82" s="2"/>
      <c r="M82" s="2"/>
      <c r="N82" s="2"/>
    </row>
    <row r="83" spans="1:14" s="4" customFormat="1">
      <c r="A83" s="110">
        <v>28</v>
      </c>
      <c r="B83" s="285" t="s">
        <v>49</v>
      </c>
      <c r="C83" s="285"/>
      <c r="D83" s="285"/>
      <c r="E83" s="285"/>
      <c r="F83" s="285"/>
      <c r="G83" s="285"/>
      <c r="H83" s="285"/>
      <c r="I83" s="285"/>
      <c r="J83" s="135">
        <v>5.61</v>
      </c>
      <c r="L83" s="2"/>
      <c r="M83" s="2"/>
      <c r="N83" s="2"/>
    </row>
    <row r="84" spans="1:14" s="4" customFormat="1">
      <c r="A84" s="110">
        <v>29</v>
      </c>
      <c r="B84" s="285" t="s">
        <v>136</v>
      </c>
      <c r="C84" s="285"/>
      <c r="D84" s="285"/>
      <c r="E84" s="285"/>
      <c r="F84" s="285"/>
      <c r="G84" s="285"/>
      <c r="H84" s="285"/>
      <c r="I84" s="285"/>
      <c r="J84" s="133">
        <v>5.9</v>
      </c>
      <c r="L84" s="2"/>
      <c r="M84" s="2"/>
      <c r="N84" s="2"/>
    </row>
    <row r="85" spans="1:14" s="4" customFormat="1">
      <c r="A85" s="110">
        <v>30</v>
      </c>
      <c r="B85" s="285" t="s">
        <v>137</v>
      </c>
      <c r="C85" s="285"/>
      <c r="D85" s="285"/>
      <c r="E85" s="285"/>
      <c r="F85" s="285"/>
      <c r="G85" s="285"/>
      <c r="H85" s="285"/>
      <c r="I85" s="285"/>
      <c r="J85" s="132">
        <v>10</v>
      </c>
      <c r="L85" s="2"/>
      <c r="M85" s="2"/>
      <c r="N85" s="2"/>
    </row>
    <row r="86" spans="1:14" s="4" customFormat="1">
      <c r="A86" s="110">
        <v>31</v>
      </c>
      <c r="B86" s="285" t="s">
        <v>121</v>
      </c>
      <c r="C86" s="285"/>
      <c r="D86" s="285"/>
      <c r="E86" s="285"/>
      <c r="F86" s="285"/>
      <c r="G86" s="285"/>
      <c r="H86" s="285"/>
      <c r="I86" s="285"/>
      <c r="J86" s="133">
        <v>9.1999999999999993</v>
      </c>
      <c r="L86" s="2"/>
      <c r="M86" s="2"/>
      <c r="N86" s="2"/>
    </row>
    <row r="87" spans="1:14" s="4" customFormat="1">
      <c r="A87" s="110">
        <v>32</v>
      </c>
      <c r="B87" s="285" t="s">
        <v>138</v>
      </c>
      <c r="C87" s="285"/>
      <c r="D87" s="285"/>
      <c r="E87" s="285"/>
      <c r="F87" s="285"/>
      <c r="G87" s="285"/>
      <c r="H87" s="285"/>
      <c r="I87" s="285"/>
      <c r="J87" s="133">
        <v>48.3</v>
      </c>
      <c r="L87" s="2"/>
      <c r="M87" s="2"/>
      <c r="N87" s="2"/>
    </row>
    <row r="88" spans="1:14" s="4" customFormat="1">
      <c r="A88" s="110">
        <v>33</v>
      </c>
      <c r="B88" s="285" t="s">
        <v>139</v>
      </c>
      <c r="C88" s="285"/>
      <c r="D88" s="285"/>
      <c r="E88" s="285"/>
      <c r="F88" s="285"/>
      <c r="G88" s="285"/>
      <c r="H88" s="285"/>
      <c r="I88" s="285"/>
      <c r="J88" s="132">
        <v>20</v>
      </c>
      <c r="L88" s="2"/>
      <c r="M88" s="2"/>
      <c r="N88" s="2"/>
    </row>
    <row r="89" spans="1:14" s="4" customFormat="1">
      <c r="A89" s="110">
        <v>34</v>
      </c>
      <c r="B89" s="285" t="s">
        <v>140</v>
      </c>
      <c r="C89" s="285"/>
      <c r="D89" s="285"/>
      <c r="E89" s="285"/>
      <c r="F89" s="285"/>
      <c r="G89" s="285"/>
      <c r="H89" s="285"/>
      <c r="I89" s="285"/>
      <c r="J89" s="132">
        <v>7</v>
      </c>
      <c r="L89" s="2"/>
      <c r="M89" s="2"/>
      <c r="N89" s="2"/>
    </row>
    <row r="90" spans="1:14" s="4" customFormat="1">
      <c r="A90" s="110">
        <v>35</v>
      </c>
      <c r="B90" s="285" t="s">
        <v>141</v>
      </c>
      <c r="C90" s="285"/>
      <c r="D90" s="285"/>
      <c r="E90" s="285"/>
      <c r="F90" s="285"/>
      <c r="G90" s="285"/>
      <c r="H90" s="285"/>
      <c r="I90" s="285"/>
      <c r="J90" s="133">
        <v>9.6</v>
      </c>
      <c r="L90" s="2"/>
      <c r="M90" s="2"/>
      <c r="N90" s="2"/>
    </row>
    <row r="91" spans="1:14" s="4" customFormat="1">
      <c r="A91" s="110">
        <v>36</v>
      </c>
      <c r="B91" s="285" t="s">
        <v>142</v>
      </c>
      <c r="C91" s="285"/>
      <c r="D91" s="285"/>
      <c r="E91" s="285"/>
      <c r="F91" s="285"/>
      <c r="G91" s="285"/>
      <c r="H91" s="285"/>
      <c r="I91" s="285"/>
      <c r="J91" s="132">
        <v>9</v>
      </c>
      <c r="L91" s="2"/>
      <c r="M91" s="2"/>
      <c r="N91" s="2"/>
    </row>
    <row r="92" spans="1:14" s="4" customFormat="1">
      <c r="A92" s="153">
        <v>37</v>
      </c>
      <c r="B92" s="284" t="s">
        <v>45</v>
      </c>
      <c r="C92" s="284"/>
      <c r="D92" s="284"/>
      <c r="E92" s="158"/>
      <c r="F92" s="158"/>
      <c r="G92" s="158"/>
      <c r="H92" s="158"/>
      <c r="I92" s="158"/>
      <c r="J92" s="135">
        <v>4.62</v>
      </c>
      <c r="L92" s="2"/>
      <c r="M92" s="2"/>
      <c r="N92" s="2"/>
    </row>
    <row r="93" spans="1:14" s="4" customFormat="1">
      <c r="A93" s="153">
        <v>38</v>
      </c>
      <c r="B93" s="284" t="s">
        <v>67</v>
      </c>
      <c r="C93" s="284"/>
      <c r="D93" s="284"/>
      <c r="E93" s="158"/>
      <c r="F93" s="158"/>
      <c r="G93" s="158"/>
      <c r="H93" s="158"/>
      <c r="I93" s="158"/>
      <c r="J93" s="133">
        <v>4.8</v>
      </c>
      <c r="L93" s="2"/>
      <c r="M93" s="2"/>
      <c r="N93" s="2"/>
    </row>
    <row r="94" spans="1:14" s="4" customFormat="1">
      <c r="A94" s="153">
        <v>39</v>
      </c>
      <c r="B94" s="284" t="s">
        <v>88</v>
      </c>
      <c r="C94" s="284"/>
      <c r="D94" s="284"/>
      <c r="E94" s="158"/>
      <c r="F94" s="158"/>
      <c r="G94" s="158"/>
      <c r="H94" s="158"/>
      <c r="I94" s="158"/>
      <c r="J94" s="132">
        <v>6</v>
      </c>
      <c r="L94" s="2"/>
      <c r="M94" s="2"/>
      <c r="N94" s="2"/>
    </row>
    <row r="95" spans="1:14" s="4" customFormat="1" ht="14.45" customHeight="1">
      <c r="A95" s="153">
        <v>40</v>
      </c>
      <c r="B95" s="284" t="s">
        <v>46</v>
      </c>
      <c r="C95" s="284"/>
      <c r="D95" s="284"/>
      <c r="E95" s="158"/>
      <c r="F95" s="158"/>
      <c r="G95" s="158"/>
      <c r="H95" s="158"/>
      <c r="I95" s="158"/>
      <c r="J95" s="132">
        <v>19</v>
      </c>
      <c r="L95" s="2"/>
      <c r="M95" s="2"/>
      <c r="N95" s="2"/>
    </row>
    <row r="96" spans="1:14" s="4" customFormat="1">
      <c r="A96" s="153">
        <v>41</v>
      </c>
      <c r="B96" s="284" t="s">
        <v>133</v>
      </c>
      <c r="C96" s="284"/>
      <c r="D96" s="284"/>
      <c r="E96" s="158"/>
      <c r="F96" s="158"/>
      <c r="G96" s="158"/>
      <c r="H96" s="158"/>
      <c r="I96" s="158"/>
      <c r="J96" s="132">
        <v>4</v>
      </c>
      <c r="L96" s="2"/>
      <c r="M96" s="2"/>
      <c r="N96" s="2"/>
    </row>
    <row r="97" spans="1:14" s="4" customFormat="1">
      <c r="A97" s="153">
        <v>42</v>
      </c>
      <c r="B97" s="284" t="s">
        <v>89</v>
      </c>
      <c r="C97" s="284"/>
      <c r="D97" s="284"/>
      <c r="E97" s="158"/>
      <c r="F97" s="158"/>
      <c r="G97" s="158"/>
      <c r="H97" s="158"/>
      <c r="I97" s="158"/>
      <c r="J97" s="133">
        <v>5.0999999999999996</v>
      </c>
      <c r="L97" s="2"/>
      <c r="M97" s="2"/>
      <c r="N97" s="2"/>
    </row>
    <row r="98" spans="1:14" s="4" customFormat="1">
      <c r="A98" s="153">
        <v>43</v>
      </c>
      <c r="B98" s="284" t="s">
        <v>71</v>
      </c>
      <c r="C98" s="284"/>
      <c r="D98" s="284"/>
      <c r="E98" s="158"/>
      <c r="F98" s="158"/>
      <c r="G98" s="158"/>
      <c r="H98" s="158"/>
      <c r="I98" s="158"/>
      <c r="J98" s="135">
        <v>4.62</v>
      </c>
      <c r="L98" s="2"/>
      <c r="M98" s="2"/>
      <c r="N98" s="2"/>
    </row>
    <row r="99" spans="1:14" s="4" customFormat="1" ht="14.45" customHeight="1">
      <c r="A99" s="153">
        <v>44</v>
      </c>
      <c r="B99" s="284" t="s">
        <v>73</v>
      </c>
      <c r="C99" s="284"/>
      <c r="D99" s="284"/>
      <c r="E99" s="158"/>
      <c r="F99" s="158"/>
      <c r="G99" s="158"/>
      <c r="H99" s="158"/>
      <c r="I99" s="158"/>
      <c r="J99" s="135">
        <v>4.51</v>
      </c>
      <c r="L99" s="2"/>
      <c r="M99" s="2"/>
      <c r="N99" s="2"/>
    </row>
    <row r="100" spans="1:14" s="4" customFormat="1">
      <c r="A100" s="153">
        <v>45</v>
      </c>
      <c r="B100" s="284" t="s">
        <v>134</v>
      </c>
      <c r="C100" s="284"/>
      <c r="D100" s="284"/>
      <c r="E100" s="158"/>
      <c r="F100" s="158"/>
      <c r="G100" s="158"/>
      <c r="H100" s="158"/>
      <c r="I100" s="158"/>
      <c r="J100" s="133">
        <v>4.5</v>
      </c>
      <c r="L100" s="2"/>
      <c r="M100" s="2"/>
      <c r="N100" s="2"/>
    </row>
    <row r="101" spans="1:14" s="4" customFormat="1">
      <c r="A101" s="153">
        <v>46</v>
      </c>
      <c r="B101" s="284" t="s">
        <v>135</v>
      </c>
      <c r="C101" s="284"/>
      <c r="D101" s="284"/>
      <c r="E101" s="158"/>
      <c r="F101" s="158"/>
      <c r="G101" s="158"/>
      <c r="H101" s="158"/>
      <c r="I101" s="158"/>
      <c r="J101" s="133">
        <v>6.3</v>
      </c>
      <c r="L101" s="2"/>
      <c r="M101" s="2"/>
      <c r="N101" s="2"/>
    </row>
    <row r="102" spans="1:14" s="4" customFormat="1">
      <c r="A102" s="153">
        <v>47</v>
      </c>
      <c r="B102" s="284" t="s">
        <v>77</v>
      </c>
      <c r="C102" s="284"/>
      <c r="D102" s="284"/>
      <c r="E102" s="158"/>
      <c r="F102" s="158"/>
      <c r="G102" s="158"/>
      <c r="H102" s="158"/>
      <c r="I102" s="158"/>
      <c r="J102" s="135">
        <v>28.35</v>
      </c>
      <c r="L102" s="2"/>
      <c r="M102" s="2"/>
      <c r="N102" s="2"/>
    </row>
    <row r="103" spans="1:14" s="4" customFormat="1">
      <c r="A103" s="153">
        <v>48</v>
      </c>
      <c r="B103" s="284" t="s">
        <v>49</v>
      </c>
      <c r="C103" s="284"/>
      <c r="D103" s="284"/>
      <c r="E103" s="158"/>
      <c r="F103" s="158"/>
      <c r="G103" s="158"/>
      <c r="H103" s="158"/>
      <c r="I103" s="158"/>
      <c r="J103" s="135">
        <v>5.61</v>
      </c>
      <c r="L103" s="2"/>
      <c r="M103" s="2"/>
      <c r="N103" s="2"/>
    </row>
    <row r="104" spans="1:14" s="4" customFormat="1" ht="14.45" customHeight="1">
      <c r="A104" s="153">
        <v>49</v>
      </c>
      <c r="B104" s="284" t="s">
        <v>136</v>
      </c>
      <c r="C104" s="284"/>
      <c r="D104" s="284"/>
      <c r="E104" s="158"/>
      <c r="F104" s="158"/>
      <c r="G104" s="158"/>
      <c r="H104" s="158"/>
      <c r="I104" s="158"/>
      <c r="J104" s="133">
        <v>5.9</v>
      </c>
      <c r="L104" s="2"/>
      <c r="M104" s="2"/>
      <c r="N104" s="2"/>
    </row>
    <row r="105" spans="1:14" s="4" customFormat="1">
      <c r="A105" s="153">
        <v>50</v>
      </c>
      <c r="B105" s="284" t="s">
        <v>140</v>
      </c>
      <c r="C105" s="284"/>
      <c r="D105" s="284"/>
      <c r="E105" s="158"/>
      <c r="F105" s="158"/>
      <c r="G105" s="158"/>
      <c r="H105" s="158"/>
      <c r="I105" s="158"/>
      <c r="J105" s="132">
        <v>7</v>
      </c>
      <c r="L105" s="2"/>
      <c r="M105" s="2"/>
      <c r="N105" s="2"/>
    </row>
    <row r="106" spans="1:14" s="4" customFormat="1">
      <c r="A106" s="153">
        <v>51</v>
      </c>
      <c r="B106" s="154"/>
      <c r="C106" s="155"/>
      <c r="D106" s="155"/>
      <c r="E106" s="155"/>
      <c r="F106" s="155"/>
      <c r="G106" s="155"/>
      <c r="H106" s="155"/>
      <c r="I106" s="156"/>
      <c r="J106" s="157"/>
      <c r="L106" s="2"/>
      <c r="M106" s="2"/>
      <c r="N106" s="2"/>
    </row>
    <row r="107" spans="1:14" s="4" customFormat="1">
      <c r="A107" s="153">
        <v>52</v>
      </c>
      <c r="B107" s="154"/>
      <c r="C107" s="155"/>
      <c r="D107" s="155"/>
      <c r="E107" s="155"/>
      <c r="F107" s="155"/>
      <c r="G107" s="155"/>
      <c r="H107" s="155"/>
      <c r="I107" s="156"/>
      <c r="J107" s="157"/>
      <c r="L107" s="2"/>
      <c r="M107" s="2"/>
      <c r="N107" s="2"/>
    </row>
    <row r="108" spans="1:14" s="4" customFormat="1">
      <c r="A108" s="153">
        <v>53</v>
      </c>
      <c r="B108" s="154"/>
      <c r="C108" s="155"/>
      <c r="D108" s="155"/>
      <c r="E108" s="155"/>
      <c r="F108" s="155"/>
      <c r="G108" s="155"/>
      <c r="H108" s="155"/>
      <c r="I108" s="156"/>
      <c r="J108" s="157"/>
      <c r="L108" s="2"/>
      <c r="M108" s="2"/>
      <c r="N108" s="2"/>
    </row>
    <row r="109" spans="1:14" s="4" customFormat="1">
      <c r="A109" s="153">
        <v>54</v>
      </c>
      <c r="B109" s="154"/>
      <c r="C109" s="155"/>
      <c r="D109" s="155"/>
      <c r="E109" s="155"/>
      <c r="F109" s="155"/>
      <c r="G109" s="155"/>
      <c r="H109" s="155"/>
      <c r="I109" s="156"/>
      <c r="J109" s="157"/>
      <c r="L109" s="2"/>
      <c r="M109" s="2"/>
      <c r="N109" s="2"/>
    </row>
    <row r="110" spans="1:14" s="4" customFormat="1">
      <c r="A110" s="153">
        <v>55</v>
      </c>
      <c r="B110" s="154"/>
      <c r="C110" s="155"/>
      <c r="D110" s="155"/>
      <c r="E110" s="155"/>
      <c r="F110" s="155"/>
      <c r="G110" s="155"/>
      <c r="H110" s="155"/>
      <c r="I110" s="156"/>
      <c r="J110" s="157"/>
      <c r="L110" s="2"/>
      <c r="M110" s="2"/>
      <c r="N110" s="2"/>
    </row>
    <row r="111" spans="1:14" s="4" customFormat="1">
      <c r="A111" s="153">
        <v>56</v>
      </c>
      <c r="B111" s="154"/>
      <c r="C111" s="155"/>
      <c r="D111" s="155"/>
      <c r="E111" s="155"/>
      <c r="F111" s="155"/>
      <c r="G111" s="155"/>
      <c r="H111" s="155"/>
      <c r="I111" s="156"/>
      <c r="J111" s="157"/>
      <c r="L111" s="2"/>
      <c r="M111" s="2"/>
      <c r="N111" s="2"/>
    </row>
    <row r="112" spans="1:14" s="4" customFormat="1">
      <c r="A112" s="153">
        <v>57</v>
      </c>
      <c r="B112" s="154"/>
      <c r="C112" s="155"/>
      <c r="D112" s="155"/>
      <c r="E112" s="155"/>
      <c r="F112" s="155"/>
      <c r="G112" s="155"/>
      <c r="H112" s="155"/>
      <c r="I112" s="156"/>
      <c r="J112" s="157"/>
      <c r="L112" s="2"/>
      <c r="M112" s="2"/>
      <c r="N112" s="2"/>
    </row>
    <row r="113" spans="1:14" s="4" customFormat="1">
      <c r="A113" s="153">
        <v>58</v>
      </c>
      <c r="B113" s="154"/>
      <c r="C113" s="155"/>
      <c r="D113" s="155"/>
      <c r="E113" s="155"/>
      <c r="F113" s="155"/>
      <c r="G113" s="155"/>
      <c r="H113" s="155"/>
      <c r="I113" s="156"/>
      <c r="J113" s="157"/>
      <c r="L113" s="2"/>
      <c r="M113" s="2"/>
      <c r="N113" s="2"/>
    </row>
    <row r="114" spans="1:14" s="4" customFormat="1">
      <c r="A114" s="153">
        <v>59</v>
      </c>
      <c r="B114" s="154"/>
      <c r="C114" s="155"/>
      <c r="D114" s="155"/>
      <c r="E114" s="155"/>
      <c r="F114" s="155"/>
      <c r="G114" s="155"/>
      <c r="H114" s="155"/>
      <c r="I114" s="156"/>
      <c r="J114" s="157"/>
      <c r="L114" s="2"/>
      <c r="M114" s="2"/>
      <c r="N114" s="2"/>
    </row>
    <row r="115" spans="1:14" s="4" customFormat="1">
      <c r="A115" s="153">
        <v>60</v>
      </c>
      <c r="B115" s="154"/>
      <c r="C115" s="155"/>
      <c r="D115" s="155"/>
      <c r="E115" s="155"/>
      <c r="F115" s="155"/>
      <c r="G115" s="155"/>
      <c r="H115" s="155"/>
      <c r="I115" s="156"/>
      <c r="J115" s="157"/>
      <c r="L115" s="2"/>
      <c r="M115" s="2"/>
      <c r="N115" s="2"/>
    </row>
    <row r="116" spans="1:14" ht="15.75" thickBot="1">
      <c r="A116" s="108"/>
      <c r="B116" s="191" t="s">
        <v>15</v>
      </c>
      <c r="C116" s="192"/>
      <c r="D116" s="192"/>
      <c r="E116" s="192"/>
      <c r="F116" s="192"/>
      <c r="G116" s="192"/>
      <c r="H116" s="192"/>
      <c r="I116" s="193"/>
      <c r="J116" s="109">
        <f>SUM(J56:J115)</f>
        <v>566.02600000000007</v>
      </c>
    </row>
    <row r="118" spans="1:14" ht="14.45" customHeight="1"/>
    <row r="122" spans="1:14" ht="14.45" customHeight="1"/>
  </sheetData>
  <mergeCells count="129">
    <mergeCell ref="B64:E64"/>
    <mergeCell ref="B65:E65"/>
    <mergeCell ref="B66:E66"/>
    <mergeCell ref="B67:E67"/>
    <mergeCell ref="A1:C1"/>
    <mergeCell ref="E1:H1"/>
    <mergeCell ref="J1:K1"/>
    <mergeCell ref="A2:C2"/>
    <mergeCell ref="F2:H2"/>
    <mergeCell ref="J2:K2"/>
    <mergeCell ref="A3:K3"/>
    <mergeCell ref="A4:L4"/>
    <mergeCell ref="L40:M40"/>
    <mergeCell ref="L34:M34"/>
    <mergeCell ref="A35:A36"/>
    <mergeCell ref="B35:B36"/>
    <mergeCell ref="C35:C36"/>
    <mergeCell ref="D35:D36"/>
    <mergeCell ref="F35:F36"/>
    <mergeCell ref="G35:G36"/>
    <mergeCell ref="K35:K36"/>
    <mergeCell ref="L35:M36"/>
    <mergeCell ref="L37:M37"/>
    <mergeCell ref="L38:M38"/>
    <mergeCell ref="L39:M39"/>
    <mergeCell ref="H35:H36"/>
    <mergeCell ref="I35:I36"/>
    <mergeCell ref="J35:J36"/>
    <mergeCell ref="E47:F47"/>
    <mergeCell ref="G47:H47"/>
    <mergeCell ref="I47:J47"/>
    <mergeCell ref="L41:M41"/>
    <mergeCell ref="L42:M42"/>
    <mergeCell ref="L43:M43"/>
    <mergeCell ref="A44:E44"/>
    <mergeCell ref="G44:L44"/>
    <mergeCell ref="J6:J7"/>
    <mergeCell ref="K6:L6"/>
    <mergeCell ref="A21:F21"/>
    <mergeCell ref="A24:I24"/>
    <mergeCell ref="A31:C31"/>
    <mergeCell ref="A33:L33"/>
    <mergeCell ref="A6:A7"/>
    <mergeCell ref="B6:B7"/>
    <mergeCell ref="C6:C7"/>
    <mergeCell ref="D6:D7"/>
    <mergeCell ref="F6:F7"/>
    <mergeCell ref="G6:G7"/>
    <mergeCell ref="H6:H7"/>
    <mergeCell ref="I6:I7"/>
    <mergeCell ref="A54:J54"/>
    <mergeCell ref="B55:I55"/>
    <mergeCell ref="B68:E68"/>
    <mergeCell ref="B73:I73"/>
    <mergeCell ref="B74:I74"/>
    <mergeCell ref="B75:I75"/>
    <mergeCell ref="B76:I76"/>
    <mergeCell ref="A46:J46"/>
    <mergeCell ref="C51:D51"/>
    <mergeCell ref="E51:F51"/>
    <mergeCell ref="G51:H51"/>
    <mergeCell ref="I51:J51"/>
    <mergeCell ref="C49:D49"/>
    <mergeCell ref="E49:F49"/>
    <mergeCell ref="G49:H49"/>
    <mergeCell ref="I49:J49"/>
    <mergeCell ref="C50:D50"/>
    <mergeCell ref="E50:F50"/>
    <mergeCell ref="G50:H50"/>
    <mergeCell ref="I50:J50"/>
    <mergeCell ref="C48:D48"/>
    <mergeCell ref="E48:F48"/>
    <mergeCell ref="G48:H48"/>
    <mergeCell ref="I48:J48"/>
    <mergeCell ref="B83:I83"/>
    <mergeCell ref="B84:I84"/>
    <mergeCell ref="B85:I85"/>
    <mergeCell ref="B69:I69"/>
    <mergeCell ref="B70:I70"/>
    <mergeCell ref="B71:I71"/>
    <mergeCell ref="B72:I72"/>
    <mergeCell ref="F65:I65"/>
    <mergeCell ref="F66:I66"/>
    <mergeCell ref="F67:I67"/>
    <mergeCell ref="F68:I68"/>
    <mergeCell ref="B116:I116"/>
    <mergeCell ref="B56:E56"/>
    <mergeCell ref="F56:I56"/>
    <mergeCell ref="B57:E57"/>
    <mergeCell ref="F57:I57"/>
    <mergeCell ref="B58:E58"/>
    <mergeCell ref="F58:I58"/>
    <mergeCell ref="B59:E59"/>
    <mergeCell ref="F59:I59"/>
    <mergeCell ref="B60:E60"/>
    <mergeCell ref="F60:I60"/>
    <mergeCell ref="B61:E61"/>
    <mergeCell ref="F61:I61"/>
    <mergeCell ref="B62:E62"/>
    <mergeCell ref="F62:I62"/>
    <mergeCell ref="B63:E63"/>
    <mergeCell ref="F63:I63"/>
    <mergeCell ref="F64:I64"/>
    <mergeCell ref="B77:I77"/>
    <mergeCell ref="B78:I78"/>
    <mergeCell ref="B79:I79"/>
    <mergeCell ref="B80:I80"/>
    <mergeCell ref="B81:I81"/>
    <mergeCell ref="B82:I82"/>
    <mergeCell ref="B101:D101"/>
    <mergeCell ref="B102:D102"/>
    <mergeCell ref="B103:D103"/>
    <mergeCell ref="B104:D104"/>
    <mergeCell ref="B105:D105"/>
    <mergeCell ref="B86:I86"/>
    <mergeCell ref="B87:I87"/>
    <mergeCell ref="B88:I88"/>
    <mergeCell ref="B89:I89"/>
    <mergeCell ref="B90:I90"/>
    <mergeCell ref="B91:I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</mergeCells>
  <pageMargins left="0" right="0" top="0.59055118110236204" bottom="0" header="0" footer="0"/>
  <pageSetup paperSize="9" scale="5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N109"/>
  <sheetViews>
    <sheetView topLeftCell="A19" zoomScale="85" zoomScaleNormal="85" workbookViewId="0">
      <pane xSplit="3" topLeftCell="D1" activePane="topRight" state="frozen"/>
      <selection pane="topRight" activeCell="I48" sqref="I48:J48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9" t="s">
        <v>51</v>
      </c>
      <c r="B1" s="269"/>
      <c r="C1" s="269"/>
      <c r="D1" s="1"/>
      <c r="E1" s="269" t="s">
        <v>24</v>
      </c>
      <c r="F1" s="269"/>
      <c r="G1" s="269"/>
      <c r="H1" s="269"/>
      <c r="I1" s="148"/>
      <c r="J1" s="270">
        <v>3</v>
      </c>
      <c r="K1" s="270"/>
    </row>
    <row r="2" spans="1:12" ht="28.5">
      <c r="A2" s="271">
        <v>46318</v>
      </c>
      <c r="B2" s="272"/>
      <c r="C2" s="272"/>
      <c r="D2" s="3"/>
      <c r="E2" s="3"/>
      <c r="F2" s="273"/>
      <c r="G2" s="273"/>
      <c r="H2" s="273"/>
      <c r="I2" s="149"/>
      <c r="J2" s="273"/>
      <c r="K2" s="273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62" t="s">
        <v>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5" t="s">
        <v>1</v>
      </c>
      <c r="B6" s="266" t="s">
        <v>2</v>
      </c>
      <c r="C6" s="266" t="s">
        <v>3</v>
      </c>
      <c r="D6" s="266" t="s">
        <v>4</v>
      </c>
      <c r="E6" s="151" t="s">
        <v>5</v>
      </c>
      <c r="F6" s="266" t="s">
        <v>6</v>
      </c>
      <c r="G6" s="267" t="s">
        <v>7</v>
      </c>
      <c r="H6" s="268" t="s">
        <v>8</v>
      </c>
      <c r="I6" s="266" t="s">
        <v>9</v>
      </c>
      <c r="J6" s="274" t="s">
        <v>30</v>
      </c>
      <c r="K6" s="275" t="s">
        <v>10</v>
      </c>
      <c r="L6" s="276"/>
    </row>
    <row r="7" spans="1:12" s="8" customFormat="1" ht="63.6" customHeight="1">
      <c r="A7" s="265"/>
      <c r="B7" s="266"/>
      <c r="C7" s="266"/>
      <c r="D7" s="266"/>
      <c r="E7" s="151" t="s">
        <v>11</v>
      </c>
      <c r="F7" s="266"/>
      <c r="G7" s="267"/>
      <c r="H7" s="268"/>
      <c r="I7" s="266"/>
      <c r="J7" s="238"/>
      <c r="K7" s="151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/>
      <c r="G8" s="22"/>
      <c r="H8" s="26"/>
      <c r="I8" s="23"/>
      <c r="J8" s="21">
        <f>I8-F8</f>
        <v>0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0.31597222222222221</v>
      </c>
      <c r="G9" s="22">
        <v>13</v>
      </c>
      <c r="H9" s="26">
        <v>509.411</v>
      </c>
      <c r="I9" s="23"/>
      <c r="J9" s="21">
        <f t="shared" ref="J9:J11" si="0">I9-F9</f>
        <v>-0.31597222222222221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0.32291666666666669</v>
      </c>
      <c r="G10" s="22">
        <v>22</v>
      </c>
      <c r="H10" s="26">
        <v>630.79600000000005</v>
      </c>
      <c r="I10" s="23"/>
      <c r="J10" s="21">
        <f t="shared" si="0"/>
        <v>-0.32291666666666669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0.3263888888888889</v>
      </c>
      <c r="G11" s="22">
        <v>17</v>
      </c>
      <c r="H11" s="26">
        <v>421.64499999999998</v>
      </c>
      <c r="I11" s="23"/>
      <c r="J11" s="21">
        <f t="shared" si="0"/>
        <v>-0.3263888888888889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8" t="s">
        <v>15</v>
      </c>
      <c r="B21" s="259"/>
      <c r="C21" s="259"/>
      <c r="D21" s="259"/>
      <c r="E21" s="259"/>
      <c r="F21" s="260"/>
      <c r="G21" s="70">
        <f>SUM(G8:G20)</f>
        <v>52</v>
      </c>
      <c r="H21" s="70">
        <f>SUM(H8:H20)</f>
        <v>1561.8520000000001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5" t="s">
        <v>26</v>
      </c>
      <c r="B24" s="256"/>
      <c r="C24" s="256"/>
      <c r="D24" s="256"/>
      <c r="E24" s="256"/>
      <c r="F24" s="256"/>
      <c r="G24" s="256"/>
      <c r="H24" s="256"/>
      <c r="I24" s="257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51" t="s">
        <v>2</v>
      </c>
      <c r="C26" s="151" t="s">
        <v>3</v>
      </c>
      <c r="D26" s="151" t="s">
        <v>27</v>
      </c>
      <c r="E26" s="151" t="s">
        <v>6</v>
      </c>
      <c r="F26" s="151" t="s">
        <v>28</v>
      </c>
      <c r="G26" s="151" t="s">
        <v>8</v>
      </c>
      <c r="H26" s="151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8" t="s">
        <v>15</v>
      </c>
      <c r="B31" s="259"/>
      <c r="C31" s="260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5" t="s">
        <v>12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51">
        <v>12</v>
      </c>
      <c r="M34" s="252"/>
    </row>
    <row r="35" spans="1:13" ht="75">
      <c r="A35" s="253" t="s">
        <v>1</v>
      </c>
      <c r="B35" s="237" t="s">
        <v>2</v>
      </c>
      <c r="C35" s="237" t="s">
        <v>3</v>
      </c>
      <c r="D35" s="237" t="s">
        <v>4</v>
      </c>
      <c r="E35" s="97" t="s">
        <v>5</v>
      </c>
      <c r="F35" s="237" t="s">
        <v>14</v>
      </c>
      <c r="G35" s="237" t="s">
        <v>13</v>
      </c>
      <c r="H35" s="237" t="s">
        <v>37</v>
      </c>
      <c r="I35" s="237" t="s">
        <v>39</v>
      </c>
      <c r="J35" s="237" t="s">
        <v>38</v>
      </c>
      <c r="K35" s="237" t="s">
        <v>40</v>
      </c>
      <c r="L35" s="239" t="s">
        <v>36</v>
      </c>
      <c r="M35" s="240"/>
    </row>
    <row r="36" spans="1:13" ht="75">
      <c r="A36" s="254"/>
      <c r="B36" s="238"/>
      <c r="C36" s="238"/>
      <c r="D36" s="238"/>
      <c r="E36" s="150" t="s">
        <v>11</v>
      </c>
      <c r="F36" s="238"/>
      <c r="G36" s="238"/>
      <c r="H36" s="238"/>
      <c r="I36" s="238"/>
      <c r="J36" s="238"/>
      <c r="K36" s="238"/>
      <c r="L36" s="241"/>
      <c r="M36" s="242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43"/>
      <c r="M37" s="244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45"/>
      <c r="M38" s="246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47"/>
      <c r="M39" s="248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49"/>
      <c r="M40" s="250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22"/>
      <c r="M41" s="223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24"/>
      <c r="M42" s="225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26"/>
      <c r="M43" s="227"/>
    </row>
    <row r="44" spans="1:13" ht="15.75" thickBot="1">
      <c r="A44" s="228" t="s">
        <v>15</v>
      </c>
      <c r="B44" s="229"/>
      <c r="C44" s="229"/>
      <c r="D44" s="229"/>
      <c r="E44" s="230"/>
      <c r="F44" s="96"/>
      <c r="G44" s="231">
        <f>SUM(G37:G43)</f>
        <v>0</v>
      </c>
      <c r="H44" s="232"/>
      <c r="I44" s="232"/>
      <c r="J44" s="232"/>
      <c r="K44" s="232"/>
      <c r="L44" s="233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234" t="s">
        <v>16</v>
      </c>
      <c r="B46" s="235"/>
      <c r="C46" s="235"/>
      <c r="D46" s="235"/>
      <c r="E46" s="235"/>
      <c r="F46" s="235"/>
      <c r="G46" s="235"/>
      <c r="H46" s="235"/>
      <c r="I46" s="235"/>
      <c r="J46" s="236"/>
      <c r="K46" s="2"/>
    </row>
    <row r="47" spans="1:13" ht="30">
      <c r="A47" s="50"/>
      <c r="B47" s="18"/>
      <c r="C47" s="152"/>
      <c r="D47" s="152" t="s">
        <v>17</v>
      </c>
      <c r="E47" s="216" t="s">
        <v>18</v>
      </c>
      <c r="F47" s="216"/>
      <c r="G47" s="216" t="s">
        <v>19</v>
      </c>
      <c r="H47" s="216"/>
      <c r="I47" s="216" t="s">
        <v>29</v>
      </c>
      <c r="J47" s="217"/>
      <c r="K47" s="2"/>
    </row>
    <row r="48" spans="1:13">
      <c r="A48" s="50"/>
      <c r="B48" s="24" t="s">
        <v>20</v>
      </c>
      <c r="C48" s="206">
        <v>964.58</v>
      </c>
      <c r="D48" s="207"/>
      <c r="E48" s="218">
        <v>673.33</v>
      </c>
      <c r="F48" s="219"/>
      <c r="G48" s="218">
        <v>673.33</v>
      </c>
      <c r="H48" s="219"/>
      <c r="I48" s="220"/>
      <c r="J48" s="221"/>
      <c r="K48" s="2"/>
    </row>
    <row r="49" spans="1:14">
      <c r="A49" s="51"/>
      <c r="B49" s="24" t="s">
        <v>21</v>
      </c>
      <c r="C49" s="206">
        <v>435.33</v>
      </c>
      <c r="D49" s="207"/>
      <c r="E49" s="208">
        <v>410.26</v>
      </c>
      <c r="F49" s="209"/>
      <c r="G49" s="208">
        <v>410.26</v>
      </c>
      <c r="H49" s="209"/>
      <c r="I49" s="210"/>
      <c r="J49" s="211"/>
      <c r="K49" s="2"/>
    </row>
    <row r="50" spans="1:14" ht="15.75" thickBot="1">
      <c r="A50" s="51"/>
      <c r="B50" s="24" t="s">
        <v>22</v>
      </c>
      <c r="C50" s="212">
        <v>669.04</v>
      </c>
      <c r="D50" s="213"/>
      <c r="E50" s="214">
        <v>479.017</v>
      </c>
      <c r="F50" s="215"/>
      <c r="G50" s="214">
        <v>479.017</v>
      </c>
      <c r="H50" s="215"/>
      <c r="I50" s="210"/>
      <c r="J50" s="211"/>
      <c r="K50" s="2"/>
    </row>
    <row r="51" spans="1:14" ht="15.75" thickBot="1">
      <c r="A51" s="11"/>
      <c r="B51" s="12" t="s">
        <v>23</v>
      </c>
      <c r="C51" s="195">
        <f>SUM(C48:D50)</f>
        <v>2068.9499999999998</v>
      </c>
      <c r="D51" s="196"/>
      <c r="E51" s="197">
        <f>SUM(E48:E50)</f>
        <v>1562.6070000000002</v>
      </c>
      <c r="F51" s="198"/>
      <c r="G51" s="197">
        <f>G48+G49+G50</f>
        <v>1562.6070000000002</v>
      </c>
      <c r="H51" s="198"/>
      <c r="I51" s="197">
        <f>SUM(I48:I50)</f>
        <v>0</v>
      </c>
      <c r="J51" s="199"/>
      <c r="K51" s="2"/>
    </row>
    <row r="53" spans="1:14" ht="15.75" thickBot="1">
      <c r="E53" s="25"/>
    </row>
    <row r="54" spans="1:14" s="130" customFormat="1" ht="19.5" thickBot="1">
      <c r="A54" s="200" t="s">
        <v>32</v>
      </c>
      <c r="B54" s="201"/>
      <c r="C54" s="201"/>
      <c r="D54" s="201"/>
      <c r="E54" s="201"/>
      <c r="F54" s="201"/>
      <c r="G54" s="201"/>
      <c r="H54" s="201"/>
      <c r="I54" s="201"/>
      <c r="J54" s="202"/>
      <c r="L54" s="131"/>
      <c r="M54" s="131"/>
      <c r="N54" s="131"/>
    </row>
    <row r="55" spans="1:14" s="130" customFormat="1">
      <c r="A55" s="160" t="s">
        <v>33</v>
      </c>
      <c r="B55" s="288" t="s">
        <v>34</v>
      </c>
      <c r="C55" s="289"/>
      <c r="D55" s="289"/>
      <c r="E55" s="289"/>
      <c r="F55" s="289"/>
      <c r="G55" s="289"/>
      <c r="H55" s="289"/>
      <c r="I55" s="290"/>
      <c r="J55" s="161" t="s">
        <v>35</v>
      </c>
      <c r="L55" s="131"/>
      <c r="M55" s="131"/>
      <c r="N55" s="131"/>
    </row>
    <row r="56" spans="1:14" s="130" customFormat="1" ht="16.899999999999999" customHeight="1">
      <c r="A56" s="159">
        <v>1</v>
      </c>
      <c r="B56" s="292" t="s">
        <v>45</v>
      </c>
      <c r="C56" s="293"/>
      <c r="D56" s="293"/>
      <c r="E56" s="293"/>
      <c r="F56" s="293"/>
      <c r="G56" s="293"/>
      <c r="H56" s="293"/>
      <c r="I56" s="294"/>
      <c r="J56" s="172">
        <v>9.68</v>
      </c>
      <c r="L56" s="131"/>
      <c r="M56" s="131"/>
      <c r="N56" s="131"/>
    </row>
    <row r="57" spans="1:14" s="130" customFormat="1" ht="30.6" customHeight="1">
      <c r="A57" s="159">
        <v>2</v>
      </c>
      <c r="B57" s="291" t="s">
        <v>143</v>
      </c>
      <c r="C57" s="291"/>
      <c r="D57" s="291"/>
      <c r="E57" s="162"/>
      <c r="F57" s="162"/>
      <c r="G57" s="162"/>
      <c r="H57" s="162"/>
      <c r="I57" s="162"/>
      <c r="J57" s="173">
        <v>4.2</v>
      </c>
      <c r="L57" s="131"/>
      <c r="M57" s="131"/>
      <c r="N57" s="131"/>
    </row>
    <row r="58" spans="1:14" s="130" customFormat="1" ht="20.45" customHeight="1">
      <c r="A58" s="159">
        <v>3</v>
      </c>
      <c r="B58" s="291" t="s">
        <v>46</v>
      </c>
      <c r="C58" s="291"/>
      <c r="D58" s="291"/>
      <c r="E58" s="162"/>
      <c r="F58" s="162"/>
      <c r="G58" s="162"/>
      <c r="H58" s="162"/>
      <c r="I58" s="162"/>
      <c r="J58" s="174">
        <v>53</v>
      </c>
      <c r="L58" s="131"/>
      <c r="M58" s="131"/>
      <c r="N58" s="131"/>
    </row>
    <row r="59" spans="1:14" s="130" customFormat="1" ht="30.6" customHeight="1">
      <c r="A59" s="159">
        <v>4</v>
      </c>
      <c r="B59" s="291" t="s">
        <v>69</v>
      </c>
      <c r="C59" s="291"/>
      <c r="D59" s="291"/>
      <c r="E59" s="162"/>
      <c r="F59" s="162"/>
      <c r="G59" s="162"/>
      <c r="H59" s="162"/>
      <c r="I59" s="162"/>
      <c r="J59" s="175">
        <v>3.948</v>
      </c>
      <c r="L59" s="131"/>
      <c r="M59" s="131"/>
      <c r="N59" s="131"/>
    </row>
    <row r="60" spans="1:14" s="4" customFormat="1" ht="15" customHeight="1">
      <c r="A60" s="159">
        <v>5</v>
      </c>
      <c r="B60" s="291" t="s">
        <v>89</v>
      </c>
      <c r="C60" s="291"/>
      <c r="D60" s="291"/>
      <c r="E60" s="162"/>
      <c r="F60" s="162"/>
      <c r="G60" s="162"/>
      <c r="H60" s="162"/>
      <c r="I60" s="162"/>
      <c r="J60" s="173">
        <v>11.7</v>
      </c>
      <c r="L60" s="2"/>
      <c r="M60" s="2"/>
      <c r="N60" s="2"/>
    </row>
    <row r="61" spans="1:14" s="4" customFormat="1" ht="15" customHeight="1">
      <c r="A61" s="159">
        <v>6</v>
      </c>
      <c r="B61" s="291" t="s">
        <v>144</v>
      </c>
      <c r="C61" s="291"/>
      <c r="D61" s="291"/>
      <c r="E61" s="162"/>
      <c r="F61" s="162"/>
      <c r="G61" s="162"/>
      <c r="H61" s="162"/>
      <c r="I61" s="162"/>
      <c r="J61" s="174">
        <v>9</v>
      </c>
      <c r="L61" s="2"/>
      <c r="M61" s="2"/>
      <c r="N61" s="2"/>
    </row>
    <row r="62" spans="1:14" s="4" customFormat="1" ht="15" customHeight="1">
      <c r="A62" s="159">
        <v>7</v>
      </c>
      <c r="B62" s="291" t="s">
        <v>145</v>
      </c>
      <c r="C62" s="291"/>
      <c r="D62" s="291"/>
      <c r="E62" s="162"/>
      <c r="F62" s="162"/>
      <c r="G62" s="162"/>
      <c r="H62" s="162"/>
      <c r="I62" s="162"/>
      <c r="J62" s="172">
        <v>14.35</v>
      </c>
      <c r="L62" s="2"/>
      <c r="M62" s="2"/>
      <c r="N62" s="2"/>
    </row>
    <row r="63" spans="1:14" s="4" customFormat="1" ht="15" customHeight="1">
      <c r="A63" s="159">
        <v>8</v>
      </c>
      <c r="B63" s="291" t="s">
        <v>71</v>
      </c>
      <c r="C63" s="291"/>
      <c r="D63" s="291"/>
      <c r="E63" s="162"/>
      <c r="F63" s="162"/>
      <c r="G63" s="162"/>
      <c r="H63" s="162"/>
      <c r="I63" s="162"/>
      <c r="J63" s="172">
        <v>3.63</v>
      </c>
      <c r="L63" s="2"/>
      <c r="M63" s="2"/>
      <c r="N63" s="2"/>
    </row>
    <row r="64" spans="1:14" s="4" customFormat="1" ht="15" customHeight="1">
      <c r="A64" s="159">
        <v>9</v>
      </c>
      <c r="B64" s="291" t="s">
        <v>73</v>
      </c>
      <c r="C64" s="291"/>
      <c r="D64" s="291"/>
      <c r="E64" s="162"/>
      <c r="F64" s="162"/>
      <c r="G64" s="162"/>
      <c r="H64" s="162"/>
      <c r="I64" s="162"/>
      <c r="J64" s="172">
        <v>13.94</v>
      </c>
      <c r="L64" s="2"/>
      <c r="M64" s="2"/>
      <c r="N64" s="2"/>
    </row>
    <row r="65" spans="1:14" s="4" customFormat="1" ht="15" customHeight="1">
      <c r="A65" s="159">
        <v>10</v>
      </c>
      <c r="B65" s="291" t="s">
        <v>74</v>
      </c>
      <c r="C65" s="291"/>
      <c r="D65" s="291"/>
      <c r="E65" s="162"/>
      <c r="F65" s="162"/>
      <c r="G65" s="162"/>
      <c r="H65" s="162"/>
      <c r="I65" s="162"/>
      <c r="J65" s="174">
        <v>15</v>
      </c>
      <c r="L65" s="2"/>
      <c r="M65" s="2"/>
      <c r="N65" s="2"/>
    </row>
    <row r="66" spans="1:14" s="4" customFormat="1" ht="15" customHeight="1">
      <c r="A66" s="159">
        <v>11</v>
      </c>
      <c r="B66" s="291" t="s">
        <v>135</v>
      </c>
      <c r="C66" s="291"/>
      <c r="D66" s="291"/>
      <c r="E66" s="162"/>
      <c r="F66" s="162"/>
      <c r="G66" s="162"/>
      <c r="H66" s="162"/>
      <c r="I66" s="162"/>
      <c r="J66" s="173">
        <v>5.6</v>
      </c>
      <c r="L66" s="2"/>
      <c r="M66" s="2"/>
      <c r="N66" s="2"/>
    </row>
    <row r="67" spans="1:14" s="4" customFormat="1" ht="15" customHeight="1">
      <c r="A67" s="159">
        <v>12</v>
      </c>
      <c r="B67" s="291" t="s">
        <v>47</v>
      </c>
      <c r="C67" s="291"/>
      <c r="D67" s="291"/>
      <c r="E67" s="162"/>
      <c r="F67" s="162"/>
      <c r="G67" s="162"/>
      <c r="H67" s="162"/>
      <c r="I67" s="162"/>
      <c r="J67" s="175">
        <v>18.003</v>
      </c>
      <c r="L67" s="2"/>
      <c r="M67" s="2"/>
      <c r="N67" s="2"/>
    </row>
    <row r="68" spans="1:14" s="4" customFormat="1" ht="15" customHeight="1">
      <c r="A68" s="159">
        <v>13</v>
      </c>
      <c r="B68" s="291" t="s">
        <v>77</v>
      </c>
      <c r="C68" s="291"/>
      <c r="D68" s="291"/>
      <c r="E68" s="162"/>
      <c r="F68" s="162"/>
      <c r="G68" s="162"/>
      <c r="H68" s="162"/>
      <c r="I68" s="162"/>
      <c r="J68" s="173">
        <v>28.7</v>
      </c>
      <c r="L68" s="2"/>
      <c r="M68" s="2"/>
      <c r="N68" s="2"/>
    </row>
    <row r="69" spans="1:14" s="4" customFormat="1" ht="15" customHeight="1">
      <c r="A69" s="159">
        <v>14</v>
      </c>
      <c r="B69" s="291" t="s">
        <v>92</v>
      </c>
      <c r="C69" s="291"/>
      <c r="D69" s="291"/>
      <c r="E69" s="162"/>
      <c r="F69" s="162"/>
      <c r="G69" s="162"/>
      <c r="H69" s="162"/>
      <c r="I69" s="162"/>
      <c r="J69" s="172">
        <v>17.149999999999999</v>
      </c>
      <c r="L69" s="2"/>
      <c r="M69" s="2"/>
      <c r="N69" s="2"/>
    </row>
    <row r="70" spans="1:14" s="4" customFormat="1" ht="15" customHeight="1">
      <c r="A70" s="159">
        <v>15</v>
      </c>
      <c r="B70" s="291" t="s">
        <v>146</v>
      </c>
      <c r="C70" s="291"/>
      <c r="D70" s="291"/>
      <c r="E70" s="162"/>
      <c r="F70" s="162"/>
      <c r="G70" s="162"/>
      <c r="H70" s="162"/>
      <c r="I70" s="162"/>
      <c r="J70" s="172">
        <v>8.9600000000000009</v>
      </c>
      <c r="L70" s="2"/>
      <c r="M70" s="2"/>
      <c r="N70" s="2"/>
    </row>
    <row r="71" spans="1:14" s="4" customFormat="1" ht="15" customHeight="1">
      <c r="A71" s="159">
        <v>16</v>
      </c>
      <c r="B71" s="291" t="s">
        <v>147</v>
      </c>
      <c r="C71" s="291"/>
      <c r="D71" s="291"/>
      <c r="E71" s="162"/>
      <c r="F71" s="162"/>
      <c r="G71" s="162"/>
      <c r="H71" s="162"/>
      <c r="I71" s="162"/>
      <c r="J71" s="173">
        <v>4.2</v>
      </c>
      <c r="L71" s="2"/>
      <c r="M71" s="2"/>
      <c r="N71" s="2"/>
    </row>
    <row r="72" spans="1:14" s="4" customFormat="1" ht="15" customHeight="1">
      <c r="A72" s="159">
        <v>17</v>
      </c>
      <c r="B72" s="291" t="s">
        <v>94</v>
      </c>
      <c r="C72" s="291"/>
      <c r="D72" s="291"/>
      <c r="E72" s="162"/>
      <c r="F72" s="162"/>
      <c r="G72" s="162"/>
      <c r="H72" s="162"/>
      <c r="I72" s="162"/>
      <c r="J72" s="172">
        <v>16.52</v>
      </c>
      <c r="L72" s="2"/>
      <c r="M72" s="2"/>
      <c r="N72" s="2"/>
    </row>
    <row r="73" spans="1:14" s="4" customFormat="1" ht="15" customHeight="1">
      <c r="A73" s="159">
        <v>18</v>
      </c>
      <c r="B73" s="291" t="s">
        <v>81</v>
      </c>
      <c r="C73" s="291"/>
      <c r="D73" s="291"/>
      <c r="E73" s="162"/>
      <c r="F73" s="162"/>
      <c r="G73" s="162"/>
      <c r="H73" s="162"/>
      <c r="I73" s="162"/>
      <c r="J73" s="172">
        <v>6.56</v>
      </c>
      <c r="L73" s="2"/>
      <c r="M73" s="2"/>
      <c r="N73" s="2"/>
    </row>
    <row r="74" spans="1:14" s="4" customFormat="1" ht="14.45" customHeight="1">
      <c r="A74" s="159">
        <v>19</v>
      </c>
      <c r="B74" s="291" t="s">
        <v>148</v>
      </c>
      <c r="C74" s="291"/>
      <c r="D74" s="291"/>
      <c r="E74" s="162"/>
      <c r="F74" s="162"/>
      <c r="G74" s="162"/>
      <c r="H74" s="162"/>
      <c r="I74" s="162"/>
      <c r="J74" s="173">
        <v>4.7</v>
      </c>
      <c r="L74" s="2"/>
      <c r="M74" s="2"/>
      <c r="N74" s="2"/>
    </row>
    <row r="75" spans="1:14" s="4" customFormat="1" ht="30.6" customHeight="1">
      <c r="A75" s="159">
        <v>20</v>
      </c>
      <c r="B75" s="291" t="s">
        <v>149</v>
      </c>
      <c r="C75" s="291"/>
      <c r="D75" s="291"/>
      <c r="E75" s="162"/>
      <c r="F75" s="162"/>
      <c r="G75" s="162"/>
      <c r="H75" s="162"/>
      <c r="I75" s="162"/>
      <c r="J75" s="173">
        <v>5.4</v>
      </c>
      <c r="L75" s="2"/>
      <c r="M75" s="2"/>
      <c r="N75" s="2"/>
    </row>
    <row r="76" spans="1:14" s="4" customFormat="1" ht="30.6" customHeight="1">
      <c r="A76" s="159">
        <v>21</v>
      </c>
      <c r="B76" s="298" t="s">
        <v>150</v>
      </c>
      <c r="C76" s="298"/>
      <c r="D76" s="298"/>
      <c r="E76" s="162"/>
      <c r="F76" s="162"/>
      <c r="G76" s="162"/>
      <c r="H76" s="162"/>
      <c r="I76" s="162"/>
      <c r="J76" s="173">
        <v>0.2</v>
      </c>
      <c r="L76" s="2"/>
      <c r="M76" s="2"/>
      <c r="N76" s="2"/>
    </row>
    <row r="77" spans="1:14" s="4" customFormat="1" ht="30.6" customHeight="1">
      <c r="A77" s="159">
        <v>22</v>
      </c>
      <c r="B77" s="295" t="s">
        <v>151</v>
      </c>
      <c r="C77" s="296"/>
      <c r="D77" s="297"/>
      <c r="E77" s="162"/>
      <c r="F77" s="162"/>
      <c r="G77" s="162"/>
      <c r="H77" s="162"/>
      <c r="I77" s="162"/>
      <c r="J77" s="168">
        <v>110</v>
      </c>
      <c r="L77" s="2"/>
      <c r="M77" s="2"/>
      <c r="N77" s="2"/>
    </row>
    <row r="78" spans="1:14" s="4" customFormat="1" ht="30.6" customHeight="1">
      <c r="A78" s="159">
        <v>23</v>
      </c>
      <c r="B78" s="295" t="s">
        <v>152</v>
      </c>
      <c r="C78" s="296"/>
      <c r="D78" s="297"/>
      <c r="E78" s="162"/>
      <c r="F78" s="162"/>
      <c r="G78" s="162"/>
      <c r="H78" s="162"/>
      <c r="I78" s="162"/>
      <c r="J78" s="169">
        <v>53.927999999999997</v>
      </c>
      <c r="L78" s="2"/>
      <c r="M78" s="2"/>
      <c r="N78" s="2"/>
    </row>
    <row r="79" spans="1:14" s="4" customFormat="1" ht="14.45" customHeight="1">
      <c r="A79" s="159">
        <v>24</v>
      </c>
      <c r="B79" s="295" t="s">
        <v>97</v>
      </c>
      <c r="C79" s="296"/>
      <c r="D79" s="297"/>
      <c r="E79" s="162"/>
      <c r="F79" s="162"/>
      <c r="G79" s="162"/>
      <c r="H79" s="162"/>
      <c r="I79" s="162"/>
      <c r="J79" s="168">
        <v>5</v>
      </c>
      <c r="L79" s="2"/>
      <c r="M79" s="2"/>
      <c r="N79" s="2"/>
    </row>
    <row r="80" spans="1:14" s="4" customFormat="1" ht="30.6" customHeight="1">
      <c r="A80" s="159">
        <v>25</v>
      </c>
      <c r="B80" s="295" t="s">
        <v>103</v>
      </c>
      <c r="C80" s="296"/>
      <c r="D80" s="297"/>
      <c r="E80" s="162"/>
      <c r="F80" s="162"/>
      <c r="G80" s="162"/>
      <c r="H80" s="162"/>
      <c r="I80" s="162"/>
      <c r="J80" s="170">
        <v>12.5</v>
      </c>
      <c r="L80" s="2"/>
      <c r="M80" s="2"/>
      <c r="N80" s="2"/>
    </row>
    <row r="81" spans="1:14" s="4" customFormat="1" ht="30.6" customHeight="1">
      <c r="A81" s="159">
        <v>26</v>
      </c>
      <c r="B81" s="295" t="s">
        <v>105</v>
      </c>
      <c r="C81" s="296"/>
      <c r="D81" s="297"/>
      <c r="E81" s="162"/>
      <c r="F81" s="162"/>
      <c r="G81" s="162"/>
      <c r="H81" s="162"/>
      <c r="I81" s="162"/>
      <c r="J81" s="168">
        <v>5</v>
      </c>
      <c r="L81" s="2"/>
      <c r="M81" s="2"/>
      <c r="N81" s="2"/>
    </row>
    <row r="82" spans="1:14" s="4" customFormat="1" ht="14.45" customHeight="1">
      <c r="A82" s="159">
        <v>27</v>
      </c>
      <c r="B82" s="295" t="s">
        <v>153</v>
      </c>
      <c r="C82" s="296"/>
      <c r="D82" s="297"/>
      <c r="E82" s="162"/>
      <c r="F82" s="162"/>
      <c r="G82" s="162"/>
      <c r="H82" s="162"/>
      <c r="I82" s="162"/>
      <c r="J82" s="168">
        <v>5</v>
      </c>
      <c r="L82" s="2"/>
      <c r="M82" s="2"/>
      <c r="N82" s="2"/>
    </row>
    <row r="83" spans="1:14" s="4" customFormat="1" ht="30.6" customHeight="1">
      <c r="A83" s="159">
        <v>28</v>
      </c>
      <c r="B83" s="295" t="s">
        <v>45</v>
      </c>
      <c r="C83" s="296"/>
      <c r="D83" s="297"/>
      <c r="E83" s="162"/>
      <c r="F83" s="162"/>
      <c r="G83" s="162"/>
      <c r="H83" s="162"/>
      <c r="I83" s="162"/>
      <c r="J83" s="171">
        <v>9.68</v>
      </c>
      <c r="L83" s="2"/>
      <c r="M83" s="2"/>
      <c r="N83" s="2"/>
    </row>
    <row r="84" spans="1:14" s="4" customFormat="1" ht="30.6" customHeight="1">
      <c r="A84" s="159">
        <v>29</v>
      </c>
      <c r="B84" s="295" t="s">
        <v>143</v>
      </c>
      <c r="C84" s="296"/>
      <c r="D84" s="297"/>
      <c r="E84" s="162"/>
      <c r="F84" s="162"/>
      <c r="G84" s="162"/>
      <c r="H84" s="162"/>
      <c r="I84" s="162"/>
      <c r="J84" s="170">
        <v>4.2</v>
      </c>
      <c r="L84" s="2"/>
      <c r="M84" s="2"/>
      <c r="N84" s="2"/>
    </row>
    <row r="85" spans="1:14" s="4" customFormat="1" ht="20.45" customHeight="1">
      <c r="A85" s="159">
        <v>30</v>
      </c>
      <c r="B85" s="295" t="s">
        <v>46</v>
      </c>
      <c r="C85" s="296"/>
      <c r="D85" s="297"/>
      <c r="E85" s="162"/>
      <c r="F85" s="162"/>
      <c r="G85" s="162"/>
      <c r="H85" s="162"/>
      <c r="I85" s="162"/>
      <c r="J85" s="168">
        <v>53</v>
      </c>
      <c r="L85" s="2"/>
      <c r="M85" s="2"/>
      <c r="N85" s="2"/>
    </row>
    <row r="86" spans="1:14" s="4" customFormat="1" ht="30.6" customHeight="1">
      <c r="A86" s="159">
        <v>31</v>
      </c>
      <c r="B86" s="295" t="s">
        <v>89</v>
      </c>
      <c r="C86" s="296"/>
      <c r="D86" s="297"/>
      <c r="E86" s="162"/>
      <c r="F86" s="162"/>
      <c r="G86" s="162"/>
      <c r="H86" s="162"/>
      <c r="I86" s="162"/>
      <c r="J86" s="170">
        <v>11.7</v>
      </c>
      <c r="L86" s="2"/>
      <c r="M86" s="2"/>
      <c r="N86" s="2"/>
    </row>
    <row r="87" spans="1:14" s="4" customFormat="1" ht="20.45" customHeight="1">
      <c r="A87" s="159">
        <v>32</v>
      </c>
      <c r="B87" s="295" t="s">
        <v>144</v>
      </c>
      <c r="C87" s="296"/>
      <c r="D87" s="297"/>
      <c r="E87" s="162"/>
      <c r="F87" s="162"/>
      <c r="G87" s="162"/>
      <c r="H87" s="162"/>
      <c r="I87" s="162"/>
      <c r="J87" s="168">
        <v>9</v>
      </c>
      <c r="L87" s="2"/>
      <c r="M87" s="2"/>
      <c r="N87" s="2"/>
    </row>
    <row r="88" spans="1:14" s="4" customFormat="1" ht="30.6" customHeight="1">
      <c r="A88" s="159">
        <v>33</v>
      </c>
      <c r="B88" s="295" t="s">
        <v>145</v>
      </c>
      <c r="C88" s="296"/>
      <c r="D88" s="297"/>
      <c r="E88" s="162"/>
      <c r="F88" s="162"/>
      <c r="G88" s="162"/>
      <c r="H88" s="162"/>
      <c r="I88" s="162"/>
      <c r="J88" s="171">
        <v>14.35</v>
      </c>
      <c r="L88" s="2"/>
      <c r="M88" s="2"/>
      <c r="N88" s="2"/>
    </row>
    <row r="89" spans="1:14" s="4" customFormat="1" ht="30.6" customHeight="1">
      <c r="A89" s="159">
        <v>34</v>
      </c>
      <c r="B89" s="295" t="s">
        <v>73</v>
      </c>
      <c r="C89" s="296"/>
      <c r="D89" s="297"/>
      <c r="E89" s="162"/>
      <c r="F89" s="162"/>
      <c r="G89" s="162"/>
      <c r="H89" s="162"/>
      <c r="I89" s="162"/>
      <c r="J89" s="171">
        <v>13.94</v>
      </c>
      <c r="L89" s="2"/>
      <c r="M89" s="2"/>
      <c r="N89" s="2"/>
    </row>
    <row r="90" spans="1:14" s="4" customFormat="1" ht="20.45" customHeight="1">
      <c r="A90" s="159">
        <v>35</v>
      </c>
      <c r="B90" s="295" t="s">
        <v>74</v>
      </c>
      <c r="C90" s="296"/>
      <c r="D90" s="297"/>
      <c r="E90" s="162"/>
      <c r="F90" s="162"/>
      <c r="G90" s="162"/>
      <c r="H90" s="162"/>
      <c r="I90" s="162"/>
      <c r="J90" s="168">
        <v>15</v>
      </c>
      <c r="L90" s="2"/>
      <c r="M90" s="2"/>
      <c r="N90" s="2"/>
    </row>
    <row r="91" spans="1:14" s="4" customFormat="1" ht="30.6" customHeight="1">
      <c r="A91" s="159">
        <v>36</v>
      </c>
      <c r="B91" s="295" t="s">
        <v>135</v>
      </c>
      <c r="C91" s="296"/>
      <c r="D91" s="297"/>
      <c r="E91" s="162"/>
      <c r="F91" s="162"/>
      <c r="G91" s="162"/>
      <c r="H91" s="162"/>
      <c r="I91" s="162"/>
      <c r="J91" s="170">
        <v>5.6</v>
      </c>
      <c r="L91" s="2"/>
      <c r="M91" s="2"/>
      <c r="N91" s="2"/>
    </row>
    <row r="92" spans="1:14" s="4" customFormat="1" ht="30.6" customHeight="1">
      <c r="A92" s="159">
        <v>37</v>
      </c>
      <c r="B92" s="295" t="s">
        <v>47</v>
      </c>
      <c r="C92" s="296"/>
      <c r="D92" s="297"/>
      <c r="E92" s="162"/>
      <c r="F92" s="162"/>
      <c r="G92" s="162"/>
      <c r="H92" s="162"/>
      <c r="I92" s="162"/>
      <c r="J92" s="169">
        <v>18.003</v>
      </c>
      <c r="L92" s="2"/>
      <c r="M92" s="2"/>
      <c r="N92" s="2"/>
    </row>
    <row r="93" spans="1:14" s="4" customFormat="1" ht="30.6" customHeight="1">
      <c r="A93" s="159">
        <v>38</v>
      </c>
      <c r="B93" s="295" t="s">
        <v>77</v>
      </c>
      <c r="C93" s="296"/>
      <c r="D93" s="297"/>
      <c r="E93" s="162"/>
      <c r="F93" s="162"/>
      <c r="G93" s="162"/>
      <c r="H93" s="162"/>
      <c r="I93" s="162"/>
      <c r="J93" s="170">
        <v>28.7</v>
      </c>
      <c r="L93" s="2"/>
      <c r="M93" s="2"/>
      <c r="N93" s="2"/>
    </row>
    <row r="94" spans="1:14" s="4" customFormat="1" ht="30.6" customHeight="1">
      <c r="A94" s="159">
        <v>39</v>
      </c>
      <c r="B94" s="295" t="s">
        <v>92</v>
      </c>
      <c r="C94" s="296"/>
      <c r="D94" s="297"/>
      <c r="E94" s="162"/>
      <c r="F94" s="162"/>
      <c r="G94" s="162"/>
      <c r="H94" s="162"/>
      <c r="I94" s="162"/>
      <c r="J94" s="171">
        <v>17.149999999999999</v>
      </c>
      <c r="L94" s="2"/>
      <c r="M94" s="2"/>
      <c r="N94" s="2"/>
    </row>
    <row r="95" spans="1:14" s="4" customFormat="1" ht="14.45" customHeight="1">
      <c r="A95" s="159">
        <v>40</v>
      </c>
      <c r="B95" s="295" t="s">
        <v>146</v>
      </c>
      <c r="C95" s="296"/>
      <c r="D95" s="297"/>
      <c r="E95" s="162"/>
      <c r="F95" s="162"/>
      <c r="G95" s="162"/>
      <c r="H95" s="162"/>
      <c r="I95" s="162"/>
      <c r="J95" s="171">
        <v>8.9600000000000009</v>
      </c>
      <c r="L95" s="2"/>
      <c r="M95" s="2"/>
      <c r="N95" s="2"/>
    </row>
    <row r="96" spans="1:14" s="4" customFormat="1" ht="20.45" customHeight="1">
      <c r="A96" s="159">
        <v>41</v>
      </c>
      <c r="B96" s="295" t="s">
        <v>147</v>
      </c>
      <c r="C96" s="296"/>
      <c r="D96" s="297"/>
      <c r="E96" s="162"/>
      <c r="F96" s="162"/>
      <c r="G96" s="162"/>
      <c r="H96" s="162"/>
      <c r="I96" s="162"/>
      <c r="J96" s="170">
        <v>4.2</v>
      </c>
      <c r="L96" s="2"/>
      <c r="M96" s="2"/>
      <c r="N96" s="2"/>
    </row>
    <row r="97" spans="1:14" s="4" customFormat="1" ht="30.6" customHeight="1">
      <c r="A97" s="159">
        <v>42</v>
      </c>
      <c r="B97" s="295" t="s">
        <v>94</v>
      </c>
      <c r="C97" s="296"/>
      <c r="D97" s="297"/>
      <c r="E97" s="162"/>
      <c r="F97" s="162"/>
      <c r="G97" s="162"/>
      <c r="H97" s="162"/>
      <c r="I97" s="162"/>
      <c r="J97" s="171">
        <v>16.52</v>
      </c>
      <c r="L97" s="2"/>
      <c r="M97" s="2"/>
      <c r="N97" s="2"/>
    </row>
    <row r="98" spans="1:14" s="4" customFormat="1" ht="30.6" customHeight="1">
      <c r="A98" s="159">
        <v>43</v>
      </c>
      <c r="B98" s="295" t="s">
        <v>81</v>
      </c>
      <c r="C98" s="296"/>
      <c r="D98" s="297"/>
      <c r="E98" s="162"/>
      <c r="F98" s="162"/>
      <c r="G98" s="162"/>
      <c r="H98" s="162"/>
      <c r="I98" s="162"/>
      <c r="J98" s="171">
        <v>6.56</v>
      </c>
      <c r="L98" s="2"/>
      <c r="M98" s="2"/>
      <c r="N98" s="2"/>
    </row>
    <row r="99" spans="1:14" s="4" customFormat="1" ht="14.45" customHeight="1">
      <c r="A99" s="159">
        <v>44</v>
      </c>
      <c r="B99" s="295" t="s">
        <v>148</v>
      </c>
      <c r="C99" s="296"/>
      <c r="D99" s="297"/>
      <c r="E99" s="162"/>
      <c r="F99" s="162"/>
      <c r="G99" s="162"/>
      <c r="H99" s="162"/>
      <c r="I99" s="162"/>
      <c r="J99" s="170">
        <v>4.7</v>
      </c>
      <c r="L99" s="2"/>
      <c r="M99" s="2"/>
      <c r="N99" s="2"/>
    </row>
    <row r="100" spans="1:14" s="4" customFormat="1" ht="30.6" customHeight="1">
      <c r="A100" s="159">
        <v>45</v>
      </c>
      <c r="B100" s="295" t="s">
        <v>149</v>
      </c>
      <c r="C100" s="296"/>
      <c r="D100" s="297"/>
      <c r="E100" s="162"/>
      <c r="F100" s="162"/>
      <c r="G100" s="162"/>
      <c r="H100" s="162"/>
      <c r="I100" s="162"/>
      <c r="J100" s="170">
        <v>5.4</v>
      </c>
      <c r="L100" s="2"/>
      <c r="M100" s="2"/>
      <c r="N100" s="2"/>
    </row>
    <row r="101" spans="1:14" s="4" customFormat="1" ht="30.6" customHeight="1">
      <c r="A101" s="159">
        <v>46</v>
      </c>
      <c r="B101" s="295" t="s">
        <v>154</v>
      </c>
      <c r="C101" s="296"/>
      <c r="D101" s="297"/>
      <c r="E101" s="162"/>
      <c r="F101" s="162"/>
      <c r="G101" s="162"/>
      <c r="H101" s="162"/>
      <c r="I101" s="162"/>
      <c r="J101" s="168">
        <v>5</v>
      </c>
      <c r="L101" s="2"/>
      <c r="M101" s="2"/>
      <c r="N101" s="2"/>
    </row>
    <row r="102" spans="1:14" s="4" customFormat="1" ht="51" customHeight="1">
      <c r="A102" s="159">
        <v>47</v>
      </c>
      <c r="B102" s="295" t="s">
        <v>138</v>
      </c>
      <c r="C102" s="296"/>
      <c r="D102" s="297"/>
      <c r="E102" s="162"/>
      <c r="F102" s="162"/>
      <c r="G102" s="162"/>
      <c r="H102" s="162"/>
      <c r="I102" s="162"/>
      <c r="J102" s="170">
        <v>4.9000000000000004</v>
      </c>
      <c r="L102" s="2"/>
      <c r="M102" s="2"/>
      <c r="N102" s="2"/>
    </row>
    <row r="103" spans="1:14" ht="15.75" thickBot="1">
      <c r="A103" s="108"/>
      <c r="B103" s="191" t="s">
        <v>15</v>
      </c>
      <c r="C103" s="192"/>
      <c r="D103" s="192"/>
      <c r="E103" s="192"/>
      <c r="F103" s="192"/>
      <c r="G103" s="192"/>
      <c r="H103" s="192"/>
      <c r="I103" s="193"/>
      <c r="J103" s="109">
        <f>SUM(J56:J102)</f>
        <v>702.43200000000024</v>
      </c>
    </row>
    <row r="105" spans="1:14" ht="14.45" customHeight="1"/>
    <row r="109" spans="1:14" ht="14.45" customHeight="1"/>
  </sheetData>
  <mergeCells count="113">
    <mergeCell ref="B73:D73"/>
    <mergeCell ref="B74:D74"/>
    <mergeCell ref="B75:D75"/>
    <mergeCell ref="B76:D76"/>
    <mergeCell ref="B98:D98"/>
    <mergeCell ref="B99:D99"/>
    <mergeCell ref="B100:D100"/>
    <mergeCell ref="B101:D101"/>
    <mergeCell ref="B102:D102"/>
    <mergeCell ref="B93:D93"/>
    <mergeCell ref="B94:D94"/>
    <mergeCell ref="B95:D95"/>
    <mergeCell ref="B96:D96"/>
    <mergeCell ref="B97:D97"/>
    <mergeCell ref="B103:I103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68:D68"/>
    <mergeCell ref="B69:D69"/>
    <mergeCell ref="B70:D70"/>
    <mergeCell ref="B71:D71"/>
    <mergeCell ref="B72:D72"/>
    <mergeCell ref="B63:D63"/>
    <mergeCell ref="B64:D64"/>
    <mergeCell ref="B65:D65"/>
    <mergeCell ref="B66:D66"/>
    <mergeCell ref="B67:D67"/>
    <mergeCell ref="B55:I55"/>
    <mergeCell ref="B59:D59"/>
    <mergeCell ref="B60:D60"/>
    <mergeCell ref="C50:D50"/>
    <mergeCell ref="E50:F50"/>
    <mergeCell ref="G50:H50"/>
    <mergeCell ref="I50:J50"/>
    <mergeCell ref="B61:D61"/>
    <mergeCell ref="B62:D62"/>
    <mergeCell ref="C51:D51"/>
    <mergeCell ref="E51:F51"/>
    <mergeCell ref="G51:H51"/>
    <mergeCell ref="I51:J51"/>
    <mergeCell ref="A54:J54"/>
    <mergeCell ref="B56:I56"/>
    <mergeCell ref="B57:D57"/>
    <mergeCell ref="B58:D58"/>
    <mergeCell ref="I35:I36"/>
    <mergeCell ref="J35:J36"/>
    <mergeCell ref="L41:M41"/>
    <mergeCell ref="L42:M42"/>
    <mergeCell ref="G48:H48"/>
    <mergeCell ref="I48:J48"/>
    <mergeCell ref="C49:D49"/>
    <mergeCell ref="E49:F49"/>
    <mergeCell ref="G49:H49"/>
    <mergeCell ref="I49:J49"/>
    <mergeCell ref="E47:F47"/>
    <mergeCell ref="G47:H47"/>
    <mergeCell ref="I47:J47"/>
    <mergeCell ref="C48:D48"/>
    <mergeCell ref="E48:F48"/>
    <mergeCell ref="A33:L33"/>
    <mergeCell ref="L34:M34"/>
    <mergeCell ref="A35:A36"/>
    <mergeCell ref="B35:B36"/>
    <mergeCell ref="C35:C36"/>
    <mergeCell ref="D35:D36"/>
    <mergeCell ref="F35:F36"/>
    <mergeCell ref="G35:G36"/>
    <mergeCell ref="L43:M43"/>
    <mergeCell ref="A44:E44"/>
    <mergeCell ref="G44:L44"/>
    <mergeCell ref="A46:J46"/>
    <mergeCell ref="K35:K36"/>
    <mergeCell ref="L35:M36"/>
    <mergeCell ref="L37:M37"/>
    <mergeCell ref="L38:M38"/>
    <mergeCell ref="L39:M39"/>
    <mergeCell ref="L40:M40"/>
    <mergeCell ref="H35:H36"/>
    <mergeCell ref="A1:C1"/>
    <mergeCell ref="E1:H1"/>
    <mergeCell ref="J1:K1"/>
    <mergeCell ref="A2:C2"/>
    <mergeCell ref="F2:H2"/>
    <mergeCell ref="J2:K2"/>
    <mergeCell ref="A21:F21"/>
    <mergeCell ref="A24:I24"/>
    <mergeCell ref="A31:C31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</mergeCells>
  <pageMargins left="0" right="0" top="0.59055118110236204" bottom="0" header="0" footer="0"/>
  <pageSetup paperSize="9" scale="5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97249-1866-4FB8-B9A2-718271FFBD95}">
  <sheetPr>
    <tabColor rgb="FFFFFF00"/>
    <pageSetUpPr fitToPage="1"/>
  </sheetPr>
  <dimension ref="A1:N85"/>
  <sheetViews>
    <sheetView topLeftCell="A28" zoomScale="85" zoomScaleNormal="85" workbookViewId="0">
      <pane xSplit="3" topLeftCell="D1" activePane="topRight" state="frozen"/>
      <selection pane="topRight" activeCell="J15" sqref="J15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17.71093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9" t="s">
        <v>51</v>
      </c>
      <c r="B1" s="269"/>
      <c r="C1" s="269"/>
      <c r="D1" s="1"/>
      <c r="E1" s="269" t="s">
        <v>24</v>
      </c>
      <c r="F1" s="269"/>
      <c r="G1" s="269"/>
      <c r="H1" s="269"/>
      <c r="I1" s="165"/>
      <c r="J1" s="270">
        <v>3</v>
      </c>
      <c r="K1" s="270"/>
    </row>
    <row r="2" spans="1:12" ht="28.5">
      <c r="A2" s="271">
        <v>46319</v>
      </c>
      <c r="B2" s="272"/>
      <c r="C2" s="272"/>
      <c r="D2" s="3"/>
      <c r="E2" s="3"/>
      <c r="F2" s="273"/>
      <c r="G2" s="273"/>
      <c r="H2" s="273"/>
      <c r="I2" s="166"/>
      <c r="J2" s="273"/>
      <c r="K2" s="273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62" t="s">
        <v>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5" t="s">
        <v>1</v>
      </c>
      <c r="B6" s="266" t="s">
        <v>2</v>
      </c>
      <c r="C6" s="266" t="s">
        <v>3</v>
      </c>
      <c r="D6" s="266" t="s">
        <v>4</v>
      </c>
      <c r="E6" s="164" t="s">
        <v>5</v>
      </c>
      <c r="F6" s="266" t="s">
        <v>6</v>
      </c>
      <c r="G6" s="267" t="s">
        <v>7</v>
      </c>
      <c r="H6" s="268" t="s">
        <v>8</v>
      </c>
      <c r="I6" s="266" t="s">
        <v>9</v>
      </c>
      <c r="J6" s="274" t="s">
        <v>30</v>
      </c>
      <c r="K6" s="275" t="s">
        <v>10</v>
      </c>
      <c r="L6" s="276"/>
    </row>
    <row r="7" spans="1:12" s="8" customFormat="1" ht="63.6" customHeight="1">
      <c r="A7" s="265"/>
      <c r="B7" s="266"/>
      <c r="C7" s="266"/>
      <c r="D7" s="266"/>
      <c r="E7" s="164" t="s">
        <v>11</v>
      </c>
      <c r="F7" s="266"/>
      <c r="G7" s="267"/>
      <c r="H7" s="268"/>
      <c r="I7" s="266"/>
      <c r="J7" s="238"/>
      <c r="K7" s="164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</v>
      </c>
      <c r="G8" s="22"/>
      <c r="H8" s="26"/>
      <c r="I8" s="23"/>
      <c r="J8" s="21">
        <f>I8-F8</f>
        <v>0</v>
      </c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0.30555555555555558</v>
      </c>
      <c r="G9" s="22">
        <v>30</v>
      </c>
      <c r="H9" s="26">
        <v>976.97</v>
      </c>
      <c r="I9" s="23">
        <v>0.70486111111111116</v>
      </c>
      <c r="J9" s="21">
        <f t="shared" ref="J9:J11" si="0">I9-F9</f>
        <v>0.39930555555555558</v>
      </c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0.3263888888888889</v>
      </c>
      <c r="G10" s="22">
        <v>33</v>
      </c>
      <c r="H10" s="26">
        <v>584.154</v>
      </c>
      <c r="I10" s="23">
        <v>0.69791666666666663</v>
      </c>
      <c r="J10" s="21">
        <f t="shared" si="0"/>
        <v>0.37152777777777773</v>
      </c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0.31597222222222221</v>
      </c>
      <c r="G11" s="22">
        <v>18</v>
      </c>
      <c r="H11" s="26">
        <v>596.77</v>
      </c>
      <c r="I11" s="23">
        <v>0.71527777777777779</v>
      </c>
      <c r="J11" s="21">
        <f t="shared" si="0"/>
        <v>0.39930555555555558</v>
      </c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8" t="s">
        <v>15</v>
      </c>
      <c r="B21" s="259"/>
      <c r="C21" s="259"/>
      <c r="D21" s="259"/>
      <c r="E21" s="259"/>
      <c r="F21" s="260"/>
      <c r="G21" s="70">
        <f>SUM(G8:G20)</f>
        <v>81</v>
      </c>
      <c r="H21" s="70">
        <f>SUM(H8:H20)</f>
        <v>2157.8940000000002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5" t="s">
        <v>26</v>
      </c>
      <c r="B24" s="256"/>
      <c r="C24" s="256"/>
      <c r="D24" s="256"/>
      <c r="E24" s="256"/>
      <c r="F24" s="256"/>
      <c r="G24" s="256"/>
      <c r="H24" s="256"/>
      <c r="I24" s="257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64" t="s">
        <v>2</v>
      </c>
      <c r="C26" s="164" t="s">
        <v>3</v>
      </c>
      <c r="D26" s="164" t="s">
        <v>27</v>
      </c>
      <c r="E26" s="164" t="s">
        <v>6</v>
      </c>
      <c r="F26" s="164" t="s">
        <v>28</v>
      </c>
      <c r="G26" s="164" t="s">
        <v>8</v>
      </c>
      <c r="H26" s="164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8" t="s">
        <v>15</v>
      </c>
      <c r="B31" s="259"/>
      <c r="C31" s="260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5" t="s">
        <v>12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51">
        <v>12</v>
      </c>
      <c r="M34" s="252"/>
    </row>
    <row r="35" spans="1:13" ht="75">
      <c r="A35" s="253" t="s">
        <v>1</v>
      </c>
      <c r="B35" s="237" t="s">
        <v>2</v>
      </c>
      <c r="C35" s="237" t="s">
        <v>3</v>
      </c>
      <c r="D35" s="237" t="s">
        <v>4</v>
      </c>
      <c r="E35" s="97" t="s">
        <v>5</v>
      </c>
      <c r="F35" s="237" t="s">
        <v>14</v>
      </c>
      <c r="G35" s="237" t="s">
        <v>13</v>
      </c>
      <c r="H35" s="237" t="s">
        <v>37</v>
      </c>
      <c r="I35" s="237" t="s">
        <v>39</v>
      </c>
      <c r="J35" s="237" t="s">
        <v>38</v>
      </c>
      <c r="K35" s="237" t="s">
        <v>40</v>
      </c>
      <c r="L35" s="239" t="s">
        <v>36</v>
      </c>
      <c r="M35" s="240"/>
    </row>
    <row r="36" spans="1:13" ht="75">
      <c r="A36" s="254"/>
      <c r="B36" s="238"/>
      <c r="C36" s="238"/>
      <c r="D36" s="238"/>
      <c r="E36" s="167" t="s">
        <v>11</v>
      </c>
      <c r="F36" s="238"/>
      <c r="G36" s="238"/>
      <c r="H36" s="238"/>
      <c r="I36" s="238"/>
      <c r="J36" s="238"/>
      <c r="K36" s="238"/>
      <c r="L36" s="241"/>
      <c r="M36" s="242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43"/>
      <c r="M37" s="244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45"/>
      <c r="M38" s="246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47"/>
      <c r="M39" s="248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49"/>
      <c r="M40" s="250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22"/>
      <c r="M41" s="223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24"/>
      <c r="M42" s="225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26"/>
      <c r="M43" s="227"/>
    </row>
    <row r="44" spans="1:13" ht="15.75" thickBot="1">
      <c r="A44" s="228" t="s">
        <v>15</v>
      </c>
      <c r="B44" s="229"/>
      <c r="C44" s="229"/>
      <c r="D44" s="229"/>
      <c r="E44" s="230"/>
      <c r="F44" s="96"/>
      <c r="G44" s="231">
        <f>SUM(G37:G43)</f>
        <v>0</v>
      </c>
      <c r="H44" s="232"/>
      <c r="I44" s="232"/>
      <c r="J44" s="232"/>
      <c r="K44" s="232"/>
      <c r="L44" s="233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234" t="s">
        <v>16</v>
      </c>
      <c r="B46" s="235"/>
      <c r="C46" s="235"/>
      <c r="D46" s="235"/>
      <c r="E46" s="235"/>
      <c r="F46" s="235"/>
      <c r="G46" s="235"/>
      <c r="H46" s="235"/>
      <c r="I46" s="235"/>
      <c r="J46" s="236"/>
      <c r="K46" s="2"/>
    </row>
    <row r="47" spans="1:13" ht="30">
      <c r="A47" s="50"/>
      <c r="B47" s="18"/>
      <c r="C47" s="163"/>
      <c r="D47" s="163" t="s">
        <v>17</v>
      </c>
      <c r="E47" s="216" t="s">
        <v>18</v>
      </c>
      <c r="F47" s="216"/>
      <c r="G47" s="216" t="s">
        <v>19</v>
      </c>
      <c r="H47" s="216"/>
      <c r="I47" s="216" t="s">
        <v>29</v>
      </c>
      <c r="J47" s="217"/>
      <c r="K47" s="2"/>
    </row>
    <row r="48" spans="1:13">
      <c r="A48" s="50"/>
      <c r="B48" s="24" t="s">
        <v>20</v>
      </c>
      <c r="C48" s="206">
        <v>1399.34</v>
      </c>
      <c r="D48" s="207"/>
      <c r="E48" s="218">
        <v>1219.7729999999999</v>
      </c>
      <c r="F48" s="219"/>
      <c r="G48" s="218">
        <v>1219.7729999999999</v>
      </c>
      <c r="H48" s="219"/>
      <c r="I48" s="220"/>
      <c r="J48" s="221"/>
      <c r="K48" s="2"/>
    </row>
    <row r="49" spans="1:14">
      <c r="A49" s="51"/>
      <c r="B49" s="24" t="s">
        <v>21</v>
      </c>
      <c r="C49" s="206">
        <v>342.98</v>
      </c>
      <c r="D49" s="207"/>
      <c r="E49" s="208">
        <v>302.19</v>
      </c>
      <c r="F49" s="209"/>
      <c r="G49" s="208">
        <v>302.19</v>
      </c>
      <c r="H49" s="209"/>
      <c r="I49" s="210"/>
      <c r="J49" s="211"/>
      <c r="K49" s="2"/>
    </row>
    <row r="50" spans="1:14" ht="15.75" thickBot="1">
      <c r="A50" s="51"/>
      <c r="B50" s="24" t="s">
        <v>22</v>
      </c>
      <c r="C50" s="206">
        <v>1330.67</v>
      </c>
      <c r="D50" s="207"/>
      <c r="E50" s="304">
        <v>635.92999999999995</v>
      </c>
      <c r="F50" s="305"/>
      <c r="G50" s="304">
        <v>635.92999999999995</v>
      </c>
      <c r="H50" s="305"/>
      <c r="I50" s="210"/>
      <c r="J50" s="211"/>
      <c r="K50" s="2"/>
    </row>
    <row r="51" spans="1:14" ht="15.75" thickBot="1">
      <c r="A51" s="11"/>
      <c r="B51" s="12" t="s">
        <v>23</v>
      </c>
      <c r="C51" s="195"/>
      <c r="D51" s="196"/>
      <c r="E51" s="197"/>
      <c r="F51" s="198"/>
      <c r="G51" s="197"/>
      <c r="H51" s="198"/>
      <c r="I51" s="197">
        <f>SUM(I48:I50)</f>
        <v>0</v>
      </c>
      <c r="J51" s="199"/>
      <c r="K51" s="2"/>
    </row>
    <row r="53" spans="1:14" ht="15.75" thickBot="1">
      <c r="E53" s="25"/>
    </row>
    <row r="54" spans="1:14" s="130" customFormat="1" ht="19.5" thickBot="1">
      <c r="A54" s="200" t="s">
        <v>32</v>
      </c>
      <c r="B54" s="201"/>
      <c r="C54" s="201"/>
      <c r="D54" s="201"/>
      <c r="E54" s="201"/>
      <c r="F54" s="201"/>
      <c r="G54" s="201"/>
      <c r="H54" s="201"/>
      <c r="I54" s="201"/>
      <c r="J54" s="202"/>
      <c r="L54" s="131"/>
      <c r="M54" s="131"/>
      <c r="N54" s="131"/>
    </row>
    <row r="55" spans="1:14" s="130" customFormat="1">
      <c r="A55" s="160" t="s">
        <v>33</v>
      </c>
      <c r="B55" s="301" t="s">
        <v>34</v>
      </c>
      <c r="C55" s="302"/>
      <c r="D55" s="302"/>
      <c r="E55" s="302"/>
      <c r="F55" s="302"/>
      <c r="G55" s="302"/>
      <c r="H55" s="302"/>
      <c r="I55" s="303"/>
      <c r="J55" s="161" t="s">
        <v>35</v>
      </c>
      <c r="L55" s="131"/>
      <c r="M55" s="131"/>
      <c r="N55" s="131"/>
    </row>
    <row r="56" spans="1:14" s="130" customFormat="1" ht="16.899999999999999" customHeight="1">
      <c r="A56" s="176">
        <v>1</v>
      </c>
      <c r="B56" s="299" t="s">
        <v>122</v>
      </c>
      <c r="C56" s="299"/>
      <c r="D56" s="299"/>
      <c r="E56" s="299"/>
      <c r="F56" s="299"/>
      <c r="G56" s="299"/>
      <c r="H56" s="299"/>
      <c r="I56" s="299"/>
      <c r="J56" s="177">
        <v>5.6470000000000002</v>
      </c>
      <c r="L56" s="131"/>
      <c r="M56" s="131"/>
      <c r="N56" s="131"/>
    </row>
    <row r="57" spans="1:14" s="130" customFormat="1" ht="30.6" customHeight="1">
      <c r="A57" s="176">
        <v>2</v>
      </c>
      <c r="B57" s="299" t="s">
        <v>151</v>
      </c>
      <c r="C57" s="299"/>
      <c r="D57" s="299"/>
      <c r="E57" s="299"/>
      <c r="F57" s="299"/>
      <c r="G57" s="299"/>
      <c r="H57" s="299"/>
      <c r="I57" s="299"/>
      <c r="J57" s="177">
        <v>29.064</v>
      </c>
      <c r="L57" s="131"/>
      <c r="M57" s="131"/>
      <c r="N57" s="131"/>
    </row>
    <row r="58" spans="1:14" s="130" customFormat="1" ht="20.45" customHeight="1">
      <c r="A58" s="176">
        <v>3</v>
      </c>
      <c r="B58" s="299" t="s">
        <v>152</v>
      </c>
      <c r="C58" s="299"/>
      <c r="D58" s="299"/>
      <c r="E58" s="299"/>
      <c r="F58" s="299"/>
      <c r="G58" s="299"/>
      <c r="H58" s="299"/>
      <c r="I58" s="299"/>
      <c r="J58" s="177">
        <v>7.2480000000000002</v>
      </c>
      <c r="L58" s="131"/>
      <c r="M58" s="131"/>
      <c r="N58" s="131"/>
    </row>
    <row r="59" spans="1:14" s="130" customFormat="1" ht="30.6" customHeight="1">
      <c r="A59" s="176">
        <v>4</v>
      </c>
      <c r="B59" s="299" t="s">
        <v>96</v>
      </c>
      <c r="C59" s="299"/>
      <c r="D59" s="299"/>
      <c r="E59" s="299"/>
      <c r="F59" s="299"/>
      <c r="G59" s="299"/>
      <c r="H59" s="299"/>
      <c r="I59" s="299"/>
      <c r="J59" s="177">
        <v>7.6749999999999998</v>
      </c>
      <c r="L59" s="131"/>
      <c r="M59" s="131"/>
      <c r="N59" s="131"/>
    </row>
    <row r="60" spans="1:14" s="4" customFormat="1" ht="15" customHeight="1">
      <c r="A60" s="176">
        <v>5</v>
      </c>
      <c r="B60" s="299" t="s">
        <v>155</v>
      </c>
      <c r="C60" s="299"/>
      <c r="D60" s="299"/>
      <c r="E60" s="299"/>
      <c r="F60" s="299"/>
      <c r="G60" s="299"/>
      <c r="H60" s="299"/>
      <c r="I60" s="299"/>
      <c r="J60" s="178">
        <v>6.9</v>
      </c>
      <c r="L60" s="2"/>
      <c r="M60" s="2"/>
      <c r="N60" s="2"/>
    </row>
    <row r="61" spans="1:14" s="4" customFormat="1" ht="15" customHeight="1">
      <c r="A61" s="176">
        <v>6</v>
      </c>
      <c r="B61" s="299" t="s">
        <v>99</v>
      </c>
      <c r="C61" s="299"/>
      <c r="D61" s="299"/>
      <c r="E61" s="299"/>
      <c r="F61" s="299"/>
      <c r="G61" s="299"/>
      <c r="H61" s="299"/>
      <c r="I61" s="299"/>
      <c r="J61" s="178">
        <v>6.5</v>
      </c>
      <c r="L61" s="2"/>
      <c r="M61" s="2"/>
      <c r="N61" s="2"/>
    </row>
    <row r="62" spans="1:14" s="4" customFormat="1" ht="15" customHeight="1">
      <c r="A62" s="176">
        <v>7</v>
      </c>
      <c r="B62" s="299" t="s">
        <v>156</v>
      </c>
      <c r="C62" s="299"/>
      <c r="D62" s="299"/>
      <c r="E62" s="299"/>
      <c r="F62" s="299"/>
      <c r="G62" s="299"/>
      <c r="H62" s="299"/>
      <c r="I62" s="299"/>
      <c r="J62" s="178">
        <v>18.399999999999999</v>
      </c>
      <c r="L62" s="2"/>
      <c r="M62" s="2"/>
      <c r="N62" s="2"/>
    </row>
    <row r="63" spans="1:14" s="4" customFormat="1" ht="15" customHeight="1">
      <c r="A63" s="176">
        <v>8</v>
      </c>
      <c r="B63" s="299" t="s">
        <v>127</v>
      </c>
      <c r="C63" s="299"/>
      <c r="D63" s="299"/>
      <c r="E63" s="299"/>
      <c r="F63" s="299"/>
      <c r="G63" s="299"/>
      <c r="H63" s="299"/>
      <c r="I63" s="299"/>
      <c r="J63" s="178">
        <v>7.8</v>
      </c>
      <c r="L63" s="2"/>
      <c r="M63" s="2"/>
      <c r="N63" s="2"/>
    </row>
    <row r="64" spans="1:14" s="4" customFormat="1" ht="15" customHeight="1">
      <c r="A64" s="176">
        <v>9</v>
      </c>
      <c r="B64" s="299" t="s">
        <v>157</v>
      </c>
      <c r="C64" s="299"/>
      <c r="D64" s="299"/>
      <c r="E64" s="299"/>
      <c r="F64" s="299"/>
      <c r="G64" s="299"/>
      <c r="H64" s="299"/>
      <c r="I64" s="299"/>
      <c r="J64" s="177">
        <v>9.2240000000000002</v>
      </c>
      <c r="L64" s="2"/>
      <c r="M64" s="2"/>
      <c r="N64" s="2"/>
    </row>
    <row r="65" spans="1:14" s="4" customFormat="1" ht="15" customHeight="1">
      <c r="A65" s="176">
        <v>10</v>
      </c>
      <c r="B65" s="299" t="s">
        <v>158</v>
      </c>
      <c r="C65" s="299"/>
      <c r="D65" s="299"/>
      <c r="E65" s="299"/>
      <c r="F65" s="299"/>
      <c r="G65" s="299"/>
      <c r="H65" s="299"/>
      <c r="I65" s="299"/>
      <c r="J65" s="178">
        <v>5.6</v>
      </c>
      <c r="L65" s="2"/>
      <c r="M65" s="2"/>
      <c r="N65" s="2"/>
    </row>
    <row r="66" spans="1:14" s="4" customFormat="1" ht="15" customHeight="1">
      <c r="A66" s="176">
        <v>11</v>
      </c>
      <c r="B66" s="299" t="s">
        <v>103</v>
      </c>
      <c r="C66" s="299"/>
      <c r="D66" s="299"/>
      <c r="E66" s="299"/>
      <c r="F66" s="299"/>
      <c r="G66" s="299"/>
      <c r="H66" s="299"/>
      <c r="I66" s="299"/>
      <c r="J66" s="178">
        <v>17.5</v>
      </c>
      <c r="L66" s="2"/>
      <c r="M66" s="2"/>
      <c r="N66" s="2"/>
    </row>
    <row r="67" spans="1:14" s="4" customFormat="1" ht="15" customHeight="1">
      <c r="A67" s="176">
        <v>12</v>
      </c>
      <c r="B67" s="299" t="s">
        <v>105</v>
      </c>
      <c r="C67" s="299"/>
      <c r="D67" s="299"/>
      <c r="E67" s="299"/>
      <c r="F67" s="299"/>
      <c r="G67" s="299"/>
      <c r="H67" s="299"/>
      <c r="I67" s="299"/>
      <c r="J67" s="177">
        <v>22.702000000000002</v>
      </c>
      <c r="L67" s="2"/>
      <c r="M67" s="2"/>
      <c r="N67" s="2"/>
    </row>
    <row r="68" spans="1:14" s="4" customFormat="1" ht="15" customHeight="1">
      <c r="A68" s="176">
        <v>13</v>
      </c>
      <c r="B68" s="299" t="s">
        <v>159</v>
      </c>
      <c r="C68" s="299"/>
      <c r="D68" s="299"/>
      <c r="E68" s="299"/>
      <c r="F68" s="299"/>
      <c r="G68" s="299"/>
      <c r="H68" s="299"/>
      <c r="I68" s="299"/>
      <c r="J68" s="178">
        <v>7.8</v>
      </c>
      <c r="L68" s="2"/>
      <c r="M68" s="2"/>
      <c r="N68" s="2"/>
    </row>
    <row r="69" spans="1:14" s="4" customFormat="1" ht="15" customHeight="1">
      <c r="A69" s="176">
        <v>14</v>
      </c>
      <c r="B69" s="299" t="s">
        <v>154</v>
      </c>
      <c r="C69" s="299"/>
      <c r="D69" s="299"/>
      <c r="E69" s="299"/>
      <c r="F69" s="299"/>
      <c r="G69" s="299"/>
      <c r="H69" s="299"/>
      <c r="I69" s="299"/>
      <c r="J69" s="179">
        <v>8</v>
      </c>
      <c r="L69" s="2"/>
      <c r="M69" s="2"/>
      <c r="N69" s="2"/>
    </row>
    <row r="70" spans="1:14" s="4" customFormat="1" ht="15" customHeight="1">
      <c r="A70" s="176">
        <v>15</v>
      </c>
      <c r="B70" s="299" t="s">
        <v>160</v>
      </c>
      <c r="C70" s="299"/>
      <c r="D70" s="299"/>
      <c r="E70" s="299"/>
      <c r="F70" s="299"/>
      <c r="G70" s="299"/>
      <c r="H70" s="299"/>
      <c r="I70" s="299"/>
      <c r="J70" s="179">
        <v>6</v>
      </c>
      <c r="L70" s="2"/>
      <c r="M70" s="2"/>
      <c r="N70" s="2"/>
    </row>
    <row r="71" spans="1:14" s="4" customFormat="1" ht="15" customHeight="1">
      <c r="A71" s="176">
        <v>16</v>
      </c>
      <c r="B71" s="299" t="s">
        <v>109</v>
      </c>
      <c r="C71" s="299"/>
      <c r="D71" s="299"/>
      <c r="E71" s="299"/>
      <c r="F71" s="299"/>
      <c r="G71" s="299"/>
      <c r="H71" s="299"/>
      <c r="I71" s="299"/>
      <c r="J71" s="178">
        <v>5.2</v>
      </c>
      <c r="L71" s="2"/>
      <c r="M71" s="2"/>
      <c r="N71" s="2"/>
    </row>
    <row r="72" spans="1:14" s="4" customFormat="1" ht="15" customHeight="1">
      <c r="A72" s="176">
        <v>17</v>
      </c>
      <c r="B72" s="299" t="s">
        <v>139</v>
      </c>
      <c r="C72" s="299"/>
      <c r="D72" s="299"/>
      <c r="E72" s="299"/>
      <c r="F72" s="299"/>
      <c r="G72" s="299"/>
      <c r="H72" s="299"/>
      <c r="I72" s="299"/>
      <c r="J72" s="179">
        <v>7</v>
      </c>
      <c r="L72" s="2"/>
      <c r="M72" s="2"/>
      <c r="N72" s="2"/>
    </row>
    <row r="73" spans="1:14" s="4" customFormat="1" ht="15" customHeight="1">
      <c r="A73" s="176">
        <v>18</v>
      </c>
      <c r="B73" s="299" t="s">
        <v>88</v>
      </c>
      <c r="C73" s="299"/>
      <c r="D73" s="299"/>
      <c r="E73" s="299"/>
      <c r="F73" s="299"/>
      <c r="G73" s="299"/>
      <c r="H73" s="299"/>
      <c r="I73" s="299"/>
      <c r="J73" s="178">
        <v>7.2</v>
      </c>
      <c r="L73" s="2"/>
      <c r="M73" s="2"/>
      <c r="N73" s="2"/>
    </row>
    <row r="74" spans="1:14" s="4" customFormat="1" ht="14.45" customHeight="1">
      <c r="A74" s="176">
        <v>19</v>
      </c>
      <c r="B74" s="299" t="s">
        <v>46</v>
      </c>
      <c r="C74" s="299"/>
      <c r="D74" s="299"/>
      <c r="E74" s="299"/>
      <c r="F74" s="299"/>
      <c r="G74" s="299"/>
      <c r="H74" s="299"/>
      <c r="I74" s="299"/>
      <c r="J74" s="179">
        <v>7</v>
      </c>
      <c r="L74" s="2"/>
      <c r="M74" s="2"/>
      <c r="N74" s="2"/>
    </row>
    <row r="75" spans="1:14" s="4" customFormat="1" ht="30.6" customHeight="1">
      <c r="A75" s="176">
        <v>20</v>
      </c>
      <c r="B75" s="299" t="s">
        <v>69</v>
      </c>
      <c r="C75" s="299"/>
      <c r="D75" s="299"/>
      <c r="E75" s="299"/>
      <c r="F75" s="299"/>
      <c r="G75" s="299"/>
      <c r="H75" s="299"/>
      <c r="I75" s="299"/>
      <c r="J75" s="179">
        <v>13</v>
      </c>
      <c r="L75" s="2"/>
      <c r="M75" s="2"/>
      <c r="N75" s="2"/>
    </row>
    <row r="76" spans="1:14" s="4" customFormat="1" ht="30.6" customHeight="1">
      <c r="A76" s="176">
        <v>21</v>
      </c>
      <c r="B76" s="299" t="s">
        <v>70</v>
      </c>
      <c r="C76" s="299"/>
      <c r="D76" s="299"/>
      <c r="E76" s="299"/>
      <c r="F76" s="299"/>
      <c r="G76" s="299"/>
      <c r="H76" s="299"/>
      <c r="I76" s="299"/>
      <c r="J76" s="180">
        <v>19.25</v>
      </c>
      <c r="L76" s="2"/>
      <c r="M76" s="2"/>
      <c r="N76" s="2"/>
    </row>
    <row r="77" spans="1:14" s="4" customFormat="1" ht="30.6" customHeight="1">
      <c r="A77" s="176">
        <v>22</v>
      </c>
      <c r="B77" s="299" t="s">
        <v>77</v>
      </c>
      <c r="C77" s="299"/>
      <c r="D77" s="299"/>
      <c r="E77" s="299"/>
      <c r="F77" s="299"/>
      <c r="G77" s="299"/>
      <c r="H77" s="299"/>
      <c r="I77" s="299"/>
      <c r="J77" s="180">
        <v>19.25</v>
      </c>
      <c r="L77" s="2"/>
      <c r="M77" s="2"/>
      <c r="N77" s="2"/>
    </row>
    <row r="78" spans="1:14" s="4" customFormat="1" ht="30.6" customHeight="1">
      <c r="A78" s="176">
        <v>23</v>
      </c>
      <c r="B78" s="299" t="s">
        <v>161</v>
      </c>
      <c r="C78" s="299"/>
      <c r="D78" s="299"/>
      <c r="E78" s="299"/>
      <c r="F78" s="299"/>
      <c r="G78" s="299"/>
      <c r="H78" s="299"/>
      <c r="I78" s="299"/>
      <c r="J78" s="179">
        <v>6</v>
      </c>
      <c r="L78" s="2"/>
      <c r="M78" s="2"/>
      <c r="N78" s="2"/>
    </row>
    <row r="79" spans="1:14">
      <c r="A79" s="181"/>
      <c r="B79" s="300"/>
      <c r="C79" s="300"/>
      <c r="D79" s="300"/>
      <c r="E79" s="300"/>
      <c r="F79" s="300"/>
      <c r="G79" s="300"/>
      <c r="H79" s="300"/>
      <c r="I79" s="300"/>
      <c r="J79" s="182">
        <f>SUM(J56:J78)</f>
        <v>249.95999999999998</v>
      </c>
    </row>
    <row r="81" ht="14.45" customHeight="1"/>
    <row r="85" ht="14.45" customHeight="1"/>
  </sheetData>
  <mergeCells count="89">
    <mergeCell ref="A1:C1"/>
    <mergeCell ref="E1:H1"/>
    <mergeCell ref="J1:K1"/>
    <mergeCell ref="A2:C2"/>
    <mergeCell ref="F2:H2"/>
    <mergeCell ref="J2:K2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A46:J46"/>
    <mergeCell ref="K35:K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E47:F47"/>
    <mergeCell ref="G47:H47"/>
    <mergeCell ref="I47:J47"/>
    <mergeCell ref="C48:D48"/>
    <mergeCell ref="E48:F48"/>
    <mergeCell ref="G48:H48"/>
    <mergeCell ref="I48:J48"/>
    <mergeCell ref="C49:D49"/>
    <mergeCell ref="E49:F49"/>
    <mergeCell ref="G49:H49"/>
    <mergeCell ref="I49:J49"/>
    <mergeCell ref="C50:D50"/>
    <mergeCell ref="E50:F50"/>
    <mergeCell ref="G50:H50"/>
    <mergeCell ref="I50:J50"/>
    <mergeCell ref="B56:I56"/>
    <mergeCell ref="B60:I60"/>
    <mergeCell ref="B61:I61"/>
    <mergeCell ref="C51:D51"/>
    <mergeCell ref="E51:F51"/>
    <mergeCell ref="G51:H51"/>
    <mergeCell ref="I51:J51"/>
    <mergeCell ref="A54:J54"/>
    <mergeCell ref="B55:I55"/>
    <mergeCell ref="B79:I79"/>
    <mergeCell ref="B57:I57"/>
    <mergeCell ref="B58:I58"/>
    <mergeCell ref="B59:I59"/>
    <mergeCell ref="B74:I74"/>
    <mergeCell ref="B75:I75"/>
    <mergeCell ref="B76:I76"/>
    <mergeCell ref="B77:I77"/>
    <mergeCell ref="B72:I72"/>
    <mergeCell ref="B73:I73"/>
    <mergeCell ref="B62:I62"/>
    <mergeCell ref="B63:I63"/>
    <mergeCell ref="B64:I64"/>
    <mergeCell ref="B65:I65"/>
    <mergeCell ref="B78:I78"/>
    <mergeCell ref="B66:I66"/>
    <mergeCell ref="B67:I67"/>
    <mergeCell ref="B68:I68"/>
    <mergeCell ref="B69:I69"/>
    <mergeCell ref="B70:I70"/>
    <mergeCell ref="B71:I71"/>
  </mergeCells>
  <pageMargins left="0" right="0" top="0.59055118110236204" bottom="0" header="0" footer="0"/>
  <pageSetup paperSize="9" scale="5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F6D9-19A7-4EA6-9B53-694DAC6013BA}">
  <sheetPr filterMode="1">
    <tabColor rgb="FFFFFF00"/>
    <pageSetUpPr fitToPage="1"/>
  </sheetPr>
  <dimension ref="A1:N118"/>
  <sheetViews>
    <sheetView topLeftCell="A66" zoomScale="85" zoomScaleNormal="85" workbookViewId="0">
      <pane xSplit="3" topLeftCell="D1" activePane="topRight" state="frozen"/>
      <selection pane="topRight" activeCell="A54" sqref="A54:J111"/>
    </sheetView>
  </sheetViews>
  <sheetFormatPr defaultColWidth="9.140625" defaultRowHeight="15"/>
  <cols>
    <col min="1" max="1" width="5.7109375" style="4" customWidth="1"/>
    <col min="2" max="2" width="20.7109375" style="5" customWidth="1"/>
    <col min="3" max="3" width="10.7109375" style="5" customWidth="1"/>
    <col min="4" max="4" width="46.85546875" style="5" customWidth="1"/>
    <col min="5" max="5" width="12.85546875" style="5" customWidth="1"/>
    <col min="6" max="6" width="10.7109375" style="6" customWidth="1"/>
    <col min="7" max="7" width="10.7109375" style="7" customWidth="1"/>
    <col min="8" max="8" width="10.7109375" style="5" customWidth="1"/>
    <col min="9" max="9" width="23.85546875" style="5" customWidth="1"/>
    <col min="10" max="10" width="12.28515625" style="4" customWidth="1"/>
    <col min="11" max="11" width="10.7109375" style="4" customWidth="1"/>
    <col min="12" max="12" width="13.85546875" style="2" customWidth="1"/>
    <col min="13" max="13" width="23.42578125" style="2" customWidth="1"/>
    <col min="14" max="14" width="13.140625" style="2" bestFit="1" customWidth="1"/>
    <col min="15" max="16384" width="9.140625" style="2"/>
  </cols>
  <sheetData>
    <row r="1" spans="1:12" ht="46.9" customHeight="1">
      <c r="A1" s="269" t="s">
        <v>51</v>
      </c>
      <c r="B1" s="269"/>
      <c r="C1" s="269"/>
      <c r="D1" s="1"/>
      <c r="E1" s="269" t="s">
        <v>24</v>
      </c>
      <c r="F1" s="269"/>
      <c r="G1" s="269"/>
      <c r="H1" s="269"/>
      <c r="I1" s="165"/>
      <c r="J1" s="270">
        <v>4</v>
      </c>
      <c r="K1" s="270"/>
    </row>
    <row r="2" spans="1:12" ht="28.5">
      <c r="A2" s="271">
        <v>46322</v>
      </c>
      <c r="B2" s="272"/>
      <c r="C2" s="272"/>
      <c r="D2" s="3"/>
      <c r="E2" s="3"/>
      <c r="F2" s="273"/>
      <c r="G2" s="273"/>
      <c r="H2" s="273"/>
      <c r="I2" s="166"/>
      <c r="J2" s="273"/>
      <c r="K2" s="273"/>
    </row>
    <row r="3" spans="1:12" ht="27" thickBot="1">
      <c r="A3" s="261" t="s">
        <v>0</v>
      </c>
      <c r="B3" s="261"/>
      <c r="C3" s="261"/>
      <c r="D3" s="261"/>
      <c r="E3" s="261"/>
      <c r="F3" s="261"/>
      <c r="G3" s="261"/>
      <c r="H3" s="261"/>
      <c r="I3" s="261"/>
      <c r="J3" s="261"/>
      <c r="K3" s="261"/>
    </row>
    <row r="4" spans="1:12" ht="18" customHeight="1">
      <c r="A4" s="262" t="s">
        <v>25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4"/>
    </row>
    <row r="5" spans="1:12" s="8" customFormat="1" ht="18" customHeight="1">
      <c r="A5" s="59">
        <v>1</v>
      </c>
      <c r="B5" s="19">
        <v>2</v>
      </c>
      <c r="C5" s="19">
        <v>3</v>
      </c>
      <c r="D5" s="19">
        <v>4</v>
      </c>
      <c r="E5" s="19">
        <v>5</v>
      </c>
      <c r="F5" s="19">
        <v>6</v>
      </c>
      <c r="G5" s="19">
        <v>7</v>
      </c>
      <c r="H5" s="19">
        <v>8</v>
      </c>
      <c r="I5" s="19">
        <v>9</v>
      </c>
      <c r="J5" s="19">
        <v>10</v>
      </c>
      <c r="K5" s="19">
        <v>10</v>
      </c>
      <c r="L5" s="60">
        <v>11</v>
      </c>
    </row>
    <row r="6" spans="1:12" ht="82.9" customHeight="1">
      <c r="A6" s="265" t="s">
        <v>1</v>
      </c>
      <c r="B6" s="266" t="s">
        <v>2</v>
      </c>
      <c r="C6" s="266" t="s">
        <v>3</v>
      </c>
      <c r="D6" s="266" t="s">
        <v>4</v>
      </c>
      <c r="E6" s="164" t="s">
        <v>5</v>
      </c>
      <c r="F6" s="266" t="s">
        <v>6</v>
      </c>
      <c r="G6" s="267" t="s">
        <v>7</v>
      </c>
      <c r="H6" s="268" t="s">
        <v>8</v>
      </c>
      <c r="I6" s="266" t="s">
        <v>9</v>
      </c>
      <c r="J6" s="274" t="s">
        <v>30</v>
      </c>
      <c r="K6" s="275" t="s">
        <v>10</v>
      </c>
      <c r="L6" s="276"/>
    </row>
    <row r="7" spans="1:12" s="8" customFormat="1" ht="63.6" customHeight="1">
      <c r="A7" s="265"/>
      <c r="B7" s="266"/>
      <c r="C7" s="266"/>
      <c r="D7" s="266"/>
      <c r="E7" s="164" t="s">
        <v>11</v>
      </c>
      <c r="F7" s="266"/>
      <c r="G7" s="267"/>
      <c r="H7" s="268"/>
      <c r="I7" s="266"/>
      <c r="J7" s="238"/>
      <c r="K7" s="164" t="s">
        <v>7</v>
      </c>
      <c r="L7" s="61" t="s">
        <v>8</v>
      </c>
    </row>
    <row r="8" spans="1:12" s="8" customFormat="1">
      <c r="A8" s="75">
        <v>1</v>
      </c>
      <c r="B8" s="76" t="s">
        <v>53</v>
      </c>
      <c r="C8" s="76" t="s">
        <v>52</v>
      </c>
      <c r="D8" s="104" t="s">
        <v>54</v>
      </c>
      <c r="E8" s="56" t="s">
        <v>41</v>
      </c>
      <c r="F8" s="38">
        <v>0.30208333333333331</v>
      </c>
      <c r="G8" s="22">
        <v>27</v>
      </c>
      <c r="H8" s="26">
        <v>956.44799999999998</v>
      </c>
      <c r="I8" s="23"/>
      <c r="J8" s="21"/>
      <c r="K8" s="26"/>
      <c r="L8" s="67"/>
    </row>
    <row r="9" spans="1:12">
      <c r="A9" s="75">
        <v>2</v>
      </c>
      <c r="B9" s="76" t="s">
        <v>53</v>
      </c>
      <c r="C9" s="76" t="s">
        <v>56</v>
      </c>
      <c r="D9" s="104" t="s">
        <v>55</v>
      </c>
      <c r="E9" s="77" t="s">
        <v>42</v>
      </c>
      <c r="F9" s="38">
        <v>0.30555555555555558</v>
      </c>
      <c r="G9" s="22">
        <v>23</v>
      </c>
      <c r="H9" s="26">
        <v>801.96</v>
      </c>
      <c r="I9" s="23"/>
      <c r="J9" s="21"/>
      <c r="K9" s="26"/>
      <c r="L9" s="67"/>
    </row>
    <row r="10" spans="1:12">
      <c r="A10" s="20">
        <v>3</v>
      </c>
      <c r="B10" s="76" t="s">
        <v>53</v>
      </c>
      <c r="C10" s="55" t="s">
        <v>57</v>
      </c>
      <c r="D10" s="104" t="s">
        <v>58</v>
      </c>
      <c r="E10" s="78" t="s">
        <v>41</v>
      </c>
      <c r="F10" s="38">
        <v>0.29166666666666669</v>
      </c>
      <c r="G10" s="22">
        <v>31</v>
      </c>
      <c r="H10" s="183">
        <v>918.88199999999995</v>
      </c>
      <c r="I10" s="23"/>
      <c r="J10" s="21"/>
      <c r="K10" s="26"/>
      <c r="L10" s="67"/>
    </row>
    <row r="11" spans="1:12">
      <c r="A11" s="75">
        <v>4</v>
      </c>
      <c r="B11" s="56" t="s">
        <v>43</v>
      </c>
      <c r="C11" s="55" t="s">
        <v>60</v>
      </c>
      <c r="D11" s="104" t="s">
        <v>59</v>
      </c>
      <c r="E11" s="56" t="s">
        <v>42</v>
      </c>
      <c r="F11" s="38">
        <v>0.28472222222222221</v>
      </c>
      <c r="G11" s="22">
        <v>13</v>
      </c>
      <c r="H11" s="183">
        <v>706.53499999999997</v>
      </c>
      <c r="I11" s="23"/>
      <c r="J11" s="21"/>
      <c r="K11" s="26"/>
      <c r="L11" s="67"/>
    </row>
    <row r="12" spans="1:12">
      <c r="A12" s="62"/>
      <c r="B12" s="84"/>
      <c r="C12" s="76"/>
      <c r="D12" s="107"/>
      <c r="E12" s="77"/>
      <c r="F12" s="23"/>
      <c r="G12" s="22"/>
      <c r="H12" s="26"/>
      <c r="I12" s="23"/>
      <c r="J12" s="21"/>
      <c r="K12" s="26"/>
      <c r="L12" s="67"/>
    </row>
    <row r="13" spans="1:12">
      <c r="A13" s="62"/>
      <c r="B13" s="55"/>
      <c r="C13" s="76"/>
      <c r="D13" s="119"/>
      <c r="E13" s="78"/>
      <c r="F13" s="23"/>
      <c r="G13" s="22"/>
      <c r="H13" s="26"/>
      <c r="I13" s="23"/>
      <c r="J13" s="21"/>
      <c r="K13" s="26"/>
      <c r="L13" s="67"/>
    </row>
    <row r="14" spans="1:12">
      <c r="A14" s="62"/>
      <c r="B14" s="63"/>
      <c r="C14" s="64"/>
      <c r="D14" s="65"/>
      <c r="E14" s="66"/>
      <c r="F14" s="23"/>
      <c r="G14" s="22"/>
      <c r="H14" s="26"/>
      <c r="I14" s="23"/>
      <c r="J14" s="21"/>
      <c r="K14" s="26"/>
      <c r="L14" s="67"/>
    </row>
    <row r="15" spans="1:12">
      <c r="A15" s="62"/>
      <c r="B15" s="63"/>
      <c r="C15" s="64"/>
      <c r="D15" s="65"/>
      <c r="E15" s="66"/>
      <c r="F15" s="23"/>
      <c r="G15" s="22"/>
      <c r="H15" s="26"/>
      <c r="I15" s="23"/>
      <c r="J15" s="21"/>
      <c r="K15" s="26"/>
      <c r="L15" s="67"/>
    </row>
    <row r="16" spans="1:12">
      <c r="A16" s="62"/>
      <c r="B16" s="63"/>
      <c r="C16" s="64"/>
      <c r="D16" s="65"/>
      <c r="E16" s="66"/>
      <c r="F16" s="23"/>
      <c r="G16" s="22"/>
      <c r="H16" s="26"/>
      <c r="I16" s="23"/>
      <c r="J16" s="21"/>
      <c r="K16" s="26"/>
      <c r="L16" s="67"/>
    </row>
    <row r="17" spans="1:14">
      <c r="A17" s="62"/>
      <c r="B17" s="63"/>
      <c r="C17" s="64"/>
      <c r="D17" s="65"/>
      <c r="E17" s="66"/>
      <c r="F17" s="23"/>
      <c r="G17" s="22"/>
      <c r="H17" s="26"/>
      <c r="I17" s="23"/>
      <c r="J17" s="21"/>
      <c r="K17" s="26"/>
      <c r="L17" s="67"/>
    </row>
    <row r="18" spans="1:14">
      <c r="A18" s="62"/>
      <c r="B18" s="63"/>
      <c r="C18" s="64"/>
      <c r="D18" s="65"/>
      <c r="E18" s="66"/>
      <c r="F18" s="23"/>
      <c r="G18" s="22"/>
      <c r="H18" s="26"/>
      <c r="I18" s="23"/>
      <c r="J18" s="21"/>
      <c r="K18" s="26"/>
      <c r="L18" s="67"/>
    </row>
    <row r="19" spans="1:14">
      <c r="A19" s="62"/>
      <c r="B19" s="63"/>
      <c r="C19" s="64"/>
      <c r="D19" s="65"/>
      <c r="E19" s="66"/>
      <c r="F19" s="23"/>
      <c r="G19" s="22"/>
      <c r="H19" s="26"/>
      <c r="I19" s="23"/>
      <c r="J19" s="21"/>
      <c r="K19" s="68"/>
      <c r="L19" s="67"/>
    </row>
    <row r="20" spans="1:14">
      <c r="A20" s="62"/>
      <c r="B20" s="63"/>
      <c r="C20" s="64"/>
      <c r="D20" s="65"/>
      <c r="E20" s="66"/>
      <c r="F20" s="23"/>
      <c r="G20" s="22"/>
      <c r="H20" s="26"/>
      <c r="I20" s="23"/>
      <c r="J20" s="21"/>
      <c r="K20" s="68"/>
      <c r="L20" s="69"/>
    </row>
    <row r="21" spans="1:14" ht="15.75" thickBot="1">
      <c r="A21" s="258" t="s">
        <v>15</v>
      </c>
      <c r="B21" s="259"/>
      <c r="C21" s="259"/>
      <c r="D21" s="259"/>
      <c r="E21" s="259"/>
      <c r="F21" s="260"/>
      <c r="G21" s="70">
        <f>SUM(G8:G20)</f>
        <v>94</v>
      </c>
      <c r="H21" s="70">
        <f>SUM(H8:H20)</f>
        <v>3383.8249999999998</v>
      </c>
      <c r="I21" s="71"/>
      <c r="J21" s="71"/>
      <c r="K21" s="70">
        <f>SUM(K8:K20)</f>
        <v>0</v>
      </c>
      <c r="L21" s="72">
        <f>SUM(L8:L20)</f>
        <v>0</v>
      </c>
    </row>
    <row r="23" spans="1:14" ht="15.75" thickBot="1">
      <c r="B23" s="4"/>
      <c r="C23" s="4"/>
      <c r="D23" s="13"/>
      <c r="E23" s="14"/>
      <c r="F23" s="15"/>
      <c r="G23" s="16"/>
      <c r="H23" s="14"/>
      <c r="I23" s="14"/>
      <c r="L23" s="8"/>
      <c r="N23" s="43">
        <f>SUM(N49)</f>
        <v>0</v>
      </c>
    </row>
    <row r="24" spans="1:14" ht="18.75">
      <c r="A24" s="255" t="s">
        <v>26</v>
      </c>
      <c r="B24" s="256"/>
      <c r="C24" s="256"/>
      <c r="D24" s="256"/>
      <c r="E24" s="256"/>
      <c r="F24" s="256"/>
      <c r="G24" s="256"/>
      <c r="H24" s="256"/>
      <c r="I24" s="257"/>
      <c r="J24" s="8"/>
      <c r="K24" s="8"/>
      <c r="L24" s="8"/>
      <c r="N24" s="43"/>
    </row>
    <row r="25" spans="1:14">
      <c r="A25" s="29">
        <v>1</v>
      </c>
      <c r="B25" s="74">
        <v>2</v>
      </c>
      <c r="C25" s="74">
        <v>3</v>
      </c>
      <c r="D25" s="74">
        <v>4</v>
      </c>
      <c r="E25" s="74">
        <v>5</v>
      </c>
      <c r="F25" s="74">
        <v>6</v>
      </c>
      <c r="G25" s="74">
        <v>7</v>
      </c>
      <c r="H25" s="74">
        <v>8</v>
      </c>
      <c r="I25" s="30">
        <v>9</v>
      </c>
      <c r="J25" s="8"/>
      <c r="K25" s="8"/>
      <c r="N25" s="43"/>
    </row>
    <row r="26" spans="1:14" ht="30">
      <c r="A26" s="54" t="s">
        <v>1</v>
      </c>
      <c r="B26" s="164" t="s">
        <v>2</v>
      </c>
      <c r="C26" s="164" t="s">
        <v>3</v>
      </c>
      <c r="D26" s="164" t="s">
        <v>27</v>
      </c>
      <c r="E26" s="164" t="s">
        <v>6</v>
      </c>
      <c r="F26" s="164" t="s">
        <v>28</v>
      </c>
      <c r="G26" s="164" t="s">
        <v>8</v>
      </c>
      <c r="H26" s="164" t="s">
        <v>31</v>
      </c>
      <c r="I26" s="31" t="s">
        <v>30</v>
      </c>
      <c r="J26" s="8"/>
      <c r="K26" s="8"/>
      <c r="L26" s="8"/>
      <c r="N26" s="43"/>
    </row>
    <row r="27" spans="1:14">
      <c r="A27" s="57"/>
      <c r="B27" s="56"/>
      <c r="C27" s="55"/>
      <c r="D27" s="39"/>
      <c r="E27" s="38"/>
      <c r="F27" s="22"/>
      <c r="G27" s="26"/>
      <c r="H27" s="35"/>
      <c r="I27" s="36"/>
      <c r="J27" s="8"/>
      <c r="K27" s="8"/>
      <c r="L27" s="8"/>
    </row>
    <row r="28" spans="1:14">
      <c r="A28" s="55"/>
      <c r="B28" s="56"/>
      <c r="C28" s="55"/>
      <c r="D28" s="39"/>
      <c r="E28" s="38"/>
      <c r="F28" s="22"/>
      <c r="G28" s="26"/>
      <c r="H28" s="35"/>
      <c r="I28" s="36"/>
      <c r="J28" s="8"/>
      <c r="K28" s="8"/>
      <c r="L28" s="8"/>
    </row>
    <row r="29" spans="1:14">
      <c r="A29" s="55"/>
      <c r="B29" s="55"/>
      <c r="C29" s="55"/>
      <c r="D29" s="39"/>
      <c r="E29" s="38"/>
      <c r="F29" s="22"/>
      <c r="G29" s="26"/>
      <c r="H29" s="35"/>
      <c r="I29" s="36"/>
      <c r="J29" s="8"/>
      <c r="K29" s="8"/>
      <c r="L29" s="8"/>
    </row>
    <row r="30" spans="1:14">
      <c r="A30" s="58"/>
      <c r="B30" s="58"/>
      <c r="C30" s="58"/>
      <c r="D30" s="39"/>
      <c r="E30" s="38"/>
      <c r="F30" s="22"/>
      <c r="G30" s="26"/>
      <c r="H30" s="35"/>
      <c r="I30" s="36"/>
      <c r="J30" s="8"/>
      <c r="K30" s="8"/>
      <c r="L30" s="8"/>
    </row>
    <row r="31" spans="1:14" ht="15.75" thickBot="1">
      <c r="A31" s="258" t="s">
        <v>15</v>
      </c>
      <c r="B31" s="259"/>
      <c r="C31" s="260"/>
      <c r="D31" s="10"/>
      <c r="E31" s="32"/>
      <c r="F31" s="32">
        <f>SUM(F30:F30)</f>
        <v>0</v>
      </c>
      <c r="G31" s="32">
        <f>SUM(G27:G30)</f>
        <v>0</v>
      </c>
      <c r="H31" s="33"/>
      <c r="I31" s="34"/>
      <c r="J31" s="2"/>
      <c r="K31" s="2"/>
    </row>
    <row r="32" spans="1:14" ht="15.75" thickBot="1">
      <c r="B32" s="4"/>
      <c r="C32" s="4"/>
      <c r="D32" s="13"/>
      <c r="E32" s="14"/>
      <c r="F32" s="15"/>
      <c r="G32" s="16"/>
      <c r="H32" s="14"/>
      <c r="I32" s="14"/>
      <c r="L32" s="8"/>
    </row>
    <row r="33" spans="1:13" ht="18.75">
      <c r="A33" s="255" t="s">
        <v>12</v>
      </c>
      <c r="B33" s="256"/>
      <c r="C33" s="256"/>
      <c r="D33" s="256"/>
      <c r="E33" s="256"/>
      <c r="F33" s="256"/>
      <c r="G33" s="256"/>
      <c r="H33" s="256"/>
      <c r="I33" s="256"/>
      <c r="J33" s="256"/>
      <c r="K33" s="256"/>
      <c r="L33" s="257"/>
    </row>
    <row r="34" spans="1:13" ht="15.75" thickBot="1">
      <c r="A34" s="94">
        <v>1</v>
      </c>
      <c r="B34" s="95">
        <v>2</v>
      </c>
      <c r="C34" s="95">
        <v>3</v>
      </c>
      <c r="D34" s="95">
        <v>4</v>
      </c>
      <c r="E34" s="95">
        <v>5</v>
      </c>
      <c r="F34" s="95">
        <v>6</v>
      </c>
      <c r="G34" s="95">
        <v>7</v>
      </c>
      <c r="H34" s="95">
        <v>8</v>
      </c>
      <c r="I34" s="95">
        <v>9</v>
      </c>
      <c r="J34" s="95">
        <v>10</v>
      </c>
      <c r="K34" s="95">
        <v>11</v>
      </c>
      <c r="L34" s="251">
        <v>12</v>
      </c>
      <c r="M34" s="252"/>
    </row>
    <row r="35" spans="1:13" ht="75">
      <c r="A35" s="253" t="s">
        <v>1</v>
      </c>
      <c r="B35" s="237" t="s">
        <v>2</v>
      </c>
      <c r="C35" s="237" t="s">
        <v>3</v>
      </c>
      <c r="D35" s="237" t="s">
        <v>4</v>
      </c>
      <c r="E35" s="97" t="s">
        <v>5</v>
      </c>
      <c r="F35" s="237" t="s">
        <v>14</v>
      </c>
      <c r="G35" s="237" t="s">
        <v>13</v>
      </c>
      <c r="H35" s="237" t="s">
        <v>37</v>
      </c>
      <c r="I35" s="237" t="s">
        <v>39</v>
      </c>
      <c r="J35" s="237" t="s">
        <v>38</v>
      </c>
      <c r="K35" s="237" t="s">
        <v>40</v>
      </c>
      <c r="L35" s="239" t="s">
        <v>36</v>
      </c>
      <c r="M35" s="240"/>
    </row>
    <row r="36" spans="1:13" ht="75">
      <c r="A36" s="254"/>
      <c r="B36" s="238"/>
      <c r="C36" s="238"/>
      <c r="D36" s="238"/>
      <c r="E36" s="167" t="s">
        <v>11</v>
      </c>
      <c r="F36" s="238"/>
      <c r="G36" s="238"/>
      <c r="H36" s="238"/>
      <c r="I36" s="238"/>
      <c r="J36" s="238"/>
      <c r="K36" s="238"/>
      <c r="L36" s="241"/>
      <c r="M36" s="242"/>
    </row>
    <row r="37" spans="1:13" s="27" customFormat="1" ht="46.5" customHeight="1">
      <c r="A37" s="40"/>
      <c r="B37" s="56"/>
      <c r="C37" s="55"/>
      <c r="D37" s="105"/>
      <c r="E37" s="56"/>
      <c r="F37" s="106"/>
      <c r="G37" s="85"/>
      <c r="H37" s="79"/>
      <c r="I37" s="80"/>
      <c r="J37" s="112"/>
      <c r="K37" s="81"/>
      <c r="L37" s="243"/>
      <c r="M37" s="244"/>
    </row>
    <row r="38" spans="1:13" s="53" customFormat="1">
      <c r="A38" s="40"/>
      <c r="B38" s="76"/>
      <c r="C38" s="76"/>
      <c r="D38" s="76"/>
      <c r="E38" s="83"/>
      <c r="F38" s="87"/>
      <c r="G38" s="85"/>
      <c r="H38" s="88"/>
      <c r="I38" s="82"/>
      <c r="J38" s="82"/>
      <c r="K38" s="89"/>
      <c r="L38" s="245"/>
      <c r="M38" s="246"/>
    </row>
    <row r="39" spans="1:13" ht="16.5" customHeight="1">
      <c r="A39" s="113"/>
      <c r="B39" s="17"/>
      <c r="C39" s="17"/>
      <c r="D39" s="17"/>
      <c r="E39" s="17"/>
      <c r="F39" s="90"/>
      <c r="G39" s="91"/>
      <c r="H39" s="17"/>
      <c r="I39" s="17"/>
      <c r="J39" s="74"/>
      <c r="K39" s="74"/>
      <c r="L39" s="247"/>
      <c r="M39" s="248"/>
    </row>
    <row r="40" spans="1:13">
      <c r="A40" s="40"/>
      <c r="B40" s="17"/>
      <c r="C40" s="17"/>
      <c r="D40" s="17"/>
      <c r="E40" s="17"/>
      <c r="F40" s="90"/>
      <c r="G40" s="91"/>
      <c r="H40" s="17"/>
      <c r="I40" s="17"/>
      <c r="J40" s="74"/>
      <c r="K40" s="74"/>
      <c r="L40" s="249"/>
      <c r="M40" s="250"/>
    </row>
    <row r="41" spans="1:13">
      <c r="A41" s="40"/>
      <c r="B41" s="41"/>
      <c r="C41" s="42"/>
      <c r="D41" s="42"/>
      <c r="E41" s="79"/>
      <c r="F41" s="92"/>
      <c r="G41" s="86"/>
      <c r="H41" s="93"/>
      <c r="I41" s="92"/>
      <c r="J41" s="92"/>
      <c r="K41" s="93"/>
      <c r="L41" s="222"/>
      <c r="M41" s="223"/>
    </row>
    <row r="42" spans="1:13">
      <c r="A42" s="40"/>
      <c r="B42" s="41"/>
      <c r="C42" s="42"/>
      <c r="D42" s="73"/>
      <c r="E42" s="37"/>
      <c r="F42" s="44"/>
      <c r="G42" s="86"/>
      <c r="H42" s="49"/>
      <c r="I42" s="44"/>
      <c r="J42" s="44"/>
      <c r="K42" s="49"/>
      <c r="L42" s="224"/>
      <c r="M42" s="225"/>
    </row>
    <row r="43" spans="1:13" ht="15.75" thickBot="1">
      <c r="A43" s="40"/>
      <c r="B43" s="98"/>
      <c r="C43" s="99"/>
      <c r="D43" s="99"/>
      <c r="E43" s="100"/>
      <c r="F43" s="101"/>
      <c r="G43" s="102"/>
      <c r="H43" s="103"/>
      <c r="I43" s="101"/>
      <c r="J43" s="101"/>
      <c r="K43" s="103"/>
      <c r="L43" s="226"/>
      <c r="M43" s="227"/>
    </row>
    <row r="44" spans="1:13" ht="15.75" thickBot="1">
      <c r="A44" s="228" t="s">
        <v>15</v>
      </c>
      <c r="B44" s="229"/>
      <c r="C44" s="229"/>
      <c r="D44" s="229"/>
      <c r="E44" s="230"/>
      <c r="F44" s="96"/>
      <c r="G44" s="231">
        <f>SUM(G37:G43)</f>
        <v>0</v>
      </c>
      <c r="H44" s="232"/>
      <c r="I44" s="232"/>
      <c r="J44" s="232"/>
      <c r="K44" s="232"/>
      <c r="L44" s="233"/>
    </row>
    <row r="45" spans="1:13" ht="15.75" thickBot="1">
      <c r="A45" s="45"/>
      <c r="B45" s="45"/>
      <c r="C45" s="45"/>
      <c r="D45" s="45"/>
      <c r="E45" s="46"/>
      <c r="F45" s="46"/>
      <c r="G45" s="47"/>
      <c r="H45" s="47"/>
      <c r="J45" s="9"/>
      <c r="K45" s="48"/>
    </row>
    <row r="46" spans="1:13" ht="18.75">
      <c r="A46" s="234" t="s">
        <v>16</v>
      </c>
      <c r="B46" s="235"/>
      <c r="C46" s="235"/>
      <c r="D46" s="235"/>
      <c r="E46" s="235"/>
      <c r="F46" s="235"/>
      <c r="G46" s="235"/>
      <c r="H46" s="235"/>
      <c r="I46" s="235"/>
      <c r="J46" s="236"/>
      <c r="K46" s="2"/>
    </row>
    <row r="47" spans="1:13" ht="30">
      <c r="A47" s="50"/>
      <c r="B47" s="18"/>
      <c r="C47" s="163"/>
      <c r="D47" s="163" t="s">
        <v>17</v>
      </c>
      <c r="E47" s="216" t="s">
        <v>18</v>
      </c>
      <c r="F47" s="216"/>
      <c r="G47" s="216" t="s">
        <v>19</v>
      </c>
      <c r="H47" s="216"/>
      <c r="I47" s="216" t="s">
        <v>29</v>
      </c>
      <c r="J47" s="217"/>
      <c r="K47" s="2"/>
    </row>
    <row r="48" spans="1:13">
      <c r="A48" s="50"/>
      <c r="B48" s="24" t="s">
        <v>20</v>
      </c>
      <c r="C48" s="206">
        <v>1417.52</v>
      </c>
      <c r="D48" s="207"/>
      <c r="E48" s="218">
        <v>1348.6020000000001</v>
      </c>
      <c r="F48" s="219"/>
      <c r="G48" s="218">
        <v>1348.6020000000001</v>
      </c>
      <c r="H48" s="219"/>
      <c r="I48" s="218"/>
      <c r="J48" s="317"/>
      <c r="K48" s="2"/>
    </row>
    <row r="49" spans="1:14">
      <c r="A49" s="51"/>
      <c r="B49" s="24" t="s">
        <v>21</v>
      </c>
      <c r="C49" s="206">
        <v>1010.26</v>
      </c>
      <c r="D49" s="207"/>
      <c r="E49" s="208">
        <v>915.19</v>
      </c>
      <c r="F49" s="209"/>
      <c r="G49" s="208">
        <v>915.19</v>
      </c>
      <c r="H49" s="209"/>
      <c r="I49" s="208"/>
      <c r="J49" s="311"/>
      <c r="K49" s="2"/>
    </row>
    <row r="50" spans="1:14" ht="15.75" thickBot="1">
      <c r="A50" s="51"/>
      <c r="B50" s="24" t="s">
        <v>22</v>
      </c>
      <c r="C50" s="312">
        <v>1568.88</v>
      </c>
      <c r="D50" s="313"/>
      <c r="E50" s="304">
        <v>1120.03</v>
      </c>
      <c r="F50" s="305"/>
      <c r="G50" s="304">
        <v>1120.03</v>
      </c>
      <c r="H50" s="305"/>
      <c r="I50" s="214"/>
      <c r="J50" s="314"/>
      <c r="K50" s="2"/>
    </row>
    <row r="51" spans="1:14" ht="15.75" thickBot="1">
      <c r="A51" s="11"/>
      <c r="B51" s="12" t="s">
        <v>23</v>
      </c>
      <c r="C51" s="195">
        <f>SUM(C48:D50)</f>
        <v>3996.66</v>
      </c>
      <c r="D51" s="196"/>
      <c r="E51" s="197">
        <f>SUM(E48:F50)</f>
        <v>3383.8220000000001</v>
      </c>
      <c r="F51" s="198"/>
      <c r="G51" s="197">
        <f>SUM(G48:H50)</f>
        <v>3383.8220000000001</v>
      </c>
      <c r="H51" s="198"/>
      <c r="I51" s="197">
        <f>SUM(I48:I50)</f>
        <v>0</v>
      </c>
      <c r="J51" s="199"/>
      <c r="K51" s="2"/>
    </row>
    <row r="53" spans="1:14" ht="15.75" thickBot="1">
      <c r="E53" s="25"/>
    </row>
    <row r="54" spans="1:14" s="130" customFormat="1" ht="19.5" thickBot="1">
      <c r="A54" s="315" t="s">
        <v>32</v>
      </c>
      <c r="B54" s="316"/>
      <c r="C54" s="316"/>
      <c r="D54" s="316"/>
      <c r="E54" s="316"/>
      <c r="F54" s="316"/>
      <c r="G54" s="316"/>
      <c r="H54" s="316"/>
      <c r="I54" s="316"/>
      <c r="J54" s="202"/>
      <c r="L54" s="131"/>
      <c r="M54" s="131"/>
      <c r="N54" s="131"/>
    </row>
    <row r="55" spans="1:14" s="130" customFormat="1">
      <c r="A55" s="185" t="s">
        <v>33</v>
      </c>
      <c r="B55" s="300" t="s">
        <v>34</v>
      </c>
      <c r="C55" s="300"/>
      <c r="D55" s="300"/>
      <c r="E55" s="300"/>
      <c r="F55" s="300"/>
      <c r="G55" s="300"/>
      <c r="H55" s="300"/>
      <c r="I55" s="300"/>
      <c r="J55" s="161" t="s">
        <v>35</v>
      </c>
      <c r="L55" s="131"/>
      <c r="M55" s="131"/>
      <c r="N55" s="131"/>
    </row>
    <row r="56" spans="1:14" s="130" customFormat="1" ht="16.899999999999999" hidden="1" customHeight="1">
      <c r="A56" s="176">
        <v>1</v>
      </c>
      <c r="B56" s="306" t="s">
        <v>97</v>
      </c>
      <c r="C56" s="306"/>
      <c r="D56" s="306"/>
      <c r="E56" s="306"/>
      <c r="F56" s="186"/>
      <c r="G56" s="186"/>
      <c r="H56" s="186"/>
      <c r="I56" s="186"/>
      <c r="J56" s="187">
        <v>10</v>
      </c>
      <c r="L56" s="131"/>
      <c r="M56" s="131"/>
      <c r="N56" s="131"/>
    </row>
    <row r="57" spans="1:14" s="130" customFormat="1" ht="30.6" hidden="1" customHeight="1">
      <c r="A57" s="176">
        <v>2</v>
      </c>
      <c r="B57" s="306" t="s">
        <v>114</v>
      </c>
      <c r="C57" s="306"/>
      <c r="D57" s="306"/>
      <c r="E57" s="306"/>
      <c r="F57" s="186"/>
      <c r="G57" s="186"/>
      <c r="H57" s="186"/>
      <c r="I57" s="184"/>
      <c r="J57" s="188">
        <v>7.1</v>
      </c>
      <c r="L57" s="131"/>
      <c r="M57" s="131"/>
      <c r="N57" s="131"/>
    </row>
    <row r="58" spans="1:14" s="130" customFormat="1" ht="20.45" hidden="1" customHeight="1">
      <c r="A58" s="176">
        <v>3</v>
      </c>
      <c r="B58" s="306" t="s">
        <v>115</v>
      </c>
      <c r="C58" s="306"/>
      <c r="D58" s="306"/>
      <c r="E58" s="306"/>
      <c r="F58" s="186"/>
      <c r="G58" s="186"/>
      <c r="H58" s="186"/>
      <c r="I58" s="184"/>
      <c r="J58" s="188">
        <v>5.4</v>
      </c>
      <c r="L58" s="131"/>
      <c r="M58" s="131"/>
      <c r="N58" s="131"/>
    </row>
    <row r="59" spans="1:14" s="130" customFormat="1" ht="30.6" hidden="1" customHeight="1">
      <c r="A59" s="176">
        <v>4</v>
      </c>
      <c r="B59" s="306" t="s">
        <v>156</v>
      </c>
      <c r="C59" s="306"/>
      <c r="D59" s="306"/>
      <c r="E59" s="306"/>
      <c r="F59" s="186"/>
      <c r="G59" s="186"/>
      <c r="H59" s="186"/>
      <c r="I59" s="184"/>
      <c r="J59" s="188">
        <v>13.2</v>
      </c>
      <c r="L59" s="131"/>
      <c r="M59" s="131"/>
      <c r="N59" s="131"/>
    </row>
    <row r="60" spans="1:14" s="4" customFormat="1" ht="15" hidden="1" customHeight="1">
      <c r="A60" s="176">
        <v>5</v>
      </c>
      <c r="B60" s="306" t="s">
        <v>162</v>
      </c>
      <c r="C60" s="306"/>
      <c r="D60" s="306"/>
      <c r="E60" s="306"/>
      <c r="F60" s="306"/>
      <c r="G60" s="306"/>
      <c r="H60" s="306"/>
      <c r="I60" s="307"/>
      <c r="J60" s="189">
        <v>3.774</v>
      </c>
      <c r="L60" s="2"/>
      <c r="M60" s="2"/>
      <c r="N60" s="2"/>
    </row>
    <row r="61" spans="1:14" s="4" customFormat="1" ht="15" hidden="1" customHeight="1">
      <c r="A61" s="176">
        <v>6</v>
      </c>
      <c r="B61" s="306" t="s">
        <v>103</v>
      </c>
      <c r="C61" s="306"/>
      <c r="D61" s="306"/>
      <c r="E61" s="306"/>
      <c r="F61" s="186"/>
      <c r="G61" s="186"/>
      <c r="H61" s="186"/>
      <c r="I61" s="184"/>
      <c r="J61" s="187">
        <v>10</v>
      </c>
      <c r="L61" s="2"/>
      <c r="M61" s="2"/>
      <c r="N61" s="2"/>
    </row>
    <row r="62" spans="1:14" s="4" customFormat="1" ht="15" hidden="1" customHeight="1">
      <c r="A62" s="176">
        <v>7</v>
      </c>
      <c r="B62" s="306" t="s">
        <v>104</v>
      </c>
      <c r="C62" s="306"/>
      <c r="D62" s="306"/>
      <c r="E62" s="306"/>
      <c r="F62" s="186"/>
      <c r="G62" s="186"/>
      <c r="H62" s="186"/>
      <c r="I62" s="184"/>
      <c r="J62" s="188">
        <v>7.5</v>
      </c>
      <c r="L62" s="2"/>
      <c r="M62" s="2"/>
      <c r="N62" s="2"/>
    </row>
    <row r="63" spans="1:14" s="4" customFormat="1" ht="15" hidden="1" customHeight="1">
      <c r="A63" s="176">
        <v>8</v>
      </c>
      <c r="B63" s="306" t="s">
        <v>105</v>
      </c>
      <c r="C63" s="306"/>
      <c r="D63" s="306"/>
      <c r="E63" s="306"/>
      <c r="F63" s="186"/>
      <c r="G63" s="186"/>
      <c r="H63" s="186"/>
      <c r="I63" s="184"/>
      <c r="J63" s="189">
        <v>9.8940000000000001</v>
      </c>
      <c r="L63" s="2"/>
      <c r="M63" s="2"/>
      <c r="N63" s="2"/>
    </row>
    <row r="64" spans="1:14" s="4" customFormat="1">
      <c r="A64" s="176">
        <v>9</v>
      </c>
      <c r="B64" s="306" t="s">
        <v>61</v>
      </c>
      <c r="C64" s="306"/>
      <c r="D64" s="306"/>
      <c r="E64" s="306"/>
      <c r="F64" s="186"/>
      <c r="G64" s="186"/>
      <c r="H64" s="186"/>
      <c r="I64" s="184"/>
      <c r="J64" s="189">
        <v>4.4459999999999997</v>
      </c>
      <c r="L64" s="2"/>
      <c r="M64" s="2"/>
      <c r="N64" s="2"/>
    </row>
    <row r="65" spans="1:14" s="4" customFormat="1">
      <c r="A65" s="176">
        <v>10</v>
      </c>
      <c r="B65" s="306" t="s">
        <v>163</v>
      </c>
      <c r="C65" s="306"/>
      <c r="D65" s="306"/>
      <c r="E65" s="306"/>
      <c r="F65" s="186"/>
      <c r="G65" s="186"/>
      <c r="H65" s="186"/>
      <c r="I65" s="184"/>
      <c r="J65" s="190">
        <v>7.25</v>
      </c>
      <c r="L65" s="2"/>
      <c r="M65" s="2"/>
      <c r="N65" s="2"/>
    </row>
    <row r="66" spans="1:14" s="4" customFormat="1">
      <c r="A66" s="176">
        <v>11</v>
      </c>
      <c r="B66" s="306" t="s">
        <v>85</v>
      </c>
      <c r="C66" s="306"/>
      <c r="D66" s="306"/>
      <c r="E66" s="306"/>
      <c r="F66" s="186"/>
      <c r="G66" s="186"/>
      <c r="H66" s="186"/>
      <c r="I66" s="184"/>
      <c r="J66" s="187">
        <v>7</v>
      </c>
      <c r="L66" s="2"/>
      <c r="M66" s="2"/>
      <c r="N66" s="2"/>
    </row>
    <row r="67" spans="1:14" s="4" customFormat="1">
      <c r="A67" s="176">
        <v>12</v>
      </c>
      <c r="B67" s="306" t="s">
        <v>164</v>
      </c>
      <c r="C67" s="306"/>
      <c r="D67" s="306"/>
      <c r="E67" s="306"/>
      <c r="F67" s="186"/>
      <c r="G67" s="186"/>
      <c r="H67" s="186"/>
      <c r="I67" s="184"/>
      <c r="J67" s="188">
        <v>4.5</v>
      </c>
      <c r="L67" s="2"/>
      <c r="M67" s="2"/>
      <c r="N67" s="2"/>
    </row>
    <row r="68" spans="1:14" s="4" customFormat="1">
      <c r="A68" s="176">
        <v>13</v>
      </c>
      <c r="B68" s="306" t="s">
        <v>65</v>
      </c>
      <c r="C68" s="306"/>
      <c r="D68" s="306"/>
      <c r="E68" s="306"/>
      <c r="F68" s="186"/>
      <c r="G68" s="186"/>
      <c r="H68" s="186"/>
      <c r="I68" s="184"/>
      <c r="J68" s="189">
        <v>5.9829999999999997</v>
      </c>
      <c r="L68" s="2"/>
      <c r="M68" s="2"/>
      <c r="N68" s="2"/>
    </row>
    <row r="69" spans="1:14" s="4" customFormat="1">
      <c r="A69" s="176">
        <v>14</v>
      </c>
      <c r="B69" s="306" t="s">
        <v>68</v>
      </c>
      <c r="C69" s="306"/>
      <c r="D69" s="306"/>
      <c r="E69" s="306"/>
      <c r="F69" s="186"/>
      <c r="G69" s="186"/>
      <c r="H69" s="186"/>
      <c r="I69" s="184"/>
      <c r="J69" s="188">
        <v>29.6</v>
      </c>
      <c r="L69" s="2"/>
      <c r="M69" s="2"/>
      <c r="N69" s="2"/>
    </row>
    <row r="70" spans="1:14" s="4" customFormat="1">
      <c r="A70" s="176">
        <v>15</v>
      </c>
      <c r="B70" s="306" t="s">
        <v>50</v>
      </c>
      <c r="C70" s="306"/>
      <c r="D70" s="306"/>
      <c r="E70" s="306"/>
      <c r="F70" s="186"/>
      <c r="G70" s="186"/>
      <c r="H70" s="186"/>
      <c r="I70" s="184"/>
      <c r="J70" s="188">
        <v>9.6999999999999993</v>
      </c>
      <c r="L70" s="2"/>
      <c r="M70" s="2"/>
      <c r="N70" s="2"/>
    </row>
    <row r="71" spans="1:14" s="4" customFormat="1">
      <c r="A71" s="176">
        <v>16</v>
      </c>
      <c r="B71" s="306" t="s">
        <v>88</v>
      </c>
      <c r="C71" s="306"/>
      <c r="D71" s="306"/>
      <c r="E71" s="306"/>
      <c r="F71" s="186"/>
      <c r="G71" s="186"/>
      <c r="H71" s="186"/>
      <c r="I71" s="184"/>
      <c r="J71" s="188">
        <v>6.4</v>
      </c>
      <c r="L71" s="2"/>
      <c r="M71" s="2"/>
      <c r="N71" s="2"/>
    </row>
    <row r="72" spans="1:14" s="4" customFormat="1">
      <c r="A72" s="176">
        <v>17</v>
      </c>
      <c r="B72" s="306" t="s">
        <v>46</v>
      </c>
      <c r="C72" s="306"/>
      <c r="D72" s="306"/>
      <c r="E72" s="306"/>
      <c r="F72" s="186"/>
      <c r="G72" s="186"/>
      <c r="H72" s="186"/>
      <c r="I72" s="184"/>
      <c r="J72" s="187">
        <v>57</v>
      </c>
      <c r="L72" s="2"/>
      <c r="M72" s="2"/>
      <c r="N72" s="2"/>
    </row>
    <row r="73" spans="1:14" s="4" customFormat="1">
      <c r="A73" s="176">
        <v>18</v>
      </c>
      <c r="B73" s="306" t="s">
        <v>69</v>
      </c>
      <c r="C73" s="306"/>
      <c r="D73" s="306"/>
      <c r="E73" s="306"/>
      <c r="F73" s="186"/>
      <c r="G73" s="186"/>
      <c r="H73" s="186"/>
      <c r="I73" s="184"/>
      <c r="J73" s="187">
        <v>12</v>
      </c>
      <c r="L73" s="2"/>
      <c r="M73" s="2"/>
      <c r="N73" s="2"/>
    </row>
    <row r="74" spans="1:14" s="4" customFormat="1">
      <c r="A74" s="176">
        <v>19</v>
      </c>
      <c r="B74" s="306" t="s">
        <v>144</v>
      </c>
      <c r="C74" s="306"/>
      <c r="D74" s="306"/>
      <c r="E74" s="306"/>
      <c r="F74" s="186"/>
      <c r="G74" s="186"/>
      <c r="H74" s="186"/>
      <c r="I74" s="184"/>
      <c r="J74" s="187">
        <v>7</v>
      </c>
      <c r="L74" s="2"/>
      <c r="M74" s="2"/>
      <c r="N74" s="2"/>
    </row>
    <row r="75" spans="1:14" s="4" customFormat="1">
      <c r="A75" s="176">
        <v>20</v>
      </c>
      <c r="B75" s="306" t="s">
        <v>70</v>
      </c>
      <c r="C75" s="306"/>
      <c r="D75" s="306"/>
      <c r="E75" s="306"/>
      <c r="F75" s="186"/>
      <c r="G75" s="186"/>
      <c r="H75" s="186"/>
      <c r="I75" s="184"/>
      <c r="J75" s="188">
        <v>50.4</v>
      </c>
      <c r="L75" s="2"/>
      <c r="M75" s="2"/>
      <c r="N75" s="2"/>
    </row>
    <row r="76" spans="1:14" s="4" customFormat="1">
      <c r="A76" s="176">
        <v>21</v>
      </c>
      <c r="B76" s="306" t="s">
        <v>145</v>
      </c>
      <c r="C76" s="306"/>
      <c r="D76" s="306"/>
      <c r="E76" s="306"/>
      <c r="F76" s="186"/>
      <c r="G76" s="186"/>
      <c r="H76" s="186"/>
      <c r="I76" s="184"/>
      <c r="J76" s="190">
        <v>20.09</v>
      </c>
      <c r="L76" s="2"/>
      <c r="M76" s="2"/>
      <c r="N76" s="2"/>
    </row>
    <row r="77" spans="1:14" s="4" customFormat="1">
      <c r="A77" s="176">
        <v>22</v>
      </c>
      <c r="B77" s="306" t="s">
        <v>165</v>
      </c>
      <c r="C77" s="306"/>
      <c r="D77" s="306"/>
      <c r="E77" s="306"/>
      <c r="F77" s="186"/>
      <c r="G77" s="186"/>
      <c r="H77" s="186"/>
      <c r="I77" s="184"/>
      <c r="J77" s="190">
        <v>7.92</v>
      </c>
      <c r="L77" s="2"/>
      <c r="M77" s="2"/>
      <c r="N77" s="2"/>
    </row>
    <row r="78" spans="1:14" s="4" customFormat="1">
      <c r="A78" s="176">
        <v>23</v>
      </c>
      <c r="B78" s="306" t="s">
        <v>74</v>
      </c>
      <c r="C78" s="306"/>
      <c r="D78" s="306"/>
      <c r="E78" s="306"/>
      <c r="F78" s="186"/>
      <c r="G78" s="186"/>
      <c r="H78" s="186"/>
      <c r="I78" s="184"/>
      <c r="J78" s="189">
        <v>18.779</v>
      </c>
      <c r="L78" s="2"/>
      <c r="M78" s="2"/>
      <c r="N78" s="2"/>
    </row>
    <row r="79" spans="1:14" s="4" customFormat="1">
      <c r="A79" s="176">
        <v>24</v>
      </c>
      <c r="B79" s="306" t="s">
        <v>166</v>
      </c>
      <c r="C79" s="306"/>
      <c r="D79" s="306"/>
      <c r="E79" s="306"/>
      <c r="F79" s="186"/>
      <c r="G79" s="186"/>
      <c r="H79" s="186"/>
      <c r="I79" s="184"/>
      <c r="J79" s="188">
        <v>7.2</v>
      </c>
      <c r="L79" s="2"/>
      <c r="M79" s="2"/>
      <c r="N79" s="2"/>
    </row>
    <row r="80" spans="1:14" s="4" customFormat="1">
      <c r="A80" s="176">
        <v>25</v>
      </c>
      <c r="B80" s="306" t="s">
        <v>47</v>
      </c>
      <c r="C80" s="306"/>
      <c r="D80" s="306"/>
      <c r="E80" s="306"/>
      <c r="F80" s="186"/>
      <c r="G80" s="186"/>
      <c r="H80" s="186"/>
      <c r="I80" s="184"/>
      <c r="J80" s="188">
        <v>39.299999999999997</v>
      </c>
      <c r="L80" s="2"/>
      <c r="M80" s="2"/>
      <c r="N80" s="2"/>
    </row>
    <row r="81" spans="1:14" s="4" customFormat="1">
      <c r="A81" s="176">
        <v>26</v>
      </c>
      <c r="B81" s="306" t="s">
        <v>77</v>
      </c>
      <c r="C81" s="306"/>
      <c r="D81" s="306"/>
      <c r="E81" s="306"/>
      <c r="F81" s="186"/>
      <c r="G81" s="186"/>
      <c r="H81" s="186"/>
      <c r="I81" s="184"/>
      <c r="J81" s="188">
        <v>57.4</v>
      </c>
      <c r="L81" s="2"/>
      <c r="M81" s="2"/>
      <c r="N81" s="2"/>
    </row>
    <row r="82" spans="1:14" s="4" customFormat="1">
      <c r="A82" s="176">
        <v>27</v>
      </c>
      <c r="B82" s="306" t="s">
        <v>167</v>
      </c>
      <c r="C82" s="306"/>
      <c r="D82" s="306"/>
      <c r="E82" s="306"/>
      <c r="F82" s="186"/>
      <c r="G82" s="186"/>
      <c r="H82" s="186"/>
      <c r="I82" s="184"/>
      <c r="J82" s="190">
        <v>32.479999999999997</v>
      </c>
      <c r="L82" s="2"/>
      <c r="M82" s="2"/>
      <c r="N82" s="2"/>
    </row>
    <row r="83" spans="1:14" s="4" customFormat="1">
      <c r="A83" s="176">
        <v>28</v>
      </c>
      <c r="B83" s="306" t="s">
        <v>146</v>
      </c>
      <c r="C83" s="306"/>
      <c r="D83" s="306"/>
      <c r="E83" s="306"/>
      <c r="F83" s="186"/>
      <c r="G83" s="186"/>
      <c r="H83" s="186"/>
      <c r="I83" s="184"/>
      <c r="J83" s="190">
        <v>4.4800000000000004</v>
      </c>
      <c r="L83" s="2"/>
      <c r="M83" s="2"/>
      <c r="N83" s="2"/>
    </row>
    <row r="84" spans="1:14" s="4" customFormat="1">
      <c r="A84" s="176">
        <v>29</v>
      </c>
      <c r="B84" s="306" t="s">
        <v>147</v>
      </c>
      <c r="C84" s="306"/>
      <c r="D84" s="306"/>
      <c r="E84" s="306"/>
      <c r="F84" s="186"/>
      <c r="G84" s="186"/>
      <c r="H84" s="186"/>
      <c r="I84" s="184"/>
      <c r="J84" s="190">
        <v>11.25</v>
      </c>
      <c r="L84" s="2"/>
      <c r="M84" s="2"/>
      <c r="N84" s="2"/>
    </row>
    <row r="85" spans="1:14" s="4" customFormat="1">
      <c r="A85" s="176">
        <v>30</v>
      </c>
      <c r="B85" s="306" t="s">
        <v>168</v>
      </c>
      <c r="C85" s="306"/>
      <c r="D85" s="306"/>
      <c r="E85" s="306"/>
      <c r="F85" s="186"/>
      <c r="G85" s="186"/>
      <c r="H85" s="186"/>
      <c r="I85" s="184"/>
      <c r="J85" s="188">
        <v>9.9</v>
      </c>
      <c r="L85" s="2"/>
      <c r="M85" s="2"/>
      <c r="N85" s="2"/>
    </row>
    <row r="86" spans="1:14" s="4" customFormat="1">
      <c r="A86" s="176">
        <v>31</v>
      </c>
      <c r="B86" s="306" t="s">
        <v>169</v>
      </c>
      <c r="C86" s="306"/>
      <c r="D86" s="306"/>
      <c r="E86" s="306"/>
      <c r="F86" s="186"/>
      <c r="G86" s="186"/>
      <c r="H86" s="186"/>
      <c r="I86" s="184"/>
      <c r="J86" s="190">
        <v>22.24</v>
      </c>
      <c r="L86" s="2"/>
      <c r="M86" s="2"/>
      <c r="N86" s="2"/>
    </row>
    <row r="87" spans="1:14" s="4" customFormat="1" hidden="1">
      <c r="A87" s="176">
        <v>32</v>
      </c>
      <c r="B87" s="306" t="s">
        <v>121</v>
      </c>
      <c r="C87" s="306"/>
      <c r="D87" s="306"/>
      <c r="E87" s="306"/>
      <c r="F87" s="186"/>
      <c r="G87" s="186"/>
      <c r="H87" s="186"/>
      <c r="I87" s="184"/>
      <c r="J87" s="188">
        <v>33.200000000000003</v>
      </c>
      <c r="L87" s="2"/>
      <c r="M87" s="2"/>
      <c r="N87" s="2"/>
    </row>
    <row r="88" spans="1:14" s="4" customFormat="1" hidden="1">
      <c r="A88" s="176">
        <v>33</v>
      </c>
      <c r="B88" s="306" t="s">
        <v>138</v>
      </c>
      <c r="C88" s="306"/>
      <c r="D88" s="306"/>
      <c r="E88" s="306"/>
      <c r="F88" s="186"/>
      <c r="G88" s="186"/>
      <c r="H88" s="186"/>
      <c r="I88" s="184"/>
      <c r="J88" s="187">
        <v>49</v>
      </c>
      <c r="L88" s="2"/>
      <c r="M88" s="2"/>
      <c r="N88" s="2"/>
    </row>
    <row r="89" spans="1:14" s="4" customFormat="1">
      <c r="A89" s="176">
        <v>34</v>
      </c>
      <c r="B89" s="306" t="s">
        <v>61</v>
      </c>
      <c r="C89" s="306"/>
      <c r="D89" s="306"/>
      <c r="E89" s="186"/>
      <c r="F89" s="186"/>
      <c r="G89" s="186"/>
      <c r="H89" s="186"/>
      <c r="I89" s="184"/>
      <c r="J89" s="189">
        <v>4.4459999999999997</v>
      </c>
      <c r="L89" s="2"/>
      <c r="M89" s="2"/>
      <c r="N89" s="2"/>
    </row>
    <row r="90" spans="1:14" s="4" customFormat="1">
      <c r="A90" s="176">
        <v>35</v>
      </c>
      <c r="B90" s="306" t="s">
        <v>163</v>
      </c>
      <c r="C90" s="306"/>
      <c r="D90" s="306"/>
      <c r="E90" s="186"/>
      <c r="F90" s="186"/>
      <c r="G90" s="186"/>
      <c r="H90" s="186"/>
      <c r="I90" s="184"/>
      <c r="J90" s="190">
        <v>7.25</v>
      </c>
      <c r="L90" s="2"/>
      <c r="M90" s="2"/>
      <c r="N90" s="2"/>
    </row>
    <row r="91" spans="1:14" s="4" customFormat="1">
      <c r="A91" s="176">
        <v>36</v>
      </c>
      <c r="B91" s="306" t="s">
        <v>85</v>
      </c>
      <c r="C91" s="306"/>
      <c r="D91" s="306"/>
      <c r="E91" s="186"/>
      <c r="F91" s="186"/>
      <c r="G91" s="186"/>
      <c r="H91" s="186"/>
      <c r="I91" s="184"/>
      <c r="J91" s="187">
        <v>7</v>
      </c>
      <c r="L91" s="2"/>
      <c r="M91" s="2"/>
      <c r="N91" s="2"/>
    </row>
    <row r="92" spans="1:14" s="4" customFormat="1">
      <c r="A92" s="176">
        <v>37</v>
      </c>
      <c r="B92" s="306" t="s">
        <v>164</v>
      </c>
      <c r="C92" s="306"/>
      <c r="D92" s="306"/>
      <c r="E92" s="186"/>
      <c r="F92" s="186"/>
      <c r="G92" s="186"/>
      <c r="H92" s="186"/>
      <c r="I92" s="184"/>
      <c r="J92" s="188">
        <v>4.5</v>
      </c>
      <c r="L92" s="2"/>
      <c r="M92" s="2"/>
      <c r="N92" s="2"/>
    </row>
    <row r="93" spans="1:14" s="4" customFormat="1">
      <c r="A93" s="176">
        <v>38</v>
      </c>
      <c r="B93" s="306" t="s">
        <v>65</v>
      </c>
      <c r="C93" s="306"/>
      <c r="D93" s="306"/>
      <c r="E93" s="186"/>
      <c r="F93" s="186"/>
      <c r="G93" s="186"/>
      <c r="H93" s="186"/>
      <c r="I93" s="184"/>
      <c r="J93" s="189">
        <v>5.9829999999999997</v>
      </c>
      <c r="L93" s="2"/>
      <c r="M93" s="2"/>
      <c r="N93" s="2"/>
    </row>
    <row r="94" spans="1:14" s="4" customFormat="1">
      <c r="A94" s="176">
        <v>39</v>
      </c>
      <c r="B94" s="306" t="s">
        <v>68</v>
      </c>
      <c r="C94" s="306"/>
      <c r="D94" s="306"/>
      <c r="E94" s="186"/>
      <c r="F94" s="186"/>
      <c r="G94" s="186"/>
      <c r="H94" s="186"/>
      <c r="I94" s="184"/>
      <c r="J94" s="188">
        <v>29.6</v>
      </c>
      <c r="L94" s="2"/>
      <c r="M94" s="2"/>
      <c r="N94" s="2"/>
    </row>
    <row r="95" spans="1:14" s="4" customFormat="1">
      <c r="A95" s="176">
        <v>40</v>
      </c>
      <c r="B95" s="306" t="s">
        <v>50</v>
      </c>
      <c r="C95" s="306"/>
      <c r="D95" s="306"/>
      <c r="E95" s="186"/>
      <c r="F95" s="186"/>
      <c r="G95" s="186"/>
      <c r="H95" s="186"/>
      <c r="I95" s="184"/>
      <c r="J95" s="188">
        <v>9.6999999999999993</v>
      </c>
      <c r="L95" s="2"/>
      <c r="M95" s="2"/>
      <c r="N95" s="2"/>
    </row>
    <row r="96" spans="1:14" s="4" customFormat="1">
      <c r="A96" s="176">
        <v>41</v>
      </c>
      <c r="B96" s="306" t="s">
        <v>88</v>
      </c>
      <c r="C96" s="306"/>
      <c r="D96" s="306"/>
      <c r="E96" s="186"/>
      <c r="F96" s="186"/>
      <c r="G96" s="186"/>
      <c r="H96" s="186"/>
      <c r="I96" s="184"/>
      <c r="J96" s="188">
        <v>6.4</v>
      </c>
      <c r="L96" s="2"/>
      <c r="M96" s="2"/>
      <c r="N96" s="2"/>
    </row>
    <row r="97" spans="1:14" s="4" customFormat="1">
      <c r="A97" s="176">
        <v>42</v>
      </c>
      <c r="B97" s="306" t="s">
        <v>46</v>
      </c>
      <c r="C97" s="306"/>
      <c r="D97" s="306"/>
      <c r="E97" s="186"/>
      <c r="F97" s="186"/>
      <c r="G97" s="186"/>
      <c r="H97" s="186"/>
      <c r="I97" s="184"/>
      <c r="J97" s="187">
        <v>57</v>
      </c>
      <c r="L97" s="2"/>
      <c r="M97" s="2"/>
      <c r="N97" s="2"/>
    </row>
    <row r="98" spans="1:14" s="4" customFormat="1">
      <c r="A98" s="176">
        <v>43</v>
      </c>
      <c r="B98" s="306" t="s">
        <v>69</v>
      </c>
      <c r="C98" s="306"/>
      <c r="D98" s="306"/>
      <c r="E98" s="186"/>
      <c r="F98" s="186"/>
      <c r="G98" s="186"/>
      <c r="H98" s="186"/>
      <c r="I98" s="184"/>
      <c r="J98" s="187">
        <v>12</v>
      </c>
      <c r="L98" s="2"/>
      <c r="M98" s="2"/>
      <c r="N98" s="2"/>
    </row>
    <row r="99" spans="1:14" s="4" customFormat="1">
      <c r="A99" s="176">
        <v>44</v>
      </c>
      <c r="B99" s="306" t="s">
        <v>144</v>
      </c>
      <c r="C99" s="306"/>
      <c r="D99" s="306"/>
      <c r="E99" s="186"/>
      <c r="F99" s="186"/>
      <c r="G99" s="186"/>
      <c r="H99" s="186"/>
      <c r="I99" s="184"/>
      <c r="J99" s="187">
        <v>7</v>
      </c>
      <c r="L99" s="2"/>
      <c r="M99" s="2"/>
      <c r="N99" s="2"/>
    </row>
    <row r="100" spans="1:14" s="4" customFormat="1">
      <c r="A100" s="176">
        <v>45</v>
      </c>
      <c r="B100" s="306" t="s">
        <v>70</v>
      </c>
      <c r="C100" s="306"/>
      <c r="D100" s="306"/>
      <c r="E100" s="186"/>
      <c r="F100" s="186"/>
      <c r="G100" s="186"/>
      <c r="H100" s="186"/>
      <c r="I100" s="184"/>
      <c r="J100" s="188">
        <v>50.4</v>
      </c>
      <c r="L100" s="2"/>
      <c r="M100" s="2"/>
      <c r="N100" s="2"/>
    </row>
    <row r="101" spans="1:14" s="4" customFormat="1">
      <c r="A101" s="176">
        <v>46</v>
      </c>
      <c r="B101" s="306" t="s">
        <v>145</v>
      </c>
      <c r="C101" s="306"/>
      <c r="D101" s="306"/>
      <c r="E101" s="186"/>
      <c r="F101" s="186"/>
      <c r="G101" s="186"/>
      <c r="H101" s="186"/>
      <c r="I101" s="184"/>
      <c r="J101" s="190">
        <v>20.09</v>
      </c>
      <c r="L101" s="2"/>
      <c r="M101" s="2"/>
      <c r="N101" s="2"/>
    </row>
    <row r="102" spans="1:14" s="4" customFormat="1">
      <c r="A102" s="176">
        <v>47</v>
      </c>
      <c r="B102" s="306" t="s">
        <v>165</v>
      </c>
      <c r="C102" s="306"/>
      <c r="D102" s="306"/>
      <c r="E102" s="186"/>
      <c r="F102" s="186"/>
      <c r="G102" s="186"/>
      <c r="H102" s="186"/>
      <c r="I102" s="184"/>
      <c r="J102" s="190">
        <v>7.92</v>
      </c>
      <c r="L102" s="2"/>
      <c r="M102" s="2"/>
      <c r="N102" s="2"/>
    </row>
    <row r="103" spans="1:14" s="4" customFormat="1">
      <c r="A103" s="176">
        <v>48</v>
      </c>
      <c r="B103" s="306" t="s">
        <v>74</v>
      </c>
      <c r="C103" s="306"/>
      <c r="D103" s="306"/>
      <c r="E103" s="186"/>
      <c r="F103" s="186"/>
      <c r="G103" s="186"/>
      <c r="H103" s="186"/>
      <c r="I103" s="184"/>
      <c r="J103" s="189">
        <v>18.779</v>
      </c>
      <c r="L103" s="2"/>
      <c r="M103" s="2"/>
      <c r="N103" s="2"/>
    </row>
    <row r="104" spans="1:14" s="4" customFormat="1">
      <c r="A104" s="176">
        <v>49</v>
      </c>
      <c r="B104" s="306" t="s">
        <v>166</v>
      </c>
      <c r="C104" s="306"/>
      <c r="D104" s="306"/>
      <c r="E104" s="186"/>
      <c r="F104" s="186"/>
      <c r="G104" s="186"/>
      <c r="H104" s="186"/>
      <c r="I104" s="184"/>
      <c r="J104" s="188">
        <v>7.2</v>
      </c>
      <c r="L104" s="2"/>
      <c r="M104" s="2"/>
      <c r="N104" s="2"/>
    </row>
    <row r="105" spans="1:14" s="4" customFormat="1">
      <c r="A105" s="176">
        <v>50</v>
      </c>
      <c r="B105" s="306" t="s">
        <v>47</v>
      </c>
      <c r="C105" s="306"/>
      <c r="D105" s="306"/>
      <c r="E105" s="186"/>
      <c r="F105" s="186"/>
      <c r="G105" s="186"/>
      <c r="H105" s="186"/>
      <c r="I105" s="184"/>
      <c r="J105" s="188">
        <v>39.299999999999997</v>
      </c>
      <c r="L105" s="2"/>
      <c r="M105" s="2"/>
      <c r="N105" s="2"/>
    </row>
    <row r="106" spans="1:14" s="4" customFormat="1">
      <c r="A106" s="176">
        <v>51</v>
      </c>
      <c r="B106" s="306" t="s">
        <v>77</v>
      </c>
      <c r="C106" s="306"/>
      <c r="D106" s="306"/>
      <c r="E106" s="186"/>
      <c r="F106" s="186"/>
      <c r="G106" s="186"/>
      <c r="H106" s="186"/>
      <c r="I106" s="184"/>
      <c r="J106" s="188">
        <v>57.4</v>
      </c>
      <c r="L106" s="2"/>
      <c r="M106" s="2"/>
      <c r="N106" s="2"/>
    </row>
    <row r="107" spans="1:14" s="4" customFormat="1">
      <c r="A107" s="176">
        <v>52</v>
      </c>
      <c r="B107" s="306" t="s">
        <v>167</v>
      </c>
      <c r="C107" s="306"/>
      <c r="D107" s="306"/>
      <c r="E107" s="186"/>
      <c r="F107" s="186"/>
      <c r="G107" s="186"/>
      <c r="H107" s="186"/>
      <c r="I107" s="184"/>
      <c r="J107" s="190">
        <v>32.479999999999997</v>
      </c>
      <c r="L107" s="2"/>
      <c r="M107" s="2"/>
      <c r="N107" s="2"/>
    </row>
    <row r="108" spans="1:14" s="4" customFormat="1">
      <c r="A108" s="176">
        <v>53</v>
      </c>
      <c r="B108" s="306" t="s">
        <v>146</v>
      </c>
      <c r="C108" s="306"/>
      <c r="D108" s="306"/>
      <c r="E108" s="186"/>
      <c r="F108" s="186"/>
      <c r="G108" s="186"/>
      <c r="H108" s="186"/>
      <c r="I108" s="184"/>
      <c r="J108" s="190">
        <v>4.4800000000000004</v>
      </c>
      <c r="L108" s="2"/>
      <c r="M108" s="2"/>
      <c r="N108" s="2"/>
    </row>
    <row r="109" spans="1:14" s="4" customFormat="1">
      <c r="A109" s="176">
        <v>54</v>
      </c>
      <c r="B109" s="306" t="s">
        <v>147</v>
      </c>
      <c r="C109" s="306"/>
      <c r="D109" s="306"/>
      <c r="E109" s="186"/>
      <c r="F109" s="186"/>
      <c r="G109" s="186"/>
      <c r="H109" s="186"/>
      <c r="I109" s="184"/>
      <c r="J109" s="190">
        <v>11.25</v>
      </c>
      <c r="L109" s="2"/>
      <c r="M109" s="2"/>
      <c r="N109" s="2"/>
    </row>
    <row r="110" spans="1:14" s="4" customFormat="1">
      <c r="A110" s="176">
        <v>55</v>
      </c>
      <c r="B110" s="306" t="s">
        <v>168</v>
      </c>
      <c r="C110" s="306"/>
      <c r="D110" s="306"/>
      <c r="E110" s="186"/>
      <c r="F110" s="186"/>
      <c r="G110" s="186"/>
      <c r="H110" s="186"/>
      <c r="I110" s="184"/>
      <c r="J110" s="188">
        <v>9.9</v>
      </c>
      <c r="L110" s="2"/>
      <c r="M110" s="2"/>
      <c r="N110" s="2"/>
    </row>
    <row r="111" spans="1:14" s="4" customFormat="1">
      <c r="A111" s="176">
        <v>56</v>
      </c>
      <c r="B111" s="306" t="s">
        <v>169</v>
      </c>
      <c r="C111" s="306"/>
      <c r="D111" s="306"/>
      <c r="E111" s="186"/>
      <c r="F111" s="186"/>
      <c r="G111" s="186"/>
      <c r="H111" s="186"/>
      <c r="I111" s="184"/>
      <c r="J111" s="190">
        <v>22.24</v>
      </c>
      <c r="L111" s="2"/>
      <c r="M111" s="2"/>
      <c r="N111" s="2"/>
    </row>
    <row r="112" spans="1:14" ht="15" hidden="1" customHeight="1">
      <c r="A112" s="181"/>
      <c r="B112" s="308"/>
      <c r="C112" s="309"/>
      <c r="D112" s="309"/>
      <c r="E112" s="309"/>
      <c r="F112" s="309"/>
      <c r="G112" s="309"/>
      <c r="H112" s="309"/>
      <c r="I112" s="310"/>
      <c r="J112" s="182">
        <f>SUM(J56:J111)</f>
        <v>1013.704</v>
      </c>
    </row>
    <row r="114" ht="14.45" customHeight="1"/>
    <row r="118" ht="14.45" customHeight="1"/>
  </sheetData>
  <autoFilter ref="A55:J112" xr:uid="{86E62192-3958-45EE-A6F5-FCA6A0772BCE}">
    <filterColumn colId="1" showButton="0">
      <filters>
        <filter val="4813 ФИЛЕЙНАЯ Папа может вар п/о_Л   ОСТАНКИНО"/>
        <filter val="4993 САЛЯМИ ИТАЛЬЯНСКАЯ с/к в/у 1/250*8_120c ОСТАНКИНО"/>
        <filter val="5483 ЭКСТРА Папа может с/к в/у 1/250 8шт.   ОСТАНКИНО"/>
        <filter val="5708 ПОСОЛЬСКАЯ Папа может с/к в/у ОСТАНКИНО"/>
        <filter val="6220 ГОВЯЖЬЯ папа может вар п/о  Останкино"/>
        <filter val="6333 МЯСНАЯ Папа может вар п/о 0.4кг 8шт.  ОСТАНКИНО"/>
        <filter val="6470 ВЕТЧ.МРАМОРНАЯ в/у_45с  ОСТАНКИНО"/>
        <filter val="6475 Сосиски Папа может 400г С сыром  ОСТАНКИНО"/>
        <filter val="6498 МОЛОЧНАЯ Папа может вар п/о  ОСТАНКИНО"/>
        <filter val="6550 МЯСНЫЕ Папа может сар б/о мгс 1*3 О 45с  Останкино"/>
        <filter val="6620 РЕБРЫШКИ к/в в/у_30с  Останкино"/>
        <filter val="6697 СЕРВЕЛАТ ФИНСКИЙ ПМ в/к в/у 0,35кг 8шт  ОСТАНКИНО"/>
        <filter val="6724 МОЛОЧНЫЕ ПМ сос п/о мгс 0,41кг 10шт  Останкино"/>
        <filter val="6807 СЕРВЕЛАТ ЕВРОПЕЙСКИЙ в/к в/у 0,33кг 8шт  Останкино"/>
        <filter val="7070 СОЧНЫЕ ПМ сос п/о 1,5*4_А_50с  Останкино"/>
        <filter val="7103 БЕКОН Останкино с/к с/н в/у 1/180_50с  Останкино"/>
        <filter val="7157 СЕРВЕЛАТ ЗЕРНИСТЫЙ ПМ в/к в/у_50с  Останкино"/>
        <filter val="7169 СЕРВЕЛАТ ОХОТНИЧИЙ ПМ в/к в/у 0,35кг_50с  Останкино"/>
        <filter val="7236 СЕРВЕЛАТ КАРЕЛЬСКИЙ в/к в/у 0,28кг_209к  Останкино"/>
        <filter val="7332 БОЯРСКАЯ ПМ п/к в/у 0,28кг ОСТАНКИНО"/>
        <filter val="7386 БАРСЕЛОНА ПМ с/к в/у 1/150  ОСТАНКИНО"/>
        <filter val="7514 ЛЮБИТЕЛЬСКАЯ ОСТАНКИНСКАЯ вар п/о в/у  ОСТАНКИНО"/>
        <filter val="7564 Балыковая в/к в/у Останкино Вес  ОСТАНКИНО"/>
      </filters>
    </filterColumn>
    <filterColumn colId="2" showButton="0"/>
    <filterColumn colId="3" showButton="0"/>
    <filterColumn colId="4" showButton="0"/>
    <filterColumn colId="5" showButton="0"/>
    <filterColumn colId="6" showButton="0"/>
    <filterColumn colId="7" showButton="0"/>
  </autoFilter>
  <mergeCells count="123">
    <mergeCell ref="A1:C1"/>
    <mergeCell ref="E1:H1"/>
    <mergeCell ref="J1:K1"/>
    <mergeCell ref="A2:C2"/>
    <mergeCell ref="F2:H2"/>
    <mergeCell ref="J2:K2"/>
    <mergeCell ref="A33:L33"/>
    <mergeCell ref="A3:K3"/>
    <mergeCell ref="A4:L4"/>
    <mergeCell ref="A6:A7"/>
    <mergeCell ref="B6:B7"/>
    <mergeCell ref="C6:C7"/>
    <mergeCell ref="D6:D7"/>
    <mergeCell ref="F6:F7"/>
    <mergeCell ref="G6:G7"/>
    <mergeCell ref="H6:H7"/>
    <mergeCell ref="I6:I7"/>
    <mergeCell ref="J6:J7"/>
    <mergeCell ref="K6:L6"/>
    <mergeCell ref="A21:F21"/>
    <mergeCell ref="A24:I24"/>
    <mergeCell ref="A31:C31"/>
    <mergeCell ref="L34:M34"/>
    <mergeCell ref="A35:A36"/>
    <mergeCell ref="B35:B36"/>
    <mergeCell ref="C35:C36"/>
    <mergeCell ref="D35:D36"/>
    <mergeCell ref="F35:F36"/>
    <mergeCell ref="G35:G36"/>
    <mergeCell ref="H35:H36"/>
    <mergeCell ref="I35:I36"/>
    <mergeCell ref="J35:J36"/>
    <mergeCell ref="L35:M36"/>
    <mergeCell ref="L37:M37"/>
    <mergeCell ref="L38:M38"/>
    <mergeCell ref="L39:M39"/>
    <mergeCell ref="L40:M40"/>
    <mergeCell ref="L41:M41"/>
    <mergeCell ref="L42:M42"/>
    <mergeCell ref="L43:M43"/>
    <mergeCell ref="A44:E44"/>
    <mergeCell ref="G44:L44"/>
    <mergeCell ref="E47:F47"/>
    <mergeCell ref="G47:H47"/>
    <mergeCell ref="I47:J47"/>
    <mergeCell ref="C48:D48"/>
    <mergeCell ref="E48:F48"/>
    <mergeCell ref="G48:H48"/>
    <mergeCell ref="I48:J48"/>
    <mergeCell ref="A46:J46"/>
    <mergeCell ref="K35:K36"/>
    <mergeCell ref="B58:E58"/>
    <mergeCell ref="B59:E59"/>
    <mergeCell ref="B112:I112"/>
    <mergeCell ref="B70:E70"/>
    <mergeCell ref="B71:E71"/>
    <mergeCell ref="B56:E56"/>
    <mergeCell ref="B57:E57"/>
    <mergeCell ref="B55:I55"/>
    <mergeCell ref="C49:D49"/>
    <mergeCell ref="E49:F49"/>
    <mergeCell ref="G49:H49"/>
    <mergeCell ref="I49:J49"/>
    <mergeCell ref="C50:D50"/>
    <mergeCell ref="E50:F50"/>
    <mergeCell ref="G50:H50"/>
    <mergeCell ref="I50:J50"/>
    <mergeCell ref="C51:D51"/>
    <mergeCell ref="E51:F51"/>
    <mergeCell ref="G51:H51"/>
    <mergeCell ref="I51:J51"/>
    <mergeCell ref="A54:J54"/>
    <mergeCell ref="B73:E73"/>
    <mergeCell ref="B74:E74"/>
    <mergeCell ref="B67:E67"/>
    <mergeCell ref="B68:E68"/>
    <mergeCell ref="B69:E69"/>
    <mergeCell ref="B64:E64"/>
    <mergeCell ref="B65:E65"/>
    <mergeCell ref="B66:E66"/>
    <mergeCell ref="B61:E61"/>
    <mergeCell ref="B62:E62"/>
    <mergeCell ref="B63:E63"/>
    <mergeCell ref="B96:D96"/>
    <mergeCell ref="B97:D97"/>
    <mergeCell ref="B111:D111"/>
    <mergeCell ref="B108:D108"/>
    <mergeCell ref="B109:D109"/>
    <mergeCell ref="B110:D110"/>
    <mergeCell ref="B105:D105"/>
    <mergeCell ref="B106:D106"/>
    <mergeCell ref="B107:D107"/>
    <mergeCell ref="B102:D102"/>
    <mergeCell ref="B103:D103"/>
    <mergeCell ref="B104:D104"/>
    <mergeCell ref="B99:D99"/>
    <mergeCell ref="B100:D100"/>
    <mergeCell ref="B101:D101"/>
    <mergeCell ref="B98:D98"/>
    <mergeCell ref="B60:E60"/>
    <mergeCell ref="F60:I60"/>
    <mergeCell ref="B89:D89"/>
    <mergeCell ref="B90:D90"/>
    <mergeCell ref="B91:D91"/>
    <mergeCell ref="B92:D92"/>
    <mergeCell ref="B93:D93"/>
    <mergeCell ref="B94:D94"/>
    <mergeCell ref="B95:D95"/>
    <mergeCell ref="B87:E87"/>
    <mergeCell ref="B88:E88"/>
    <mergeCell ref="B84:E84"/>
    <mergeCell ref="B85:E85"/>
    <mergeCell ref="B86:E86"/>
    <mergeCell ref="B81:E81"/>
    <mergeCell ref="B82:E82"/>
    <mergeCell ref="B83:E83"/>
    <mergeCell ref="B78:E78"/>
    <mergeCell ref="B79:E79"/>
    <mergeCell ref="B80:E80"/>
    <mergeCell ref="B75:E75"/>
    <mergeCell ref="B76:E76"/>
    <mergeCell ref="B77:E77"/>
    <mergeCell ref="B72:E72"/>
  </mergeCells>
  <pageMargins left="0" right="0" top="0.59055118110236204" bottom="0" header="0" footer="0"/>
  <pageSetup paperSize="9" scale="5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7C8A2-A75B-4CA6-BA7C-26AD0880091D}">
  <dimension ref="A1:E26"/>
  <sheetViews>
    <sheetView tabSelected="1" zoomScale="85" zoomScaleNormal="85" workbookViewId="0">
      <selection activeCell="J19" sqref="J19"/>
    </sheetView>
  </sheetViews>
  <sheetFormatPr defaultRowHeight="15"/>
  <cols>
    <col min="1" max="1" width="63" bestFit="1" customWidth="1"/>
    <col min="3" max="3" width="15.42578125" customWidth="1"/>
    <col min="4" max="4" width="11.7109375" customWidth="1"/>
    <col min="5" max="5" width="49" style="319" customWidth="1"/>
  </cols>
  <sheetData>
    <row r="1" spans="1:5" ht="19.5" thickBot="1">
      <c r="A1" s="316" t="s">
        <v>32</v>
      </c>
      <c r="B1" s="202"/>
    </row>
    <row r="2" spans="1:5">
      <c r="A2" s="320" t="s">
        <v>34</v>
      </c>
      <c r="B2" s="161" t="s">
        <v>35</v>
      </c>
      <c r="D2" t="s">
        <v>171</v>
      </c>
    </row>
    <row r="3" spans="1:5">
      <c r="A3" s="321" t="s">
        <v>61</v>
      </c>
      <c r="B3" s="322">
        <v>4.4459999999999997</v>
      </c>
      <c r="C3" s="323" t="str">
        <f>VLOOKUP(A3,[1]Sheet!$A:$I,9,0)</f>
        <v>матрица</v>
      </c>
      <c r="D3" s="323">
        <f>VLOOKUP(A3,[2]TDSheet!$A:$N,14,0)</f>
        <v>232.51599999999999</v>
      </c>
      <c r="E3" s="324"/>
    </row>
    <row r="4" spans="1:5">
      <c r="A4" s="321" t="s">
        <v>163</v>
      </c>
      <c r="B4" s="325">
        <v>7.25</v>
      </c>
      <c r="C4" s="323" t="str">
        <f>VLOOKUP(A4,[1]Sheet!$A:$I,9,0)</f>
        <v>матрица</v>
      </c>
      <c r="D4" s="323">
        <f>VLOOKUP(A4,[2]TDSheet!$A:$N,14,0)</f>
        <v>23</v>
      </c>
      <c r="E4" s="324"/>
    </row>
    <row r="5" spans="1:5">
      <c r="A5" s="321" t="s">
        <v>85</v>
      </c>
      <c r="B5" s="326">
        <v>7</v>
      </c>
      <c r="C5" s="323" t="str">
        <f>VLOOKUP(A5,[1]Sheet!$A:$I,9,0)</f>
        <v>матрица</v>
      </c>
      <c r="D5" s="323">
        <f>VLOOKUP(A5,[2]TDSheet!$A:$N,14,0)</f>
        <v>48.5</v>
      </c>
      <c r="E5" s="324"/>
    </row>
    <row r="6" spans="1:5">
      <c r="A6" s="321" t="s">
        <v>164</v>
      </c>
      <c r="B6" s="327">
        <v>4.5</v>
      </c>
      <c r="C6" s="328" t="s">
        <v>170</v>
      </c>
      <c r="D6" s="323"/>
      <c r="E6" s="324"/>
    </row>
    <row r="7" spans="1:5">
      <c r="A7" s="321" t="s">
        <v>65</v>
      </c>
      <c r="B7" s="322">
        <v>5.9829999999999997</v>
      </c>
      <c r="C7" s="323" t="str">
        <f>VLOOKUP(A7,[1]Sheet!$A:$I,9,0)</f>
        <v>матрица</v>
      </c>
      <c r="D7" s="323">
        <f>VLOOKUP(A7,[2]TDSheet!$A:$N,14,0)</f>
        <v>22.902999999999999</v>
      </c>
      <c r="E7" s="324"/>
    </row>
    <row r="8" spans="1:5">
      <c r="A8" s="321" t="s">
        <v>68</v>
      </c>
      <c r="B8" s="327">
        <v>29.6</v>
      </c>
      <c r="C8" s="323" t="str">
        <f>VLOOKUP(A8,[1]Sheet!$A:$I,9,0)</f>
        <v>матрица</v>
      </c>
      <c r="D8" s="323">
        <f>VLOOKUP(A8,[2]TDSheet!$A:$N,14,0)</f>
        <v>85.6</v>
      </c>
      <c r="E8" s="324"/>
    </row>
    <row r="9" spans="1:5">
      <c r="A9" s="321" t="s">
        <v>50</v>
      </c>
      <c r="B9" s="327">
        <v>9.6999999999999993</v>
      </c>
      <c r="C9" s="328" t="s">
        <v>170</v>
      </c>
      <c r="D9" s="323"/>
      <c r="E9" s="324"/>
    </row>
    <row r="10" spans="1:5">
      <c r="A10" s="321" t="s">
        <v>88</v>
      </c>
      <c r="B10" s="327">
        <v>6.4</v>
      </c>
      <c r="C10" s="328" t="s">
        <v>170</v>
      </c>
      <c r="D10" s="323"/>
      <c r="E10" s="324"/>
    </row>
    <row r="11" spans="1:5">
      <c r="A11" s="321" t="s">
        <v>46</v>
      </c>
      <c r="B11" s="326">
        <v>57</v>
      </c>
      <c r="C11" s="323" t="str">
        <f>VLOOKUP(A11,[1]Sheet!$A:$I,9,0)</f>
        <v>матрица</v>
      </c>
      <c r="D11" s="323">
        <f>VLOOKUP(A11,[2]TDSheet!$A:$N,14,0)</f>
        <v>100.398</v>
      </c>
      <c r="E11" s="324"/>
    </row>
    <row r="12" spans="1:5">
      <c r="A12" s="321" t="s">
        <v>69</v>
      </c>
      <c r="B12" s="326">
        <v>12</v>
      </c>
      <c r="C12" s="323" t="str">
        <f>VLOOKUP(A12,[1]Sheet!$A:$I,9,0)</f>
        <v>матрица</v>
      </c>
      <c r="D12" s="323">
        <f>VLOOKUP(A12,[2]TDSheet!$A:$N,14,0)</f>
        <v>67.872</v>
      </c>
      <c r="E12" s="324"/>
    </row>
    <row r="13" spans="1:5">
      <c r="A13" s="321" t="s">
        <v>144</v>
      </c>
      <c r="B13" s="326">
        <v>7</v>
      </c>
      <c r="C13" s="323" t="str">
        <f>VLOOKUP(A13,[1]Sheet!$A:$I,9,0)</f>
        <v>матрица</v>
      </c>
      <c r="D13" s="323">
        <f>VLOOKUP(A13,[2]TDSheet!$A:$N,14,0)</f>
        <v>51.985999999999997</v>
      </c>
      <c r="E13" s="324"/>
    </row>
    <row r="14" spans="1:5">
      <c r="A14" s="321" t="s">
        <v>70</v>
      </c>
      <c r="B14" s="327">
        <v>50.4</v>
      </c>
      <c r="C14" s="323" t="str">
        <f>VLOOKUP(A14,[1]Sheet!$A:$I,9,0)</f>
        <v>матрица</v>
      </c>
      <c r="D14" s="323">
        <f>VLOOKUP(A14,[2]TDSheet!$A:$N,14,0)</f>
        <v>90.65</v>
      </c>
      <c r="E14" s="324"/>
    </row>
    <row r="15" spans="1:5">
      <c r="A15" s="321" t="s">
        <v>145</v>
      </c>
      <c r="B15" s="325">
        <v>20.09</v>
      </c>
      <c r="C15" s="323" t="str">
        <f>VLOOKUP(A15,[1]Sheet!$A:$I,9,0)</f>
        <v>матрица</v>
      </c>
      <c r="D15" s="323">
        <f>VLOOKUP(A15,[2]TDSheet!$A:$N,14,0)</f>
        <v>56.99</v>
      </c>
      <c r="E15" s="324"/>
    </row>
    <row r="16" spans="1:5" ht="30">
      <c r="A16" s="321" t="s">
        <v>165</v>
      </c>
      <c r="B16" s="325">
        <v>7.92</v>
      </c>
      <c r="C16" s="323" t="str">
        <f>VLOOKUP(A16,[1]Sheet!$A:$I,9,0)</f>
        <v>матрица</v>
      </c>
      <c r="D16" s="323">
        <f>VLOOKUP(A16,[2]TDSheet!$A:$N,14,0)</f>
        <v>5.28</v>
      </c>
      <c r="E16" s="324" t="s">
        <v>172</v>
      </c>
    </row>
    <row r="17" spans="1:5">
      <c r="A17" s="321" t="s">
        <v>74</v>
      </c>
      <c r="B17" s="322">
        <v>18.779</v>
      </c>
      <c r="C17" s="323" t="str">
        <f>VLOOKUP(A17,[1]Sheet!$A:$I,9,0)</f>
        <v>матрица</v>
      </c>
      <c r="D17" s="323">
        <f>VLOOKUP(A17,[2]TDSheet!$A:$N,14,0)</f>
        <v>67.947999999999993</v>
      </c>
      <c r="E17" s="324"/>
    </row>
    <row r="18" spans="1:5">
      <c r="A18" s="321" t="s">
        <v>166</v>
      </c>
      <c r="B18" s="327">
        <v>7.2</v>
      </c>
      <c r="C18" s="323" t="str">
        <f>VLOOKUP(A18,[1]Sheet!$A:$I,9,0)</f>
        <v>матрица</v>
      </c>
      <c r="D18" s="323">
        <f>VLOOKUP(A18,[2]TDSheet!$A:$N,14,0)</f>
        <v>12.06</v>
      </c>
      <c r="E18" s="324"/>
    </row>
    <row r="19" spans="1:5">
      <c r="A19" s="321" t="s">
        <v>47</v>
      </c>
      <c r="B19" s="327">
        <v>39.299999999999997</v>
      </c>
      <c r="C19" s="323" t="str">
        <f>VLOOKUP(A19,[1]Sheet!$A:$I,9,0)</f>
        <v>матрица</v>
      </c>
      <c r="D19" s="323">
        <f>VLOOKUP(A19,[2]TDSheet!$A:$N,14,0)</f>
        <v>42.344999999999999</v>
      </c>
      <c r="E19" s="324"/>
    </row>
    <row r="20" spans="1:5">
      <c r="A20" s="321" t="s">
        <v>77</v>
      </c>
      <c r="B20" s="327">
        <v>57.4</v>
      </c>
      <c r="C20" s="323" t="str">
        <f>VLOOKUP(A20,[1]Sheet!$A:$I,9,0)</f>
        <v>матрица</v>
      </c>
      <c r="D20" s="323">
        <f>VLOOKUP(A20,[2]TDSheet!$A:$N,14,0)</f>
        <v>46.9</v>
      </c>
      <c r="E20" s="329" t="s">
        <v>173</v>
      </c>
    </row>
    <row r="21" spans="1:5">
      <c r="A21" s="321" t="s">
        <v>167</v>
      </c>
      <c r="B21" s="325">
        <v>32.479999999999997</v>
      </c>
      <c r="C21" s="323" t="str">
        <f>VLOOKUP(A21,[1]Sheet!$A:$I,9,0)</f>
        <v>матрица</v>
      </c>
      <c r="D21" s="323">
        <f>VLOOKUP(A21,[2]TDSheet!$A:$N,14,0)</f>
        <v>46.48</v>
      </c>
      <c r="E21" s="324"/>
    </row>
    <row r="22" spans="1:5">
      <c r="A22" s="321" t="s">
        <v>146</v>
      </c>
      <c r="B22" s="325">
        <v>4.4800000000000004</v>
      </c>
      <c r="C22" s="328" t="str">
        <f>VLOOKUP(A22,[1]Sheet!$A:$I,9,0)</f>
        <v>не в матрице</v>
      </c>
      <c r="D22" s="323">
        <v>0</v>
      </c>
      <c r="E22" s="324"/>
    </row>
    <row r="23" spans="1:5">
      <c r="A23" s="321" t="s">
        <v>147</v>
      </c>
      <c r="B23" s="325">
        <v>11.25</v>
      </c>
      <c r="C23" s="323" t="str">
        <f>VLOOKUP(A23,[1]Sheet!$A:$I,9,0)</f>
        <v>матрица</v>
      </c>
      <c r="D23" s="323">
        <f>VLOOKUP(A23,[2]TDSheet!$A:$N,14,0)</f>
        <v>2.5499999999999998</v>
      </c>
      <c r="E23" s="329" t="s">
        <v>174</v>
      </c>
    </row>
    <row r="24" spans="1:5">
      <c r="A24" s="321" t="s">
        <v>168</v>
      </c>
      <c r="B24" s="327">
        <v>9.9</v>
      </c>
      <c r="C24" s="323" t="str">
        <f>VLOOKUP(A24,[1]Sheet!$A:$I,9,0)</f>
        <v>матрица</v>
      </c>
      <c r="D24" s="323">
        <v>0</v>
      </c>
      <c r="E24" s="329" t="s">
        <v>175</v>
      </c>
    </row>
    <row r="25" spans="1:5">
      <c r="A25" s="321" t="s">
        <v>169</v>
      </c>
      <c r="B25" s="325">
        <v>22.24</v>
      </c>
      <c r="C25" s="323" t="str">
        <f>VLOOKUP(A25,[1]Sheet!$A:$I,9,0)</f>
        <v>матрица</v>
      </c>
      <c r="D25" s="323">
        <f>VLOOKUP(A25,[2]TDSheet!$A:$N,14,0)</f>
        <v>6.7000000000000004E-2</v>
      </c>
      <c r="E25" s="329" t="s">
        <v>176</v>
      </c>
    </row>
    <row r="26" spans="1:5">
      <c r="B26" s="318">
        <f>SUM(B3:B25)</f>
        <v>432.31799999999998</v>
      </c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17.10 (3)</vt:lpstr>
      <vt:lpstr>20.10 (2)</vt:lpstr>
      <vt:lpstr>21.10 (2)</vt:lpstr>
      <vt:lpstr>22.10</vt:lpstr>
      <vt:lpstr>23.10</vt:lpstr>
      <vt:lpstr>24.10</vt:lpstr>
      <vt:lpstr>27.10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DirKCK</dc:creator>
  <cp:lastModifiedBy>Uaer4</cp:lastModifiedBy>
  <cp:lastPrinted>2026-09-21T08:49:36Z</cp:lastPrinted>
  <dcterms:created xsi:type="dcterms:W3CDTF">2015-06-05T18:19:00Z</dcterms:created>
  <dcterms:modified xsi:type="dcterms:W3CDTF">2026-10-27T09:37:17Z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8A425840EC104B7E8198849E84926F67_12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