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10,26\27,10,26 дефицит Останкино\"/>
    </mc:Choice>
  </mc:AlternateContent>
  <xr:revisionPtr revIDLastSave="0" documentId="13_ncr:1_{4654D336-E057-4A03-8824-316ECF484B1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1" i="1" l="1"/>
  <c r="D100" i="1"/>
  <c r="D99" i="1"/>
  <c r="D98" i="1"/>
  <c r="D97" i="1"/>
  <c r="D96" i="1"/>
  <c r="D95" i="1"/>
  <c r="D94" i="1"/>
  <c r="D93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C15" i="1"/>
  <c r="C16" i="1"/>
  <c r="C17" i="1"/>
  <c r="C19" i="1"/>
  <c r="C20" i="1"/>
  <c r="C21" i="1"/>
  <c r="C22" i="1"/>
  <c r="C23" i="1"/>
  <c r="C24" i="1"/>
  <c r="C25" i="1"/>
  <c r="C26" i="1"/>
  <c r="C27" i="1"/>
  <c r="C28" i="1"/>
  <c r="C29" i="1"/>
  <c r="C30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4" i="1"/>
</calcChain>
</file>

<file path=xl/sharedStrings.xml><?xml version="1.0" encoding="utf-8"?>
<sst xmlns="http://schemas.openxmlformats.org/spreadsheetml/2006/main" count="139" uniqueCount="81">
  <si>
    <t>Параметры:</t>
  </si>
  <si>
    <t>Отбор:</t>
  </si>
  <si>
    <t>Документ.Склад.Подразделение</t>
  </si>
  <si>
    <t>Недогруз вес</t>
  </si>
  <si>
    <t>Номенклатура</t>
  </si>
  <si>
    <t>Партнер</t>
  </si>
  <si>
    <t>4063 МЯСНАЯ Папа может вар п/о_Л   ОСТАНКИНО</t>
  </si>
  <si>
    <t>Загоря Н.И. ИП (пгт.Розовка, ул.Ленина, д.112 а, маг.Шайхан)</t>
  </si>
  <si>
    <t>6303 Мясные Папа может сос п/о мгс 1,5*3  Останкино</t>
  </si>
  <si>
    <t>6475 Сосиски Папа может 400г С сыром  ОСТАНКИНО</t>
  </si>
  <si>
    <t>7232 БОЯNСКАЯ ПМ п/к в/у 0,28кг 8шт_209к  Останкино</t>
  </si>
  <si>
    <t>7255 МЯСНЫЕ С ГОВЯД.ПМ сос п/о мгс 0.4кг 6шт.  ОСТАНКИНО</t>
  </si>
  <si>
    <t>7485 РИЕТ МЯСНОЙ С ГРИБАМИ ПМ п/о 1/150  ОСТАНКИНО</t>
  </si>
  <si>
    <t>ОП Бердянск</t>
  </si>
  <si>
    <t>Ганева Е.В. ИП (г.Бердянск, ул.Центральная, д.49)</t>
  </si>
  <si>
    <t>341 (7) ИП Романенко А.В. Бердянский р-н г.Приморск ул.Шевченко 130 м-н"Овощная Лавка"\+79900246069</t>
  </si>
  <si>
    <t>Б 719 (7) ИП Степаненко г.Приморск ул. Пушкина 63 маг.Анастасия</t>
  </si>
  <si>
    <t>Баранов А.А. ИП (с.Конские Раздоры, ул.Мичурина, д.13)</t>
  </si>
  <si>
    <t>Тимец А.И. ИП (ул.Морозова, д.3А)</t>
  </si>
  <si>
    <t>МЯСО МАРКЕТ ООО (ул.Морская(Мазина), д.17/56, маг.Зеркальный)</t>
  </si>
  <si>
    <t>466 (25)ИП Шевченко А.С г.Пологи ул.Ломоносова 30 маг.Визит тел+79900583994</t>
  </si>
  <si>
    <t>Годин И.А. ИП (ул.Потийская, д.3А)</t>
  </si>
  <si>
    <t>265(22) ИП Дячук,Е,С, г.Бердянск ул.Военный городок 10 А "Городок"</t>
  </si>
  <si>
    <t>95 (11)ИП Прокопов г.Бердянск ул.Пролетарская 206А Меркурий</t>
  </si>
  <si>
    <t>Баришевский Г.И. ИП (ул.Парковая, д.85)</t>
  </si>
  <si>
    <t>6168 Блинчики с мясом пл. 1/350 зам. ОСТАНКИНО</t>
  </si>
  <si>
    <t>101(13) ИП Дудуналова ,г.Бердянск,ул.Победы 43,маг.Катрин,+380666288992</t>
  </si>
  <si>
    <t>Б 338 (7) ИП Мельникова  г.Приморск ул.Вишневая маг Вишневый \ 0992969463</t>
  </si>
  <si>
    <t>749 (25) ИП Перебейнос А.А г.Пологи ул.Горького 15А маг.Вкусно Сытно +79900709468</t>
  </si>
  <si>
    <t>1721 (13) ИП Встреча г.Бердянск ул.Приморская 2 кафе Встреча тел+79900257217</t>
  </si>
  <si>
    <t>301(11)ИП Шаповалов Т.М. г.Бердянск. ул.Петровский Путь 63 А  +79900240972 Денис</t>
  </si>
  <si>
    <t>Загубин М.Г. ИП (г.Бердянск, ул.Дачная, д.72, маг.Чайка)</t>
  </si>
  <si>
    <t>М-ТРЕЙД ООО (ул.Центральная, д.29, маг.Грация)</t>
  </si>
  <si>
    <t>Шевелева Н.Л. ИП (ул.Греческая, д.86)</t>
  </si>
  <si>
    <t>Шепель В.Я. ИП (г.Пологи, ул.Восточная, д.15 А)</t>
  </si>
  <si>
    <t>175(13) ИП Яцук Я.П  г Бердянск ул Центральная 3 " Карамелька" \ +79900280940 Наталья</t>
  </si>
  <si>
    <t>263(11) ИП Ткаченко И.К.Запорожская обл.,г.Бердянск, ул.Ленина,д. 2 маг."Зоря"</t>
  </si>
  <si>
    <t>295 (13)ИП Черемисина Л.А.,г.Бердянск,ул.Карла Маркса 11/12,(бывший бар Артём)+79900233051</t>
  </si>
  <si>
    <t>493 (18) ИП Николаенко О.А г.Пологи ул. Магистральная 125 (б) маг.Лидер тел +79900890322</t>
  </si>
  <si>
    <t>63 (12)ИП Дворникова Е.П г Бердянск ул Кирова 60 " Фирменные колбасы" \ 79900085646 Елена</t>
  </si>
  <si>
    <t>Б 357 (7) ИП Жилякова г Приморск ул Крылова 78 " Любимчик" \ 79900458136</t>
  </si>
  <si>
    <t>139(12) ИП Пенкин О.В,г.Бердянск,ул.Софиевская 4,маг.Чайка,+79900449809</t>
  </si>
  <si>
    <t>643 (25) ИП Таиров г. Пологи ул. Горького 15 маг. Петрикивка  тел +79900236265 (до 16,00)</t>
  </si>
  <si>
    <t>Б 326 (7) ИП Быблин Приморск ул.Навицкого 52 маг Покупайка \ 79900251156</t>
  </si>
  <si>
    <t>Сычёва Э.А. ИП (г.Приморск, ул.Морская, д.60)</t>
  </si>
  <si>
    <t>7231 КЛАССИЧЕСКАЯ ПМ вар п/о 0,3кг 8 шт_209к  Останкино</t>
  </si>
  <si>
    <t>60(11)ИП Даниленко О.В. г Бердянск ул Труда 34 А " Санта Мария"\ 79900291582 Татьяна</t>
  </si>
  <si>
    <t>Демеха Е.Н. ИП (г.Бердянск, ул.Пролетарская, д.94, маг.Сосед)</t>
  </si>
  <si>
    <t>Перкова А.И. ИП (г.Бердянск, пр.Западный, д.4, 9 линия, синий ролет)</t>
  </si>
  <si>
    <t>ТАНДЕМ ЮГ ООО (ул.Химиков, д.6)</t>
  </si>
  <si>
    <t>Туз Л.А. ИП (г.Бердянск, б-р Гайдара, д.10В)</t>
  </si>
  <si>
    <t>324 (7) ИП Курцев О.Н г.Приморск  ул.Пушкина 70 маг. Рыбалка) тел 79900245350</t>
  </si>
  <si>
    <t>75(12)ИП Грибова Е.Т г Бердянск ул Орджоникидзе 95А "  Азовец" \ 79900274310 Елена</t>
  </si>
  <si>
    <t>Б 28 (12)ИП Братенькова Л.В г.Бердянск ул.Европейская 54 маг.Зирочка 1\ 79900575605 Виталий</t>
  </si>
  <si>
    <t>Виноградов Г.Н. ИП (ул.Северная, д.1 Г)</t>
  </si>
  <si>
    <t>Маркова О.С. ИП (ул. Морская, д. 54 м-н "Калина")</t>
  </si>
  <si>
    <t>Орлова Ж.Н. ИП (ул.Димитрова/Софиевская, д.99, маг.Копейка)</t>
  </si>
  <si>
    <t>Попий С.Г. ИП (ул.Центральная, д.21)</t>
  </si>
  <si>
    <t>173(11) ИП Масло Ю.Л.,г.Бердянск,ул. 12 Декабря 4б,маг. 555(район автовокзал),+7990</t>
  </si>
  <si>
    <t>1967 (12) ИП Мамонтова И.Ф.Запорожская обл.,г.Бердянск,ул.Северная,15 Б ,пав№67 маг."Водолей"</t>
  </si>
  <si>
    <t>216(11) ИП Перелыгина С.Л.,г.Бердянск,проспект Восточный 139,маг.Фрегат, +7990</t>
  </si>
  <si>
    <t>254(12) ИП Суббота г Бердянск ул Кирова 52в\ +79900237965 Алла</t>
  </si>
  <si>
    <t>346 (12) ИП Ткаченко  г Бердянск ул Гайдара 7</t>
  </si>
  <si>
    <t>713 (12) ИП Доронин Д.А.г.Бердянск ул.Пионерская 57 А маг.Лев +79900234635</t>
  </si>
  <si>
    <t>96 (11) ИП Прокопов И.Н.г.Бердянск ул.Юбилейная 27А маг.Меркурий</t>
  </si>
  <si>
    <t>2066 (18) Домбровская Л.И. Запорожская обл.Пологовский р-н,с .Пологи ул.Сигнальна 55.маг" Лидер"</t>
  </si>
  <si>
    <t>7490 СОЧНЫЙ ГРИЛЬ сос ц/о мгс 0.41кг_Даблпак  ОСТАНКИНО</t>
  </si>
  <si>
    <t>Сыр полутвердый "Российский" с массовой долей жира 50%  Останкино</t>
  </si>
  <si>
    <t>не в матрице</t>
  </si>
  <si>
    <t>139кг в уценку (21,10,26) / новая отгрузка данного скю с завода 27,10,26</t>
  </si>
  <si>
    <t>рост продаж в 5,5 раза</t>
  </si>
  <si>
    <t>рост продаж в 1,8 раза</t>
  </si>
  <si>
    <t>рост продаж в 2,7 раза</t>
  </si>
  <si>
    <t>рост продаж в 2,2 раза</t>
  </si>
  <si>
    <t>рост продаж в 5,3 раза</t>
  </si>
  <si>
    <t>рост продаж в 6,8 раза</t>
  </si>
  <si>
    <t>матрица</t>
  </si>
  <si>
    <t>рост продаж в 5,2 раза</t>
  </si>
  <si>
    <t>дубль</t>
  </si>
  <si>
    <t>3323 Сыр Российский цилиндр 1/4 пленка ЮКМП м.д.ж. 50%  ОСТАНКИНО - остаток 4,8кг (по нему рост продаж в 2,7 раза)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</si>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</sst>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085"/>
      </left>
      <right/>
      <top style="thin">
        <color rgb="FFCCC085"/>
      </top>
      <bottom/>
      <diagonal/>
    </border>
    <border>
      <left style="thin">
        <color rgb="FFCCC085"/>
      </left>
      <right/>
      <top/>
      <bottom style="thin">
        <color rgb="FFCCC085"/>
      </bottom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4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5" xfId="0" applyBorder="1" applyAlignment="1">
      <alignment horizontal="left" vertical="top" wrapText="1" indent="4"/>
    </xf>
    <xf numFmtId="0" fontId="0" fillId="0" borderId="7" xfId="0" applyBorder="1" applyAlignment="1">
      <alignment horizontal="left" vertical="top" wrapText="1" indent="4"/>
    </xf>
    <xf numFmtId="2" fontId="0" fillId="0" borderId="4" xfId="0" applyNumberFormat="1" applyBorder="1" applyAlignment="1">
      <alignment horizontal="right" vertical="top"/>
    </xf>
    <xf numFmtId="0" fontId="0" fillId="0" borderId="8" xfId="0" applyBorder="1" applyAlignment="1">
      <alignment horizontal="left" vertical="top" wrapText="1" indent="4"/>
    </xf>
    <xf numFmtId="165" fontId="0" fillId="0" borderId="3" xfId="0" applyNumberFormat="1" applyBorder="1" applyAlignment="1">
      <alignment horizontal="right" vertical="top"/>
    </xf>
    <xf numFmtId="0" fontId="2" fillId="4" borderId="6" xfId="0" applyFont="1" applyFill="1" applyBorder="1" applyAlignment="1">
      <alignment horizontal="left" vertical="top" wrapText="1" indent="2"/>
    </xf>
    <xf numFmtId="165" fontId="2" fillId="4" borderId="6" xfId="0" applyNumberFormat="1" applyFont="1" applyFill="1" applyBorder="1" applyAlignment="1">
      <alignment horizontal="right" vertical="top"/>
    </xf>
    <xf numFmtId="0" fontId="0" fillId="0" borderId="6" xfId="0" applyBorder="1"/>
    <xf numFmtId="0" fontId="0" fillId="0" borderId="6" xfId="0" applyBorder="1" applyAlignment="1">
      <alignment horizontal="left" vertical="top" wrapText="1" indent="4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left"/>
    </xf>
    <xf numFmtId="2" fontId="2" fillId="4" borderId="6" xfId="0" applyNumberFormat="1" applyFont="1" applyFill="1" applyBorder="1" applyAlignment="1">
      <alignment horizontal="right" vertical="top"/>
    </xf>
    <xf numFmtId="0" fontId="4" fillId="0" borderId="6" xfId="0" applyFont="1" applyBorder="1"/>
    <xf numFmtId="2" fontId="0" fillId="0" borderId="6" xfId="0" applyNumberFormat="1" applyBorder="1" applyAlignment="1">
      <alignment horizontal="right" vertical="top"/>
    </xf>
    <xf numFmtId="164" fontId="2" fillId="4" borderId="6" xfId="0" applyNumberFormat="1" applyFont="1" applyFill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" fontId="2" fillId="4" borderId="6" xfId="0" applyNumberFormat="1" applyFont="1" applyFill="1" applyBorder="1" applyAlignment="1">
      <alignment horizontal="right" vertical="top"/>
    </xf>
    <xf numFmtId="0" fontId="0" fillId="5" borderId="6" xfId="0" applyFill="1" applyBorder="1"/>
    <xf numFmtId="0" fontId="4" fillId="4" borderId="6" xfId="0" applyFont="1" applyFill="1" applyBorder="1" applyAlignment="1">
      <alignment horizontal="left" vertical="top" wrapText="1" indent="2"/>
    </xf>
    <xf numFmtId="0" fontId="4" fillId="5" borderId="6" xfId="0" applyFont="1" applyFill="1" applyBorder="1"/>
    <xf numFmtId="0" fontId="4" fillId="0" borderId="6" xfId="0" applyFont="1" applyBorder="1" applyAlignment="1">
      <alignment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</cellXfs>
  <cellStyles count="2">
    <cellStyle name="Arial10px" xfId="1" xr:uid="{5E335E8B-6A06-41E7-B6B8-0233C0C9CE14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&#1076;&#1074;%2026,10,26%20&#1073;&#1088;&#1088;&#1089;&#1095;%20&#1086;&#1089;&#1090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&#1041;&#1077;&#1088;&#1076;&#1103;&#1085;&#1089;&#1082;/&#1076;&#1074;%2026,10,26%20&#1073;&#1088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5573.8130000000001</v>
          </cell>
          <cell r="F5">
            <v>10767.971999999998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42.564</v>
          </cell>
          <cell r="E6">
            <v>4.8949999999999996</v>
          </cell>
          <cell r="F6">
            <v>37.668999999999997</v>
          </cell>
          <cell r="G6">
            <v>1</v>
          </cell>
          <cell r="H6">
            <v>120</v>
          </cell>
          <cell r="I6" t="str">
            <v>матрица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229</v>
          </cell>
          <cell r="E7">
            <v>50</v>
          </cell>
          <cell r="F7">
            <v>179</v>
          </cell>
          <cell r="G7">
            <v>0.4</v>
          </cell>
          <cell r="H7">
            <v>60</v>
          </cell>
          <cell r="I7" t="str">
            <v>матрица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17.710999999999999</v>
          </cell>
          <cell r="D8">
            <v>0.499</v>
          </cell>
          <cell r="E8">
            <v>4.2030000000000003</v>
          </cell>
          <cell r="F8">
            <v>7.9009999999999998</v>
          </cell>
          <cell r="G8">
            <v>1</v>
          </cell>
          <cell r="H8">
            <v>120</v>
          </cell>
          <cell r="I8" t="str">
            <v>матрица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190</v>
          </cell>
          <cell r="D9">
            <v>2</v>
          </cell>
          <cell r="E9">
            <v>91</v>
          </cell>
          <cell r="F9">
            <v>98</v>
          </cell>
          <cell r="G9">
            <v>0.25</v>
          </cell>
          <cell r="H9">
            <v>120</v>
          </cell>
          <cell r="I9" t="str">
            <v>матрица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138.58500000000001</v>
          </cell>
          <cell r="D10">
            <v>14.872</v>
          </cell>
          <cell r="E10">
            <v>38.798000000000002</v>
          </cell>
          <cell r="F10">
            <v>-30.088999999999999</v>
          </cell>
          <cell r="G10">
            <v>1</v>
          </cell>
          <cell r="H10">
            <v>60</v>
          </cell>
          <cell r="I10" t="str">
            <v>матрица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11.076000000000001</v>
          </cell>
          <cell r="D11">
            <v>0.50600000000000001</v>
          </cell>
          <cell r="E11">
            <v>11.076000000000001</v>
          </cell>
          <cell r="G11">
            <v>1</v>
          </cell>
          <cell r="H11">
            <v>120</v>
          </cell>
          <cell r="I11" t="str">
            <v>матрица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71.686999999999998</v>
          </cell>
          <cell r="E12">
            <v>3.69</v>
          </cell>
          <cell r="F12">
            <v>67.677000000000007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140.96199999999999</v>
          </cell>
          <cell r="D13">
            <v>5.3920000000000003</v>
          </cell>
          <cell r="E13">
            <v>34.904000000000003</v>
          </cell>
          <cell r="F13">
            <v>101.908</v>
          </cell>
          <cell r="G13">
            <v>1</v>
          </cell>
          <cell r="H13">
            <v>60</v>
          </cell>
          <cell r="I13" t="str">
            <v>матрица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174</v>
          </cell>
          <cell r="E14">
            <v>24</v>
          </cell>
          <cell r="F14">
            <v>150</v>
          </cell>
          <cell r="G14">
            <v>0.25</v>
          </cell>
          <cell r="H14">
            <v>120</v>
          </cell>
          <cell r="I14" t="str">
            <v>матрица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131.95099999999999</v>
          </cell>
          <cell r="E15">
            <v>5.4109999999999996</v>
          </cell>
          <cell r="F15">
            <v>126.54</v>
          </cell>
          <cell r="G15">
            <v>1</v>
          </cell>
          <cell r="H15">
            <v>60</v>
          </cell>
          <cell r="I15" t="str">
            <v>матрица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77</v>
          </cell>
          <cell r="D16">
            <v>40</v>
          </cell>
          <cell r="E16">
            <v>78</v>
          </cell>
          <cell r="F16">
            <v>20</v>
          </cell>
          <cell r="G16">
            <v>0.25</v>
          </cell>
          <cell r="H16">
            <v>120</v>
          </cell>
          <cell r="I16" t="str">
            <v>матрица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222</v>
          </cell>
          <cell r="D17">
            <v>1</v>
          </cell>
          <cell r="E17">
            <v>63</v>
          </cell>
          <cell r="F17">
            <v>158</v>
          </cell>
          <cell r="G17">
            <v>0.4</v>
          </cell>
          <cell r="H17">
            <v>60</v>
          </cell>
          <cell r="I17" t="str">
            <v>матрица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316.149</v>
          </cell>
          <cell r="E18">
            <v>125.66</v>
          </cell>
          <cell r="F18">
            <v>187.126</v>
          </cell>
          <cell r="G18">
            <v>1</v>
          </cell>
          <cell r="H18">
            <v>45</v>
          </cell>
          <cell r="I18" t="str">
            <v>матрица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3.016</v>
          </cell>
          <cell r="D19">
            <v>0.504</v>
          </cell>
          <cell r="E19">
            <v>2.512</v>
          </cell>
          <cell r="F19">
            <v>4.0000000000000001E-3</v>
          </cell>
          <cell r="G19">
            <v>0</v>
          </cell>
          <cell r="H19">
            <v>120</v>
          </cell>
          <cell r="I19" t="str">
            <v>вывод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D20">
            <v>216</v>
          </cell>
          <cell r="E20">
            <v>34</v>
          </cell>
          <cell r="F20">
            <v>180</v>
          </cell>
          <cell r="G20">
            <v>0.4</v>
          </cell>
          <cell r="H20">
            <v>45</v>
          </cell>
          <cell r="I20" t="str">
            <v>матрица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108.11199999999999</v>
          </cell>
          <cell r="D21">
            <v>28.48</v>
          </cell>
          <cell r="E21">
            <v>46.255000000000003</v>
          </cell>
          <cell r="F21">
            <v>90.337000000000003</v>
          </cell>
          <cell r="G21">
            <v>1</v>
          </cell>
          <cell r="H21">
            <v>60</v>
          </cell>
          <cell r="I21" t="str">
            <v>матрица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</v>
          </cell>
          <cell r="D22">
            <v>448</v>
          </cell>
          <cell r="E22">
            <v>117</v>
          </cell>
          <cell r="F22">
            <v>329</v>
          </cell>
          <cell r="G22">
            <v>0.22</v>
          </cell>
          <cell r="H22">
            <v>120</v>
          </cell>
          <cell r="I22" t="str">
            <v>матрица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45.942</v>
          </cell>
          <cell r="D23">
            <v>9.8460000000000001</v>
          </cell>
          <cell r="E23">
            <v>37.268000000000001</v>
          </cell>
          <cell r="F23">
            <v>17.353999999999999</v>
          </cell>
          <cell r="G23">
            <v>1</v>
          </cell>
          <cell r="H23">
            <v>40</v>
          </cell>
          <cell r="I23" t="str">
            <v>матрица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40.893999999999998</v>
          </cell>
          <cell r="E24">
            <v>17.556000000000001</v>
          </cell>
          <cell r="F24">
            <v>22.007999999999999</v>
          </cell>
          <cell r="G24">
            <v>1</v>
          </cell>
          <cell r="H24">
            <v>60</v>
          </cell>
          <cell r="I24" t="str">
            <v>матрица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81</v>
          </cell>
          <cell r="D25">
            <v>281</v>
          </cell>
          <cell r="E25">
            <v>72</v>
          </cell>
          <cell r="F25">
            <v>289</v>
          </cell>
          <cell r="G25">
            <v>0.09</v>
          </cell>
          <cell r="H25">
            <v>60</v>
          </cell>
          <cell r="I25" t="str">
            <v>матрица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244</v>
          </cell>
          <cell r="E26">
            <v>6</v>
          </cell>
          <cell r="F26">
            <v>237</v>
          </cell>
          <cell r="G26">
            <v>0.09</v>
          </cell>
          <cell r="H26">
            <v>45</v>
          </cell>
          <cell r="I26" t="str">
            <v>матрица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14</v>
          </cell>
          <cell r="E27">
            <v>14</v>
          </cell>
          <cell r="G27">
            <v>0.15</v>
          </cell>
          <cell r="H27">
            <v>45</v>
          </cell>
          <cell r="I27" t="str">
            <v>матрица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382.726</v>
          </cell>
          <cell r="D28">
            <v>33.755000000000003</v>
          </cell>
          <cell r="E28">
            <v>285.68200000000002</v>
          </cell>
          <cell r="F28">
            <v>92.320999999999998</v>
          </cell>
          <cell r="G28">
            <v>1</v>
          </cell>
          <cell r="H28">
            <v>45</v>
          </cell>
          <cell r="I28" t="str">
            <v>матрица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165</v>
          </cell>
          <cell r="D29">
            <v>1</v>
          </cell>
          <cell r="E29">
            <v>61</v>
          </cell>
          <cell r="F29">
            <v>103</v>
          </cell>
          <cell r="G29">
            <v>0.4</v>
          </cell>
          <cell r="H29">
            <v>60</v>
          </cell>
          <cell r="I29" t="str">
            <v>матрица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168</v>
          </cell>
          <cell r="D30">
            <v>219</v>
          </cell>
          <cell r="E30">
            <v>123</v>
          </cell>
          <cell r="F30">
            <v>260</v>
          </cell>
          <cell r="G30">
            <v>0.4</v>
          </cell>
          <cell r="H30">
            <v>60</v>
          </cell>
          <cell r="I30" t="str">
            <v>матрица</v>
          </cell>
        </row>
        <row r="31">
          <cell r="A31" t="str">
            <v>6364 СЕРВЕЛАТ ЗЕРНИСТЫЙ ПМ в/к в/у 0.35кг  ОСТАНКИНО</v>
          </cell>
          <cell r="B31" t="str">
            <v>шт</v>
          </cell>
          <cell r="C31">
            <v>-1</v>
          </cell>
          <cell r="F31">
            <v>-1</v>
          </cell>
          <cell r="G31">
            <v>0</v>
          </cell>
          <cell r="I31" t="str">
            <v>не в матрице</v>
          </cell>
        </row>
        <row r="32">
          <cell r="A32" t="str">
            <v>6392 ФИЛЕЙНАЯ Папа может вар п/о 0,4кг  ОСТАНКИНО</v>
          </cell>
          <cell r="B32" t="str">
            <v>шт</v>
          </cell>
          <cell r="C32">
            <v>182</v>
          </cell>
          <cell r="D32">
            <v>265</v>
          </cell>
          <cell r="E32">
            <v>124</v>
          </cell>
          <cell r="F32">
            <v>320</v>
          </cell>
          <cell r="G32">
            <v>0.4</v>
          </cell>
          <cell r="H32">
            <v>60</v>
          </cell>
          <cell r="I32" t="str">
            <v>матрица</v>
          </cell>
        </row>
        <row r="33">
          <cell r="A33" t="str">
            <v>6495 ВЕТЧ.МРАМОРНАЯ в/у срез 0,3кг 6шт_45с  Останкино</v>
          </cell>
          <cell r="B33" t="str">
            <v>шт</v>
          </cell>
          <cell r="C33">
            <v>-1</v>
          </cell>
          <cell r="D33">
            <v>1</v>
          </cell>
          <cell r="E33">
            <v>-1</v>
          </cell>
          <cell r="G33">
            <v>0</v>
          </cell>
          <cell r="H33">
            <v>45</v>
          </cell>
          <cell r="I33" t="str">
            <v>вывод</v>
          </cell>
        </row>
        <row r="34">
          <cell r="A34" t="str">
            <v>6498 МОЛОЧНАЯ Папа может вар п/о  ОСТАНКИНО</v>
          </cell>
          <cell r="B34" t="str">
            <v>кг</v>
          </cell>
          <cell r="C34">
            <v>73.058000000000007</v>
          </cell>
          <cell r="D34">
            <v>3.9830000000000001</v>
          </cell>
          <cell r="E34">
            <v>16.971</v>
          </cell>
          <cell r="F34">
            <v>56.087000000000003</v>
          </cell>
          <cell r="G34">
            <v>1</v>
          </cell>
          <cell r="H34">
            <v>60</v>
          </cell>
          <cell r="I34" t="str">
            <v>матрица</v>
          </cell>
        </row>
        <row r="35">
          <cell r="A35" t="str">
            <v>6527 ШПИКАЧКИ СОЧНЫЕ ПМ сар б/о мгс 1*3 45с ОСТАНКИНО</v>
          </cell>
          <cell r="B35" t="str">
            <v>кг</v>
          </cell>
          <cell r="C35">
            <v>115.905</v>
          </cell>
          <cell r="E35">
            <v>26.382999999999999</v>
          </cell>
          <cell r="F35">
            <v>84.52</v>
          </cell>
          <cell r="G35">
            <v>1</v>
          </cell>
          <cell r="H35">
            <v>45</v>
          </cell>
          <cell r="I35" t="str">
            <v>матрица</v>
          </cell>
        </row>
        <row r="36">
          <cell r="A36" t="str">
            <v>6550 МЯСНЫЕ Папа может сар б/о мгс 1*3 О 45с  Останкино</v>
          </cell>
          <cell r="B36" t="str">
            <v>кг</v>
          </cell>
          <cell r="C36">
            <v>228.852</v>
          </cell>
          <cell r="E36">
            <v>37.463999999999999</v>
          </cell>
          <cell r="F36">
            <v>-41.555999999999997</v>
          </cell>
          <cell r="G36">
            <v>1</v>
          </cell>
          <cell r="H36">
            <v>45</v>
          </cell>
          <cell r="I36" t="str">
            <v>матрица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43.436</v>
          </cell>
          <cell r="D37">
            <v>12.481</v>
          </cell>
          <cell r="E37">
            <v>27.02</v>
          </cell>
          <cell r="F37">
            <v>26.498999999999999</v>
          </cell>
          <cell r="G37">
            <v>1</v>
          </cell>
          <cell r="H37">
            <v>45</v>
          </cell>
          <cell r="I37" t="str">
            <v>матрица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291</v>
          </cell>
          <cell r="D38">
            <v>48</v>
          </cell>
          <cell r="E38">
            <v>204</v>
          </cell>
          <cell r="F38">
            <v>129</v>
          </cell>
          <cell r="G38">
            <v>0.3</v>
          </cell>
          <cell r="H38">
            <v>45</v>
          </cell>
          <cell r="I38" t="str">
            <v>матрица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C39">
            <v>164.86</v>
          </cell>
          <cell r="D39">
            <v>1.1060000000000001</v>
          </cell>
          <cell r="E39">
            <v>56.774000000000001</v>
          </cell>
          <cell r="F39">
            <v>105.824</v>
          </cell>
          <cell r="G39">
            <v>1</v>
          </cell>
          <cell r="H39">
            <v>30</v>
          </cell>
          <cell r="I39" t="str">
            <v>матрица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54.067999999999998</v>
          </cell>
          <cell r="E40">
            <v>19.309000000000001</v>
          </cell>
          <cell r="F40">
            <v>33.988999999999997</v>
          </cell>
          <cell r="G40">
            <v>1</v>
          </cell>
          <cell r="H40">
            <v>45</v>
          </cell>
          <cell r="I40" t="str">
            <v>матрица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26</v>
          </cell>
          <cell r="D41">
            <v>696</v>
          </cell>
          <cell r="E41">
            <v>88</v>
          </cell>
          <cell r="F41">
            <v>628</v>
          </cell>
          <cell r="G41">
            <v>0.35</v>
          </cell>
          <cell r="H41">
            <v>45</v>
          </cell>
          <cell r="I41" t="str">
            <v>матрица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1</v>
          </cell>
          <cell r="D42">
            <v>3</v>
          </cell>
          <cell r="E42">
            <v>4</v>
          </cell>
          <cell r="G42">
            <v>0</v>
          </cell>
          <cell r="H42">
            <v>45</v>
          </cell>
          <cell r="I42" t="str">
            <v>вывод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87</v>
          </cell>
          <cell r="D43">
            <v>131</v>
          </cell>
          <cell r="E43">
            <v>95</v>
          </cell>
          <cell r="F43">
            <v>119</v>
          </cell>
          <cell r="G43">
            <v>0.41</v>
          </cell>
          <cell r="H43">
            <v>45</v>
          </cell>
          <cell r="I43" t="str">
            <v>матрица</v>
          </cell>
        </row>
        <row r="44">
          <cell r="A44" t="str">
            <v>6759 МОЛОЧНЫЕ ГОСТ сос ц/о мгс 0,4кг 7 шт  Останкино</v>
          </cell>
          <cell r="B44" t="str">
            <v>шт</v>
          </cell>
          <cell r="D44">
            <v>49</v>
          </cell>
          <cell r="F44">
            <v>49</v>
          </cell>
          <cell r="G44">
            <v>0</v>
          </cell>
          <cell r="I44" t="str">
            <v>не в матрице</v>
          </cell>
        </row>
        <row r="45">
          <cell r="A45" t="str">
            <v>6761 МОЛОЧНЫЕ ГОСТ сос ц/о мгс 1*4  Останкино</v>
          </cell>
          <cell r="B45" t="str">
            <v>кг</v>
          </cell>
          <cell r="C45">
            <v>16.449000000000002</v>
          </cell>
          <cell r="F45">
            <v>16.449000000000002</v>
          </cell>
          <cell r="G45">
            <v>0</v>
          </cell>
          <cell r="H45">
            <v>30</v>
          </cell>
          <cell r="I45" t="str">
            <v>не в матрице</v>
          </cell>
        </row>
        <row r="46">
          <cell r="A46" t="str">
            <v>6764 СЛИИВОЧНЫЕ сос ц/о мгс 1*4  Останкино</v>
          </cell>
          <cell r="B46" t="str">
            <v>кг</v>
          </cell>
          <cell r="C46">
            <v>48.963999999999999</v>
          </cell>
          <cell r="E46">
            <v>11.246</v>
          </cell>
          <cell r="F46">
            <v>37.718000000000004</v>
          </cell>
          <cell r="G46">
            <v>0</v>
          </cell>
          <cell r="I46" t="str">
            <v>РАЗОВО</v>
          </cell>
        </row>
        <row r="47">
          <cell r="A47" t="str">
            <v>6765 РУБЛЕНЫЕ сос ц/о мгс 0,36кг 6шт  Останкино</v>
          </cell>
          <cell r="B47" t="str">
            <v>шт</v>
          </cell>
          <cell r="C47">
            <v>46</v>
          </cell>
          <cell r="E47">
            <v>24</v>
          </cell>
          <cell r="F47">
            <v>21</v>
          </cell>
          <cell r="G47">
            <v>0.36</v>
          </cell>
          <cell r="H47">
            <v>45</v>
          </cell>
          <cell r="I47" t="str">
            <v>ротация на 7520</v>
          </cell>
        </row>
        <row r="48">
          <cell r="A48" t="str">
            <v>6787 СЕРВЕЛАТ КРЕМЛЕВСКИЙ в/к в/у 0,33кг 8шт  Останкино</v>
          </cell>
          <cell r="B48" t="str">
            <v>шт</v>
          </cell>
          <cell r="C48">
            <v>100</v>
          </cell>
          <cell r="D48">
            <v>84</v>
          </cell>
          <cell r="E48">
            <v>62</v>
          </cell>
          <cell r="F48">
            <v>105</v>
          </cell>
          <cell r="G48">
            <v>0.33</v>
          </cell>
          <cell r="H48">
            <v>45</v>
          </cell>
          <cell r="I48" t="str">
            <v>матрица</v>
          </cell>
        </row>
        <row r="49">
          <cell r="A49" t="str">
            <v>6797 С ИНДЕЙКОЙ Папа может вар п/о 0,4кг 8шт. ОСТАНКИНО</v>
          </cell>
          <cell r="B49" t="str">
            <v>шт</v>
          </cell>
          <cell r="C49">
            <v>75</v>
          </cell>
          <cell r="D49">
            <v>177</v>
          </cell>
          <cell r="E49">
            <v>71</v>
          </cell>
          <cell r="F49">
            <v>179</v>
          </cell>
          <cell r="G49">
            <v>0.4</v>
          </cell>
          <cell r="H49">
            <v>60</v>
          </cell>
          <cell r="I49" t="str">
            <v>матрица</v>
          </cell>
        </row>
        <row r="50">
          <cell r="A50" t="str">
            <v>6807 СЕРВЕЛАТ ЕВРОПЕЙСКИЙ в/к в/у 0,33кг 8шт  Останкино</v>
          </cell>
          <cell r="B50" t="str">
            <v>шт</v>
          </cell>
          <cell r="D50">
            <v>16</v>
          </cell>
          <cell r="E50">
            <v>3</v>
          </cell>
          <cell r="F50">
            <v>13</v>
          </cell>
          <cell r="G50">
            <v>0.33</v>
          </cell>
          <cell r="H50">
            <v>45</v>
          </cell>
          <cell r="I50" t="str">
            <v>матрица</v>
          </cell>
        </row>
        <row r="51">
          <cell r="A51" t="str">
            <v>6829  МОЛОЧНЫЕ КЛАССИЧЕСКИЕ сос п/о мгс 2*4 С  Останккино</v>
          </cell>
          <cell r="B51" t="str">
            <v>кг</v>
          </cell>
          <cell r="C51">
            <v>136.96799999999999</v>
          </cell>
          <cell r="D51">
            <v>236.30500000000001</v>
          </cell>
          <cell r="E51">
            <v>117.117</v>
          </cell>
          <cell r="F51">
            <v>127.364</v>
          </cell>
          <cell r="G51">
            <v>1</v>
          </cell>
          <cell r="H51">
            <v>45</v>
          </cell>
          <cell r="I51" t="str">
            <v>матрица</v>
          </cell>
        </row>
        <row r="52">
          <cell r="A52" t="str">
            <v>6837 ФИЛЕЙНЫЕ Папа Может сос ц/о мгс 0,4кг  Останкино</v>
          </cell>
          <cell r="B52" t="str">
            <v>шт</v>
          </cell>
          <cell r="C52">
            <v>107</v>
          </cell>
          <cell r="D52">
            <v>1</v>
          </cell>
          <cell r="E52">
            <v>57</v>
          </cell>
          <cell r="F52">
            <v>47</v>
          </cell>
          <cell r="G52">
            <v>0.4</v>
          </cell>
          <cell r="H52">
            <v>45</v>
          </cell>
          <cell r="I52" t="str">
            <v>матрица</v>
          </cell>
        </row>
        <row r="53">
          <cell r="A53" t="str">
            <v>6866 ВЕТЧ.НЕЖНАЯ Коровино п/о_Маяк  Останкино</v>
          </cell>
          <cell r="B53" t="str">
            <v>кг</v>
          </cell>
          <cell r="C53">
            <v>180.22</v>
          </cell>
          <cell r="E53">
            <v>18.260000000000002</v>
          </cell>
          <cell r="F53">
            <v>111.96</v>
          </cell>
          <cell r="G53">
            <v>1</v>
          </cell>
          <cell r="H53">
            <v>60</v>
          </cell>
          <cell r="I53" t="str">
            <v>матрица</v>
          </cell>
        </row>
        <row r="54">
          <cell r="A54" t="str">
            <v>6929 КАРБОНАД ДОМАШНИЙ ПМ к/в кр/к в/у  ОСТАНКИНО</v>
          </cell>
          <cell r="B54" t="str">
            <v>кг</v>
          </cell>
          <cell r="C54">
            <v>113.86799999999999</v>
          </cell>
          <cell r="E54">
            <v>16.858000000000001</v>
          </cell>
          <cell r="F54">
            <v>95.65</v>
          </cell>
          <cell r="G54">
            <v>1</v>
          </cell>
          <cell r="H54">
            <v>45</v>
          </cell>
          <cell r="I54" t="str">
            <v>матрица</v>
          </cell>
        </row>
        <row r="55">
          <cell r="A55" t="str">
            <v>6967 БУРГУНДИЯ Папа может с/к в/у 1/250 8шт  Останкино</v>
          </cell>
          <cell r="B55" t="str">
            <v>шт</v>
          </cell>
          <cell r="C55">
            <v>25</v>
          </cell>
          <cell r="D55">
            <v>58</v>
          </cell>
          <cell r="E55">
            <v>26</v>
          </cell>
          <cell r="F55">
            <v>55</v>
          </cell>
          <cell r="G55">
            <v>0.25</v>
          </cell>
          <cell r="H55">
            <v>120</v>
          </cell>
          <cell r="I55" t="str">
            <v>матрица</v>
          </cell>
        </row>
        <row r="56">
          <cell r="A56" t="str">
            <v>7001 КЛАССИЧЕСКИЕ Папа может сар б/о мгс 1*3  Останкино</v>
          </cell>
          <cell r="B56" t="str">
            <v>кг</v>
          </cell>
          <cell r="C56">
            <v>12.374000000000001</v>
          </cell>
          <cell r="E56">
            <v>9.8659999999999997</v>
          </cell>
          <cell r="F56">
            <v>2.0579999999999998</v>
          </cell>
          <cell r="G56">
            <v>1</v>
          </cell>
          <cell r="H56">
            <v>45</v>
          </cell>
          <cell r="I56" t="str">
            <v>матрица</v>
          </cell>
        </row>
        <row r="57">
          <cell r="A57" t="str">
            <v>7040 С ИНДЕЙКОЙ ПМ сос ц/о в/у 1/270 8шт.  ОСТАНКИНО</v>
          </cell>
          <cell r="B57" t="str">
            <v>шт</v>
          </cell>
          <cell r="C57">
            <v>338</v>
          </cell>
          <cell r="D57">
            <v>2</v>
          </cell>
          <cell r="E57">
            <v>85</v>
          </cell>
          <cell r="F57">
            <v>251</v>
          </cell>
          <cell r="G57">
            <v>0.27</v>
          </cell>
          <cell r="H57">
            <v>45</v>
          </cell>
          <cell r="I57" t="str">
            <v>матрица</v>
          </cell>
        </row>
        <row r="58">
          <cell r="A58" t="str">
            <v>7059 ШПИКАЧКИ СОЧНЫЕ С БЕК. п/о мгс 0,3кг 60с ОСТАНКИНО</v>
          </cell>
          <cell r="B58" t="str">
            <v>шт</v>
          </cell>
          <cell r="C58">
            <v>70</v>
          </cell>
          <cell r="D58">
            <v>65</v>
          </cell>
          <cell r="E58">
            <v>76</v>
          </cell>
          <cell r="F58">
            <v>57</v>
          </cell>
          <cell r="G58">
            <v>0.3</v>
          </cell>
          <cell r="H58">
            <v>60</v>
          </cell>
          <cell r="I58" t="str">
            <v>матрица</v>
          </cell>
        </row>
        <row r="59">
          <cell r="A59" t="str">
            <v>7066 СОЧНЫЕ ПМ сос п/о мгс 0,41кг 10шт 50с  Останкино</v>
          </cell>
          <cell r="B59" t="str">
            <v>шт</v>
          </cell>
          <cell r="C59">
            <v>714</v>
          </cell>
          <cell r="D59">
            <v>201</v>
          </cell>
          <cell r="E59">
            <v>377</v>
          </cell>
          <cell r="F59">
            <v>532</v>
          </cell>
          <cell r="G59">
            <v>0.41</v>
          </cell>
          <cell r="H59">
            <v>50</v>
          </cell>
          <cell r="I59" t="str">
            <v>матрица</v>
          </cell>
        </row>
        <row r="60">
          <cell r="A60" t="str">
            <v>7070 СОЧНЫЕ ПМ сос п/о 1,5*4_А_50с  Останкино</v>
          </cell>
          <cell r="B60" t="str">
            <v>кг</v>
          </cell>
          <cell r="C60">
            <v>40.475000000000001</v>
          </cell>
          <cell r="D60">
            <v>87.542000000000002</v>
          </cell>
          <cell r="E60">
            <v>63.343000000000004</v>
          </cell>
          <cell r="F60">
            <v>64.067999999999998</v>
          </cell>
          <cell r="G60">
            <v>1</v>
          </cell>
          <cell r="H60">
            <v>50</v>
          </cell>
          <cell r="I60" t="str">
            <v>матрица</v>
          </cell>
        </row>
        <row r="61">
          <cell r="A61" t="str">
            <v>7073 МОЛОЧ.ПРЕМИУМ ПМ сос п/о в/у 1/350_50с  Останкино</v>
          </cell>
          <cell r="B61" t="str">
            <v>шт</v>
          </cell>
          <cell r="C61">
            <v>405</v>
          </cell>
          <cell r="D61">
            <v>1</v>
          </cell>
          <cell r="E61">
            <v>60</v>
          </cell>
          <cell r="F61">
            <v>342</v>
          </cell>
          <cell r="G61">
            <v>0.35</v>
          </cell>
          <cell r="H61">
            <v>50</v>
          </cell>
          <cell r="I61" t="str">
            <v>матрица</v>
          </cell>
        </row>
        <row r="62">
          <cell r="A62" t="str">
            <v>7075 МОЛОЧ.ПРЕМИУМ ПМ сос п/о мгс 1,5*4_О_50с  Останкино</v>
          </cell>
          <cell r="B62" t="str">
            <v>кг</v>
          </cell>
          <cell r="C62">
            <v>23.547999999999998</v>
          </cell>
          <cell r="D62">
            <v>12.157</v>
          </cell>
          <cell r="E62">
            <v>15.113</v>
          </cell>
          <cell r="F62">
            <v>18.48</v>
          </cell>
          <cell r="G62">
            <v>1</v>
          </cell>
          <cell r="H62">
            <v>50</v>
          </cell>
          <cell r="I62" t="str">
            <v>матрица</v>
          </cell>
        </row>
        <row r="63">
          <cell r="A63" t="str">
            <v>7080 СЛИВОЧНЫЕ ПМ сос п/о мгс 0,41кг 10шт 50с  Останкино</v>
          </cell>
          <cell r="B63" t="str">
            <v>шт</v>
          </cell>
          <cell r="C63">
            <v>289</v>
          </cell>
          <cell r="D63">
            <v>203</v>
          </cell>
          <cell r="E63">
            <v>220</v>
          </cell>
          <cell r="F63">
            <v>266</v>
          </cell>
          <cell r="G63">
            <v>0.41</v>
          </cell>
          <cell r="H63">
            <v>50</v>
          </cell>
          <cell r="I63" t="str">
            <v>матрица</v>
          </cell>
        </row>
        <row r="64">
          <cell r="A64" t="str">
            <v>7083 СЛИВОЧНЫЕ ПМ сос п/о мгс 1.5*4_А_50с  ОСТАНКИНО</v>
          </cell>
          <cell r="B64" t="str">
            <v>кг</v>
          </cell>
          <cell r="D64">
            <v>100.319</v>
          </cell>
          <cell r="E64">
            <v>4.6890000000000001</v>
          </cell>
          <cell r="F64">
            <v>95.63</v>
          </cell>
          <cell r="G64">
            <v>1</v>
          </cell>
          <cell r="H64">
            <v>50</v>
          </cell>
          <cell r="I64" t="str">
            <v>матрица</v>
          </cell>
        </row>
        <row r="65">
          <cell r="A65" t="str">
            <v>7090 СВИНИНА ПО-ДОМ.к/в мл/к в/у 0,3кг_50с  Останкино</v>
          </cell>
          <cell r="B65" t="str">
            <v>шт</v>
          </cell>
          <cell r="C65">
            <v>3</v>
          </cell>
          <cell r="D65">
            <v>180</v>
          </cell>
          <cell r="E65">
            <v>29</v>
          </cell>
          <cell r="F65">
            <v>143</v>
          </cell>
          <cell r="G65">
            <v>0.3</v>
          </cell>
          <cell r="H65">
            <v>50</v>
          </cell>
          <cell r="I65" t="str">
            <v>матрица</v>
          </cell>
        </row>
        <row r="66">
          <cell r="A66" t="str">
            <v>7103 БЕКОН Останкино с/к с/н в/у 1/180_50с  Останкино</v>
          </cell>
          <cell r="B66" t="str">
            <v>шт</v>
          </cell>
          <cell r="C66">
            <v>106</v>
          </cell>
          <cell r="E66">
            <v>24</v>
          </cell>
          <cell r="F66">
            <v>80</v>
          </cell>
          <cell r="G66">
            <v>0.18</v>
          </cell>
          <cell r="H66">
            <v>50</v>
          </cell>
          <cell r="I66" t="str">
            <v>матрица</v>
          </cell>
        </row>
        <row r="67">
          <cell r="A67" t="str">
            <v>7143 БРАУНШВЕЙГСКАЯ ГОСТ с/к в/у 1/220 8шт.  ОСТАНКИНО</v>
          </cell>
          <cell r="B67" t="str">
            <v>шт</v>
          </cell>
          <cell r="C67">
            <v>67</v>
          </cell>
          <cell r="D67">
            <v>2</v>
          </cell>
          <cell r="E67">
            <v>15</v>
          </cell>
          <cell r="F67">
            <v>51</v>
          </cell>
          <cell r="G67">
            <v>0.22</v>
          </cell>
          <cell r="H67">
            <v>120</v>
          </cell>
          <cell r="I67" t="str">
            <v>матрица</v>
          </cell>
        </row>
        <row r="68">
          <cell r="A68" t="str">
            <v>7149 БАЛЫКОВАЯ Коровино п/к в/у 0,84кг_50с  Останкино</v>
          </cell>
          <cell r="B68" t="str">
            <v>кг</v>
          </cell>
          <cell r="G68">
            <v>0</v>
          </cell>
          <cell r="I68" t="str">
            <v>матрица</v>
          </cell>
        </row>
        <row r="69">
          <cell r="A69" t="str">
            <v>7154 СЕРВЕЛАТ ЗЕРНИСТЫЙ ПМ в/к в/у 0,35кг_50с  Останкино</v>
          </cell>
          <cell r="B69" t="str">
            <v>шт</v>
          </cell>
          <cell r="C69">
            <v>104</v>
          </cell>
          <cell r="D69">
            <v>225</v>
          </cell>
          <cell r="E69">
            <v>140</v>
          </cell>
          <cell r="F69">
            <v>182</v>
          </cell>
          <cell r="G69">
            <v>0.35</v>
          </cell>
          <cell r="H69">
            <v>50</v>
          </cell>
          <cell r="I69" t="str">
            <v>матрица</v>
          </cell>
        </row>
        <row r="70">
          <cell r="A70" t="str">
            <v>7156 СЕРВЕЛАТ КОПЧ.НА БУКЕ в/к в/у 0.35кг_50с  ОСТАНКИНО</v>
          </cell>
          <cell r="B70" t="str">
            <v>шт</v>
          </cell>
          <cell r="G70">
            <v>0</v>
          </cell>
          <cell r="I70" t="str">
            <v>матрица</v>
          </cell>
        </row>
        <row r="71">
          <cell r="A71" t="str">
            <v>7157 СЕРВЕЛАТ ЗЕРНИСТЫЙ ПМ в/к в/у_50с  Останкино</v>
          </cell>
          <cell r="B71" t="str">
            <v>кг</v>
          </cell>
          <cell r="C71">
            <v>65.513999999999996</v>
          </cell>
          <cell r="D71">
            <v>156.94</v>
          </cell>
          <cell r="E71">
            <v>75.846000000000004</v>
          </cell>
          <cell r="F71">
            <v>141.11099999999999</v>
          </cell>
          <cell r="G71">
            <v>1</v>
          </cell>
          <cell r="H71">
            <v>50</v>
          </cell>
          <cell r="I71" t="str">
            <v>матрица</v>
          </cell>
        </row>
        <row r="72">
          <cell r="A72" t="str">
            <v>7166 СЕРВЕЛАТ ОХОТНИЧИЙ ПМ в/к в/у_50с  Останкино</v>
          </cell>
          <cell r="B72" t="str">
            <v>кг</v>
          </cell>
          <cell r="C72">
            <v>56.838999999999999</v>
          </cell>
          <cell r="D72">
            <v>296.565</v>
          </cell>
          <cell r="E72">
            <v>76.433000000000007</v>
          </cell>
          <cell r="F72">
            <v>272.05</v>
          </cell>
          <cell r="G72">
            <v>1</v>
          </cell>
          <cell r="H72">
            <v>50</v>
          </cell>
          <cell r="I72" t="str">
            <v>матрица</v>
          </cell>
        </row>
        <row r="73">
          <cell r="A73" t="str">
            <v>7169 СЕРВЕЛАТ ОХОТНИЧИЙ ПМ в/к в/у 0,35кг_50с  Останкино</v>
          </cell>
          <cell r="B73" t="str">
            <v>шт</v>
          </cell>
          <cell r="C73">
            <v>250</v>
          </cell>
          <cell r="D73">
            <v>147</v>
          </cell>
          <cell r="E73">
            <v>221</v>
          </cell>
          <cell r="F73">
            <v>169</v>
          </cell>
          <cell r="G73">
            <v>0.35</v>
          </cell>
          <cell r="H73">
            <v>50</v>
          </cell>
          <cell r="I73" t="str">
            <v>матрица</v>
          </cell>
        </row>
        <row r="74">
          <cell r="A74" t="str">
            <v>7187 ГРУДИНКА ПРЕМИУМ к/в мл/к в/у 0,3кг_50с  Останкино</v>
          </cell>
          <cell r="B74" t="str">
            <v>шт</v>
          </cell>
          <cell r="C74">
            <v>121</v>
          </cell>
          <cell r="D74">
            <v>84</v>
          </cell>
          <cell r="E74">
            <v>140</v>
          </cell>
          <cell r="F74">
            <v>61</v>
          </cell>
          <cell r="G74">
            <v>0.3</v>
          </cell>
          <cell r="H74">
            <v>50</v>
          </cell>
          <cell r="I74" t="str">
            <v>матрица</v>
          </cell>
        </row>
        <row r="75">
          <cell r="A75" t="str">
            <v>7231 КЛАССИЧЕСКАЯ ПМ вар п/о 0,3кг 8 шт_209к  Останкино</v>
          </cell>
          <cell r="B75" t="str">
            <v>шт</v>
          </cell>
          <cell r="C75">
            <v>12</v>
          </cell>
          <cell r="D75">
            <v>1</v>
          </cell>
          <cell r="E75">
            <v>12</v>
          </cell>
          <cell r="G75">
            <v>0.3</v>
          </cell>
          <cell r="H75">
            <v>60</v>
          </cell>
          <cell r="I75" t="str">
            <v>матрица</v>
          </cell>
        </row>
        <row r="76">
          <cell r="A76" t="str">
            <v>7232 БОЯNСКАЯ ПМ п/к в/у 0,28кг 8шт_209к  Останкино</v>
          </cell>
          <cell r="B76" t="str">
            <v>шт</v>
          </cell>
          <cell r="C76">
            <v>110</v>
          </cell>
          <cell r="D76">
            <v>3</v>
          </cell>
          <cell r="E76">
            <v>103</v>
          </cell>
          <cell r="F76">
            <v>2</v>
          </cell>
          <cell r="G76">
            <v>0.28000000000000003</v>
          </cell>
          <cell r="H76">
            <v>50</v>
          </cell>
          <cell r="I76" t="str">
            <v>матрица</v>
          </cell>
        </row>
        <row r="77">
          <cell r="A77" t="str">
            <v>7236 СЕРВЕЛАТ КАРЕЛЬСКИЙ в/к в/у 0,28кг_209к  Останкино</v>
          </cell>
          <cell r="B77" t="str">
            <v>шт</v>
          </cell>
          <cell r="C77">
            <v>212</v>
          </cell>
          <cell r="D77">
            <v>3</v>
          </cell>
          <cell r="E77">
            <v>99</v>
          </cell>
          <cell r="F77">
            <v>105</v>
          </cell>
          <cell r="G77">
            <v>0.28000000000000003</v>
          </cell>
          <cell r="H77">
            <v>45</v>
          </cell>
          <cell r="I77" t="str">
            <v>матрица</v>
          </cell>
        </row>
        <row r="78">
          <cell r="A78" t="str">
            <v>7241 САЛЯМИ Папа может п/к в/у 0,28кг ОСТАНКИНО</v>
          </cell>
          <cell r="B78" t="str">
            <v>шт</v>
          </cell>
          <cell r="C78">
            <v>1</v>
          </cell>
          <cell r="D78">
            <v>178</v>
          </cell>
          <cell r="E78">
            <v>30</v>
          </cell>
          <cell r="F78">
            <v>139</v>
          </cell>
          <cell r="G78">
            <v>0.28000000000000003</v>
          </cell>
          <cell r="H78">
            <v>45</v>
          </cell>
          <cell r="I78" t="str">
            <v>матрица</v>
          </cell>
        </row>
        <row r="79">
          <cell r="A79" t="str">
            <v>7255 МЯСНЫЕ С ГОВЯД.ПМ сос п/о мгс 0.4кг 6шт.  ОСТАНКИНО</v>
          </cell>
          <cell r="B79" t="str">
            <v>шт</v>
          </cell>
          <cell r="C79">
            <v>184</v>
          </cell>
          <cell r="D79">
            <v>1</v>
          </cell>
          <cell r="E79">
            <v>172</v>
          </cell>
          <cell r="F79">
            <v>8</v>
          </cell>
          <cell r="G79">
            <v>0.4</v>
          </cell>
          <cell r="H79">
            <v>50</v>
          </cell>
          <cell r="I79" t="str">
            <v>матрица</v>
          </cell>
        </row>
        <row r="80">
          <cell r="A80" t="str">
            <v>7299 НАБОР ДЛЯ ПИЦЦЫ Папа Может с/к в/у  ОСТАНКИНО</v>
          </cell>
          <cell r="B80" t="str">
            <v>кг</v>
          </cell>
          <cell r="C80">
            <v>10.555</v>
          </cell>
          <cell r="E80">
            <v>0.14499999999999999</v>
          </cell>
          <cell r="F80">
            <v>9.8800000000000008</v>
          </cell>
          <cell r="G80">
            <v>1</v>
          </cell>
          <cell r="H80">
            <v>30</v>
          </cell>
          <cell r="I80" t="str">
            <v>матрица</v>
          </cell>
        </row>
        <row r="81">
          <cell r="A81" t="str">
            <v>7344 КОНСЕРВЫ МЯС.ГОВЯДИНА ТУШ. В/С 338г_ЧЗ  ОСТАНКИНО</v>
          </cell>
          <cell r="B81" t="str">
            <v>шт</v>
          </cell>
          <cell r="C81">
            <v>244</v>
          </cell>
          <cell r="E81">
            <v>4</v>
          </cell>
          <cell r="F81">
            <v>240</v>
          </cell>
          <cell r="G81">
            <v>0.33800000000000002</v>
          </cell>
          <cell r="H81" t="str">
            <v>3 года</v>
          </cell>
          <cell r="I81" t="str">
            <v>матрица</v>
          </cell>
        </row>
        <row r="82">
          <cell r="A82" t="str">
            <v>7345 КОНСЕРВЫ МЯС.СВИНИНА ТУШ. В/С 325г_ЧЗ  ОСТАНКИНО</v>
          </cell>
          <cell r="B82" t="str">
            <v>шт</v>
          </cell>
          <cell r="C82">
            <v>332</v>
          </cell>
          <cell r="E82">
            <v>11</v>
          </cell>
          <cell r="F82">
            <v>321</v>
          </cell>
          <cell r="G82">
            <v>0.32500000000000001</v>
          </cell>
          <cell r="H82" t="str">
            <v>3 года</v>
          </cell>
          <cell r="I82" t="str">
            <v>матрица</v>
          </cell>
        </row>
        <row r="83">
          <cell r="A83" t="str">
            <v>7382  САЛЯМИ МЕЛКОЗЕРНЕНАЯ с/к в/у1/120 8шт.  ОСТАНКИНО</v>
          </cell>
          <cell r="B83" t="str">
            <v>шт</v>
          </cell>
          <cell r="C83">
            <v>89</v>
          </cell>
          <cell r="D83">
            <v>2</v>
          </cell>
          <cell r="E83">
            <v>85</v>
          </cell>
          <cell r="F83">
            <v>3</v>
          </cell>
          <cell r="G83">
            <v>0.12</v>
          </cell>
          <cell r="H83">
            <v>60</v>
          </cell>
          <cell r="I83" t="str">
            <v>матрица</v>
          </cell>
        </row>
        <row r="84">
          <cell r="A84" t="str">
            <v>7386 БАРСЕЛОНА ПМ с/к в/у 1/150  ОСТАНКИНО</v>
          </cell>
          <cell r="B84" t="str">
            <v>шт</v>
          </cell>
          <cell r="C84">
            <v>-1</v>
          </cell>
          <cell r="D84">
            <v>145</v>
          </cell>
          <cell r="E84">
            <v>18</v>
          </cell>
          <cell r="F84">
            <v>123</v>
          </cell>
          <cell r="G84">
            <v>0.15</v>
          </cell>
          <cell r="H84">
            <v>90</v>
          </cell>
          <cell r="I84" t="str">
            <v>матрица</v>
          </cell>
        </row>
        <row r="85">
          <cell r="A85" t="str">
            <v>7456 САЛЯМИ ФИНСКАЯ Папа может с/к в/у 1/150  ОСТАНКИНО</v>
          </cell>
          <cell r="B85" t="str">
            <v>шт</v>
          </cell>
          <cell r="C85">
            <v>134</v>
          </cell>
          <cell r="D85">
            <v>216</v>
          </cell>
          <cell r="E85">
            <v>54</v>
          </cell>
          <cell r="F85">
            <v>294</v>
          </cell>
          <cell r="G85">
            <v>0.15</v>
          </cell>
          <cell r="H85">
            <v>90</v>
          </cell>
          <cell r="I85" t="str">
            <v>матрица</v>
          </cell>
        </row>
        <row r="86">
          <cell r="A86" t="str">
            <v>7461 ДЛЯ ДЕТЕЙ Папа Может сос п/о мгс 0,33кг ОСТАНКИНО</v>
          </cell>
          <cell r="B86" t="str">
            <v>шт</v>
          </cell>
          <cell r="C86">
            <v>47</v>
          </cell>
          <cell r="D86">
            <v>151</v>
          </cell>
          <cell r="E86">
            <v>56</v>
          </cell>
          <cell r="F86">
            <v>136</v>
          </cell>
          <cell r="G86">
            <v>0.33</v>
          </cell>
          <cell r="H86">
            <v>30</v>
          </cell>
          <cell r="I86" t="str">
            <v>матрица</v>
          </cell>
        </row>
        <row r="87">
          <cell r="A87" t="str">
            <v>7485 РИЕТ МЯСНОЙ С ГРИБАМИ ПМ п/о 1/150  ОСТАНКИНО</v>
          </cell>
          <cell r="B87" t="str">
            <v>шт</v>
          </cell>
          <cell r="C87">
            <v>29</v>
          </cell>
          <cell r="E87">
            <v>29</v>
          </cell>
          <cell r="F87">
            <v>-1</v>
          </cell>
          <cell r="G87">
            <v>0.15</v>
          </cell>
          <cell r="H87">
            <v>60</v>
          </cell>
          <cell r="I87" t="str">
            <v>матрица</v>
          </cell>
        </row>
        <row r="88">
          <cell r="A88" t="str">
            <v>7490 СОЧНЫЙ ГРИЛЬ сос ц/о мгс 0.41кг_Даблпак  ОСТАНКИНО</v>
          </cell>
          <cell r="B88" t="str">
            <v>шт</v>
          </cell>
          <cell r="C88">
            <v>74</v>
          </cell>
          <cell r="D88">
            <v>49</v>
          </cell>
          <cell r="E88">
            <v>115</v>
          </cell>
          <cell r="F88">
            <v>8</v>
          </cell>
          <cell r="G88">
            <v>0.41</v>
          </cell>
          <cell r="H88">
            <v>45</v>
          </cell>
          <cell r="I88" t="str">
            <v>матрица</v>
          </cell>
        </row>
        <row r="89">
          <cell r="A89" t="str">
            <v>7512 ЧАЙНАЯ Останкино вар н/о мгс 1*3</v>
          </cell>
          <cell r="B89" t="str">
            <v>кг</v>
          </cell>
          <cell r="G89">
            <v>0</v>
          </cell>
          <cell r="I89" t="str">
            <v>РАЗОВО</v>
          </cell>
        </row>
        <row r="90">
          <cell r="A90" t="str">
            <v>7513 ВОСКРЕСЕНСКАЯ ВЯЛЕНАЯ в/к в/у срез 1/260  ОСТАНКИНО</v>
          </cell>
          <cell r="B90" t="str">
            <v>шт</v>
          </cell>
          <cell r="D90">
            <v>241</v>
          </cell>
          <cell r="E90">
            <v>17</v>
          </cell>
          <cell r="F90">
            <v>217</v>
          </cell>
          <cell r="G90">
            <v>0.26</v>
          </cell>
          <cell r="H90">
            <v>45</v>
          </cell>
          <cell r="I90" t="str">
            <v>матрица</v>
          </cell>
        </row>
        <row r="91">
          <cell r="A91" t="str">
            <v>7514 ЛЮБИТЕЛЬСКАЯ ОСТАНКИНСКАЯ вар п/о в/у  ОСТАНКИНО</v>
          </cell>
          <cell r="B91" t="str">
            <v>кг</v>
          </cell>
          <cell r="C91">
            <v>42.225000000000001</v>
          </cell>
          <cell r="D91">
            <v>61.143999999999998</v>
          </cell>
          <cell r="E91">
            <v>51.883000000000003</v>
          </cell>
          <cell r="F91">
            <v>47.784999999999997</v>
          </cell>
          <cell r="G91">
            <v>1</v>
          </cell>
          <cell r="H91">
            <v>30</v>
          </cell>
          <cell r="I91" t="str">
            <v>матрица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86</v>
          </cell>
          <cell r="D92">
            <v>202</v>
          </cell>
          <cell r="E92">
            <v>44</v>
          </cell>
          <cell r="F92">
            <v>234</v>
          </cell>
          <cell r="G92">
            <v>0.31</v>
          </cell>
          <cell r="H92">
            <v>45</v>
          </cell>
          <cell r="I92" t="str">
            <v>матрица</v>
          </cell>
        </row>
        <row r="93">
          <cell r="A93" t="str">
            <v>7518 ТЕЛЯЧЬЯ ГОСТ Останкино вар п/о в/у  ОСТАНКИНО</v>
          </cell>
          <cell r="B93" t="str">
            <v>кг</v>
          </cell>
          <cell r="C93">
            <v>53.954999999999998</v>
          </cell>
          <cell r="D93">
            <v>40.828000000000003</v>
          </cell>
          <cell r="E93">
            <v>31.471</v>
          </cell>
          <cell r="F93">
            <v>56.161999999999999</v>
          </cell>
          <cell r="G93">
            <v>1</v>
          </cell>
          <cell r="H93">
            <v>30</v>
          </cell>
          <cell r="I93" t="str">
            <v>матрица</v>
          </cell>
        </row>
        <row r="94">
          <cell r="A94" t="str">
            <v>7523 ГОВЯЖЬЯ Папа Может вар п/о 0,4кг 6шт. ОСТАНКИНО</v>
          </cell>
          <cell r="B94" t="str">
            <v>шт</v>
          </cell>
          <cell r="C94">
            <v>94</v>
          </cell>
          <cell r="D94">
            <v>19</v>
          </cell>
          <cell r="E94">
            <v>57</v>
          </cell>
          <cell r="F94">
            <v>54</v>
          </cell>
          <cell r="G94">
            <v>0.4</v>
          </cell>
          <cell r="H94">
            <v>60</v>
          </cell>
          <cell r="I94" t="str">
            <v>матрица</v>
          </cell>
        </row>
        <row r="95">
          <cell r="A95" t="str">
            <v>7539 ДОКТОРСКАЯ ГОСТ вар п/о 0,35кг ОСТАНКИНО</v>
          </cell>
          <cell r="B95" t="str">
            <v>шт</v>
          </cell>
          <cell r="G95">
            <v>0.35</v>
          </cell>
          <cell r="H95">
            <v>60</v>
          </cell>
          <cell r="I95" t="str">
            <v>увеличить / матрица</v>
          </cell>
        </row>
        <row r="96">
          <cell r="A96" t="str">
            <v>7562 КРАКОВСКАЯ ГОСТ Останкино п/к н/о мгс  ОСТАНКИНО</v>
          </cell>
          <cell r="B96" t="str">
            <v>кг</v>
          </cell>
          <cell r="C96">
            <v>32.320999999999998</v>
          </cell>
          <cell r="D96">
            <v>63.145000000000003</v>
          </cell>
          <cell r="E96">
            <v>24.617000000000001</v>
          </cell>
          <cell r="F96">
            <v>66.822999999999993</v>
          </cell>
          <cell r="G96">
            <v>1</v>
          </cell>
          <cell r="H96">
            <v>45</v>
          </cell>
          <cell r="I96" t="str">
            <v>матрица</v>
          </cell>
        </row>
        <row r="97">
          <cell r="A97" t="str">
            <v>7564 Балыковая в/к в/у Останкино Вес  ОСТАНКИНО</v>
          </cell>
          <cell r="B97" t="str">
            <v>кг</v>
          </cell>
          <cell r="C97">
            <v>128.52199999999999</v>
          </cell>
          <cell r="E97">
            <v>58.582999999999998</v>
          </cell>
          <cell r="F97">
            <v>67.468999999999994</v>
          </cell>
          <cell r="G97">
            <v>1</v>
          </cell>
          <cell r="H97">
            <v>45</v>
          </cell>
          <cell r="I97" t="str">
            <v>матрица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D98">
            <v>137</v>
          </cell>
          <cell r="E98">
            <v>63</v>
          </cell>
          <cell r="F98">
            <v>69</v>
          </cell>
          <cell r="G98">
            <v>0.33</v>
          </cell>
          <cell r="H98">
            <v>45</v>
          </cell>
          <cell r="I98" t="str">
            <v>матрица</v>
          </cell>
        </row>
        <row r="99">
          <cell r="A99" t="str">
            <v>7613 АРОМАТНАЯ с/к с/н в/у 1/100 10шт_Л10  ОСТАНКИНО</v>
          </cell>
          <cell r="B99" t="str">
            <v>шт</v>
          </cell>
          <cell r="C99">
            <v>91</v>
          </cell>
          <cell r="D99">
            <v>33</v>
          </cell>
          <cell r="E99">
            <v>118</v>
          </cell>
          <cell r="F99">
            <v>3</v>
          </cell>
          <cell r="G99">
            <v>0.1</v>
          </cell>
          <cell r="H99">
            <v>60</v>
          </cell>
          <cell r="I99" t="str">
            <v>матрица</v>
          </cell>
        </row>
        <row r="100">
          <cell r="A100" t="str">
            <v>7616 ЭКСТРА Папа может с/к с/н в/у 1/100_  ОСТАНКИНО</v>
          </cell>
          <cell r="B100" t="str">
            <v>шт</v>
          </cell>
          <cell r="C100">
            <v>132</v>
          </cell>
          <cell r="D100">
            <v>203</v>
          </cell>
          <cell r="E100">
            <v>76</v>
          </cell>
          <cell r="F100">
            <v>255</v>
          </cell>
          <cell r="G100">
            <v>0.1</v>
          </cell>
          <cell r="H100">
            <v>60</v>
          </cell>
          <cell r="I100" t="str">
            <v>матрица</v>
          </cell>
        </row>
        <row r="101">
          <cell r="A101" t="str">
            <v>7632 ЭКСТРА Папа может вар п/о 0.4кг 8шт_195к  ОСТАНКИНО</v>
          </cell>
          <cell r="B101" t="str">
            <v>шт</v>
          </cell>
          <cell r="C101">
            <v>78</v>
          </cell>
          <cell r="D101">
            <v>233</v>
          </cell>
          <cell r="E101">
            <v>83</v>
          </cell>
          <cell r="F101">
            <v>170</v>
          </cell>
          <cell r="G101">
            <v>0.4</v>
          </cell>
          <cell r="H101">
            <v>60</v>
          </cell>
          <cell r="I101" t="str">
            <v>матрица</v>
          </cell>
        </row>
        <row r="102">
          <cell r="A102" t="str">
            <v>7651 ХОЧУ ВЕТЧ.МРАМОР. ПМ с/н мгс 1/100_Л11  ОСТАНКИНО</v>
          </cell>
          <cell r="B102" t="str">
            <v>шт</v>
          </cell>
          <cell r="C102">
            <v>-1</v>
          </cell>
          <cell r="F102">
            <v>-1</v>
          </cell>
          <cell r="G102">
            <v>0</v>
          </cell>
          <cell r="I102" t="str">
            <v>вывод</v>
          </cell>
        </row>
        <row r="103">
          <cell r="A103" t="str">
            <v>7700 ЛИТОВСКАЯ с/к в/у</v>
          </cell>
          <cell r="B103" t="str">
            <v>кг</v>
          </cell>
          <cell r="D103">
            <v>10.192</v>
          </cell>
          <cell r="E103">
            <v>2.512</v>
          </cell>
          <cell r="F103">
            <v>10.196</v>
          </cell>
          <cell r="G103">
            <v>1</v>
          </cell>
          <cell r="H103">
            <v>120</v>
          </cell>
          <cell r="I103" t="str">
            <v>матрица</v>
          </cell>
        </row>
        <row r="104">
          <cell r="A104" t="str">
            <v>7710 КРАКОВСКАЯ ГОСТ п/к н/о мгс 0.3кг  ОСТАНКИНО</v>
          </cell>
          <cell r="B104" t="str">
            <v>шт</v>
          </cell>
          <cell r="C104">
            <v>136</v>
          </cell>
          <cell r="D104">
            <v>1</v>
          </cell>
          <cell r="E104">
            <v>12</v>
          </cell>
          <cell r="F104">
            <v>121</v>
          </cell>
          <cell r="G104">
            <v>0.3</v>
          </cell>
          <cell r="H104">
            <v>45</v>
          </cell>
          <cell r="I104" t="str">
            <v>матрица</v>
          </cell>
        </row>
        <row r="105">
          <cell r="A105" t="str">
            <v>7725 ВЕТ.МРАМОРНАЯ в/у срез 0.3кг 6шт_62  ОСТАНКИНО</v>
          </cell>
          <cell r="B105" t="str">
            <v>шт</v>
          </cell>
          <cell r="C105">
            <v>58</v>
          </cell>
          <cell r="D105">
            <v>163</v>
          </cell>
          <cell r="E105">
            <v>26</v>
          </cell>
          <cell r="F105">
            <v>191</v>
          </cell>
          <cell r="G105">
            <v>0.3</v>
          </cell>
          <cell r="H105">
            <v>62</v>
          </cell>
          <cell r="I105" t="str">
            <v>матрица</v>
          </cell>
        </row>
        <row r="106">
          <cell r="A106" t="str">
            <v>7730 ХОЧУ ВЕТЧ.ИЗ СВ.ОТРУБА мгс 1/100_45с_Л11  ОСТАНКИНО</v>
          </cell>
          <cell r="B106" t="str">
            <v>шт</v>
          </cell>
          <cell r="C106">
            <v>81</v>
          </cell>
          <cell r="D106">
            <v>1</v>
          </cell>
          <cell r="E106">
            <v>30</v>
          </cell>
          <cell r="F106">
            <v>50</v>
          </cell>
          <cell r="G106">
            <v>0.1</v>
          </cell>
          <cell r="H106">
            <v>45</v>
          </cell>
          <cell r="I106" t="str">
            <v>матрица</v>
          </cell>
        </row>
        <row r="107">
          <cell r="A107" t="str">
            <v>7731 ХОЧУ ВЕТЧ. МРАМОР. с/н мгс 1/100_45с_Л11  ОСТАНКИНО</v>
          </cell>
          <cell r="B107" t="str">
            <v>шт</v>
          </cell>
          <cell r="C107">
            <v>3</v>
          </cell>
          <cell r="E107">
            <v>3</v>
          </cell>
          <cell r="F107">
            <v>-1</v>
          </cell>
          <cell r="G107">
            <v>0.1</v>
          </cell>
          <cell r="H107">
            <v>45</v>
          </cell>
          <cell r="I107" t="str">
            <v>матрица</v>
          </cell>
        </row>
        <row r="108">
          <cell r="A108" t="str">
            <v>7754 ДОМАШНИЙ РЕЦЕПТ Коровино вар п/о_332к</v>
          </cell>
          <cell r="B108" t="str">
            <v>кг</v>
          </cell>
          <cell r="G108">
            <v>0</v>
          </cell>
          <cell r="H108">
            <v>60</v>
          </cell>
          <cell r="I108" t="str">
            <v>матрица</v>
          </cell>
        </row>
        <row r="109">
          <cell r="A109" t="str">
            <v>8014 ДОКТОРСКАЯ ПРЕМИУМ вар п/о(п)    ОСТАНКИНО</v>
          </cell>
          <cell r="B109" t="str">
            <v>кг</v>
          </cell>
          <cell r="G109">
            <v>0</v>
          </cell>
          <cell r="H109">
            <v>60</v>
          </cell>
          <cell r="I109" t="str">
            <v>матрица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19.10.2026 - 26.10.2026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v>
          </cell>
        </row>
        <row r="8">
          <cell r="A8" t="str">
            <v>Номенклатура</v>
          </cell>
          <cell r="D8" t="str">
            <v>Ед. изм.</v>
          </cell>
          <cell r="F8" t="str">
            <v>Количество</v>
          </cell>
          <cell r="K8" t="str">
            <v>Вес (нетто), кг</v>
          </cell>
        </row>
        <row r="9">
          <cell r="F9" t="str">
            <v>Начальный остаток</v>
          </cell>
          <cell r="H9" t="str">
            <v>Приход</v>
          </cell>
          <cell r="I9" t="str">
            <v>Расход</v>
          </cell>
          <cell r="J9" t="str">
            <v>Конечный остаток</v>
          </cell>
          <cell r="K9" t="str">
            <v>Начальный остаток</v>
          </cell>
          <cell r="L9" t="str">
            <v>Приход</v>
          </cell>
          <cell r="M9" t="str">
            <v>Расход</v>
          </cell>
          <cell r="N9" t="str">
            <v>Конечный остаток</v>
          </cell>
        </row>
        <row r="10">
          <cell r="A10" t="str">
            <v>0614 ПРАЗДНИЧНАЯ с/к в/с дек.спец.мгс  Останкино</v>
          </cell>
          <cell r="D10" t="str">
            <v>кг</v>
          </cell>
          <cell r="F10">
            <v>42.564</v>
          </cell>
          <cell r="I10">
            <v>4.8949999999999996</v>
          </cell>
          <cell r="J10">
            <v>37.668999999999997</v>
          </cell>
          <cell r="K10">
            <v>42.564</v>
          </cell>
          <cell r="M10">
            <v>4.8949999999999996</v>
          </cell>
          <cell r="N10">
            <v>37.668999999999997</v>
          </cell>
        </row>
        <row r="11">
          <cell r="A11" t="str">
            <v>3215 ВЕТЧ.МЯСНАЯ Папа может п/о 0.4кг 8шт.    ОСТАНКИНО</v>
          </cell>
          <cell r="D11" t="str">
            <v>шт</v>
          </cell>
          <cell r="F11">
            <v>229</v>
          </cell>
          <cell r="I11">
            <v>50</v>
          </cell>
          <cell r="J11">
            <v>179</v>
          </cell>
          <cell r="K11">
            <v>91.6</v>
          </cell>
          <cell r="M11">
            <v>20</v>
          </cell>
          <cell r="N11">
            <v>71.599999999999994</v>
          </cell>
        </row>
        <row r="12">
          <cell r="A12" t="str">
            <v>3287 САЛЯМИ ИТАЛЬЯНСКАЯ с/к в/у ОСТАНКИНО</v>
          </cell>
          <cell r="D12" t="str">
            <v>кг</v>
          </cell>
          <cell r="F12">
            <v>17.710999999999999</v>
          </cell>
          <cell r="H12">
            <v>0.499</v>
          </cell>
          <cell r="I12">
            <v>10.308999999999999</v>
          </cell>
          <cell r="J12">
            <v>7.9009999999999998</v>
          </cell>
          <cell r="K12">
            <v>17.710999999999999</v>
          </cell>
          <cell r="L12">
            <v>0.499</v>
          </cell>
          <cell r="M12">
            <v>10.308999999999999</v>
          </cell>
          <cell r="N12">
            <v>7.9009999999999998</v>
          </cell>
        </row>
        <row r="13">
          <cell r="A13" t="str">
            <v>3986 Ароматная с/к в/у 1/250 ОСТАНКИНО</v>
          </cell>
          <cell r="D13" t="str">
            <v>шт</v>
          </cell>
          <cell r="F13">
            <v>190</v>
          </cell>
          <cell r="H13">
            <v>2</v>
          </cell>
          <cell r="I13">
            <v>94</v>
          </cell>
          <cell r="J13">
            <v>98</v>
          </cell>
          <cell r="K13">
            <v>47.5</v>
          </cell>
          <cell r="L13">
            <v>0.5</v>
          </cell>
          <cell r="M13">
            <v>23.5</v>
          </cell>
          <cell r="N13">
            <v>24.5</v>
          </cell>
        </row>
        <row r="14">
          <cell r="A14" t="str">
            <v>4063 МЯСНАЯ Папа может вар п/о_Л   ОСТАНКИНО</v>
          </cell>
          <cell r="D14" t="str">
            <v>кг</v>
          </cell>
          <cell r="F14">
            <v>138.58500000000001</v>
          </cell>
          <cell r="H14">
            <v>14.872</v>
          </cell>
          <cell r="I14">
            <v>183.54599999999999</v>
          </cell>
          <cell r="J14">
            <v>-30.088999999999999</v>
          </cell>
          <cell r="K14">
            <v>138.58500000000001</v>
          </cell>
          <cell r="L14">
            <v>14.872</v>
          </cell>
          <cell r="M14">
            <v>183.54599999999999</v>
          </cell>
          <cell r="N14">
            <v>-30.088999999999999</v>
          </cell>
        </row>
        <row r="15">
          <cell r="A15" t="str">
            <v>4117 ЭКСТРА Папа может с/к в/у_Л   ОСТАНКИНО</v>
          </cell>
          <cell r="D15" t="str">
            <v>кг</v>
          </cell>
          <cell r="F15">
            <v>11.076000000000001</v>
          </cell>
          <cell r="H15">
            <v>0.50600000000000001</v>
          </cell>
          <cell r="I15">
            <v>11.582000000000001</v>
          </cell>
          <cell r="K15">
            <v>11.076000000000001</v>
          </cell>
          <cell r="L15">
            <v>0.50600000000000001</v>
          </cell>
          <cell r="M15">
            <v>11.582000000000001</v>
          </cell>
        </row>
        <row r="16">
          <cell r="A16" t="str">
            <v>4574 Мясная со шпиком Папа может вар п/о ОСТАНКИНО</v>
          </cell>
          <cell r="D16" t="str">
            <v>кг</v>
          </cell>
          <cell r="F16">
            <v>71.686999999999998</v>
          </cell>
          <cell r="I16">
            <v>4.01</v>
          </cell>
          <cell r="J16">
            <v>67.677000000000007</v>
          </cell>
          <cell r="K16">
            <v>71.686999999999998</v>
          </cell>
          <cell r="M16">
            <v>4.01</v>
          </cell>
          <cell r="N16">
            <v>67.677000000000007</v>
          </cell>
        </row>
        <row r="17">
          <cell r="A17" t="str">
            <v>4813 ФИЛЕЙНАЯ Папа может вар п/о_Л   ОСТАНКИНО</v>
          </cell>
          <cell r="D17" t="str">
            <v>кг</v>
          </cell>
          <cell r="F17">
            <v>140.96199999999999</v>
          </cell>
          <cell r="H17">
            <v>5.3920000000000003</v>
          </cell>
          <cell r="I17">
            <v>44.445999999999998</v>
          </cell>
          <cell r="J17">
            <v>101.908</v>
          </cell>
          <cell r="K17">
            <v>140.96199999999999</v>
          </cell>
          <cell r="L17">
            <v>5.3920000000000003</v>
          </cell>
          <cell r="M17">
            <v>44.445999999999998</v>
          </cell>
          <cell r="N17">
            <v>101.908</v>
          </cell>
        </row>
        <row r="18">
          <cell r="A18" t="str">
            <v>4993 САЛЯМИ ИТАЛЬЯНСКАЯ с/к в/у 1/250*8_120c ОСТАНКИНО</v>
          </cell>
          <cell r="D18" t="str">
            <v>шт</v>
          </cell>
          <cell r="F18">
            <v>174</v>
          </cell>
          <cell r="I18">
            <v>24</v>
          </cell>
          <cell r="J18">
            <v>150</v>
          </cell>
          <cell r="K18">
            <v>43.5</v>
          </cell>
          <cell r="M18">
            <v>6</v>
          </cell>
          <cell r="N18">
            <v>37.5</v>
          </cell>
        </row>
        <row r="19">
          <cell r="A19" t="str">
            <v>5452 ВЕТЧ.МЯСНАЯ Папа может п/о    ОСТАНКИНО</v>
          </cell>
          <cell r="D19" t="str">
            <v>кг</v>
          </cell>
          <cell r="F19">
            <v>131.95099999999999</v>
          </cell>
          <cell r="I19">
            <v>5.4109999999999996</v>
          </cell>
          <cell r="J19">
            <v>126.54</v>
          </cell>
          <cell r="K19">
            <v>131.95099999999999</v>
          </cell>
          <cell r="M19">
            <v>5.4109999999999996</v>
          </cell>
          <cell r="N19">
            <v>126.54</v>
          </cell>
        </row>
        <row r="20">
          <cell r="A20" t="str">
            <v>5483 ЭКСТРА Папа может с/к в/у 1/250 8шт.   ОСТАНКИНО</v>
          </cell>
          <cell r="D20" t="str">
            <v>шт</v>
          </cell>
          <cell r="F20">
            <v>77</v>
          </cell>
          <cell r="H20">
            <v>40</v>
          </cell>
          <cell r="I20">
            <v>97</v>
          </cell>
          <cell r="J20">
            <v>20</v>
          </cell>
          <cell r="K20">
            <v>19.25</v>
          </cell>
          <cell r="L20">
            <v>10</v>
          </cell>
          <cell r="M20">
            <v>24.25</v>
          </cell>
          <cell r="N20">
            <v>5</v>
          </cell>
        </row>
        <row r="21">
          <cell r="A21" t="str">
            <v>5495 ВЕТЧ.С ИНДЕЙКОЙ Папа может п/о 400*6  Останкино</v>
          </cell>
          <cell r="D21" t="str">
            <v>шт</v>
          </cell>
          <cell r="F21">
            <v>222</v>
          </cell>
          <cell r="H21">
            <v>1</v>
          </cell>
          <cell r="I21">
            <v>65</v>
          </cell>
          <cell r="J21">
            <v>158</v>
          </cell>
          <cell r="K21">
            <v>88.8</v>
          </cell>
          <cell r="L21">
            <v>0.4</v>
          </cell>
          <cell r="M21">
            <v>26</v>
          </cell>
          <cell r="N21">
            <v>63.2</v>
          </cell>
        </row>
        <row r="22">
          <cell r="A22" t="str">
            <v>5544 Сервелат Финский в/к в/у_45с НОВАЯ ОСТАНКИНО</v>
          </cell>
          <cell r="D22" t="str">
            <v>кг</v>
          </cell>
          <cell r="F22">
            <v>316.149</v>
          </cell>
          <cell r="I22">
            <v>129.023</v>
          </cell>
          <cell r="J22">
            <v>187.126</v>
          </cell>
          <cell r="K22">
            <v>316.149</v>
          </cell>
          <cell r="M22">
            <v>129.023</v>
          </cell>
          <cell r="N22">
            <v>187.126</v>
          </cell>
        </row>
        <row r="23">
          <cell r="A23" t="str">
            <v>5708 ПОСОЛЬСКАЯ Папа может с/к в/у ОСТАНКИНО</v>
          </cell>
          <cell r="D23" t="str">
            <v>кг</v>
          </cell>
          <cell r="F23">
            <v>3.016</v>
          </cell>
          <cell r="H23">
            <v>0.504</v>
          </cell>
          <cell r="I23">
            <v>3.516</v>
          </cell>
          <cell r="J23">
            <v>4.0000000000000001E-3</v>
          </cell>
          <cell r="K23">
            <v>3.016</v>
          </cell>
          <cell r="L23">
            <v>0.504</v>
          </cell>
          <cell r="M23">
            <v>3.516</v>
          </cell>
          <cell r="N23">
            <v>4.0000000000000001E-3</v>
          </cell>
        </row>
        <row r="24">
          <cell r="A24" t="str">
            <v>5819 Сосиски Папа может 400г Мясные  ОСТАНКИНО</v>
          </cell>
          <cell r="D24" t="str">
            <v>шт</v>
          </cell>
          <cell r="H24">
            <v>216</v>
          </cell>
          <cell r="I24">
            <v>36</v>
          </cell>
          <cell r="J24">
            <v>180</v>
          </cell>
          <cell r="L24">
            <v>86.4</v>
          </cell>
          <cell r="M24">
            <v>14.4</v>
          </cell>
          <cell r="N24">
            <v>72</v>
          </cell>
        </row>
        <row r="25">
          <cell r="A25" t="str">
            <v>5851 ЭКСТРА Папа может вар п/о   ОСТАНКИНО</v>
          </cell>
          <cell r="D25" t="str">
            <v>кг</v>
          </cell>
          <cell r="F25">
            <v>108.11199999999999</v>
          </cell>
          <cell r="H25">
            <v>28.48</v>
          </cell>
          <cell r="I25">
            <v>46.255000000000003</v>
          </cell>
          <cell r="J25">
            <v>90.337000000000003</v>
          </cell>
          <cell r="K25">
            <v>108.11199999999999</v>
          </cell>
          <cell r="L25">
            <v>28.48</v>
          </cell>
          <cell r="M25">
            <v>46.255000000000003</v>
          </cell>
          <cell r="N25">
            <v>90.337000000000003</v>
          </cell>
        </row>
        <row r="26">
          <cell r="A26" t="str">
            <v>5931 ОХОТНИЧЬЯ Папа может с/к в/у 1/220 8шт.   ОСТАНКИНО</v>
          </cell>
          <cell r="D26" t="str">
            <v>шт</v>
          </cell>
          <cell r="F26">
            <v>1</v>
          </cell>
          <cell r="H26">
            <v>448</v>
          </cell>
          <cell r="I26">
            <v>120</v>
          </cell>
          <cell r="J26">
            <v>329</v>
          </cell>
          <cell r="K26">
            <v>0.22</v>
          </cell>
          <cell r="L26">
            <v>98.56</v>
          </cell>
          <cell r="M26">
            <v>26.4</v>
          </cell>
          <cell r="N26">
            <v>72.38</v>
          </cell>
        </row>
        <row r="27">
          <cell r="A27" t="str">
            <v>6008 САЛО СОЛЕНОЕ С ЧЕРНЫМ ПЕРЦЕМ мл/к в/у ОСТАНКИНО</v>
          </cell>
          <cell r="D27" t="str">
            <v>кг</v>
          </cell>
          <cell r="F27">
            <v>45.942</v>
          </cell>
          <cell r="H27">
            <v>9.8460000000000001</v>
          </cell>
          <cell r="I27">
            <v>38.433999999999997</v>
          </cell>
          <cell r="J27">
            <v>17.353999999999999</v>
          </cell>
          <cell r="K27">
            <v>45.942</v>
          </cell>
          <cell r="L27">
            <v>9.8460000000000001</v>
          </cell>
          <cell r="M27">
            <v>38.433999999999997</v>
          </cell>
          <cell r="N27">
            <v>17.353999999999999</v>
          </cell>
        </row>
        <row r="28">
          <cell r="A28" t="str">
            <v>6220 ГОВЯЖЬЯ папа может вар п/о  Останкино</v>
          </cell>
          <cell r="D28" t="str">
            <v>кг</v>
          </cell>
          <cell r="F28">
            <v>40.893999999999998</v>
          </cell>
          <cell r="I28">
            <v>18.885999999999999</v>
          </cell>
          <cell r="J28">
            <v>22.007999999999999</v>
          </cell>
          <cell r="K28">
            <v>40.893999999999998</v>
          </cell>
          <cell r="M28">
            <v>18.885999999999999</v>
          </cell>
          <cell r="N28">
            <v>22.007999999999999</v>
          </cell>
        </row>
        <row r="29">
          <cell r="A29" t="str">
            <v>6221 НЕОПОЛИТАНСКИЙ ДУЭТ с/к с/н мгс 1/90  Останкино</v>
          </cell>
          <cell r="D29" t="str">
            <v>шт</v>
          </cell>
          <cell r="F29">
            <v>81</v>
          </cell>
          <cell r="H29">
            <v>281</v>
          </cell>
          <cell r="I29">
            <v>73</v>
          </cell>
          <cell r="J29">
            <v>289</v>
          </cell>
          <cell r="K29">
            <v>7.29</v>
          </cell>
          <cell r="L29">
            <v>25.29</v>
          </cell>
          <cell r="M29">
            <v>6.57</v>
          </cell>
          <cell r="N29">
            <v>26.01</v>
          </cell>
        </row>
        <row r="30">
          <cell r="A30" t="str">
            <v>6228 МЯСНОЕ АССОРТИ к/з с/н мгс 1/90 10шт  Останкино</v>
          </cell>
          <cell r="D30" t="str">
            <v>шт</v>
          </cell>
          <cell r="F30">
            <v>244</v>
          </cell>
          <cell r="I30">
            <v>7</v>
          </cell>
          <cell r="J30">
            <v>237</v>
          </cell>
          <cell r="K30">
            <v>21.96</v>
          </cell>
          <cell r="M30">
            <v>0.63</v>
          </cell>
          <cell r="N30">
            <v>21.33</v>
          </cell>
        </row>
        <row r="31">
          <cell r="A31" t="str">
            <v>6279 КОРЕЙКА ПО-ОСТ.к/в в/с с/н в/у 1/150_45с  Останкино</v>
          </cell>
          <cell r="D31" t="str">
            <v>шт</v>
          </cell>
          <cell r="F31">
            <v>14</v>
          </cell>
          <cell r="I31">
            <v>14</v>
          </cell>
          <cell r="K31">
            <v>2.1</v>
          </cell>
          <cell r="M31">
            <v>2.1</v>
          </cell>
        </row>
        <row r="32">
          <cell r="A32" t="str">
            <v>6303 Мясные Папа может сос п/о мгс 1,5*3  Останкино</v>
          </cell>
          <cell r="D32" t="str">
            <v>кг</v>
          </cell>
          <cell r="F32">
            <v>382.726</v>
          </cell>
          <cell r="H32">
            <v>33.755000000000003</v>
          </cell>
          <cell r="I32">
            <v>324.16000000000003</v>
          </cell>
          <cell r="J32">
            <v>92.320999999999998</v>
          </cell>
          <cell r="K32">
            <v>382.726</v>
          </cell>
          <cell r="L32">
            <v>33.755000000000003</v>
          </cell>
          <cell r="M32">
            <v>324.16000000000003</v>
          </cell>
          <cell r="N32">
            <v>92.320999999999998</v>
          </cell>
        </row>
        <row r="33">
          <cell r="A33" t="str">
            <v>6325 ДОКТОРСКАЯ ПРЕМИУМ вар п/о 0.4кг 8шт.  ОСТАНКИНО</v>
          </cell>
          <cell r="D33" t="str">
            <v>шт</v>
          </cell>
          <cell r="F33">
            <v>165</v>
          </cell>
          <cell r="H33">
            <v>1</v>
          </cell>
          <cell r="I33">
            <v>63</v>
          </cell>
          <cell r="J33">
            <v>103</v>
          </cell>
          <cell r="K33">
            <v>66</v>
          </cell>
          <cell r="L33">
            <v>0.4</v>
          </cell>
          <cell r="M33">
            <v>25.2</v>
          </cell>
          <cell r="N33">
            <v>41.2</v>
          </cell>
        </row>
        <row r="34">
          <cell r="A34" t="str">
            <v>6333 МЯСНАЯ Папа может вар п/о 0.4кг 8шт.  ОСТАНКИНО</v>
          </cell>
          <cell r="D34" t="str">
            <v>шт</v>
          </cell>
          <cell r="F34">
            <v>168</v>
          </cell>
          <cell r="H34">
            <v>219</v>
          </cell>
          <cell r="I34">
            <v>127</v>
          </cell>
          <cell r="J34">
            <v>260</v>
          </cell>
          <cell r="K34">
            <v>67.2</v>
          </cell>
          <cell r="L34">
            <v>87.6</v>
          </cell>
          <cell r="M34">
            <v>50.8</v>
          </cell>
          <cell r="N34">
            <v>104</v>
          </cell>
        </row>
        <row r="35">
          <cell r="A35" t="str">
            <v>6364 СЕРВЕЛАТ ЗЕРНИСТЫЙ ПМ в/к в/у 0.35кг  ОСТАНКИНО</v>
          </cell>
          <cell r="D35" t="str">
            <v>шт</v>
          </cell>
          <cell r="F35">
            <v>-1</v>
          </cell>
          <cell r="J35">
            <v>-1</v>
          </cell>
          <cell r="K35">
            <v>-0.35</v>
          </cell>
          <cell r="N35">
            <v>-0.35</v>
          </cell>
        </row>
        <row r="36">
          <cell r="A36" t="str">
            <v>6392 ФИЛЕЙНАЯ Папа может вар п/о 0,4кг  ОСТАНКИНО</v>
          </cell>
          <cell r="D36" t="str">
            <v>шт</v>
          </cell>
          <cell r="F36">
            <v>182</v>
          </cell>
          <cell r="H36">
            <v>265</v>
          </cell>
          <cell r="I36">
            <v>127</v>
          </cell>
          <cell r="J36">
            <v>320</v>
          </cell>
          <cell r="K36">
            <v>72.8</v>
          </cell>
          <cell r="L36">
            <v>106</v>
          </cell>
          <cell r="M36">
            <v>50.8</v>
          </cell>
          <cell r="N36">
            <v>128</v>
          </cell>
        </row>
        <row r="37">
          <cell r="A37" t="str">
            <v>6495 ВЕТЧ.МРАМОРНАЯ в/у срез 0,3кг 6шт_45с  Останкино</v>
          </cell>
          <cell r="D37" t="str">
            <v>шт</v>
          </cell>
          <cell r="F37">
            <v>-1</v>
          </cell>
          <cell r="H37">
            <v>1</v>
          </cell>
          <cell r="K37">
            <v>-0.3</v>
          </cell>
          <cell r="L37">
            <v>0.3</v>
          </cell>
        </row>
        <row r="38">
          <cell r="A38" t="str">
            <v>6498 МОЛОЧНАЯ Папа может вар п/о  ОСТАНКИНО</v>
          </cell>
          <cell r="D38" t="str">
            <v>кг</v>
          </cell>
          <cell r="F38">
            <v>73.058000000000007</v>
          </cell>
          <cell r="H38">
            <v>3.9830000000000001</v>
          </cell>
          <cell r="I38">
            <v>20.954000000000001</v>
          </cell>
          <cell r="J38">
            <v>56.087000000000003</v>
          </cell>
          <cell r="K38">
            <v>73.058000000000007</v>
          </cell>
          <cell r="L38">
            <v>3.9830000000000001</v>
          </cell>
          <cell r="M38">
            <v>20.954000000000001</v>
          </cell>
          <cell r="N38">
            <v>56.087000000000003</v>
          </cell>
        </row>
        <row r="39">
          <cell r="A39" t="str">
            <v>6527 ШПИКАЧКИ СОЧНЫЕ ПМ сар б/о мгс 1*3 45с ОСТАНКИНО</v>
          </cell>
          <cell r="D39" t="str">
            <v>кг</v>
          </cell>
          <cell r="F39">
            <v>115.905</v>
          </cell>
          <cell r="I39">
            <v>31.385000000000002</v>
          </cell>
          <cell r="J39">
            <v>84.52</v>
          </cell>
          <cell r="K39">
            <v>115.905</v>
          </cell>
          <cell r="M39">
            <v>31.385000000000002</v>
          </cell>
          <cell r="N39">
            <v>84.52</v>
          </cell>
        </row>
        <row r="40">
          <cell r="A40" t="str">
            <v>6550 МЯСНЫЕ Папа может сар б/о мгс 1*3 О 45с  Останкино</v>
          </cell>
          <cell r="D40" t="str">
            <v>кг</v>
          </cell>
          <cell r="F40">
            <v>228.852</v>
          </cell>
          <cell r="I40">
            <v>270.40800000000002</v>
          </cell>
          <cell r="J40">
            <v>-41.555999999999997</v>
          </cell>
          <cell r="K40">
            <v>228.852</v>
          </cell>
          <cell r="M40">
            <v>270.40800000000002</v>
          </cell>
          <cell r="N40">
            <v>-41.555999999999997</v>
          </cell>
        </row>
        <row r="41">
          <cell r="A41" t="str">
            <v>6608 С ГОВЯДИНОЙ ОРИГИН. сар б/о мгс 1*3_45с  ОСТАНКИНО</v>
          </cell>
          <cell r="D41" t="str">
            <v>кг</v>
          </cell>
          <cell r="F41">
            <v>43.436</v>
          </cell>
          <cell r="H41">
            <v>12.481</v>
          </cell>
          <cell r="I41">
            <v>29.417999999999999</v>
          </cell>
          <cell r="J41">
            <v>26.498999999999999</v>
          </cell>
          <cell r="K41">
            <v>43.436</v>
          </cell>
          <cell r="L41">
            <v>12.481</v>
          </cell>
          <cell r="M41">
            <v>29.417999999999999</v>
          </cell>
          <cell r="N41">
            <v>26.498999999999999</v>
          </cell>
        </row>
        <row r="42">
          <cell r="A42" t="str">
            <v>6616 МОЛОЧНЫЕ КЛАССИЧЕСКИЕ сос п/о в/у 0,3 кг  Останкино</v>
          </cell>
          <cell r="D42" t="str">
            <v>шт</v>
          </cell>
          <cell r="F42">
            <v>291</v>
          </cell>
          <cell r="H42">
            <v>48</v>
          </cell>
          <cell r="I42">
            <v>210</v>
          </cell>
          <cell r="J42">
            <v>129</v>
          </cell>
          <cell r="K42">
            <v>87.3</v>
          </cell>
          <cell r="L42">
            <v>14.4</v>
          </cell>
          <cell r="M42">
            <v>63</v>
          </cell>
          <cell r="N42">
            <v>38.700000000000003</v>
          </cell>
        </row>
        <row r="43">
          <cell r="A43" t="str">
            <v>6620 РЕБРЫШКИ к/в в/у_30с  Останкино</v>
          </cell>
          <cell r="D43" t="str">
            <v>кг</v>
          </cell>
          <cell r="F43">
            <v>164.86</v>
          </cell>
          <cell r="H43">
            <v>1.1060000000000001</v>
          </cell>
          <cell r="I43">
            <v>60.142000000000003</v>
          </cell>
          <cell r="J43">
            <v>105.824</v>
          </cell>
          <cell r="K43">
            <v>164.86</v>
          </cell>
          <cell r="L43">
            <v>1.1060000000000001</v>
          </cell>
          <cell r="M43">
            <v>60.142000000000003</v>
          </cell>
          <cell r="N43">
            <v>105.824</v>
          </cell>
        </row>
        <row r="44">
          <cell r="A44" t="str">
            <v>6661 СОЧНЫЙ ГРИЛЬ ПМ сос п/о мгс 1,5*4_Маяк Останкино</v>
          </cell>
          <cell r="D44" t="str">
            <v>кг</v>
          </cell>
          <cell r="F44">
            <v>54.067999999999998</v>
          </cell>
          <cell r="I44">
            <v>20.079000000000001</v>
          </cell>
          <cell r="J44">
            <v>33.988999999999997</v>
          </cell>
          <cell r="K44">
            <v>54.067999999999998</v>
          </cell>
          <cell r="M44">
            <v>20.079000000000001</v>
          </cell>
          <cell r="N44">
            <v>33.988999999999997</v>
          </cell>
        </row>
        <row r="45">
          <cell r="A45" t="str">
            <v>6697 СЕРВЕЛАТ ФИНСКИЙ ПМ в/к в/у 0,35кг 8шт  ОСТАНКИНО</v>
          </cell>
          <cell r="D45" t="str">
            <v>шт</v>
          </cell>
          <cell r="F45">
            <v>26</v>
          </cell>
          <cell r="H45">
            <v>696</v>
          </cell>
          <cell r="I45">
            <v>94</v>
          </cell>
          <cell r="J45">
            <v>628</v>
          </cell>
          <cell r="K45">
            <v>9.1</v>
          </cell>
          <cell r="L45">
            <v>243.6</v>
          </cell>
          <cell r="M45">
            <v>32.9</v>
          </cell>
          <cell r="N45">
            <v>219.8</v>
          </cell>
        </row>
        <row r="46">
          <cell r="A46" t="str">
            <v>6713 СОЧНЫЙ ГРИЛЬ ПМ сос п/о мгс 0,41кг 8 шт.  ОСТАНКИНО</v>
          </cell>
          <cell r="D46" t="str">
            <v>шт</v>
          </cell>
          <cell r="F46">
            <v>1</v>
          </cell>
          <cell r="H46">
            <v>3</v>
          </cell>
          <cell r="I46">
            <v>4</v>
          </cell>
          <cell r="K46">
            <v>0.41</v>
          </cell>
          <cell r="L46">
            <v>1.23</v>
          </cell>
          <cell r="M46">
            <v>1.64</v>
          </cell>
        </row>
        <row r="47">
          <cell r="A47" t="str">
            <v>6724 МОЛОЧНЫЕ ПМ сос п/о мгс 0,41кг 10шт  Останкино</v>
          </cell>
          <cell r="D47" t="str">
            <v>шт</v>
          </cell>
          <cell r="F47">
            <v>87</v>
          </cell>
          <cell r="H47">
            <v>131</v>
          </cell>
          <cell r="I47">
            <v>99</v>
          </cell>
          <cell r="J47">
            <v>119</v>
          </cell>
          <cell r="K47">
            <v>35.67</v>
          </cell>
          <cell r="L47">
            <v>53.71</v>
          </cell>
          <cell r="M47">
            <v>40.590000000000003</v>
          </cell>
          <cell r="N47">
            <v>48.79</v>
          </cell>
        </row>
        <row r="48">
          <cell r="A48" t="str">
            <v>6759 МОЛОЧНЫЕ ГОСТ сос ц/о мгс 0,4кг 7 шт  Останкино</v>
          </cell>
          <cell r="D48" t="str">
            <v>шт</v>
          </cell>
          <cell r="H48">
            <v>49</v>
          </cell>
          <cell r="J48">
            <v>49</v>
          </cell>
          <cell r="L48">
            <v>19.600000000000001</v>
          </cell>
          <cell r="N48">
            <v>19.600000000000001</v>
          </cell>
        </row>
        <row r="49">
          <cell r="A49" t="str">
            <v>6761 МОЛОЧНЫЕ ГОСТ сос ц/о мгс 1*4  Останкино</v>
          </cell>
          <cell r="D49" t="str">
            <v>кг</v>
          </cell>
          <cell r="F49">
            <v>16.449000000000002</v>
          </cell>
          <cell r="J49">
            <v>16.449000000000002</v>
          </cell>
          <cell r="K49">
            <v>16.449000000000002</v>
          </cell>
          <cell r="N49">
            <v>16.449000000000002</v>
          </cell>
        </row>
        <row r="50">
          <cell r="A50" t="str">
            <v>6764 СЛИИВОЧНЫЕ сос ц/о мгс 1*4  Останкино</v>
          </cell>
          <cell r="D50" t="str">
            <v>кг</v>
          </cell>
          <cell r="F50">
            <v>48.963999999999999</v>
          </cell>
          <cell r="I50">
            <v>11.246</v>
          </cell>
          <cell r="J50">
            <v>37.718000000000004</v>
          </cell>
          <cell r="K50">
            <v>48.963999999999999</v>
          </cell>
          <cell r="M50">
            <v>11.246</v>
          </cell>
          <cell r="N50">
            <v>37.718000000000004</v>
          </cell>
        </row>
        <row r="51">
          <cell r="A51" t="str">
            <v>6765 РУБЛЕНЫЕ сос ц/о мгс 0,36кг 6шт  Останкино</v>
          </cell>
          <cell r="D51" t="str">
            <v>шт</v>
          </cell>
          <cell r="F51">
            <v>46</v>
          </cell>
          <cell r="I51">
            <v>25</v>
          </cell>
          <cell r="J51">
            <v>21</v>
          </cell>
          <cell r="K51">
            <v>16.559999999999999</v>
          </cell>
          <cell r="M51">
            <v>9</v>
          </cell>
          <cell r="N51">
            <v>7.56</v>
          </cell>
        </row>
        <row r="52">
          <cell r="A52" t="str">
            <v>6787 СЕРВЕЛАТ КРЕМЛЕВСКИЙ в/к в/у 0,33кг 8шт  Останкино</v>
          </cell>
          <cell r="D52" t="str">
            <v>шт</v>
          </cell>
          <cell r="F52">
            <v>100</v>
          </cell>
          <cell r="H52">
            <v>84</v>
          </cell>
          <cell r="I52">
            <v>79</v>
          </cell>
          <cell r="J52">
            <v>105</v>
          </cell>
          <cell r="K52">
            <v>33</v>
          </cell>
          <cell r="L52">
            <v>27.72</v>
          </cell>
          <cell r="M52">
            <v>26.07</v>
          </cell>
          <cell r="N52">
            <v>34.65</v>
          </cell>
        </row>
        <row r="53">
          <cell r="A53" t="str">
            <v>6797 С ИНДЕЙКОЙ Папа может вар п/о 0,4кг 8шт. ОСТАНКИНО</v>
          </cell>
          <cell r="D53" t="str">
            <v>шт</v>
          </cell>
          <cell r="F53">
            <v>75</v>
          </cell>
          <cell r="H53">
            <v>177</v>
          </cell>
          <cell r="I53">
            <v>73</v>
          </cell>
          <cell r="J53">
            <v>179</v>
          </cell>
          <cell r="K53">
            <v>30</v>
          </cell>
          <cell r="L53">
            <v>70.8</v>
          </cell>
          <cell r="M53">
            <v>29.2</v>
          </cell>
          <cell r="N53">
            <v>71.599999999999994</v>
          </cell>
        </row>
        <row r="54">
          <cell r="A54" t="str">
            <v>6807 СЕРВЕЛАТ ЕВРОПЕЙСКИЙ в/к в/у 0,33кг 8шт  Останкино</v>
          </cell>
          <cell r="D54" t="str">
            <v>шт</v>
          </cell>
          <cell r="H54">
            <v>16</v>
          </cell>
          <cell r="I54">
            <v>3</v>
          </cell>
          <cell r="J54">
            <v>13</v>
          </cell>
          <cell r="L54">
            <v>5.28</v>
          </cell>
          <cell r="M54">
            <v>0.99</v>
          </cell>
          <cell r="N54">
            <v>4.29</v>
          </cell>
        </row>
        <row r="55">
          <cell r="A55" t="str">
            <v>6829  МОЛОЧНЫЕ КЛАССИЧЕСКИЕ сос п/о мгс 2*4 С  Останккино</v>
          </cell>
          <cell r="D55" t="str">
            <v>кг</v>
          </cell>
          <cell r="F55">
            <v>136.96799999999999</v>
          </cell>
          <cell r="H55">
            <v>236.30500000000001</v>
          </cell>
          <cell r="I55">
            <v>245.90899999999999</v>
          </cell>
          <cell r="J55">
            <v>127.364</v>
          </cell>
          <cell r="K55">
            <v>136.96799999999999</v>
          </cell>
          <cell r="L55">
            <v>236.30500000000001</v>
          </cell>
          <cell r="M55">
            <v>245.90899999999999</v>
          </cell>
          <cell r="N55">
            <v>127.364</v>
          </cell>
        </row>
        <row r="56">
          <cell r="A56" t="str">
            <v>6837 ФИЛЕЙНЫЕ Папа Может сос ц/о мгс 0,4кг  Останкино</v>
          </cell>
          <cell r="D56" t="str">
            <v>шт</v>
          </cell>
          <cell r="F56">
            <v>107</v>
          </cell>
          <cell r="H56">
            <v>1</v>
          </cell>
          <cell r="I56">
            <v>61</v>
          </cell>
          <cell r="J56">
            <v>47</v>
          </cell>
          <cell r="K56">
            <v>42.8</v>
          </cell>
          <cell r="L56">
            <v>0.4</v>
          </cell>
          <cell r="M56">
            <v>24.4</v>
          </cell>
          <cell r="N56">
            <v>18.8</v>
          </cell>
        </row>
        <row r="57">
          <cell r="A57" t="str">
            <v>6866 ВЕТЧ.НЕЖНАЯ Коровино п/о_Маяк  Останкино</v>
          </cell>
          <cell r="D57" t="str">
            <v>кг</v>
          </cell>
          <cell r="F57">
            <v>180.22</v>
          </cell>
          <cell r="I57">
            <v>68.260000000000005</v>
          </cell>
          <cell r="J57">
            <v>111.96</v>
          </cell>
          <cell r="K57">
            <v>180.22</v>
          </cell>
          <cell r="M57">
            <v>68.260000000000005</v>
          </cell>
          <cell r="N57">
            <v>111.96</v>
          </cell>
        </row>
        <row r="58">
          <cell r="A58" t="str">
            <v>6929 КАРБОНАД ДОМАШНИЙ ПМ к/в кр/к в/у  ОСТАНКИНО</v>
          </cell>
          <cell r="D58" t="str">
            <v>кг</v>
          </cell>
          <cell r="F58">
            <v>113.86799999999999</v>
          </cell>
          <cell r="I58">
            <v>18.218</v>
          </cell>
          <cell r="J58">
            <v>95.65</v>
          </cell>
          <cell r="K58">
            <v>113.86799999999999</v>
          </cell>
          <cell r="M58">
            <v>18.218</v>
          </cell>
          <cell r="N58">
            <v>95.65</v>
          </cell>
        </row>
        <row r="59">
          <cell r="A59" t="str">
            <v>6967 БУРГУНДИЯ Папа может с/к в/у 1/250 8шт  Останкино</v>
          </cell>
          <cell r="D59" t="str">
            <v>шт</v>
          </cell>
          <cell r="F59">
            <v>25</v>
          </cell>
          <cell r="H59">
            <v>58</v>
          </cell>
          <cell r="I59">
            <v>28</v>
          </cell>
          <cell r="J59">
            <v>55</v>
          </cell>
          <cell r="K59">
            <v>6.25</v>
          </cell>
          <cell r="L59">
            <v>14.5</v>
          </cell>
          <cell r="M59">
            <v>7</v>
          </cell>
          <cell r="N59">
            <v>13.75</v>
          </cell>
        </row>
        <row r="60">
          <cell r="A60" t="str">
            <v>7001 КЛАССИЧЕСКИЕ Папа может сар б/о мгс 1*3  Останкино</v>
          </cell>
          <cell r="D60" t="str">
            <v>кг</v>
          </cell>
          <cell r="F60">
            <v>12.374000000000001</v>
          </cell>
          <cell r="I60">
            <v>10.316000000000001</v>
          </cell>
          <cell r="J60">
            <v>2.0579999999999998</v>
          </cell>
          <cell r="K60">
            <v>12.374000000000001</v>
          </cell>
          <cell r="M60">
            <v>10.316000000000001</v>
          </cell>
          <cell r="N60">
            <v>2.0579999999999998</v>
          </cell>
        </row>
        <row r="61">
          <cell r="A61" t="str">
            <v>7040 С ИНДЕЙКОЙ ПМ сос ц/о в/у 1/270 8шт.  ОСТАНКИНО</v>
          </cell>
          <cell r="D61" t="str">
            <v>шт</v>
          </cell>
          <cell r="F61">
            <v>338</v>
          </cell>
          <cell r="H61">
            <v>2</v>
          </cell>
          <cell r="I61">
            <v>89</v>
          </cell>
          <cell r="J61">
            <v>251</v>
          </cell>
          <cell r="K61">
            <v>91.26</v>
          </cell>
          <cell r="L61">
            <v>0.54</v>
          </cell>
          <cell r="M61">
            <v>24.03</v>
          </cell>
          <cell r="N61">
            <v>67.77</v>
          </cell>
        </row>
        <row r="62">
          <cell r="A62" t="str">
            <v>7059 ШПИКАЧКИ СОЧНЫЕ С БЕК. п/о мгс 0,3кг 60с ОСТАНКИНО</v>
          </cell>
          <cell r="D62" t="str">
            <v>шт</v>
          </cell>
          <cell r="F62">
            <v>70</v>
          </cell>
          <cell r="H62">
            <v>65</v>
          </cell>
          <cell r="I62">
            <v>78</v>
          </cell>
          <cell r="J62">
            <v>57</v>
          </cell>
          <cell r="K62">
            <v>21</v>
          </cell>
          <cell r="L62">
            <v>19.5</v>
          </cell>
          <cell r="M62">
            <v>23.4</v>
          </cell>
          <cell r="N62">
            <v>17.100000000000001</v>
          </cell>
        </row>
        <row r="63">
          <cell r="A63" t="str">
            <v>7066 СОЧНЫЕ ПМ сос п/о мгс 0,41кг 10шт 50с  Останкино</v>
          </cell>
          <cell r="D63" t="str">
            <v>шт</v>
          </cell>
          <cell r="F63">
            <v>714</v>
          </cell>
          <cell r="H63">
            <v>201</v>
          </cell>
          <cell r="I63">
            <v>383</v>
          </cell>
          <cell r="J63">
            <v>532</v>
          </cell>
          <cell r="K63">
            <v>292.74</v>
          </cell>
          <cell r="L63">
            <v>82.41</v>
          </cell>
          <cell r="M63">
            <v>157.03</v>
          </cell>
          <cell r="N63">
            <v>218.12</v>
          </cell>
        </row>
        <row r="64">
          <cell r="A64" t="str">
            <v>7070 СОЧНЫЕ ПМ сос п/о 1,5*4_А_50с  Останкино</v>
          </cell>
          <cell r="D64" t="str">
            <v>кг</v>
          </cell>
          <cell r="F64">
            <v>40.475000000000001</v>
          </cell>
          <cell r="H64">
            <v>87.542000000000002</v>
          </cell>
          <cell r="I64">
            <v>63.948999999999998</v>
          </cell>
          <cell r="J64">
            <v>64.067999999999998</v>
          </cell>
          <cell r="K64">
            <v>40.475000000000001</v>
          </cell>
          <cell r="L64">
            <v>87.542000000000002</v>
          </cell>
          <cell r="M64">
            <v>63.948999999999998</v>
          </cell>
          <cell r="N64">
            <v>64.067999999999998</v>
          </cell>
        </row>
        <row r="65">
          <cell r="A65" t="str">
            <v>7073 МОЛОЧ.ПРЕМИУМ ПМ сос п/о в/у 1/350_50с  Останкино</v>
          </cell>
          <cell r="D65" t="str">
            <v>шт</v>
          </cell>
          <cell r="F65">
            <v>405</v>
          </cell>
          <cell r="H65">
            <v>1</v>
          </cell>
          <cell r="I65">
            <v>64</v>
          </cell>
          <cell r="J65">
            <v>342</v>
          </cell>
          <cell r="K65">
            <v>141.75</v>
          </cell>
          <cell r="L65">
            <v>0.35</v>
          </cell>
          <cell r="M65">
            <v>22.4</v>
          </cell>
          <cell r="N65">
            <v>119.7</v>
          </cell>
        </row>
        <row r="66">
          <cell r="A66" t="str">
            <v>7075 МОЛОЧ.ПРЕМИУМ ПМ сос п/о мгс 1,5*4_О_50с  Останкино</v>
          </cell>
          <cell r="D66" t="str">
            <v>кг</v>
          </cell>
          <cell r="F66">
            <v>23.547999999999998</v>
          </cell>
          <cell r="H66">
            <v>12.157</v>
          </cell>
          <cell r="I66">
            <v>17.225000000000001</v>
          </cell>
          <cell r="J66">
            <v>18.48</v>
          </cell>
          <cell r="K66">
            <v>23.547999999999998</v>
          </cell>
          <cell r="L66">
            <v>12.157</v>
          </cell>
          <cell r="M66">
            <v>17.225000000000001</v>
          </cell>
          <cell r="N66">
            <v>18.48</v>
          </cell>
        </row>
        <row r="67">
          <cell r="A67" t="str">
            <v>7080 СЛИВОЧНЫЕ ПМ сос п/о мгс 0,41кг 10шт 50с  Останкино</v>
          </cell>
          <cell r="D67" t="str">
            <v>шт</v>
          </cell>
          <cell r="F67">
            <v>289</v>
          </cell>
          <cell r="H67">
            <v>203</v>
          </cell>
          <cell r="I67">
            <v>226</v>
          </cell>
          <cell r="J67">
            <v>266</v>
          </cell>
          <cell r="K67">
            <v>118.49</v>
          </cell>
          <cell r="L67">
            <v>83.23</v>
          </cell>
          <cell r="M67">
            <v>92.66</v>
          </cell>
          <cell r="N67">
            <v>109.06</v>
          </cell>
        </row>
        <row r="68">
          <cell r="A68" t="str">
            <v>7083 СЛИВОЧНЫЕ ПМ сос п/о мгс 1.5*4_А_50с  ОСТАНКИНО</v>
          </cell>
          <cell r="D68" t="str">
            <v>кг</v>
          </cell>
          <cell r="H68">
            <v>100.319</v>
          </cell>
          <cell r="I68">
            <v>4.6890000000000001</v>
          </cell>
          <cell r="J68">
            <v>95.63</v>
          </cell>
          <cell r="L68">
            <v>100.319</v>
          </cell>
          <cell r="M68">
            <v>4.6890000000000001</v>
          </cell>
          <cell r="N68">
            <v>95.63</v>
          </cell>
        </row>
        <row r="69">
          <cell r="A69" t="str">
            <v>7090 СВИНИНА ПО-ДОМ.к/в мл/к в/у 0,3кг_50с  Останкино</v>
          </cell>
          <cell r="D69" t="str">
            <v>шт</v>
          </cell>
          <cell r="F69">
            <v>3</v>
          </cell>
          <cell r="H69">
            <v>180</v>
          </cell>
          <cell r="I69">
            <v>40</v>
          </cell>
          <cell r="J69">
            <v>143</v>
          </cell>
          <cell r="K69">
            <v>0.9</v>
          </cell>
          <cell r="L69">
            <v>54</v>
          </cell>
          <cell r="M69">
            <v>12</v>
          </cell>
          <cell r="N69">
            <v>42.9</v>
          </cell>
        </row>
        <row r="70">
          <cell r="A70" t="str">
            <v>7103 БЕКОН Останкино с/к с/н в/у 1/180_50с  Останкино</v>
          </cell>
          <cell r="D70" t="str">
            <v>шт</v>
          </cell>
          <cell r="F70">
            <v>106</v>
          </cell>
          <cell r="I70">
            <v>26</v>
          </cell>
          <cell r="J70">
            <v>80</v>
          </cell>
          <cell r="K70">
            <v>19.079999999999998</v>
          </cell>
          <cell r="M70">
            <v>4.68</v>
          </cell>
          <cell r="N70">
            <v>14.4</v>
          </cell>
        </row>
        <row r="71">
          <cell r="A71" t="str">
            <v>7143 БРАУНШВЕЙГСКАЯ ГОСТ с/к в/у 1/220 8шт.  ОСТАНКИНО</v>
          </cell>
          <cell r="D71" t="str">
            <v>шт</v>
          </cell>
          <cell r="F71">
            <v>67</v>
          </cell>
          <cell r="H71">
            <v>2</v>
          </cell>
          <cell r="I71">
            <v>18</v>
          </cell>
          <cell r="J71">
            <v>51</v>
          </cell>
          <cell r="K71">
            <v>14.74</v>
          </cell>
          <cell r="L71">
            <v>0.44</v>
          </cell>
          <cell r="M71">
            <v>3.96</v>
          </cell>
          <cell r="N71">
            <v>11.22</v>
          </cell>
        </row>
        <row r="72">
          <cell r="A72" t="str">
            <v>7154 СЕРВЕЛАТ ЗЕРНИСТЫЙ ПМ в/к в/у 0,35кг_50с  Останкино</v>
          </cell>
          <cell r="D72" t="str">
            <v>шт</v>
          </cell>
          <cell r="F72">
            <v>104</v>
          </cell>
          <cell r="H72">
            <v>225</v>
          </cell>
          <cell r="I72">
            <v>146</v>
          </cell>
          <cell r="J72">
            <v>183</v>
          </cell>
          <cell r="K72">
            <v>36.4</v>
          </cell>
          <cell r="L72">
            <v>78.75</v>
          </cell>
          <cell r="M72">
            <v>51.1</v>
          </cell>
          <cell r="N72">
            <v>64.05</v>
          </cell>
        </row>
        <row r="73">
          <cell r="A73" t="str">
            <v>7157 СЕРВЕЛАТ ЗЕРНИСТЫЙ ПМ в/к в/у_50с  Останкино</v>
          </cell>
          <cell r="D73" t="str">
            <v>кг</v>
          </cell>
          <cell r="F73">
            <v>65.513999999999996</v>
          </cell>
          <cell r="H73">
            <v>156.94</v>
          </cell>
          <cell r="I73">
            <v>81.343000000000004</v>
          </cell>
          <cell r="J73">
            <v>141.11099999999999</v>
          </cell>
          <cell r="K73">
            <v>65.513999999999996</v>
          </cell>
          <cell r="L73">
            <v>156.94</v>
          </cell>
          <cell r="M73">
            <v>81.343000000000004</v>
          </cell>
          <cell r="N73">
            <v>141.11099999999999</v>
          </cell>
        </row>
        <row r="74">
          <cell r="A74" t="str">
            <v>7166 СЕРВЕЛАТ ОХОТНИЧИЙ ПМ в/к в/у_50с  Останкино</v>
          </cell>
          <cell r="D74" t="str">
            <v>кг</v>
          </cell>
          <cell r="F74">
            <v>56.838999999999999</v>
          </cell>
          <cell r="H74">
            <v>296.565</v>
          </cell>
          <cell r="I74">
            <v>81.353999999999999</v>
          </cell>
          <cell r="J74">
            <v>272.05</v>
          </cell>
          <cell r="K74">
            <v>56.838999999999999</v>
          </cell>
          <cell r="L74">
            <v>296.565</v>
          </cell>
          <cell r="M74">
            <v>81.353999999999999</v>
          </cell>
          <cell r="N74">
            <v>272.05</v>
          </cell>
        </row>
        <row r="75">
          <cell r="A75" t="str">
            <v>7169 СЕРВЕЛАТ ОХОТНИЧИЙ ПМ в/к в/у 0,35кг_50с  Останкино</v>
          </cell>
          <cell r="D75" t="str">
            <v>шт</v>
          </cell>
          <cell r="F75">
            <v>250</v>
          </cell>
          <cell r="H75">
            <v>147</v>
          </cell>
          <cell r="I75">
            <v>228</v>
          </cell>
          <cell r="J75">
            <v>169</v>
          </cell>
          <cell r="K75">
            <v>87.5</v>
          </cell>
          <cell r="L75">
            <v>51.45</v>
          </cell>
          <cell r="M75">
            <v>79.8</v>
          </cell>
          <cell r="N75">
            <v>59.15</v>
          </cell>
        </row>
        <row r="76">
          <cell r="A76" t="str">
            <v>7187 ГРУДИНКА ПРЕМИУМ к/в мл/к в/у 0,3кг_50с  Останкино</v>
          </cell>
          <cell r="D76" t="str">
            <v>шт</v>
          </cell>
          <cell r="F76">
            <v>121</v>
          </cell>
          <cell r="H76">
            <v>84</v>
          </cell>
          <cell r="I76">
            <v>144</v>
          </cell>
          <cell r="J76">
            <v>61</v>
          </cell>
          <cell r="K76">
            <v>36.299999999999997</v>
          </cell>
          <cell r="L76">
            <v>25.2</v>
          </cell>
          <cell r="M76">
            <v>43.2</v>
          </cell>
          <cell r="N76">
            <v>18.3</v>
          </cell>
        </row>
        <row r="77">
          <cell r="A77" t="str">
            <v>7231 КЛАССИЧЕСКАЯ ПМ вар п/о 0,3кг 8 шт_209к  Останкино</v>
          </cell>
          <cell r="D77" t="str">
            <v>шт</v>
          </cell>
          <cell r="F77">
            <v>12</v>
          </cell>
          <cell r="H77">
            <v>1</v>
          </cell>
          <cell r="I77">
            <v>13</v>
          </cell>
          <cell r="K77">
            <v>3.6</v>
          </cell>
          <cell r="L77">
            <v>0.3</v>
          </cell>
          <cell r="M77">
            <v>3.9</v>
          </cell>
        </row>
        <row r="78">
          <cell r="A78" t="str">
            <v>7232 БОЯNСКАЯ ПМ п/к в/у 0,28кг 8шт_209к  Останкино</v>
          </cell>
          <cell r="D78" t="str">
            <v>шт</v>
          </cell>
          <cell r="F78">
            <v>110</v>
          </cell>
          <cell r="H78">
            <v>3</v>
          </cell>
          <cell r="I78">
            <v>111</v>
          </cell>
          <cell r="J78">
            <v>2</v>
          </cell>
          <cell r="K78">
            <v>30.8</v>
          </cell>
          <cell r="L78">
            <v>0.84</v>
          </cell>
          <cell r="M78">
            <v>31.08</v>
          </cell>
          <cell r="N78">
            <v>0.56000000000000005</v>
          </cell>
        </row>
        <row r="79">
          <cell r="A79" t="str">
            <v>7236 СЕРВЕЛАТ КАРЕЛЬСКИЙ в/к в/у 0,28кг_209к  Останкино</v>
          </cell>
          <cell r="D79" t="str">
            <v>шт</v>
          </cell>
          <cell r="F79">
            <v>212</v>
          </cell>
          <cell r="H79">
            <v>3</v>
          </cell>
          <cell r="I79">
            <v>110</v>
          </cell>
          <cell r="J79">
            <v>105</v>
          </cell>
          <cell r="K79">
            <v>59.36</v>
          </cell>
          <cell r="L79">
            <v>0.84</v>
          </cell>
          <cell r="M79">
            <v>30.8</v>
          </cell>
          <cell r="N79">
            <v>29.4</v>
          </cell>
        </row>
        <row r="80">
          <cell r="A80" t="str">
            <v>7241 САЛЯМИ Папа может п/к в/у 0,28кг ОСТАНКИНО</v>
          </cell>
          <cell r="D80" t="str">
            <v>шт</v>
          </cell>
          <cell r="F80">
            <v>1</v>
          </cell>
          <cell r="H80">
            <v>178</v>
          </cell>
          <cell r="I80">
            <v>40</v>
          </cell>
          <cell r="J80">
            <v>139</v>
          </cell>
          <cell r="K80">
            <v>0.28000000000000003</v>
          </cell>
          <cell r="L80">
            <v>49.84</v>
          </cell>
          <cell r="M80">
            <v>11.2</v>
          </cell>
          <cell r="N80">
            <v>38.92</v>
          </cell>
        </row>
        <row r="81">
          <cell r="A81" t="str">
            <v>7255 МЯСНЫЕ С ГОВЯД.ПМ сос п/о мгс 0.4кг 6шт.  ОСТАНКИНО</v>
          </cell>
          <cell r="D81" t="str">
            <v>шт</v>
          </cell>
          <cell r="F81">
            <v>184</v>
          </cell>
          <cell r="H81">
            <v>1</v>
          </cell>
          <cell r="I81">
            <v>177</v>
          </cell>
          <cell r="J81">
            <v>8</v>
          </cell>
          <cell r="K81">
            <v>73.599999999999994</v>
          </cell>
          <cell r="L81">
            <v>0.4</v>
          </cell>
          <cell r="M81">
            <v>70.8</v>
          </cell>
          <cell r="N81">
            <v>3.2</v>
          </cell>
        </row>
        <row r="82">
          <cell r="A82" t="str">
            <v>7299 НАБОР ДЛЯ ПИЦЦЫ Папа Может с/к в/у  ОСТАНКИНО</v>
          </cell>
          <cell r="D82" t="str">
            <v>кг</v>
          </cell>
          <cell r="F82">
            <v>10.555</v>
          </cell>
          <cell r="I82">
            <v>0.67500000000000004</v>
          </cell>
          <cell r="J82">
            <v>9.8800000000000008</v>
          </cell>
          <cell r="K82">
            <v>10.555</v>
          </cell>
          <cell r="M82">
            <v>0.67500000000000004</v>
          </cell>
          <cell r="N82">
            <v>9.8800000000000008</v>
          </cell>
        </row>
        <row r="83">
          <cell r="A83" t="str">
            <v>7344 КОНСЕРВЫ МЯС.ГОВЯДИНА ТУШ. В/С 338г_ЧЗ  ОСТАНКИНО</v>
          </cell>
          <cell r="D83" t="str">
            <v>шт</v>
          </cell>
          <cell r="F83">
            <v>244</v>
          </cell>
          <cell r="I83">
            <v>4</v>
          </cell>
          <cell r="J83">
            <v>240</v>
          </cell>
          <cell r="K83">
            <v>82.471999999999994</v>
          </cell>
          <cell r="M83">
            <v>1.3520000000000001</v>
          </cell>
          <cell r="N83">
            <v>81.12</v>
          </cell>
        </row>
        <row r="84">
          <cell r="A84" t="str">
            <v>7345 КОНСЕРВЫ МЯС.СВИНИНА ТУШ. В/С 325г_ЧЗ  ОСТАНКИНО</v>
          </cell>
          <cell r="D84" t="str">
            <v>шт</v>
          </cell>
          <cell r="F84">
            <v>332</v>
          </cell>
          <cell r="I84">
            <v>11</v>
          </cell>
          <cell r="J84">
            <v>321</v>
          </cell>
          <cell r="K84">
            <v>107.9</v>
          </cell>
          <cell r="M84">
            <v>3.5750000000000002</v>
          </cell>
          <cell r="N84">
            <v>104.325</v>
          </cell>
        </row>
        <row r="85">
          <cell r="A85" t="str">
            <v>7382  САЛЯМИ МЕЛКОЗЕРНЕНАЯ с/к в/у1/120 8шт.  ОСТАНКИНО</v>
          </cell>
          <cell r="D85" t="str">
            <v>шт</v>
          </cell>
          <cell r="F85">
            <v>89</v>
          </cell>
          <cell r="H85">
            <v>2</v>
          </cell>
          <cell r="I85">
            <v>88</v>
          </cell>
          <cell r="J85">
            <v>3</v>
          </cell>
          <cell r="K85">
            <v>10.68</v>
          </cell>
          <cell r="L85">
            <v>0.24</v>
          </cell>
          <cell r="M85">
            <v>10.56</v>
          </cell>
          <cell r="N85">
            <v>0.36</v>
          </cell>
        </row>
        <row r="86">
          <cell r="A86" t="str">
            <v>7386 БАРСЕЛОНА ПМ с/к в/у 1/150  ОСТАНКИНО</v>
          </cell>
          <cell r="D86" t="str">
            <v>шт</v>
          </cell>
          <cell r="F86">
            <v>-1</v>
          </cell>
          <cell r="H86">
            <v>145</v>
          </cell>
          <cell r="I86">
            <v>21</v>
          </cell>
          <cell r="J86">
            <v>123</v>
          </cell>
          <cell r="K86">
            <v>-0.15</v>
          </cell>
          <cell r="L86">
            <v>21.75</v>
          </cell>
          <cell r="M86">
            <v>3.15</v>
          </cell>
          <cell r="N86">
            <v>18.45</v>
          </cell>
        </row>
        <row r="87">
          <cell r="A87" t="str">
            <v>7456 САЛЯМИ ФИНСКАЯ Папа может с/к в/у 1/150  ОСТАНКИНО</v>
          </cell>
          <cell r="D87" t="str">
            <v>шт</v>
          </cell>
          <cell r="F87">
            <v>134</v>
          </cell>
          <cell r="H87">
            <v>216</v>
          </cell>
          <cell r="I87">
            <v>56</v>
          </cell>
          <cell r="J87">
            <v>294</v>
          </cell>
          <cell r="K87">
            <v>20.100000000000001</v>
          </cell>
          <cell r="L87">
            <v>32.4</v>
          </cell>
          <cell r="M87">
            <v>8.4</v>
          </cell>
          <cell r="N87">
            <v>44.1</v>
          </cell>
        </row>
        <row r="88">
          <cell r="A88" t="str">
            <v>7461 ДЛЯ ДЕТЕЙ Папа Может сос п/о мгс 0,33кг ОСТАНКИНО</v>
          </cell>
          <cell r="D88" t="str">
            <v>шт</v>
          </cell>
          <cell r="F88">
            <v>47</v>
          </cell>
          <cell r="H88">
            <v>151</v>
          </cell>
          <cell r="I88">
            <v>62</v>
          </cell>
          <cell r="J88">
            <v>136</v>
          </cell>
          <cell r="K88">
            <v>15.51</v>
          </cell>
          <cell r="L88">
            <v>49.83</v>
          </cell>
          <cell r="M88">
            <v>20.46</v>
          </cell>
          <cell r="N88">
            <v>44.88</v>
          </cell>
        </row>
        <row r="89">
          <cell r="A89" t="str">
            <v>7485 РИЕТ МЯСНОЙ С ГРИБАМИ ПМ п/о 1/150  ОСТАНКИНО</v>
          </cell>
          <cell r="D89" t="str">
            <v>шт</v>
          </cell>
          <cell r="F89">
            <v>29</v>
          </cell>
          <cell r="I89">
            <v>30</v>
          </cell>
          <cell r="J89">
            <v>-1</v>
          </cell>
          <cell r="K89">
            <v>4.3499999999999996</v>
          </cell>
          <cell r="M89">
            <v>4.5</v>
          </cell>
          <cell r="N89">
            <v>-0.15</v>
          </cell>
        </row>
        <row r="90">
          <cell r="A90" t="str">
            <v>7490 СОЧНЫЙ ГРИЛЬ сос ц/о мгс 0.41кг_Даблпак  ОСТАНКИНО</v>
          </cell>
          <cell r="D90" t="str">
            <v>шт</v>
          </cell>
          <cell r="F90">
            <v>74</v>
          </cell>
          <cell r="H90">
            <v>49</v>
          </cell>
          <cell r="I90">
            <v>115</v>
          </cell>
          <cell r="J90">
            <v>8</v>
          </cell>
          <cell r="K90">
            <v>30.34</v>
          </cell>
          <cell r="L90">
            <v>20.09</v>
          </cell>
          <cell r="M90">
            <v>47.15</v>
          </cell>
          <cell r="N90">
            <v>3.28</v>
          </cell>
        </row>
        <row r="91">
          <cell r="A91" t="str">
            <v>7513 ВОСКРЕСЕНСКАЯ ВЯЛЕНАЯ в/к в/у срез 1/260  ОСТАНКИНО</v>
          </cell>
          <cell r="D91" t="str">
            <v>шт</v>
          </cell>
          <cell r="H91">
            <v>241</v>
          </cell>
          <cell r="I91">
            <v>24</v>
          </cell>
          <cell r="J91">
            <v>217</v>
          </cell>
          <cell r="L91">
            <v>62.66</v>
          </cell>
          <cell r="M91">
            <v>6.24</v>
          </cell>
          <cell r="N91">
            <v>56.42</v>
          </cell>
        </row>
        <row r="92">
          <cell r="A92" t="str">
            <v>7514 ЛЮБИТЕЛЬСКАЯ ОСТАНКИНСКАЯ вар п/о в/у  ОСТАНКИНО</v>
          </cell>
          <cell r="D92" t="str">
            <v>кг</v>
          </cell>
          <cell r="F92">
            <v>42.225000000000001</v>
          </cell>
          <cell r="H92">
            <v>61.143999999999998</v>
          </cell>
          <cell r="I92">
            <v>55.584000000000003</v>
          </cell>
          <cell r="J92">
            <v>47.784999999999997</v>
          </cell>
          <cell r="K92">
            <v>42.225000000000001</v>
          </cell>
          <cell r="L92">
            <v>61.143999999999998</v>
          </cell>
          <cell r="M92">
            <v>55.584000000000003</v>
          </cell>
          <cell r="N92">
            <v>47.784999999999997</v>
          </cell>
        </row>
        <row r="93">
          <cell r="A93" t="str">
            <v>7516 НОВОМОСКОВСКАЯ в/к в/у срез 0.31кг  ОСТАНКИНО</v>
          </cell>
          <cell r="D93" t="str">
            <v>шт</v>
          </cell>
          <cell r="F93">
            <v>86</v>
          </cell>
          <cell r="H93">
            <v>202</v>
          </cell>
          <cell r="I93">
            <v>54</v>
          </cell>
          <cell r="J93">
            <v>234</v>
          </cell>
          <cell r="K93">
            <v>26.66</v>
          </cell>
          <cell r="L93">
            <v>62.62</v>
          </cell>
          <cell r="M93">
            <v>16.739999999999998</v>
          </cell>
          <cell r="N93">
            <v>72.540000000000006</v>
          </cell>
        </row>
        <row r="94">
          <cell r="A94" t="str">
            <v>7518 ТЕЛЯЧЬЯ ГОСТ Останкино вар п/о в/у  ОСТАНКИНО</v>
          </cell>
          <cell r="D94" t="str">
            <v>кг</v>
          </cell>
          <cell r="F94">
            <v>53.954999999999998</v>
          </cell>
          <cell r="H94">
            <v>40.828000000000003</v>
          </cell>
          <cell r="I94">
            <v>38.621000000000002</v>
          </cell>
          <cell r="J94">
            <v>56.161999999999999</v>
          </cell>
          <cell r="K94">
            <v>53.954999999999998</v>
          </cell>
          <cell r="L94">
            <v>40.828000000000003</v>
          </cell>
          <cell r="M94">
            <v>38.621000000000002</v>
          </cell>
          <cell r="N94">
            <v>56.161999999999999</v>
          </cell>
        </row>
        <row r="95">
          <cell r="A95" t="str">
            <v>7523 ГОВЯЖЬЯ Папа Может вар п/о 0,4кг 6шт. ОСТАНКИНО</v>
          </cell>
          <cell r="D95" t="str">
            <v>шт</v>
          </cell>
          <cell r="F95">
            <v>94</v>
          </cell>
          <cell r="H95">
            <v>19</v>
          </cell>
          <cell r="I95">
            <v>59</v>
          </cell>
          <cell r="J95">
            <v>54</v>
          </cell>
          <cell r="K95">
            <v>37.6</v>
          </cell>
          <cell r="L95">
            <v>7.6</v>
          </cell>
          <cell r="M95">
            <v>23.6</v>
          </cell>
          <cell r="N95">
            <v>21.6</v>
          </cell>
        </row>
        <row r="96">
          <cell r="A96" t="str">
            <v>7562 КРАКОВСКАЯ ГОСТ Останкино п/к н/о мгс  ОСТАНКИНО</v>
          </cell>
          <cell r="D96" t="str">
            <v>кг</v>
          </cell>
          <cell r="F96">
            <v>32.320999999999998</v>
          </cell>
          <cell r="H96">
            <v>63.145000000000003</v>
          </cell>
          <cell r="I96">
            <v>28.643000000000001</v>
          </cell>
          <cell r="J96">
            <v>66.822999999999993</v>
          </cell>
          <cell r="K96">
            <v>32.320999999999998</v>
          </cell>
          <cell r="L96">
            <v>63.145000000000003</v>
          </cell>
          <cell r="M96">
            <v>28.643000000000001</v>
          </cell>
          <cell r="N96">
            <v>66.822999999999993</v>
          </cell>
        </row>
        <row r="97">
          <cell r="A97" t="str">
            <v>7564 Балыковая в/к в/у Останкино Вес  ОСТАНКИНО</v>
          </cell>
          <cell r="D97" t="str">
            <v>кг</v>
          </cell>
          <cell r="F97">
            <v>128.52199999999999</v>
          </cell>
          <cell r="I97">
            <v>61.052999999999997</v>
          </cell>
          <cell r="J97">
            <v>67.468999999999994</v>
          </cell>
          <cell r="K97">
            <v>128.52199999999999</v>
          </cell>
          <cell r="M97">
            <v>61.052999999999997</v>
          </cell>
          <cell r="N97">
            <v>67.468999999999994</v>
          </cell>
        </row>
        <row r="98">
          <cell r="A98" t="str">
            <v>7603 БАЛЫКОВАЯ в/к в/у 0.33кг 8шт. ОСТАНКИНО</v>
          </cell>
          <cell r="D98" t="str">
            <v>шт</v>
          </cell>
          <cell r="H98">
            <v>137</v>
          </cell>
          <cell r="I98">
            <v>68</v>
          </cell>
          <cell r="J98">
            <v>69</v>
          </cell>
          <cell r="L98">
            <v>45.21</v>
          </cell>
          <cell r="M98">
            <v>22.44</v>
          </cell>
          <cell r="N98">
            <v>22.77</v>
          </cell>
        </row>
        <row r="99">
          <cell r="A99" t="str">
            <v>7613 АРОМАТНАЯ с/к с/н в/у 1/100 10шт_Л10  ОСТАНКИНО</v>
          </cell>
          <cell r="D99" t="str">
            <v>шт</v>
          </cell>
          <cell r="F99">
            <v>91</v>
          </cell>
          <cell r="H99">
            <v>33</v>
          </cell>
          <cell r="I99">
            <v>121</v>
          </cell>
          <cell r="J99">
            <v>3</v>
          </cell>
          <cell r="K99">
            <v>9.1</v>
          </cell>
          <cell r="L99">
            <v>3.3</v>
          </cell>
          <cell r="M99">
            <v>12.1</v>
          </cell>
          <cell r="N99">
            <v>0.3</v>
          </cell>
        </row>
        <row r="100">
          <cell r="A100" t="str">
            <v>7616 ЭКСТРА Папа может с/к с/н в/у 1/100_  ОСТАНКИНО</v>
          </cell>
          <cell r="D100" t="str">
            <v>шт</v>
          </cell>
          <cell r="F100">
            <v>132</v>
          </cell>
          <cell r="H100">
            <v>203</v>
          </cell>
          <cell r="I100">
            <v>80</v>
          </cell>
          <cell r="J100">
            <v>255</v>
          </cell>
          <cell r="K100">
            <v>13.2</v>
          </cell>
          <cell r="L100">
            <v>20.3</v>
          </cell>
          <cell r="M100">
            <v>8</v>
          </cell>
          <cell r="N100">
            <v>25.5</v>
          </cell>
        </row>
        <row r="101">
          <cell r="A101" t="str">
            <v>7632 ЭКСТРА Папа может вар п/о 0.4кг 8шт_195к  ОСТАНКИНО</v>
          </cell>
          <cell r="D101" t="str">
            <v>шт</v>
          </cell>
          <cell r="F101">
            <v>78</v>
          </cell>
          <cell r="H101">
            <v>233</v>
          </cell>
          <cell r="I101">
            <v>141</v>
          </cell>
          <cell r="J101">
            <v>170</v>
          </cell>
          <cell r="K101">
            <v>31.2</v>
          </cell>
          <cell r="L101">
            <v>93.2</v>
          </cell>
          <cell r="M101">
            <v>56.4</v>
          </cell>
          <cell r="N101">
            <v>68</v>
          </cell>
        </row>
        <row r="102">
          <cell r="A102" t="str">
            <v>7651 ХОЧУ ВЕТЧ.МРАМОР. ПМ с/н мгс 1/100_Л11  ОСТАНКИНО</v>
          </cell>
          <cell r="D102" t="str">
            <v>шт</v>
          </cell>
          <cell r="F102">
            <v>-1</v>
          </cell>
          <cell r="J102">
            <v>-1</v>
          </cell>
          <cell r="K102">
            <v>-0.1</v>
          </cell>
          <cell r="N102">
            <v>-0.1</v>
          </cell>
        </row>
        <row r="103">
          <cell r="A103" t="str">
            <v>7700 ЛИТОВСКАЯ с/к в/у</v>
          </cell>
          <cell r="D103" t="str">
            <v>кг</v>
          </cell>
          <cell r="H103">
            <v>10.192</v>
          </cell>
          <cell r="J103">
            <v>10.192</v>
          </cell>
          <cell r="L103">
            <v>10.192</v>
          </cell>
          <cell r="N103">
            <v>10.192</v>
          </cell>
        </row>
        <row r="104">
          <cell r="A104" t="str">
            <v>7710 КРАКОВСКАЯ ГОСТ п/к н/о мгс 0.3кг  ОСТАНКИНО</v>
          </cell>
          <cell r="D104" t="str">
            <v>шт</v>
          </cell>
          <cell r="F104">
            <v>136</v>
          </cell>
          <cell r="H104">
            <v>1</v>
          </cell>
          <cell r="I104">
            <v>16</v>
          </cell>
          <cell r="J104">
            <v>121</v>
          </cell>
          <cell r="K104">
            <v>40.799999999999997</v>
          </cell>
          <cell r="L104">
            <v>0.3</v>
          </cell>
          <cell r="M104">
            <v>4.8</v>
          </cell>
          <cell r="N104">
            <v>36.299999999999997</v>
          </cell>
        </row>
        <row r="105">
          <cell r="A105" t="str">
            <v>7725 ВЕТ.МРАМОРНАЯ в/у срез 0.3кг 6шт_62  ОСТАНКИНО</v>
          </cell>
          <cell r="D105" t="str">
            <v>шт</v>
          </cell>
          <cell r="F105">
            <v>58</v>
          </cell>
          <cell r="H105">
            <v>163</v>
          </cell>
          <cell r="I105">
            <v>30</v>
          </cell>
          <cell r="J105">
            <v>191</v>
          </cell>
          <cell r="K105">
            <v>17.399999999999999</v>
          </cell>
          <cell r="L105">
            <v>48.9</v>
          </cell>
          <cell r="M105">
            <v>9</v>
          </cell>
          <cell r="N105">
            <v>57.3</v>
          </cell>
        </row>
        <row r="106">
          <cell r="A106" t="str">
            <v>7730 ХОЧУ ВЕТЧ.ИЗ СВ.ОТРУБА мгс 1/100_45с_Л11  ОСТАНКИНО</v>
          </cell>
          <cell r="D106" t="str">
            <v>шт</v>
          </cell>
          <cell r="F106">
            <v>81</v>
          </cell>
          <cell r="H106">
            <v>1</v>
          </cell>
          <cell r="I106">
            <v>32</v>
          </cell>
          <cell r="J106">
            <v>50</v>
          </cell>
          <cell r="K106">
            <v>8.1</v>
          </cell>
          <cell r="L106">
            <v>0.1</v>
          </cell>
          <cell r="M106">
            <v>3.2</v>
          </cell>
          <cell r="N106">
            <v>5</v>
          </cell>
        </row>
        <row r="107">
          <cell r="A107" t="str">
            <v>7731 ХОЧУ ВЕТЧ. МРАМОР. с/н мгс 1/100_45с_Л11  ОСТАНКИНО</v>
          </cell>
          <cell r="D107" t="str">
            <v>шт</v>
          </cell>
          <cell r="F107">
            <v>3</v>
          </cell>
          <cell r="I107">
            <v>3</v>
          </cell>
          <cell r="K107">
            <v>0.3</v>
          </cell>
          <cell r="M107">
            <v>0.3</v>
          </cell>
        </row>
        <row r="108">
          <cell r="A108" t="str">
            <v>Итого</v>
          </cell>
          <cell r="K108">
            <v>5366.2730000000001</v>
          </cell>
          <cell r="L108">
            <v>2959.8409999999999</v>
          </cell>
          <cell r="M108">
            <v>3479.3910000000001</v>
          </cell>
          <cell r="N108">
            <v>4846.723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E127"/>
  <sheetViews>
    <sheetView tabSelected="1" workbookViewId="0">
      <selection activeCell="G137" sqref="G137"/>
    </sheetView>
  </sheetViews>
  <sheetFormatPr defaultColWidth="10.5" defaultRowHeight="11.45" customHeight="1" outlineLevelRow="2" x14ac:dyDescent="0.2"/>
  <cols>
    <col min="1" max="1" width="82.83203125" style="1" bestFit="1" customWidth="1"/>
    <col min="2" max="2" width="12.1640625" style="1" customWidth="1"/>
    <col min="3" max="3" width="12" customWidth="1"/>
    <col min="5" max="5" width="63.83203125" customWidth="1"/>
  </cols>
  <sheetData>
    <row r="1" spans="1:5" s="1" customFormat="1" ht="10.15" customHeight="1" collapsed="1" x14ac:dyDescent="0.2"/>
    <row r="2" spans="1:5" s="1" customFormat="1" ht="13.15" hidden="1" customHeight="1" outlineLevel="1" x14ac:dyDescent="0.2">
      <c r="A2" s="2" t="s">
        <v>0</v>
      </c>
    </row>
    <row r="3" spans="1:5" s="1" customFormat="1" ht="25.9" hidden="1" customHeight="1" outlineLevel="1" x14ac:dyDescent="0.2">
      <c r="A3" s="2" t="s">
        <v>1</v>
      </c>
      <c r="B3" s="3"/>
    </row>
    <row r="4" spans="1:5" s="1" customFormat="1" ht="10.15" customHeight="1" x14ac:dyDescent="0.2"/>
    <row r="5" spans="1:5" ht="25.9" customHeight="1" x14ac:dyDescent="0.2">
      <c r="A5" s="4" t="s">
        <v>2</v>
      </c>
      <c r="B5" s="32" t="s">
        <v>3</v>
      </c>
      <c r="D5" s="32" t="s">
        <v>80</v>
      </c>
    </row>
    <row r="6" spans="1:5" ht="13.15" customHeight="1" x14ac:dyDescent="0.2">
      <c r="A6" s="4" t="s">
        <v>4</v>
      </c>
      <c r="B6" s="33"/>
      <c r="D6" s="33"/>
    </row>
    <row r="7" spans="1:5" ht="13.15" customHeight="1" collapsed="1" x14ac:dyDescent="0.2">
      <c r="A7" s="4" t="s">
        <v>5</v>
      </c>
      <c r="B7" s="34"/>
      <c r="D7" s="34"/>
    </row>
    <row r="8" spans="1:5" s="1" customFormat="1" ht="10.9" hidden="1" customHeight="1" outlineLevel="2" x14ac:dyDescent="0.2">
      <c r="A8" s="7" t="s">
        <v>7</v>
      </c>
      <c r="B8" s="9">
        <v>0.71199999999999997</v>
      </c>
    </row>
    <row r="9" spans="1:5" ht="10.9" customHeight="1" x14ac:dyDescent="0.2">
      <c r="A9" s="5" t="s">
        <v>13</v>
      </c>
      <c r="B9" s="6">
        <v>157.69999999999999</v>
      </c>
    </row>
    <row r="10" spans="1:5" s="1" customFormat="1" ht="22.15" hidden="1" customHeight="1" outlineLevel="2" x14ac:dyDescent="0.2">
      <c r="A10" s="10" t="s">
        <v>15</v>
      </c>
      <c r="B10" s="9">
        <v>0.55200000000000005</v>
      </c>
    </row>
    <row r="11" spans="1:5" s="1" customFormat="1" ht="10.9" hidden="1" customHeight="1" outlineLevel="2" x14ac:dyDescent="0.2">
      <c r="A11" s="10" t="s">
        <v>16</v>
      </c>
      <c r="B11" s="9">
        <v>0.35199999999999998</v>
      </c>
    </row>
    <row r="12" spans="1:5" s="1" customFormat="1" ht="10.9" hidden="1" customHeight="1" outlineLevel="2" x14ac:dyDescent="0.2">
      <c r="A12" s="10" t="s">
        <v>17</v>
      </c>
      <c r="B12" s="8">
        <v>0.54</v>
      </c>
    </row>
    <row r="13" spans="1:5" s="1" customFormat="1" ht="10.9" hidden="1" customHeight="1" outlineLevel="2" x14ac:dyDescent="0.2">
      <c r="A13" s="11" t="s">
        <v>18</v>
      </c>
      <c r="B13" s="12">
        <v>0.32</v>
      </c>
    </row>
    <row r="14" spans="1:5" ht="10.9" customHeight="1" outlineLevel="1" collapsed="1" x14ac:dyDescent="0.2">
      <c r="A14" s="15" t="s">
        <v>6</v>
      </c>
      <c r="B14" s="16">
        <v>3.9</v>
      </c>
      <c r="C14" s="17" t="str">
        <f>VLOOKUP(A14,[1]Sheet!$A:$I,9,0)</f>
        <v>матрица</v>
      </c>
      <c r="D14" s="17">
        <v>0</v>
      </c>
      <c r="E14" s="17" t="s">
        <v>69</v>
      </c>
    </row>
    <row r="15" spans="1:5" s="1" customFormat="1" ht="10.9" hidden="1" customHeight="1" outlineLevel="2" x14ac:dyDescent="0.2">
      <c r="A15" s="18" t="s">
        <v>19</v>
      </c>
      <c r="B15" s="19">
        <v>3.9</v>
      </c>
      <c r="C15" s="17" t="e">
        <f>VLOOKUP(A15,[1]Sheet!$A:$I,9,0)</f>
        <v>#N/A</v>
      </c>
      <c r="D15" s="20"/>
      <c r="E15" s="20"/>
    </row>
    <row r="16" spans="1:5" s="1" customFormat="1" ht="10.9" hidden="1" customHeight="1" outlineLevel="2" x14ac:dyDescent="0.2">
      <c r="A16" s="18" t="s">
        <v>23</v>
      </c>
      <c r="B16" s="19">
        <v>0.9</v>
      </c>
      <c r="C16" s="17" t="e">
        <f>VLOOKUP(A16,[1]Sheet!$A:$I,9,0)</f>
        <v>#N/A</v>
      </c>
      <c r="D16" s="20"/>
      <c r="E16" s="20"/>
    </row>
    <row r="17" spans="1:5" s="1" customFormat="1" ht="10.9" hidden="1" customHeight="1" outlineLevel="2" x14ac:dyDescent="0.2">
      <c r="A17" s="18" t="s">
        <v>24</v>
      </c>
      <c r="B17" s="19">
        <v>0.6</v>
      </c>
      <c r="C17" s="17" t="e">
        <f>VLOOKUP(A17,[1]Sheet!$A:$I,9,0)</f>
        <v>#N/A</v>
      </c>
      <c r="D17" s="20"/>
      <c r="E17" s="20"/>
    </row>
    <row r="18" spans="1:5" ht="10.9" customHeight="1" outlineLevel="1" collapsed="1" x14ac:dyDescent="0.2">
      <c r="A18" s="15" t="s">
        <v>25</v>
      </c>
      <c r="B18" s="21">
        <v>2.4500000000000002</v>
      </c>
      <c r="C18" s="22" t="s">
        <v>76</v>
      </c>
      <c r="D18" s="17">
        <v>3.5</v>
      </c>
      <c r="E18" s="22" t="s">
        <v>77</v>
      </c>
    </row>
    <row r="19" spans="1:5" s="1" customFormat="1" ht="10.9" hidden="1" customHeight="1" outlineLevel="2" x14ac:dyDescent="0.2">
      <c r="A19" s="18" t="s">
        <v>26</v>
      </c>
      <c r="B19" s="19">
        <v>0.7</v>
      </c>
      <c r="C19" s="17" t="e">
        <f>VLOOKUP(A19,[1]Sheet!$A:$I,9,0)</f>
        <v>#N/A</v>
      </c>
      <c r="D19" s="20"/>
      <c r="E19" s="20"/>
    </row>
    <row r="20" spans="1:5" s="1" customFormat="1" ht="10.9" hidden="1" customHeight="1" outlineLevel="2" x14ac:dyDescent="0.2">
      <c r="A20" s="18" t="s">
        <v>23</v>
      </c>
      <c r="B20" s="23">
        <v>1.05</v>
      </c>
      <c r="C20" s="17" t="e">
        <f>VLOOKUP(A20,[1]Sheet!$A:$I,9,0)</f>
        <v>#N/A</v>
      </c>
      <c r="D20" s="20"/>
      <c r="E20" s="20"/>
    </row>
    <row r="21" spans="1:5" s="1" customFormat="1" ht="10.9" hidden="1" customHeight="1" outlineLevel="2" x14ac:dyDescent="0.2">
      <c r="A21" s="18" t="s">
        <v>27</v>
      </c>
      <c r="B21" s="19">
        <v>0.7</v>
      </c>
      <c r="C21" s="17" t="e">
        <f>VLOOKUP(A21,[1]Sheet!$A:$I,9,0)</f>
        <v>#N/A</v>
      </c>
      <c r="D21" s="20"/>
      <c r="E21" s="20"/>
    </row>
    <row r="22" spans="1:5" s="1" customFormat="1" ht="10.9" hidden="1" customHeight="1" outlineLevel="2" x14ac:dyDescent="0.2">
      <c r="A22" s="18" t="s">
        <v>14</v>
      </c>
      <c r="B22" s="23">
        <v>0.75</v>
      </c>
      <c r="C22" s="17" t="e">
        <f>VLOOKUP(A22,[1]Sheet!$A:$I,9,0)</f>
        <v>#N/A</v>
      </c>
      <c r="D22" s="20"/>
      <c r="E22" s="20"/>
    </row>
    <row r="23" spans="1:5" ht="10.9" customHeight="1" outlineLevel="1" collapsed="1" x14ac:dyDescent="0.2">
      <c r="A23" s="15" t="s">
        <v>8</v>
      </c>
      <c r="B23" s="24">
        <v>99.302000000000007</v>
      </c>
      <c r="C23" s="17" t="str">
        <f>VLOOKUP(A23,[1]Sheet!$A:$I,9,0)</f>
        <v>матрица</v>
      </c>
      <c r="D23" s="17">
        <v>0</v>
      </c>
      <c r="E23" s="22" t="s">
        <v>71</v>
      </c>
    </row>
    <row r="24" spans="1:5" s="1" customFormat="1" ht="10.9" hidden="1" customHeight="1" outlineLevel="2" x14ac:dyDescent="0.2">
      <c r="A24" s="18" t="s">
        <v>29</v>
      </c>
      <c r="B24" s="25">
        <v>15</v>
      </c>
      <c r="C24" s="17" t="e">
        <f>VLOOKUP(A24,[1]Sheet!$A:$I,9,0)</f>
        <v>#N/A</v>
      </c>
      <c r="D24" s="20"/>
      <c r="E24" s="20"/>
    </row>
    <row r="25" spans="1:5" s="1" customFormat="1" ht="22.15" hidden="1" customHeight="1" outlineLevel="2" x14ac:dyDescent="0.2">
      <c r="A25" s="18" t="s">
        <v>30</v>
      </c>
      <c r="B25" s="26">
        <v>73.302000000000007</v>
      </c>
      <c r="C25" s="17" t="e">
        <f>VLOOKUP(A25,[1]Sheet!$A:$I,9,0)</f>
        <v>#N/A</v>
      </c>
      <c r="D25" s="20"/>
      <c r="E25" s="20"/>
    </row>
    <row r="26" spans="1:5" s="1" customFormat="1" ht="10.9" hidden="1" customHeight="1" outlineLevel="2" x14ac:dyDescent="0.2">
      <c r="A26" s="18" t="s">
        <v>31</v>
      </c>
      <c r="B26" s="25">
        <v>3</v>
      </c>
      <c r="C26" s="17" t="e">
        <f>VLOOKUP(A26,[1]Sheet!$A:$I,9,0)</f>
        <v>#N/A</v>
      </c>
      <c r="D26" s="20"/>
      <c r="E26" s="20"/>
    </row>
    <row r="27" spans="1:5" s="1" customFormat="1" ht="10.9" hidden="1" customHeight="1" outlineLevel="2" x14ac:dyDescent="0.2">
      <c r="A27" s="18" t="s">
        <v>32</v>
      </c>
      <c r="B27" s="25">
        <v>5</v>
      </c>
      <c r="C27" s="17" t="e">
        <f>VLOOKUP(A27,[1]Sheet!$A:$I,9,0)</f>
        <v>#N/A</v>
      </c>
      <c r="D27" s="20"/>
      <c r="E27" s="20"/>
    </row>
    <row r="28" spans="1:5" s="1" customFormat="1" ht="10.9" hidden="1" customHeight="1" outlineLevel="2" x14ac:dyDescent="0.2">
      <c r="A28" s="18" t="s">
        <v>33</v>
      </c>
      <c r="B28" s="19">
        <v>1.5</v>
      </c>
      <c r="C28" s="17" t="e">
        <f>VLOOKUP(A28,[1]Sheet!$A:$I,9,0)</f>
        <v>#N/A</v>
      </c>
      <c r="D28" s="20"/>
      <c r="E28" s="20"/>
    </row>
    <row r="29" spans="1:5" s="1" customFormat="1" ht="10.9" hidden="1" customHeight="1" outlineLevel="2" x14ac:dyDescent="0.2">
      <c r="A29" s="18" t="s">
        <v>34</v>
      </c>
      <c r="B29" s="19">
        <v>1.5</v>
      </c>
      <c r="C29" s="17" t="e">
        <f>VLOOKUP(A29,[1]Sheet!$A:$I,9,0)</f>
        <v>#N/A</v>
      </c>
      <c r="D29" s="20"/>
      <c r="E29" s="20"/>
    </row>
    <row r="30" spans="1:5" s="1" customFormat="1" ht="10.9" hidden="1" customHeight="1" outlineLevel="2" x14ac:dyDescent="0.2">
      <c r="A30" s="18" t="s">
        <v>14</v>
      </c>
      <c r="B30" s="19">
        <v>0.5</v>
      </c>
      <c r="C30" s="17" t="e">
        <f>VLOOKUP(A30,[1]Sheet!$A:$I,9,0)</f>
        <v>#N/A</v>
      </c>
      <c r="D30" s="20"/>
      <c r="E30" s="20"/>
    </row>
    <row r="31" spans="1:5" ht="10.9" customHeight="1" outlineLevel="1" collapsed="1" x14ac:dyDescent="0.2">
      <c r="A31" s="15" t="s">
        <v>9</v>
      </c>
      <c r="B31" s="27">
        <v>4</v>
      </c>
      <c r="C31" s="28" t="s">
        <v>68</v>
      </c>
      <c r="D31" s="17"/>
      <c r="E31" s="17"/>
    </row>
    <row r="32" spans="1:5" s="1" customFormat="1" ht="22.15" hidden="1" customHeight="1" outlineLevel="2" x14ac:dyDescent="0.2">
      <c r="A32" s="18" t="s">
        <v>35</v>
      </c>
      <c r="B32" s="19">
        <v>0.4</v>
      </c>
      <c r="C32" s="17" t="e">
        <f>VLOOKUP(A32,[1]Sheet!$A:$I,9,0)</f>
        <v>#N/A</v>
      </c>
      <c r="D32" s="20"/>
      <c r="E32" s="20"/>
    </row>
    <row r="33" spans="1:5" s="1" customFormat="1" ht="10.9" hidden="1" customHeight="1" outlineLevel="2" x14ac:dyDescent="0.2">
      <c r="A33" s="18" t="s">
        <v>36</v>
      </c>
      <c r="B33" s="19">
        <v>0.4</v>
      </c>
      <c r="C33" s="17" t="e">
        <f>VLOOKUP(A33,[1]Sheet!$A:$I,9,0)</f>
        <v>#N/A</v>
      </c>
      <c r="D33" s="20"/>
      <c r="E33" s="20"/>
    </row>
    <row r="34" spans="1:5" s="1" customFormat="1" ht="22.15" hidden="1" customHeight="1" outlineLevel="2" x14ac:dyDescent="0.2">
      <c r="A34" s="18" t="s">
        <v>37</v>
      </c>
      <c r="B34" s="19">
        <v>0.4</v>
      </c>
      <c r="C34" s="17" t="e">
        <f>VLOOKUP(A34,[1]Sheet!$A:$I,9,0)</f>
        <v>#N/A</v>
      </c>
      <c r="D34" s="20"/>
      <c r="E34" s="20"/>
    </row>
    <row r="35" spans="1:5" s="1" customFormat="1" ht="22.15" hidden="1" customHeight="1" outlineLevel="2" x14ac:dyDescent="0.2">
      <c r="A35" s="18" t="s">
        <v>38</v>
      </c>
      <c r="B35" s="19">
        <v>0.4</v>
      </c>
      <c r="C35" s="17" t="e">
        <f>VLOOKUP(A35,[1]Sheet!$A:$I,9,0)</f>
        <v>#N/A</v>
      </c>
      <c r="D35" s="20"/>
      <c r="E35" s="20"/>
    </row>
    <row r="36" spans="1:5" s="1" customFormat="1" ht="10.9" hidden="1" customHeight="1" outlineLevel="2" x14ac:dyDescent="0.2">
      <c r="A36" s="18" t="s">
        <v>14</v>
      </c>
      <c r="B36" s="19">
        <v>2.4</v>
      </c>
      <c r="C36" s="17" t="e">
        <f>VLOOKUP(A36,[1]Sheet!$A:$I,9,0)</f>
        <v>#N/A</v>
      </c>
      <c r="D36" s="20"/>
      <c r="E36" s="20"/>
    </row>
    <row r="37" spans="1:5" s="1" customFormat="1" ht="10.9" hidden="1" customHeight="1" outlineLevel="2" x14ac:dyDescent="0.2">
      <c r="A37" s="18" t="s">
        <v>21</v>
      </c>
      <c r="B37" s="23">
        <v>0.35</v>
      </c>
      <c r="C37" s="17" t="e">
        <f>VLOOKUP(A37,[1]Sheet!$A:$I,9,0)</f>
        <v>#N/A</v>
      </c>
      <c r="D37" s="20"/>
      <c r="E37" s="20"/>
    </row>
    <row r="38" spans="1:5" ht="10.9" customHeight="1" outlineLevel="1" collapsed="1" x14ac:dyDescent="0.2">
      <c r="A38" s="15" t="s">
        <v>45</v>
      </c>
      <c r="B38" s="16">
        <v>3.6</v>
      </c>
      <c r="C38" s="17" t="str">
        <f>VLOOKUP(A38,[1]Sheet!$A:$I,9,0)</f>
        <v>матрица</v>
      </c>
      <c r="D38" s="17">
        <f>VLOOKUP(A38,[2]TDSheet!$A:$N,14,0)</f>
        <v>0</v>
      </c>
      <c r="E38" s="22" t="s">
        <v>72</v>
      </c>
    </row>
    <row r="39" spans="1:5" s="1" customFormat="1" ht="10.9" hidden="1" customHeight="1" outlineLevel="2" x14ac:dyDescent="0.2">
      <c r="A39" s="18" t="s">
        <v>26</v>
      </c>
      <c r="B39" s="19">
        <v>0.3</v>
      </c>
      <c r="C39" s="17" t="e">
        <f>VLOOKUP(A39,[1]Sheet!$A:$I,9,0)</f>
        <v>#N/A</v>
      </c>
      <c r="D39" s="17" t="e">
        <f>VLOOKUP(A39,[2]TDSheet!$A:$N,14,0)</f>
        <v>#N/A</v>
      </c>
      <c r="E39" s="20"/>
    </row>
    <row r="40" spans="1:5" s="1" customFormat="1" ht="10.9" hidden="1" customHeight="1" outlineLevel="2" x14ac:dyDescent="0.2">
      <c r="A40" s="18" t="s">
        <v>36</v>
      </c>
      <c r="B40" s="19">
        <v>0.3</v>
      </c>
      <c r="C40" s="17" t="e">
        <f>VLOOKUP(A40,[1]Sheet!$A:$I,9,0)</f>
        <v>#N/A</v>
      </c>
      <c r="D40" s="17" t="e">
        <f>VLOOKUP(A40,[2]TDSheet!$A:$N,14,0)</f>
        <v>#N/A</v>
      </c>
      <c r="E40" s="20"/>
    </row>
    <row r="41" spans="1:5" s="1" customFormat="1" ht="10.9" hidden="1" customHeight="1" outlineLevel="2" x14ac:dyDescent="0.2">
      <c r="A41" s="18" t="s">
        <v>22</v>
      </c>
      <c r="B41" s="19">
        <v>0.6</v>
      </c>
      <c r="C41" s="17" t="e">
        <f>VLOOKUP(A41,[1]Sheet!$A:$I,9,0)</f>
        <v>#N/A</v>
      </c>
      <c r="D41" s="17" t="e">
        <f>VLOOKUP(A41,[2]TDSheet!$A:$N,14,0)</f>
        <v>#N/A</v>
      </c>
      <c r="E41" s="20"/>
    </row>
    <row r="42" spans="1:5" s="1" customFormat="1" ht="22.15" hidden="1" customHeight="1" outlineLevel="2" x14ac:dyDescent="0.2">
      <c r="A42" s="18" t="s">
        <v>46</v>
      </c>
      <c r="B42" s="19">
        <v>0.3</v>
      </c>
      <c r="C42" s="17" t="e">
        <f>VLOOKUP(A42,[1]Sheet!$A:$I,9,0)</f>
        <v>#N/A</v>
      </c>
      <c r="D42" s="17" t="e">
        <f>VLOOKUP(A42,[2]TDSheet!$A:$N,14,0)</f>
        <v>#N/A</v>
      </c>
      <c r="E42" s="20"/>
    </row>
    <row r="43" spans="1:5" s="1" customFormat="1" ht="10.9" hidden="1" customHeight="1" outlineLevel="2" x14ac:dyDescent="0.2">
      <c r="A43" s="18" t="s">
        <v>47</v>
      </c>
      <c r="B43" s="19">
        <v>0.3</v>
      </c>
      <c r="C43" s="17" t="e">
        <f>VLOOKUP(A43,[1]Sheet!$A:$I,9,0)</f>
        <v>#N/A</v>
      </c>
      <c r="D43" s="17" t="e">
        <f>VLOOKUP(A43,[2]TDSheet!$A:$N,14,0)</f>
        <v>#N/A</v>
      </c>
      <c r="E43" s="20"/>
    </row>
    <row r="44" spans="1:5" s="1" customFormat="1" ht="10.9" hidden="1" customHeight="1" outlineLevel="2" x14ac:dyDescent="0.2">
      <c r="A44" s="18" t="s">
        <v>48</v>
      </c>
      <c r="B44" s="19">
        <v>0.6</v>
      </c>
      <c r="C44" s="17" t="e">
        <f>VLOOKUP(A44,[1]Sheet!$A:$I,9,0)</f>
        <v>#N/A</v>
      </c>
      <c r="D44" s="17" t="e">
        <f>VLOOKUP(A44,[2]TDSheet!$A:$N,14,0)</f>
        <v>#N/A</v>
      </c>
      <c r="E44" s="20"/>
    </row>
    <row r="45" spans="1:5" s="1" customFormat="1" ht="10.9" hidden="1" customHeight="1" outlineLevel="2" x14ac:dyDescent="0.2">
      <c r="A45" s="18" t="s">
        <v>49</v>
      </c>
      <c r="B45" s="19">
        <v>0.6</v>
      </c>
      <c r="C45" s="17" t="e">
        <f>VLOOKUP(A45,[1]Sheet!$A:$I,9,0)</f>
        <v>#N/A</v>
      </c>
      <c r="D45" s="17" t="e">
        <f>VLOOKUP(A45,[2]TDSheet!$A:$N,14,0)</f>
        <v>#N/A</v>
      </c>
      <c r="E45" s="20"/>
    </row>
    <row r="46" spans="1:5" s="1" customFormat="1" ht="10.9" hidden="1" customHeight="1" outlineLevel="2" x14ac:dyDescent="0.2">
      <c r="A46" s="18" t="s">
        <v>50</v>
      </c>
      <c r="B46" s="19">
        <v>0.3</v>
      </c>
      <c r="C46" s="17" t="e">
        <f>VLOOKUP(A46,[1]Sheet!$A:$I,9,0)</f>
        <v>#N/A</v>
      </c>
      <c r="D46" s="17" t="e">
        <f>VLOOKUP(A46,[2]TDSheet!$A:$N,14,0)</f>
        <v>#N/A</v>
      </c>
      <c r="E46" s="20"/>
    </row>
    <row r="47" spans="1:5" s="1" customFormat="1" ht="10.9" hidden="1" customHeight="1" outlineLevel="2" x14ac:dyDescent="0.2">
      <c r="A47" s="18" t="s">
        <v>33</v>
      </c>
      <c r="B47" s="19">
        <v>0.3</v>
      </c>
      <c r="C47" s="17" t="e">
        <f>VLOOKUP(A47,[1]Sheet!$A:$I,9,0)</f>
        <v>#N/A</v>
      </c>
      <c r="D47" s="17" t="e">
        <f>VLOOKUP(A47,[2]TDSheet!$A:$N,14,0)</f>
        <v>#N/A</v>
      </c>
      <c r="E47" s="20"/>
    </row>
    <row r="48" spans="1:5" ht="10.9" customHeight="1" outlineLevel="1" collapsed="1" x14ac:dyDescent="0.2">
      <c r="A48" s="15" t="s">
        <v>10</v>
      </c>
      <c r="B48" s="16">
        <v>12.6</v>
      </c>
      <c r="C48" s="17" t="str">
        <f>VLOOKUP(A48,[1]Sheet!$A:$I,9,0)</f>
        <v>матрица</v>
      </c>
      <c r="D48" s="17">
        <f>VLOOKUP(A48,[2]TDSheet!$A:$N,14,0)</f>
        <v>0.56000000000000005</v>
      </c>
      <c r="E48" s="22" t="s">
        <v>70</v>
      </c>
    </row>
    <row r="49" spans="1:5" s="1" customFormat="1" ht="10.9" hidden="1" customHeight="1" outlineLevel="2" x14ac:dyDescent="0.2">
      <c r="A49" s="18" t="s">
        <v>26</v>
      </c>
      <c r="B49" s="23">
        <v>0.28000000000000003</v>
      </c>
      <c r="C49" s="17" t="e">
        <f>VLOOKUP(A49,[1]Sheet!$A:$I,9,0)</f>
        <v>#N/A</v>
      </c>
      <c r="D49" s="17" t="e">
        <f>VLOOKUP(A49,[2]TDSheet!$A:$N,14,0)</f>
        <v>#N/A</v>
      </c>
      <c r="E49" s="20"/>
    </row>
    <row r="50" spans="1:5" s="1" customFormat="1" ht="22.15" hidden="1" customHeight="1" outlineLevel="2" x14ac:dyDescent="0.2">
      <c r="A50" s="18" t="s">
        <v>35</v>
      </c>
      <c r="B50" s="23">
        <v>0.28000000000000003</v>
      </c>
      <c r="C50" s="17" t="e">
        <f>VLOOKUP(A50,[1]Sheet!$A:$I,9,0)</f>
        <v>#N/A</v>
      </c>
      <c r="D50" s="17" t="e">
        <f>VLOOKUP(A50,[2]TDSheet!$A:$N,14,0)</f>
        <v>#N/A</v>
      </c>
      <c r="E50" s="20"/>
    </row>
    <row r="51" spans="1:5" s="1" customFormat="1" ht="10.9" hidden="1" customHeight="1" outlineLevel="2" x14ac:dyDescent="0.2">
      <c r="A51" s="18" t="s">
        <v>22</v>
      </c>
      <c r="B51" s="23">
        <v>0.28000000000000003</v>
      </c>
      <c r="C51" s="17" t="e">
        <f>VLOOKUP(A51,[1]Sheet!$A:$I,9,0)</f>
        <v>#N/A</v>
      </c>
      <c r="D51" s="17" t="e">
        <f>VLOOKUP(A51,[2]TDSheet!$A:$N,14,0)</f>
        <v>#N/A</v>
      </c>
      <c r="E51" s="20"/>
    </row>
    <row r="52" spans="1:5" s="1" customFormat="1" ht="10.9" hidden="1" customHeight="1" outlineLevel="2" x14ac:dyDescent="0.2">
      <c r="A52" s="18" t="s">
        <v>51</v>
      </c>
      <c r="B52" s="23">
        <v>0.28000000000000003</v>
      </c>
      <c r="C52" s="17" t="e">
        <f>VLOOKUP(A52,[1]Sheet!$A:$I,9,0)</f>
        <v>#N/A</v>
      </c>
      <c r="D52" s="17" t="e">
        <f>VLOOKUP(A52,[2]TDSheet!$A:$N,14,0)</f>
        <v>#N/A</v>
      </c>
      <c r="E52" s="20"/>
    </row>
    <row r="53" spans="1:5" s="1" customFormat="1" ht="22.15" hidden="1" customHeight="1" outlineLevel="2" x14ac:dyDescent="0.2">
      <c r="A53" s="18" t="s">
        <v>15</v>
      </c>
      <c r="B53" s="23">
        <v>0.84</v>
      </c>
      <c r="C53" s="17" t="e">
        <f>VLOOKUP(A53,[1]Sheet!$A:$I,9,0)</f>
        <v>#N/A</v>
      </c>
      <c r="D53" s="17" t="e">
        <f>VLOOKUP(A53,[2]TDSheet!$A:$N,14,0)</f>
        <v>#N/A</v>
      </c>
      <c r="E53" s="20"/>
    </row>
    <row r="54" spans="1:5" s="1" customFormat="1" ht="22.15" hidden="1" customHeight="1" outlineLevel="2" x14ac:dyDescent="0.2">
      <c r="A54" s="18" t="s">
        <v>46</v>
      </c>
      <c r="B54" s="23">
        <v>0.28000000000000003</v>
      </c>
      <c r="C54" s="17" t="e">
        <f>VLOOKUP(A54,[1]Sheet!$A:$I,9,0)</f>
        <v>#N/A</v>
      </c>
      <c r="D54" s="17" t="e">
        <f>VLOOKUP(A54,[2]TDSheet!$A:$N,14,0)</f>
        <v>#N/A</v>
      </c>
      <c r="E54" s="20"/>
    </row>
    <row r="55" spans="1:5" s="1" customFormat="1" ht="22.15" hidden="1" customHeight="1" outlineLevel="2" x14ac:dyDescent="0.2">
      <c r="A55" s="18" t="s">
        <v>39</v>
      </c>
      <c r="B55" s="23">
        <v>0.28000000000000003</v>
      </c>
      <c r="C55" s="17" t="e">
        <f>VLOOKUP(A55,[1]Sheet!$A:$I,9,0)</f>
        <v>#N/A</v>
      </c>
      <c r="D55" s="17" t="e">
        <f>VLOOKUP(A55,[2]TDSheet!$A:$N,14,0)</f>
        <v>#N/A</v>
      </c>
      <c r="E55" s="20"/>
    </row>
    <row r="56" spans="1:5" s="1" customFormat="1" ht="22.15" hidden="1" customHeight="1" outlineLevel="2" x14ac:dyDescent="0.2">
      <c r="A56" s="18" t="s">
        <v>42</v>
      </c>
      <c r="B56" s="23">
        <v>0.84</v>
      </c>
      <c r="C56" s="17" t="e">
        <f>VLOOKUP(A56,[1]Sheet!$A:$I,9,0)</f>
        <v>#N/A</v>
      </c>
      <c r="D56" s="17" t="e">
        <f>VLOOKUP(A56,[2]TDSheet!$A:$N,14,0)</f>
        <v>#N/A</v>
      </c>
      <c r="E56" s="20"/>
    </row>
    <row r="57" spans="1:5" s="1" customFormat="1" ht="22.15" hidden="1" customHeight="1" outlineLevel="2" x14ac:dyDescent="0.2">
      <c r="A57" s="18" t="s">
        <v>52</v>
      </c>
      <c r="B57" s="23">
        <v>0.56000000000000005</v>
      </c>
      <c r="C57" s="17" t="e">
        <f>VLOOKUP(A57,[1]Sheet!$A:$I,9,0)</f>
        <v>#N/A</v>
      </c>
      <c r="D57" s="17" t="e">
        <f>VLOOKUP(A57,[2]TDSheet!$A:$N,14,0)</f>
        <v>#N/A</v>
      </c>
      <c r="E57" s="20"/>
    </row>
    <row r="58" spans="1:5" s="1" customFormat="1" ht="22.15" hidden="1" customHeight="1" outlineLevel="2" x14ac:dyDescent="0.2">
      <c r="A58" s="18" t="s">
        <v>53</v>
      </c>
      <c r="B58" s="23">
        <v>1.1200000000000001</v>
      </c>
      <c r="C58" s="17" t="e">
        <f>VLOOKUP(A58,[1]Sheet!$A:$I,9,0)</f>
        <v>#N/A</v>
      </c>
      <c r="D58" s="17" t="e">
        <f>VLOOKUP(A58,[2]TDSheet!$A:$N,14,0)</f>
        <v>#N/A</v>
      </c>
      <c r="E58" s="20"/>
    </row>
    <row r="59" spans="1:5" s="1" customFormat="1" ht="10.9" hidden="1" customHeight="1" outlineLevel="2" x14ac:dyDescent="0.2">
      <c r="A59" s="18" t="s">
        <v>43</v>
      </c>
      <c r="B59" s="23">
        <v>0.28000000000000003</v>
      </c>
      <c r="C59" s="17" t="e">
        <f>VLOOKUP(A59,[1]Sheet!$A:$I,9,0)</f>
        <v>#N/A</v>
      </c>
      <c r="D59" s="17" t="e">
        <f>VLOOKUP(A59,[2]TDSheet!$A:$N,14,0)</f>
        <v>#N/A</v>
      </c>
      <c r="E59" s="20"/>
    </row>
    <row r="60" spans="1:5" s="1" customFormat="1" ht="10.9" hidden="1" customHeight="1" outlineLevel="2" x14ac:dyDescent="0.2">
      <c r="A60" s="18" t="s">
        <v>27</v>
      </c>
      <c r="B60" s="23">
        <v>0.28000000000000003</v>
      </c>
      <c r="C60" s="17" t="e">
        <f>VLOOKUP(A60,[1]Sheet!$A:$I,9,0)</f>
        <v>#N/A</v>
      </c>
      <c r="D60" s="17" t="e">
        <f>VLOOKUP(A60,[2]TDSheet!$A:$N,14,0)</f>
        <v>#N/A</v>
      </c>
      <c r="E60" s="20"/>
    </row>
    <row r="61" spans="1:5" s="1" customFormat="1" ht="10.9" hidden="1" customHeight="1" outlineLevel="2" x14ac:dyDescent="0.2">
      <c r="A61" s="18" t="s">
        <v>40</v>
      </c>
      <c r="B61" s="23">
        <v>0.28000000000000003</v>
      </c>
      <c r="C61" s="17" t="e">
        <f>VLOOKUP(A61,[1]Sheet!$A:$I,9,0)</f>
        <v>#N/A</v>
      </c>
      <c r="D61" s="17" t="e">
        <f>VLOOKUP(A61,[2]TDSheet!$A:$N,14,0)</f>
        <v>#N/A</v>
      </c>
      <c r="E61" s="20"/>
    </row>
    <row r="62" spans="1:5" s="1" customFormat="1" ht="10.9" hidden="1" customHeight="1" outlineLevel="2" x14ac:dyDescent="0.2">
      <c r="A62" s="18" t="s">
        <v>16</v>
      </c>
      <c r="B62" s="23">
        <v>0.28000000000000003</v>
      </c>
      <c r="C62" s="17" t="e">
        <f>VLOOKUP(A62,[1]Sheet!$A:$I,9,0)</f>
        <v>#N/A</v>
      </c>
      <c r="D62" s="17" t="e">
        <f>VLOOKUP(A62,[2]TDSheet!$A:$N,14,0)</f>
        <v>#N/A</v>
      </c>
      <c r="E62" s="20"/>
    </row>
    <row r="63" spans="1:5" s="1" customFormat="1" ht="10.9" hidden="1" customHeight="1" outlineLevel="2" x14ac:dyDescent="0.2">
      <c r="A63" s="18" t="s">
        <v>54</v>
      </c>
      <c r="B63" s="23">
        <v>0.28000000000000003</v>
      </c>
      <c r="C63" s="17" t="e">
        <f>VLOOKUP(A63,[1]Sheet!$A:$I,9,0)</f>
        <v>#N/A</v>
      </c>
      <c r="D63" s="17" t="e">
        <f>VLOOKUP(A63,[2]TDSheet!$A:$N,14,0)</f>
        <v>#N/A</v>
      </c>
      <c r="E63" s="20"/>
    </row>
    <row r="64" spans="1:5" s="1" customFormat="1" ht="10.9" hidden="1" customHeight="1" outlineLevel="2" x14ac:dyDescent="0.2">
      <c r="A64" s="18" t="s">
        <v>14</v>
      </c>
      <c r="B64" s="23">
        <v>1.1200000000000001</v>
      </c>
      <c r="C64" s="17" t="e">
        <f>VLOOKUP(A64,[1]Sheet!$A:$I,9,0)</f>
        <v>#N/A</v>
      </c>
      <c r="D64" s="17" t="e">
        <f>VLOOKUP(A64,[2]TDSheet!$A:$N,14,0)</f>
        <v>#N/A</v>
      </c>
      <c r="E64" s="20"/>
    </row>
    <row r="65" spans="1:5" s="1" customFormat="1" ht="10.9" hidden="1" customHeight="1" outlineLevel="2" x14ac:dyDescent="0.2">
      <c r="A65" s="18" t="s">
        <v>21</v>
      </c>
      <c r="B65" s="23">
        <v>0.28000000000000003</v>
      </c>
      <c r="C65" s="17" t="e">
        <f>VLOOKUP(A65,[1]Sheet!$A:$I,9,0)</f>
        <v>#N/A</v>
      </c>
      <c r="D65" s="17" t="e">
        <f>VLOOKUP(A65,[2]TDSheet!$A:$N,14,0)</f>
        <v>#N/A</v>
      </c>
      <c r="E65" s="20"/>
    </row>
    <row r="66" spans="1:5" s="1" customFormat="1" ht="10.9" hidden="1" customHeight="1" outlineLevel="2" x14ac:dyDescent="0.2">
      <c r="A66" s="18" t="s">
        <v>47</v>
      </c>
      <c r="B66" s="23">
        <v>0.28000000000000003</v>
      </c>
      <c r="C66" s="17" t="e">
        <f>VLOOKUP(A66,[1]Sheet!$A:$I,9,0)</f>
        <v>#N/A</v>
      </c>
      <c r="D66" s="17" t="e">
        <f>VLOOKUP(A66,[2]TDSheet!$A:$N,14,0)</f>
        <v>#N/A</v>
      </c>
      <c r="E66" s="20"/>
    </row>
    <row r="67" spans="1:5" s="1" customFormat="1" ht="10.9" hidden="1" customHeight="1" outlineLevel="2" x14ac:dyDescent="0.2">
      <c r="A67" s="18" t="s">
        <v>55</v>
      </c>
      <c r="B67" s="19">
        <v>1.4</v>
      </c>
      <c r="C67" s="17" t="e">
        <f>VLOOKUP(A67,[1]Sheet!$A:$I,9,0)</f>
        <v>#N/A</v>
      </c>
      <c r="D67" s="17" t="e">
        <f>VLOOKUP(A67,[2]TDSheet!$A:$N,14,0)</f>
        <v>#N/A</v>
      </c>
      <c r="E67" s="20"/>
    </row>
    <row r="68" spans="1:5" s="1" customFormat="1" ht="10.9" hidden="1" customHeight="1" outlineLevel="2" x14ac:dyDescent="0.2">
      <c r="A68" s="18" t="s">
        <v>56</v>
      </c>
      <c r="B68" s="23">
        <v>0.28000000000000003</v>
      </c>
      <c r="C68" s="17" t="e">
        <f>VLOOKUP(A68,[1]Sheet!$A:$I,9,0)</f>
        <v>#N/A</v>
      </c>
      <c r="D68" s="17" t="e">
        <f>VLOOKUP(A68,[2]TDSheet!$A:$N,14,0)</f>
        <v>#N/A</v>
      </c>
      <c r="E68" s="20"/>
    </row>
    <row r="69" spans="1:5" s="1" customFormat="1" ht="10.9" hidden="1" customHeight="1" outlineLevel="2" x14ac:dyDescent="0.2">
      <c r="A69" s="18" t="s">
        <v>48</v>
      </c>
      <c r="B69" s="23">
        <v>0.56000000000000005</v>
      </c>
      <c r="C69" s="17" t="e">
        <f>VLOOKUP(A69,[1]Sheet!$A:$I,9,0)</f>
        <v>#N/A</v>
      </c>
      <c r="D69" s="17" t="e">
        <f>VLOOKUP(A69,[2]TDSheet!$A:$N,14,0)</f>
        <v>#N/A</v>
      </c>
      <c r="E69" s="20"/>
    </row>
    <row r="70" spans="1:5" s="1" customFormat="1" ht="10.9" hidden="1" customHeight="1" outlineLevel="2" x14ac:dyDescent="0.2">
      <c r="A70" s="18" t="s">
        <v>57</v>
      </c>
      <c r="B70" s="23">
        <v>0.56000000000000005</v>
      </c>
      <c r="C70" s="17" t="e">
        <f>VLOOKUP(A70,[1]Sheet!$A:$I,9,0)</f>
        <v>#N/A</v>
      </c>
      <c r="D70" s="17" t="e">
        <f>VLOOKUP(A70,[2]TDSheet!$A:$N,14,0)</f>
        <v>#N/A</v>
      </c>
      <c r="E70" s="20"/>
    </row>
    <row r="71" spans="1:5" s="1" customFormat="1" ht="10.9" hidden="1" customHeight="1" outlineLevel="2" x14ac:dyDescent="0.2">
      <c r="A71" s="18" t="s">
        <v>49</v>
      </c>
      <c r="B71" s="23">
        <v>0.56000000000000005</v>
      </c>
      <c r="C71" s="17" t="e">
        <f>VLOOKUP(A71,[1]Sheet!$A:$I,9,0)</f>
        <v>#N/A</v>
      </c>
      <c r="D71" s="17" t="e">
        <f>VLOOKUP(A71,[2]TDSheet!$A:$N,14,0)</f>
        <v>#N/A</v>
      </c>
      <c r="E71" s="20"/>
    </row>
    <row r="72" spans="1:5" s="1" customFormat="1" ht="10.9" hidden="1" customHeight="1" outlineLevel="2" x14ac:dyDescent="0.2">
      <c r="A72" s="18" t="s">
        <v>18</v>
      </c>
      <c r="B72" s="23">
        <v>0.84</v>
      </c>
      <c r="C72" s="17" t="e">
        <f>VLOOKUP(A72,[1]Sheet!$A:$I,9,0)</f>
        <v>#N/A</v>
      </c>
      <c r="D72" s="17" t="e">
        <f>VLOOKUP(A72,[2]TDSheet!$A:$N,14,0)</f>
        <v>#N/A</v>
      </c>
      <c r="E72" s="20"/>
    </row>
    <row r="73" spans="1:5" s="1" customFormat="1" ht="10.9" hidden="1" customHeight="1" outlineLevel="2" x14ac:dyDescent="0.2">
      <c r="A73" s="18" t="s">
        <v>33</v>
      </c>
      <c r="B73" s="23">
        <v>0.28000000000000003</v>
      </c>
      <c r="C73" s="17" t="e">
        <f>VLOOKUP(A73,[1]Sheet!$A:$I,9,0)</f>
        <v>#N/A</v>
      </c>
      <c r="D73" s="17" t="e">
        <f>VLOOKUP(A73,[2]TDSheet!$A:$N,14,0)</f>
        <v>#N/A</v>
      </c>
      <c r="E73" s="20"/>
    </row>
    <row r="74" spans="1:5" s="1" customFormat="1" ht="10.9" hidden="1" customHeight="1" outlineLevel="2" x14ac:dyDescent="0.2">
      <c r="A74" s="18" t="s">
        <v>21</v>
      </c>
      <c r="B74" s="23">
        <v>0.28000000000000003</v>
      </c>
      <c r="C74" s="17" t="e">
        <f>VLOOKUP(A74,[1]Sheet!$A:$I,9,0)</f>
        <v>#N/A</v>
      </c>
      <c r="D74" s="17" t="e">
        <f>VLOOKUP(A74,[2]TDSheet!$A:$N,14,0)</f>
        <v>#N/A</v>
      </c>
      <c r="E74" s="20"/>
    </row>
    <row r="75" spans="1:5" ht="10.9" customHeight="1" outlineLevel="1" collapsed="1" x14ac:dyDescent="0.2">
      <c r="A75" s="15" t="s">
        <v>11</v>
      </c>
      <c r="B75" s="16">
        <v>10.8</v>
      </c>
      <c r="C75" s="17" t="str">
        <f>VLOOKUP(A75,[1]Sheet!$A:$I,9,0)</f>
        <v>матрица</v>
      </c>
      <c r="D75" s="17">
        <f>VLOOKUP(A75,[2]TDSheet!$A:$N,14,0)</f>
        <v>3.2</v>
      </c>
      <c r="E75" s="22" t="s">
        <v>73</v>
      </c>
    </row>
    <row r="76" spans="1:5" s="1" customFormat="1" ht="22.15" hidden="1" customHeight="1" outlineLevel="2" x14ac:dyDescent="0.2">
      <c r="A76" s="18" t="s">
        <v>58</v>
      </c>
      <c r="B76" s="19">
        <v>1.2</v>
      </c>
      <c r="C76" s="17" t="e">
        <f>VLOOKUP(A76,[1]Sheet!$A:$I,9,0)</f>
        <v>#N/A</v>
      </c>
      <c r="D76" s="17" t="e">
        <f>VLOOKUP(A76,[2]TDSheet!$A:$N,14,0)</f>
        <v>#N/A</v>
      </c>
      <c r="E76" s="20"/>
    </row>
    <row r="77" spans="1:5" s="1" customFormat="1" ht="22.15" hidden="1" customHeight="1" outlineLevel="2" x14ac:dyDescent="0.2">
      <c r="A77" s="18" t="s">
        <v>59</v>
      </c>
      <c r="B77" s="19">
        <v>0.8</v>
      </c>
      <c r="C77" s="17" t="e">
        <f>VLOOKUP(A77,[1]Sheet!$A:$I,9,0)</f>
        <v>#N/A</v>
      </c>
      <c r="D77" s="17" t="e">
        <f>VLOOKUP(A77,[2]TDSheet!$A:$N,14,0)</f>
        <v>#N/A</v>
      </c>
      <c r="E77" s="20"/>
    </row>
    <row r="78" spans="1:5" s="1" customFormat="1" ht="10.9" hidden="1" customHeight="1" outlineLevel="2" x14ac:dyDescent="0.2">
      <c r="A78" s="18" t="s">
        <v>60</v>
      </c>
      <c r="B78" s="19">
        <v>0.4</v>
      </c>
      <c r="C78" s="17" t="e">
        <f>VLOOKUP(A78,[1]Sheet!$A:$I,9,0)</f>
        <v>#N/A</v>
      </c>
      <c r="D78" s="17" t="e">
        <f>VLOOKUP(A78,[2]TDSheet!$A:$N,14,0)</f>
        <v>#N/A</v>
      </c>
      <c r="E78" s="20"/>
    </row>
    <row r="79" spans="1:5" s="1" customFormat="1" ht="10.9" hidden="1" customHeight="1" outlineLevel="2" x14ac:dyDescent="0.2">
      <c r="A79" s="18" t="s">
        <v>61</v>
      </c>
      <c r="B79" s="19">
        <v>0.4</v>
      </c>
      <c r="C79" s="17" t="e">
        <f>VLOOKUP(A79,[1]Sheet!$A:$I,9,0)</f>
        <v>#N/A</v>
      </c>
      <c r="D79" s="17" t="e">
        <f>VLOOKUP(A79,[2]TDSheet!$A:$N,14,0)</f>
        <v>#N/A</v>
      </c>
      <c r="E79" s="20"/>
    </row>
    <row r="80" spans="1:5" s="1" customFormat="1" ht="10.9" hidden="1" customHeight="1" outlineLevel="2" x14ac:dyDescent="0.2">
      <c r="A80" s="18" t="s">
        <v>62</v>
      </c>
      <c r="B80" s="19">
        <v>0.4</v>
      </c>
      <c r="C80" s="17" t="e">
        <f>VLOOKUP(A80,[1]Sheet!$A:$I,9,0)</f>
        <v>#N/A</v>
      </c>
      <c r="D80" s="17" t="e">
        <f>VLOOKUP(A80,[2]TDSheet!$A:$N,14,0)</f>
        <v>#N/A</v>
      </c>
      <c r="E80" s="20"/>
    </row>
    <row r="81" spans="1:5" s="1" customFormat="1" ht="22.15" hidden="1" customHeight="1" outlineLevel="2" x14ac:dyDescent="0.2">
      <c r="A81" s="18" t="s">
        <v>46</v>
      </c>
      <c r="B81" s="19">
        <v>0.8</v>
      </c>
      <c r="C81" s="17" t="e">
        <f>VLOOKUP(A81,[1]Sheet!$A:$I,9,0)</f>
        <v>#N/A</v>
      </c>
      <c r="D81" s="17" t="e">
        <f>VLOOKUP(A81,[2]TDSheet!$A:$N,14,0)</f>
        <v>#N/A</v>
      </c>
      <c r="E81" s="20"/>
    </row>
    <row r="82" spans="1:5" s="1" customFormat="1" ht="10.9" hidden="1" customHeight="1" outlineLevel="2" x14ac:dyDescent="0.2">
      <c r="A82" s="18" t="s">
        <v>63</v>
      </c>
      <c r="B82" s="19">
        <v>0.4</v>
      </c>
      <c r="C82" s="17" t="e">
        <f>VLOOKUP(A82,[1]Sheet!$A:$I,9,0)</f>
        <v>#N/A</v>
      </c>
      <c r="D82" s="17" t="e">
        <f>VLOOKUP(A82,[2]TDSheet!$A:$N,14,0)</f>
        <v>#N/A</v>
      </c>
      <c r="E82" s="20"/>
    </row>
    <row r="83" spans="1:5" s="1" customFormat="1" ht="10.9" hidden="1" customHeight="1" outlineLevel="2" x14ac:dyDescent="0.2">
      <c r="A83" s="18" t="s">
        <v>23</v>
      </c>
      <c r="B83" s="19">
        <v>0.8</v>
      </c>
      <c r="C83" s="17" t="e">
        <f>VLOOKUP(A83,[1]Sheet!$A:$I,9,0)</f>
        <v>#N/A</v>
      </c>
      <c r="D83" s="17" t="e">
        <f>VLOOKUP(A83,[2]TDSheet!$A:$N,14,0)</f>
        <v>#N/A</v>
      </c>
      <c r="E83" s="20"/>
    </row>
    <row r="84" spans="1:5" s="1" customFormat="1" ht="10.9" hidden="1" customHeight="1" outlineLevel="2" x14ac:dyDescent="0.2">
      <c r="A84" s="18" t="s">
        <v>64</v>
      </c>
      <c r="B84" s="19">
        <v>0.4</v>
      </c>
      <c r="C84" s="17" t="e">
        <f>VLOOKUP(A84,[1]Sheet!$A:$I,9,0)</f>
        <v>#N/A</v>
      </c>
      <c r="D84" s="17" t="e">
        <f>VLOOKUP(A84,[2]TDSheet!$A:$N,14,0)</f>
        <v>#N/A</v>
      </c>
      <c r="E84" s="20"/>
    </row>
    <row r="85" spans="1:5" s="1" customFormat="1" ht="10.9" hidden="1" customHeight="1" outlineLevel="2" x14ac:dyDescent="0.2">
      <c r="A85" s="18" t="s">
        <v>14</v>
      </c>
      <c r="B85" s="19">
        <v>2.4</v>
      </c>
      <c r="C85" s="17" t="e">
        <f>VLOOKUP(A85,[1]Sheet!$A:$I,9,0)</f>
        <v>#N/A</v>
      </c>
      <c r="D85" s="17" t="e">
        <f>VLOOKUP(A85,[2]TDSheet!$A:$N,14,0)</f>
        <v>#N/A</v>
      </c>
      <c r="E85" s="20"/>
    </row>
    <row r="86" spans="1:5" s="1" customFormat="1" ht="10.9" hidden="1" customHeight="1" outlineLevel="2" x14ac:dyDescent="0.2">
      <c r="A86" s="18" t="s">
        <v>47</v>
      </c>
      <c r="B86" s="19">
        <v>0.4</v>
      </c>
      <c r="C86" s="17" t="e">
        <f>VLOOKUP(A86,[1]Sheet!$A:$I,9,0)</f>
        <v>#N/A</v>
      </c>
      <c r="D86" s="17" t="e">
        <f>VLOOKUP(A86,[2]TDSheet!$A:$N,14,0)</f>
        <v>#N/A</v>
      </c>
      <c r="E86" s="20"/>
    </row>
    <row r="87" spans="1:5" s="1" customFormat="1" ht="10.9" hidden="1" customHeight="1" outlineLevel="2" x14ac:dyDescent="0.2">
      <c r="A87" s="18" t="s">
        <v>48</v>
      </c>
      <c r="B87" s="19">
        <v>0.8</v>
      </c>
      <c r="C87" s="17" t="e">
        <f>VLOOKUP(A87,[1]Sheet!$A:$I,9,0)</f>
        <v>#N/A</v>
      </c>
      <c r="D87" s="17" t="e">
        <f>VLOOKUP(A87,[2]TDSheet!$A:$N,14,0)</f>
        <v>#N/A</v>
      </c>
      <c r="E87" s="20"/>
    </row>
    <row r="88" spans="1:5" s="1" customFormat="1" ht="10.9" hidden="1" customHeight="1" outlineLevel="2" x14ac:dyDescent="0.2">
      <c r="A88" s="18" t="s">
        <v>18</v>
      </c>
      <c r="B88" s="19">
        <v>0.8</v>
      </c>
      <c r="C88" s="17" t="e">
        <f>VLOOKUP(A88,[1]Sheet!$A:$I,9,0)</f>
        <v>#N/A</v>
      </c>
      <c r="D88" s="17" t="e">
        <f>VLOOKUP(A88,[2]TDSheet!$A:$N,14,0)</f>
        <v>#N/A</v>
      </c>
      <c r="E88" s="20"/>
    </row>
    <row r="89" spans="1:5" s="1" customFormat="1" ht="10.9" hidden="1" customHeight="1" outlineLevel="2" x14ac:dyDescent="0.2">
      <c r="A89" s="18" t="s">
        <v>50</v>
      </c>
      <c r="B89" s="19">
        <v>0.4</v>
      </c>
      <c r="C89" s="17" t="e">
        <f>VLOOKUP(A89,[1]Sheet!$A:$I,9,0)</f>
        <v>#N/A</v>
      </c>
      <c r="D89" s="17" t="e">
        <f>VLOOKUP(A89,[2]TDSheet!$A:$N,14,0)</f>
        <v>#N/A</v>
      </c>
      <c r="E89" s="20"/>
    </row>
    <row r="90" spans="1:5" s="1" customFormat="1" ht="10.9" hidden="1" customHeight="1" outlineLevel="2" x14ac:dyDescent="0.2">
      <c r="A90" s="18" t="s">
        <v>33</v>
      </c>
      <c r="B90" s="19">
        <v>0.4</v>
      </c>
      <c r="C90" s="17" t="e">
        <f>VLOOKUP(A90,[1]Sheet!$A:$I,9,0)</f>
        <v>#N/A</v>
      </c>
      <c r="D90" s="17" t="e">
        <f>VLOOKUP(A90,[2]TDSheet!$A:$N,14,0)</f>
        <v>#N/A</v>
      </c>
      <c r="E90" s="20"/>
    </row>
    <row r="91" spans="1:5" s="1" customFormat="1" ht="10.9" hidden="1" customHeight="1" outlineLevel="2" x14ac:dyDescent="0.2">
      <c r="A91" s="18" t="s">
        <v>21</v>
      </c>
      <c r="B91" s="23">
        <v>0.66</v>
      </c>
      <c r="C91" s="17" t="e">
        <f>VLOOKUP(A91,[1]Sheet!$A:$I,9,0)</f>
        <v>#N/A</v>
      </c>
      <c r="D91" s="17" t="e">
        <f>VLOOKUP(A91,[2]TDSheet!$A:$N,14,0)</f>
        <v>#N/A</v>
      </c>
      <c r="E91" s="20"/>
    </row>
    <row r="92" spans="1:5" ht="10.9" customHeight="1" outlineLevel="1" collapsed="1" x14ac:dyDescent="0.2">
      <c r="A92" s="15" t="s">
        <v>12</v>
      </c>
      <c r="B92" s="16">
        <v>3.9</v>
      </c>
      <c r="C92" s="17" t="str">
        <f>VLOOKUP(A92,[1]Sheet!$A:$I,9,0)</f>
        <v>матрица</v>
      </c>
      <c r="D92" s="17">
        <v>0</v>
      </c>
      <c r="E92" s="22" t="s">
        <v>74</v>
      </c>
    </row>
    <row r="93" spans="1:5" s="1" customFormat="1" ht="22.15" hidden="1" customHeight="1" outlineLevel="2" x14ac:dyDescent="0.2">
      <c r="A93" s="18" t="s">
        <v>65</v>
      </c>
      <c r="B93" s="23">
        <v>0.45</v>
      </c>
      <c r="C93" s="17" t="e">
        <f>VLOOKUP(A93,[1]Sheet!$A:$I,9,0)</f>
        <v>#N/A</v>
      </c>
      <c r="D93" s="17" t="e">
        <f>VLOOKUP(A93,[2]TDSheet!$A:$N,14,0)</f>
        <v>#N/A</v>
      </c>
      <c r="E93" s="20"/>
    </row>
    <row r="94" spans="1:5" s="1" customFormat="1" ht="10.9" hidden="1" customHeight="1" outlineLevel="2" x14ac:dyDescent="0.2">
      <c r="A94" s="18" t="s">
        <v>22</v>
      </c>
      <c r="B94" s="23">
        <v>0.45</v>
      </c>
      <c r="C94" s="17" t="e">
        <f>VLOOKUP(A94,[1]Sheet!$A:$I,9,0)</f>
        <v>#N/A</v>
      </c>
      <c r="D94" s="17" t="e">
        <f>VLOOKUP(A94,[2]TDSheet!$A:$N,14,0)</f>
        <v>#N/A</v>
      </c>
      <c r="E94" s="20"/>
    </row>
    <row r="95" spans="1:5" s="1" customFormat="1" ht="10.9" hidden="1" customHeight="1" outlineLevel="2" x14ac:dyDescent="0.2">
      <c r="A95" s="18" t="s">
        <v>51</v>
      </c>
      <c r="B95" s="23">
        <v>0.15</v>
      </c>
      <c r="C95" s="17" t="e">
        <f>VLOOKUP(A95,[1]Sheet!$A:$I,9,0)</f>
        <v>#N/A</v>
      </c>
      <c r="D95" s="17" t="e">
        <f>VLOOKUP(A95,[2]TDSheet!$A:$N,14,0)</f>
        <v>#N/A</v>
      </c>
      <c r="E95" s="20"/>
    </row>
    <row r="96" spans="1:5" s="1" customFormat="1" ht="10.9" hidden="1" customHeight="1" outlineLevel="2" x14ac:dyDescent="0.2">
      <c r="A96" s="18" t="s">
        <v>14</v>
      </c>
      <c r="B96" s="23">
        <v>2.25</v>
      </c>
      <c r="C96" s="17" t="e">
        <f>VLOOKUP(A96,[1]Sheet!$A:$I,9,0)</f>
        <v>#N/A</v>
      </c>
      <c r="D96" s="17" t="e">
        <f>VLOOKUP(A96,[2]TDSheet!$A:$N,14,0)</f>
        <v>#N/A</v>
      </c>
      <c r="E96" s="20"/>
    </row>
    <row r="97" spans="1:5" s="1" customFormat="1" ht="10.9" hidden="1" customHeight="1" outlineLevel="2" x14ac:dyDescent="0.2">
      <c r="A97" s="18" t="s">
        <v>44</v>
      </c>
      <c r="B97" s="23">
        <v>0.15</v>
      </c>
      <c r="C97" s="17" t="e">
        <f>VLOOKUP(A97,[1]Sheet!$A:$I,9,0)</f>
        <v>#N/A</v>
      </c>
      <c r="D97" s="17" t="e">
        <f>VLOOKUP(A97,[2]TDSheet!$A:$N,14,0)</f>
        <v>#N/A</v>
      </c>
      <c r="E97" s="20"/>
    </row>
    <row r="98" spans="1:5" s="1" customFormat="1" ht="10.9" hidden="1" customHeight="1" outlineLevel="2" x14ac:dyDescent="0.2">
      <c r="A98" s="18" t="s">
        <v>18</v>
      </c>
      <c r="B98" s="23">
        <v>0.45</v>
      </c>
      <c r="C98" s="17" t="e">
        <f>VLOOKUP(A98,[1]Sheet!$A:$I,9,0)</f>
        <v>#N/A</v>
      </c>
      <c r="D98" s="17" t="e">
        <f>VLOOKUP(A98,[2]TDSheet!$A:$N,14,0)</f>
        <v>#N/A</v>
      </c>
      <c r="E98" s="20"/>
    </row>
    <row r="99" spans="1:5" s="1" customFormat="1" ht="22.15" hidden="1" customHeight="1" outlineLevel="2" x14ac:dyDescent="0.2">
      <c r="A99" s="18" t="s">
        <v>28</v>
      </c>
      <c r="B99" s="23">
        <v>0.56000000000000005</v>
      </c>
      <c r="C99" s="17" t="e">
        <f>VLOOKUP(A99,[1]Sheet!$A:$I,9,0)</f>
        <v>#N/A</v>
      </c>
      <c r="D99" s="17" t="e">
        <f>VLOOKUP(A99,[2]TDSheet!$A:$N,14,0)</f>
        <v>#N/A</v>
      </c>
      <c r="E99" s="20"/>
    </row>
    <row r="100" spans="1:5" s="1" customFormat="1" ht="10.9" hidden="1" customHeight="1" outlineLevel="2" x14ac:dyDescent="0.2">
      <c r="A100" s="18" t="s">
        <v>14</v>
      </c>
      <c r="B100" s="19">
        <v>1.4</v>
      </c>
      <c r="C100" s="17" t="e">
        <f>VLOOKUP(A100,[1]Sheet!$A:$I,9,0)</f>
        <v>#N/A</v>
      </c>
      <c r="D100" s="17" t="e">
        <f>VLOOKUP(A100,[2]TDSheet!$A:$N,14,0)</f>
        <v>#N/A</v>
      </c>
      <c r="E100" s="20"/>
    </row>
    <row r="101" spans="1:5" ht="10.9" customHeight="1" outlineLevel="1" collapsed="1" x14ac:dyDescent="0.2">
      <c r="A101" s="15" t="s">
        <v>66</v>
      </c>
      <c r="B101" s="21">
        <v>13.94</v>
      </c>
      <c r="C101" s="17" t="str">
        <f>VLOOKUP(A101,[1]Sheet!$A:$I,9,0)</f>
        <v>матрица</v>
      </c>
      <c r="D101" s="17">
        <f>VLOOKUP(A101,[2]TDSheet!$A:$N,14,0)</f>
        <v>3.28</v>
      </c>
      <c r="E101" s="22" t="s">
        <v>75</v>
      </c>
    </row>
    <row r="102" spans="1:5" s="1" customFormat="1" ht="10.9" hidden="1" customHeight="1" outlineLevel="2" x14ac:dyDescent="0.2">
      <c r="A102" s="18" t="s">
        <v>26</v>
      </c>
      <c r="B102" s="23">
        <v>0.41</v>
      </c>
      <c r="C102" s="17" t="e">
        <f>VLOOKUP(A102,[1]Sheet!$A:$I,9,0)</f>
        <v>#N/A</v>
      </c>
      <c r="D102" s="20"/>
      <c r="E102" s="20"/>
    </row>
    <row r="103" spans="1:5" s="1" customFormat="1" ht="10.9" hidden="1" customHeight="1" outlineLevel="2" x14ac:dyDescent="0.2">
      <c r="A103" s="18" t="s">
        <v>41</v>
      </c>
      <c r="B103" s="23">
        <v>0.41</v>
      </c>
      <c r="C103" s="17" t="e">
        <f>VLOOKUP(A103,[1]Sheet!$A:$I,9,0)</f>
        <v>#N/A</v>
      </c>
      <c r="D103" s="20"/>
      <c r="E103" s="20"/>
    </row>
    <row r="104" spans="1:5" s="1" customFormat="1" ht="22.15" hidden="1" customHeight="1" outlineLevel="2" x14ac:dyDescent="0.2">
      <c r="A104" s="18" t="s">
        <v>59</v>
      </c>
      <c r="B104" s="23">
        <v>0.82</v>
      </c>
      <c r="C104" s="17" t="e">
        <f>VLOOKUP(A104,[1]Sheet!$A:$I,9,0)</f>
        <v>#N/A</v>
      </c>
      <c r="D104" s="20"/>
      <c r="E104" s="20"/>
    </row>
    <row r="105" spans="1:5" s="1" customFormat="1" ht="10.9" hidden="1" customHeight="1" outlineLevel="2" x14ac:dyDescent="0.2">
      <c r="A105" s="18" t="s">
        <v>60</v>
      </c>
      <c r="B105" s="23">
        <v>0.41</v>
      </c>
      <c r="C105" s="17" t="e">
        <f>VLOOKUP(A105,[1]Sheet!$A:$I,9,0)</f>
        <v>#N/A</v>
      </c>
      <c r="D105" s="20"/>
      <c r="E105" s="20"/>
    </row>
    <row r="106" spans="1:5" s="1" customFormat="1" ht="10.9" hidden="1" customHeight="1" outlineLevel="2" x14ac:dyDescent="0.2">
      <c r="A106" s="18" t="s">
        <v>61</v>
      </c>
      <c r="B106" s="23">
        <v>0.41</v>
      </c>
      <c r="C106" s="17" t="e">
        <f>VLOOKUP(A106,[1]Sheet!$A:$I,9,0)</f>
        <v>#N/A</v>
      </c>
      <c r="D106" s="20"/>
      <c r="E106" s="20"/>
    </row>
    <row r="107" spans="1:5" s="1" customFormat="1" ht="10.9" hidden="1" customHeight="1" outlineLevel="2" x14ac:dyDescent="0.2">
      <c r="A107" s="18" t="s">
        <v>36</v>
      </c>
      <c r="B107" s="23">
        <v>0.41</v>
      </c>
      <c r="C107" s="17" t="e">
        <f>VLOOKUP(A107,[1]Sheet!$A:$I,9,0)</f>
        <v>#N/A</v>
      </c>
      <c r="D107" s="20"/>
      <c r="E107" s="20"/>
    </row>
    <row r="108" spans="1:5" s="1" customFormat="1" ht="10.9" hidden="1" customHeight="1" outlineLevel="2" x14ac:dyDescent="0.2">
      <c r="A108" s="18" t="s">
        <v>22</v>
      </c>
      <c r="B108" s="23">
        <v>0.41</v>
      </c>
      <c r="C108" s="17" t="e">
        <f>VLOOKUP(A108,[1]Sheet!$A:$I,9,0)</f>
        <v>#N/A</v>
      </c>
      <c r="D108" s="20"/>
      <c r="E108" s="20"/>
    </row>
    <row r="109" spans="1:5" s="1" customFormat="1" ht="22.15" hidden="1" customHeight="1" outlineLevel="2" x14ac:dyDescent="0.2">
      <c r="A109" s="18" t="s">
        <v>37</v>
      </c>
      <c r="B109" s="23">
        <v>0.41</v>
      </c>
      <c r="C109" s="17" t="e">
        <f>VLOOKUP(A109,[1]Sheet!$A:$I,9,0)</f>
        <v>#N/A</v>
      </c>
      <c r="D109" s="20"/>
      <c r="E109" s="20"/>
    </row>
    <row r="110" spans="1:5" s="1" customFormat="1" ht="10.9" hidden="1" customHeight="1" outlineLevel="2" x14ac:dyDescent="0.2">
      <c r="A110" s="18" t="s">
        <v>62</v>
      </c>
      <c r="B110" s="23">
        <v>0.41</v>
      </c>
      <c r="C110" s="17" t="e">
        <f>VLOOKUP(A110,[1]Sheet!$A:$I,9,0)</f>
        <v>#N/A</v>
      </c>
      <c r="D110" s="20"/>
      <c r="E110" s="20"/>
    </row>
    <row r="111" spans="1:5" s="1" customFormat="1" ht="10.9" hidden="1" customHeight="1" outlineLevel="2" x14ac:dyDescent="0.2">
      <c r="A111" s="18" t="s">
        <v>20</v>
      </c>
      <c r="B111" s="23">
        <v>0.41</v>
      </c>
      <c r="C111" s="17" t="e">
        <f>VLOOKUP(A111,[1]Sheet!$A:$I,9,0)</f>
        <v>#N/A</v>
      </c>
      <c r="D111" s="20"/>
      <c r="E111" s="20"/>
    </row>
    <row r="112" spans="1:5" s="1" customFormat="1" ht="22.15" hidden="1" customHeight="1" outlineLevel="2" x14ac:dyDescent="0.2">
      <c r="A112" s="18" t="s">
        <v>46</v>
      </c>
      <c r="B112" s="23">
        <v>0.82</v>
      </c>
      <c r="C112" s="17" t="e">
        <f>VLOOKUP(A112,[1]Sheet!$A:$I,9,0)</f>
        <v>#N/A</v>
      </c>
      <c r="D112" s="20"/>
      <c r="E112" s="20"/>
    </row>
    <row r="113" spans="1:5" s="1" customFormat="1" ht="10.9" hidden="1" customHeight="1" outlineLevel="2" x14ac:dyDescent="0.2">
      <c r="A113" s="18" t="s">
        <v>63</v>
      </c>
      <c r="B113" s="23">
        <v>0.41</v>
      </c>
      <c r="C113" s="17" t="e">
        <f>VLOOKUP(A113,[1]Sheet!$A:$I,9,0)</f>
        <v>#N/A</v>
      </c>
      <c r="D113" s="20"/>
      <c r="E113" s="20"/>
    </row>
    <row r="114" spans="1:5" s="1" customFormat="1" ht="10.9" hidden="1" customHeight="1" outlineLevel="2" x14ac:dyDescent="0.2">
      <c r="A114" s="18" t="s">
        <v>23</v>
      </c>
      <c r="B114" s="23">
        <v>0.82</v>
      </c>
      <c r="C114" s="17" t="e">
        <f>VLOOKUP(A114,[1]Sheet!$A:$I,9,0)</f>
        <v>#N/A</v>
      </c>
      <c r="D114" s="20"/>
      <c r="E114" s="20"/>
    </row>
    <row r="115" spans="1:5" s="1" customFormat="1" ht="10.9" hidden="1" customHeight="1" outlineLevel="2" x14ac:dyDescent="0.2">
      <c r="A115" s="18" t="s">
        <v>64</v>
      </c>
      <c r="B115" s="23">
        <v>0.41</v>
      </c>
      <c r="C115" s="17" t="e">
        <f>VLOOKUP(A115,[1]Sheet!$A:$I,9,0)</f>
        <v>#N/A</v>
      </c>
      <c r="D115" s="20"/>
      <c r="E115" s="20"/>
    </row>
    <row r="116" spans="1:5" s="1" customFormat="1" ht="10.9" hidden="1" customHeight="1" outlineLevel="2" x14ac:dyDescent="0.2">
      <c r="A116" s="18" t="s">
        <v>54</v>
      </c>
      <c r="B116" s="23">
        <v>0.41</v>
      </c>
      <c r="C116" s="17" t="e">
        <f>VLOOKUP(A116,[1]Sheet!$A:$I,9,0)</f>
        <v>#N/A</v>
      </c>
      <c r="D116" s="20"/>
      <c r="E116" s="20"/>
    </row>
    <row r="117" spans="1:5" s="1" customFormat="1" ht="10.9" hidden="1" customHeight="1" outlineLevel="2" x14ac:dyDescent="0.2">
      <c r="A117" s="18" t="s">
        <v>14</v>
      </c>
      <c r="B117" s="23">
        <v>3.28</v>
      </c>
      <c r="C117" s="17" t="e">
        <f>VLOOKUP(A117,[1]Sheet!$A:$I,9,0)</f>
        <v>#N/A</v>
      </c>
      <c r="D117" s="20"/>
      <c r="E117" s="20"/>
    </row>
    <row r="118" spans="1:5" s="1" customFormat="1" ht="10.9" hidden="1" customHeight="1" outlineLevel="2" x14ac:dyDescent="0.2">
      <c r="A118" s="18" t="s">
        <v>47</v>
      </c>
      <c r="B118" s="23">
        <v>0.41</v>
      </c>
      <c r="C118" s="17" t="e">
        <f>VLOOKUP(A118,[1]Sheet!$A:$I,9,0)</f>
        <v>#N/A</v>
      </c>
      <c r="D118" s="20"/>
      <c r="E118" s="20"/>
    </row>
    <row r="119" spans="1:5" s="1" customFormat="1" ht="10.9" hidden="1" customHeight="1" outlineLevel="2" x14ac:dyDescent="0.2">
      <c r="A119" s="18" t="s">
        <v>55</v>
      </c>
      <c r="B119" s="23">
        <v>0.41</v>
      </c>
      <c r="C119" s="17" t="e">
        <f>VLOOKUP(A119,[1]Sheet!$A:$I,9,0)</f>
        <v>#N/A</v>
      </c>
      <c r="D119" s="20"/>
      <c r="E119" s="20"/>
    </row>
    <row r="120" spans="1:5" s="1" customFormat="1" ht="10.9" hidden="1" customHeight="1" outlineLevel="2" x14ac:dyDescent="0.2">
      <c r="A120" s="18" t="s">
        <v>48</v>
      </c>
      <c r="B120" s="23">
        <v>0.82</v>
      </c>
      <c r="C120" s="17" t="e">
        <f>VLOOKUP(A120,[1]Sheet!$A:$I,9,0)</f>
        <v>#N/A</v>
      </c>
      <c r="D120" s="20"/>
      <c r="E120" s="20"/>
    </row>
    <row r="121" spans="1:5" s="1" customFormat="1" ht="10.9" hidden="1" customHeight="1" outlineLevel="2" x14ac:dyDescent="0.2">
      <c r="A121" s="18" t="s">
        <v>18</v>
      </c>
      <c r="B121" s="23">
        <v>0.82</v>
      </c>
      <c r="C121" s="17" t="e">
        <f>VLOOKUP(A121,[1]Sheet!$A:$I,9,0)</f>
        <v>#N/A</v>
      </c>
      <c r="D121" s="20"/>
      <c r="E121" s="20"/>
    </row>
    <row r="122" spans="1:5" s="1" customFormat="1" ht="10.9" hidden="1" customHeight="1" outlineLevel="2" x14ac:dyDescent="0.2">
      <c r="A122" s="18" t="s">
        <v>50</v>
      </c>
      <c r="B122" s="23">
        <v>0.41</v>
      </c>
      <c r="C122" s="17" t="e">
        <f>VLOOKUP(A122,[1]Sheet!$A:$I,9,0)</f>
        <v>#N/A</v>
      </c>
      <c r="D122" s="20"/>
      <c r="E122" s="20"/>
    </row>
    <row r="123" spans="1:5" s="1" customFormat="1" ht="10.9" hidden="1" customHeight="1" outlineLevel="2" x14ac:dyDescent="0.2">
      <c r="A123" s="18" t="s">
        <v>33</v>
      </c>
      <c r="B123" s="23">
        <v>0.41</v>
      </c>
      <c r="C123" s="17" t="e">
        <f>VLOOKUP(A123,[1]Sheet!$A:$I,9,0)</f>
        <v>#N/A</v>
      </c>
      <c r="D123" s="20"/>
      <c r="E123" s="20"/>
    </row>
    <row r="124" spans="1:5" s="1" customFormat="1" ht="10.9" hidden="1" customHeight="1" outlineLevel="2" x14ac:dyDescent="0.2">
      <c r="A124" s="18" t="s">
        <v>21</v>
      </c>
      <c r="B124" s="19">
        <v>0.3</v>
      </c>
      <c r="C124" s="17" t="e">
        <f>VLOOKUP(A124,[1]Sheet!$A:$I,9,0)</f>
        <v>#N/A</v>
      </c>
      <c r="D124" s="20"/>
      <c r="E124" s="20"/>
    </row>
    <row r="125" spans="1:5" s="1" customFormat="1" ht="22.15" hidden="1" customHeight="1" outlineLevel="2" x14ac:dyDescent="0.2">
      <c r="A125" s="18" t="s">
        <v>35</v>
      </c>
      <c r="B125" s="25">
        <v>1</v>
      </c>
      <c r="C125" s="17" t="e">
        <f>VLOOKUP(A125,[1]Sheet!$A:$I,9,0)</f>
        <v>#N/A</v>
      </c>
      <c r="D125" s="20"/>
      <c r="E125" s="20"/>
    </row>
    <row r="126" spans="1:5" ht="22.5" outlineLevel="1" collapsed="1" x14ac:dyDescent="0.2">
      <c r="A126" s="29" t="s">
        <v>67</v>
      </c>
      <c r="B126" s="16">
        <v>3.2</v>
      </c>
      <c r="C126" s="30" t="s">
        <v>78</v>
      </c>
      <c r="D126" s="17"/>
      <c r="E126" s="31" t="s">
        <v>79</v>
      </c>
    </row>
    <row r="127" spans="1:5" s="1" customFormat="1" ht="22.15" hidden="1" customHeight="1" outlineLevel="2" x14ac:dyDescent="0.2">
      <c r="A127" s="13" t="s">
        <v>15</v>
      </c>
      <c r="B127" s="14">
        <v>3.2</v>
      </c>
    </row>
  </sheetData>
  <mergeCells count="2">
    <mergeCell ref="B5:B7"/>
    <mergeCell ref="D5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2026-10-27T09:40:37Z</dcterms:modified>
</cp:coreProperties>
</file>